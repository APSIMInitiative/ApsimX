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siroau-my.sharepoint.com/personal/men064_csiro_au/Documents/Documents/GitHub/ApsimX/Tests/Validation/Pinus/"/>
    </mc:Choice>
  </mc:AlternateContent>
  <xr:revisionPtr revIDLastSave="247" documentId="13_ncr:1_{CE434B1E-0101-4888-A53C-76A441F1B65F}" xr6:coauthVersionLast="47" xr6:coauthVersionMax="47" xr10:uidLastSave="{D244F0C0-F758-1149-B97A-12A82F041EDB}"/>
  <bookViews>
    <workbookView xWindow="9780" yWindow="9340" windowWidth="29320" windowHeight="19760" tabRatio="653" xr2:uid="{00000000-000D-0000-FFFF-FFFF00000000}"/>
  </bookViews>
  <sheets>
    <sheet name="Observed" sheetId="6" r:id="rId1"/>
  </sheets>
  <externalReferences>
    <externalReference r:id="rId2"/>
  </externalReferences>
  <definedNames>
    <definedName name="_xlnm._FilterDatabase" localSheetId="0" hidden="1">Observed!$A$1:$BL$1940</definedName>
    <definedName name="a">[1]Sheet2!#REF!</definedName>
    <definedName name="AvGMCotton">#REF!</definedName>
    <definedName name="AvGMSorg">#REF!</definedName>
    <definedName name="AvGMWht">#REF!</definedName>
    <definedName name="AvYldCotton">#REF!</definedName>
    <definedName name="AvYldSorg">#REF!</definedName>
    <definedName name="AvYldWht">#REF!</definedName>
    <definedName name="b">[1]Sheet2!#REF!</definedName>
    <definedName name="bd">#REF!</definedName>
    <definedName name="CYear">#REF!</definedName>
    <definedName name="dlayr">#REF!</definedName>
    <definedName name="e">[1]Sheet2!#REF!</definedName>
    <definedName name="p">[1]Sheet2!#REF!</definedName>
    <definedName name="PostCost">#REF!</definedName>
    <definedName name="PreCost">#REF!</definedName>
    <definedName name="_xlnm.Print_Titles">[1]Locn!#REF!</definedName>
    <definedName name="SprayCost">#REF!</definedName>
    <definedName name="Sprays">#REF!</definedName>
    <definedName name="SYear">#REF!</definedName>
    <definedName name="WYear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6" l="1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2" i="6"/>
  <c r="BI1592" i="6"/>
  <c r="BI1591" i="6"/>
  <c r="BI1590" i="6"/>
  <c r="BI1589" i="6"/>
  <c r="BI1588" i="6"/>
  <c r="BI1587" i="6"/>
  <c r="BI1586" i="6"/>
  <c r="BI1585" i="6"/>
  <c r="BI1584" i="6"/>
  <c r="BI1583" i="6"/>
  <c r="BI1582" i="6"/>
  <c r="BI1581" i="6"/>
  <c r="BI1580" i="6"/>
  <c r="BI1579" i="6"/>
  <c r="BI1578" i="6"/>
  <c r="BI1577" i="6"/>
  <c r="BI1576" i="6"/>
  <c r="BI1575" i="6"/>
  <c r="BI1574" i="6"/>
  <c r="BI1573" i="6"/>
  <c r="BI1572" i="6"/>
  <c r="BI1571" i="6"/>
  <c r="BI1570" i="6"/>
  <c r="BI1569" i="6"/>
  <c r="BI1568" i="6"/>
  <c r="BI205" i="6"/>
  <c r="BI201" i="6"/>
  <c r="BI197" i="6"/>
  <c r="BI193" i="6"/>
  <c r="BI184" i="6"/>
  <c r="BI180" i="6"/>
  <c r="BI176" i="6"/>
  <c r="BI172" i="6"/>
  <c r="BI163" i="6"/>
  <c r="BI159" i="6"/>
  <c r="BI155" i="6"/>
  <c r="BI151" i="6"/>
  <c r="BI142" i="6"/>
  <c r="BI138" i="6"/>
  <c r="BI134" i="6"/>
  <c r="BI130" i="6"/>
  <c r="BI121" i="6"/>
  <c r="BI117" i="6"/>
  <c r="BI113" i="6"/>
  <c r="BI109" i="6"/>
  <c r="AX165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tc={A6765C3E-0A79-43CA-BA2D-C4E7D27AA7FF}</author>
    <author>tc={59832307-5396-4075-B4E0-7A6D0CE6F0C9}</author>
    <author>tc={AE39DB48-BEF1-4305-A78A-65EE2F518CF5}</author>
    <author>tc={0BB6E534-4035-3E43-91C4-B4B56EA04BD2}</author>
    <author>tc={71FEADFF-AFA7-CE49-BFEA-80A1F0555369}</author>
    <author>tc={255421D8-30EE-C446-8442-86F7938964D4}</author>
  </authors>
  <commentList>
    <comment ref="AA1" authorId="0" shapeId="0" xr:uid="{A6765C3E-0A79-43CA-BA2D-C4E7D27AA7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I’ve renamed this column.  We look to use the soil water data from modelling paper of McMurtrie and Landsberg instead
</t>
      </text>
    </comment>
    <comment ref="AH1" authorId="1" shapeId="0" xr:uid="{59832307-5396-4075-B4E0-7A6D0CE6F0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Diameter of tree of mean BA (cm)</t>
      </text>
    </comment>
    <comment ref="AM1" authorId="2" shapeId="0" xr:uid="{AE39DB48-BEF1-4305-A78A-65EE2F518CF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Standing MAI (not including thinnings and mortality)</t>
      </text>
    </comment>
    <comment ref="N206" authorId="3" shapeId="0" xr:uid="{0BB6E534-4035-3E43-91C4-B4B56EA04BD2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HIghlighted block deleted as it has suspicious values and has been superceded by reworked original data below</t>
      </text>
    </comment>
    <comment ref="B221" authorId="4" shapeId="0" xr:uid="{71FEADFF-AFA7-CE49-BFEA-80A1F0555369}">
      <text>
        <t>[Threaded comment]
Your version of Excel allows you to read this threaded comment; however, any edits to it will get removed if the file is opened in a newer version of Excel. Learn more: https://go.microsoft.com/fwlink/?linkid=870924
Comment:
    Code changed to FN for next 5 rows because this is the treatment where irrigation ceased in 1988</t>
      </text>
    </comment>
    <comment ref="B301" authorId="5" shapeId="0" xr:uid="{255421D8-30EE-C446-8442-86F7938964D4}">
      <text>
        <t>[Threaded comment]
Your version of Excel allows you to read this threaded comment; however, any edits to it will get removed if the file is opened in a newer version of Excel. Learn more: https://go.microsoft.com/fwlink/?linkid=870924
Comment:
    code changed to FN as it looks like this is the treatment where irrigation stopped in 1988</t>
      </text>
    </comment>
  </commentList>
</comments>
</file>

<file path=xl/sharedStrings.xml><?xml version="1.0" encoding="utf-8"?>
<sst xmlns="http://schemas.openxmlformats.org/spreadsheetml/2006/main" count="5726" uniqueCount="145">
  <si>
    <t>SimulationName</t>
  </si>
  <si>
    <t>Clock.Today</t>
  </si>
  <si>
    <t>Age(y)</t>
  </si>
  <si>
    <t>Survival(%)</t>
  </si>
  <si>
    <t>stemspha</t>
  </si>
  <si>
    <t>Pinus.AboveGround.Wt</t>
  </si>
  <si>
    <t>Pinus.Cone.Wt</t>
  </si>
  <si>
    <t>Pinus.Leaf.Wt</t>
  </si>
  <si>
    <t>Pinus.Leaf.Dead.Wt</t>
  </si>
  <si>
    <t>Pinus.Branch.Wt</t>
  </si>
  <si>
    <t>Branches+Cones</t>
  </si>
  <si>
    <t>Pinus.Stem.BarkWt</t>
  </si>
  <si>
    <t>Pinus.Stem.WoodWt</t>
  </si>
  <si>
    <t>Pinus.Stem.Wt</t>
  </si>
  <si>
    <t>WoodTotalWt</t>
  </si>
  <si>
    <t>Pinus.CoarseRoot.Live.Wt</t>
  </si>
  <si>
    <t>Pinus.FineRoot.Live.Wt</t>
  </si>
  <si>
    <t>Pinus.BelowGround.Wt</t>
  </si>
  <si>
    <t>SLA</t>
  </si>
  <si>
    <t>Pinus.Leaf.LAI</t>
  </si>
  <si>
    <t>LAIMax</t>
  </si>
  <si>
    <t>Litter.Wt</t>
  </si>
  <si>
    <t>SWmmTotalOLD</t>
  </si>
  <si>
    <t>SWmmTotal</t>
  </si>
  <si>
    <t>Litterfall</t>
  </si>
  <si>
    <t>Pinus.RootShootRatio</t>
  </si>
  <si>
    <t>Pinus.Stem.Ht</t>
  </si>
  <si>
    <t>Pinus.Stem.DBH</t>
  </si>
  <si>
    <t>Pinus.Stem.BA</t>
  </si>
  <si>
    <t>Pinus.Stem.Vol</t>
  </si>
  <si>
    <t>Pinus.Stem.BarkThickness</t>
  </si>
  <si>
    <t>Pinus.Stem.Volub</t>
  </si>
  <si>
    <t>Pinus.Stem.MAI</t>
  </si>
  <si>
    <t>MAIub</t>
  </si>
  <si>
    <t>Pinus.Stem.WoodDensity</t>
  </si>
  <si>
    <t>Pinus.Leaf.Live.NConc</t>
  </si>
  <si>
    <t>Pinus.Cone.Live.NConc</t>
  </si>
  <si>
    <t>Pinus.Branch.Live.NConc</t>
  </si>
  <si>
    <t>Pinus.Stem.Live.NConc</t>
  </si>
  <si>
    <t>Pinus.CoarseRoot.Live.NConc</t>
  </si>
  <si>
    <t>Pinus.FineRoot.Live.NConc</t>
  </si>
  <si>
    <t>Pinus.AboveGround.N</t>
  </si>
  <si>
    <t>StemWoodN</t>
  </si>
  <si>
    <t>StemBarkN</t>
  </si>
  <si>
    <t>Pinus.Stem.N</t>
  </si>
  <si>
    <t>Pinus.Branch.Live.N</t>
  </si>
  <si>
    <t>Pinus.Branch.Dead.N</t>
  </si>
  <si>
    <t>Pinus.Leaf.Live.N</t>
  </si>
  <si>
    <t>TotalFoliarNkgpha</t>
  </si>
  <si>
    <t>FoliarNConcUYFLmgpg</t>
  </si>
  <si>
    <t>Source</t>
  </si>
  <si>
    <t>SoilWater2m (mm)</t>
  </si>
  <si>
    <t>Raison et al (1992)</t>
  </si>
  <si>
    <t>Huth</t>
  </si>
  <si>
    <t>Waterworth et al Table3</t>
  </si>
  <si>
    <t>KerynPaul Dataset</t>
  </si>
  <si>
    <t>BFGUT</t>
  </si>
  <si>
    <t>Waterworth et al Fig6</t>
  </si>
  <si>
    <t>Kirschbaum 1999 Fig2a</t>
  </si>
  <si>
    <t>Myers and Talsma 1992 Fig6</t>
  </si>
  <si>
    <t>KerynPaul</t>
  </si>
  <si>
    <t>PurukiTahi</t>
  </si>
  <si>
    <t>Beets and Brownlie 1987 Table3, Beets and Pollock 1987a 1987b; Beets and Lane 1987</t>
  </si>
  <si>
    <t>PurukiInviolate</t>
  </si>
  <si>
    <t>SETRESC</t>
  </si>
  <si>
    <t>Albaugh et al 1998, 2004</t>
  </si>
  <si>
    <t>SETRESI</t>
  </si>
  <si>
    <t>SETRESF</t>
  </si>
  <si>
    <t>SETRESFI</t>
  </si>
  <si>
    <t>FPQBeerwah_PEE</t>
  </si>
  <si>
    <t>Dieters and Brawner 2007</t>
  </si>
  <si>
    <t>FPQBeerwah_PCH</t>
  </si>
  <si>
    <t>FPQBeerwah_F1</t>
  </si>
  <si>
    <t>FPQBeerwah_F2</t>
  </si>
  <si>
    <t>FPQToolara_PEE</t>
  </si>
  <si>
    <t>FPQToolara_PCH</t>
  </si>
  <si>
    <t>FPQToolara_F1</t>
  </si>
  <si>
    <t>FPQToolara_F2</t>
  </si>
  <si>
    <t>FPQTuan_PEE</t>
  </si>
  <si>
    <t>FPQTuan_PCH</t>
  </si>
  <si>
    <t>FPQTuan_F1</t>
  </si>
  <si>
    <t>FPQTuan_F2</t>
  </si>
  <si>
    <t>TowerHillC</t>
  </si>
  <si>
    <t>Nielsen, Lynch, Ringrose</t>
  </si>
  <si>
    <t>TowerHillN</t>
  </si>
  <si>
    <t>IMPACLF0H0</t>
  </si>
  <si>
    <t>Jokela, etc</t>
  </si>
  <si>
    <t>IMPACLF0H1</t>
  </si>
  <si>
    <t>IMPACLF1H0</t>
  </si>
  <si>
    <t>IMPACLF1H1</t>
  </si>
  <si>
    <t>IMPACSF0H0</t>
  </si>
  <si>
    <t>IMPACSF0H1</t>
  </si>
  <si>
    <t>IMPACSF1H0</t>
  </si>
  <si>
    <t>IMPACSF1H1</t>
  </si>
  <si>
    <t>HQP321R1</t>
  </si>
  <si>
    <t>Last, Senior, Simpson</t>
  </si>
  <si>
    <t>HQP321R2</t>
  </si>
  <si>
    <t>HQP248</t>
  </si>
  <si>
    <t>HQP251</t>
  </si>
  <si>
    <t>HQP350</t>
  </si>
  <si>
    <t>FSA703A</t>
  </si>
  <si>
    <t>O'Hehir</t>
  </si>
  <si>
    <t>FSA704</t>
  </si>
  <si>
    <t>SilverCrPradII</t>
  </si>
  <si>
    <t>Baker and Attiwill (1985), Baker (1983)</t>
  </si>
  <si>
    <t>SilverCrPradV</t>
  </si>
  <si>
    <t>BGFI</t>
  </si>
  <si>
    <t>Pinus.Total.N</t>
  </si>
  <si>
    <t>Pinus.Live.CoarseRoot.N</t>
  </si>
  <si>
    <t>Pinus.Live.FineRoot.N</t>
  </si>
  <si>
    <t>Pinus.BelowGround.N</t>
  </si>
  <si>
    <t>Albaugh et al 2008</t>
  </si>
  <si>
    <t>Subedi et al 2019</t>
  </si>
  <si>
    <t>StemBarkNConc</t>
  </si>
  <si>
    <t>StemWoodNConc</t>
  </si>
  <si>
    <t>Vogel et al 2011, Jokela, etc</t>
  </si>
  <si>
    <t>Vogel et al 2011</t>
  </si>
  <si>
    <t>DBHavBA</t>
  </si>
  <si>
    <t/>
  </si>
  <si>
    <t>Pinus.Leaf.N</t>
  </si>
  <si>
    <t>DBH_smallest</t>
  </si>
  <si>
    <t>DBH_largest</t>
  </si>
  <si>
    <t>Weibull_2parameter_shape</t>
  </si>
  <si>
    <t>Weibull_2parameter_scale</t>
  </si>
  <si>
    <t>Pinus.Stem.SizeClass.DBH50thPercentile</t>
  </si>
  <si>
    <t>Pinus.Stem.SizeClass.DBH10thPercentile</t>
  </si>
  <si>
    <t>Pinus.Stem.SizeClass.DBH90thPercentile</t>
  </si>
  <si>
    <t>Pinus.Leaf.SpecificLeafArea</t>
  </si>
  <si>
    <t>Pinus.Stem.WoodDensityOfStanding</t>
  </si>
  <si>
    <t>BFGTreatmentC</t>
  </si>
  <si>
    <t>BFGTreatmentF</t>
  </si>
  <si>
    <t>BFGTreatmentI</t>
  </si>
  <si>
    <t>BFGTreatmentIFP</t>
  </si>
  <si>
    <t>BFGTreatmentILP</t>
  </si>
  <si>
    <t>BFGTreatmentIL</t>
  </si>
  <si>
    <t>Treatment</t>
  </si>
  <si>
    <t>C</t>
  </si>
  <si>
    <t>F</t>
  </si>
  <si>
    <t>I</t>
  </si>
  <si>
    <t>FP</t>
  </si>
  <si>
    <t>LP</t>
  </si>
  <si>
    <t>IL</t>
  </si>
  <si>
    <t>UT</t>
  </si>
  <si>
    <t>FN</t>
  </si>
  <si>
    <t>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</si>
</sst>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"/>
    <numFmt numFmtId="166" formatCode="[$-C09]dd\-mmm\-yy;@"/>
    <numFmt numFmtId="167" formatCode="0.000"/>
    <numFmt numFmtId="168" formatCode="_-* #,##0_-;\-* #,##0_-;_-* &quot;-&quot;??_-;_-@_-"/>
    <numFmt numFmtId="169" formatCode="0.00000"/>
  </numFmts>
  <fonts count="15">
    <font>
      <sz val="10"/>
      <name val="Arial"/>
    </font>
    <font>
      <sz val="9"/>
      <name val="Geneva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i/>
      <sz val="8"/>
      <name val="Arial"/>
      <family val="2"/>
    </font>
    <font>
      <sz val="8"/>
      <name val="Calibri"/>
      <family val="2"/>
    </font>
    <font>
      <sz val="8"/>
      <name val="Monospac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3" fillId="0" borderId="0"/>
    <xf numFmtId="164" fontId="9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/>
    <xf numFmtId="1" fontId="4" fillId="0" borderId="0" xfId="0" applyNumberFormat="1" applyFont="1"/>
    <xf numFmtId="0" fontId="6" fillId="0" borderId="0" xfId="0" applyFont="1"/>
    <xf numFmtId="14" fontId="3" fillId="0" borderId="0" xfId="0" applyNumberFormat="1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1" fontId="6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169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/>
    <xf numFmtId="0" fontId="6" fillId="0" borderId="0" xfId="3" applyFont="1"/>
    <xf numFmtId="14" fontId="6" fillId="0" borderId="0" xfId="0" applyNumberFormat="1" applyFont="1"/>
    <xf numFmtId="165" fontId="6" fillId="0" borderId="0" xfId="0" applyNumberFormat="1" applyFont="1"/>
    <xf numFmtId="165" fontId="6" fillId="0" borderId="0" xfId="3" applyNumberFormat="1" applyFont="1"/>
    <xf numFmtId="2" fontId="6" fillId="0" borderId="0" xfId="3" applyNumberFormat="1" applyFont="1"/>
    <xf numFmtId="0" fontId="10" fillId="0" borderId="0" xfId="0" applyFont="1"/>
    <xf numFmtId="1" fontId="6" fillId="0" borderId="0" xfId="0" applyNumberFormat="1" applyFont="1"/>
    <xf numFmtId="2" fontId="6" fillId="0" borderId="0" xfId="0" applyNumberFormat="1" applyFont="1"/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/>
    </xf>
    <xf numFmtId="167" fontId="6" fillId="0" borderId="0" xfId="0" applyNumberFormat="1" applyFont="1"/>
    <xf numFmtId="166" fontId="6" fillId="0" borderId="0" xfId="0" applyNumberFormat="1" applyFont="1"/>
    <xf numFmtId="169" fontId="6" fillId="0" borderId="0" xfId="0" applyNumberFormat="1" applyFont="1"/>
    <xf numFmtId="0" fontId="14" fillId="0" borderId="0" xfId="0" applyFont="1"/>
    <xf numFmtId="165" fontId="8" fillId="0" borderId="0" xfId="0" applyNumberFormat="1" applyFont="1"/>
    <xf numFmtId="164" fontId="6" fillId="0" borderId="0" xfId="0" applyNumberFormat="1" applyFont="1"/>
    <xf numFmtId="168" fontId="8" fillId="0" borderId="0" xfId="4" applyNumberFormat="1" applyFont="1" applyFill="1" applyBorder="1"/>
    <xf numFmtId="168" fontId="7" fillId="0" borderId="0" xfId="4" applyNumberFormat="1" applyFont="1" applyFill="1" applyBorder="1" applyAlignment="1">
      <alignment horizontal="center" vertical="top" wrapText="1"/>
    </xf>
    <xf numFmtId="165" fontId="6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0" fillId="0" borderId="0" xfId="0" applyNumberFormat="1" applyFont="1"/>
    <xf numFmtId="167" fontId="6" fillId="0" borderId="0" xfId="0" applyNumberFormat="1" applyFont="1" applyAlignment="1">
      <alignment vertical="top" wrapText="1"/>
    </xf>
    <xf numFmtId="167" fontId="6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vertical="center" wrapText="1"/>
    </xf>
    <xf numFmtId="167" fontId="6" fillId="0" borderId="0" xfId="2" applyNumberFormat="1" applyFont="1"/>
    <xf numFmtId="167" fontId="13" fillId="0" borderId="0" xfId="0" applyNumberFormat="1" applyFont="1"/>
    <xf numFmtId="14" fontId="0" fillId="0" borderId="0" xfId="0" applyNumberFormat="1"/>
    <xf numFmtId="2" fontId="0" fillId="0" borderId="0" xfId="0" applyNumberFormat="1"/>
    <xf numFmtId="169" fontId="6" fillId="0" borderId="0" xfId="3" applyNumberFormat="1" applyFont="1"/>
    <xf numFmtId="165" fontId="6" fillId="2" borderId="0" xfId="0" applyNumberFormat="1" applyFont="1" applyFill="1"/>
    <xf numFmtId="1" fontId="6" fillId="2" borderId="0" xfId="0" applyNumberFormat="1" applyFont="1" applyFill="1"/>
    <xf numFmtId="2" fontId="6" fillId="2" borderId="0" xfId="0" applyNumberFormat="1" applyFont="1" applyFill="1"/>
    <xf numFmtId="165" fontId="6" fillId="2" borderId="0" xfId="3" applyNumberFormat="1" applyFont="1" applyFill="1"/>
    <xf numFmtId="0" fontId="6" fillId="2" borderId="0" xfId="0" applyFont="1" applyFill="1"/>
    <xf numFmtId="0" fontId="10" fillId="2" borderId="0" xfId="0" applyFont="1" applyFill="1"/>
    <xf numFmtId="0" fontId="0" fillId="2" borderId="0" xfId="0" applyFill="1"/>
    <xf numFmtId="165" fontId="6" fillId="2" borderId="0" xfId="0" applyNumberFormat="1" applyFont="1" applyFill="1" applyAlignment="1">
      <alignment vertical="top" wrapText="1"/>
    </xf>
    <xf numFmtId="167" fontId="6" fillId="2" borderId="0" xfId="0" applyNumberFormat="1" applyFont="1" applyFill="1"/>
    <xf numFmtId="1" fontId="6" fillId="2" borderId="0" xfId="0" applyNumberFormat="1" applyFont="1" applyFill="1" applyAlignment="1">
      <alignment horizontal="right" vertical="center" wrapText="1"/>
    </xf>
    <xf numFmtId="2" fontId="6" fillId="2" borderId="0" xfId="0" applyNumberFormat="1" applyFont="1" applyFill="1" applyAlignment="1">
      <alignment horizontal="right" vertical="center" wrapText="1"/>
    </xf>
    <xf numFmtId="165" fontId="6" fillId="2" borderId="0" xfId="0" applyNumberFormat="1" applyFont="1" applyFill="1" applyAlignment="1">
      <alignment horizontal="right" vertical="center" wrapText="1"/>
    </xf>
    <xf numFmtId="1" fontId="6" fillId="2" borderId="0" xfId="0" applyNumberFormat="1" applyFont="1" applyFill="1" applyAlignment="1">
      <alignment horizontal="right"/>
    </xf>
    <xf numFmtId="2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</cellXfs>
  <cellStyles count="5">
    <cellStyle name="0.0" xfId="1" xr:uid="{00000000-0005-0000-0000-000000000000}"/>
    <cellStyle name="Comma" xfId="4" builtinId="3"/>
    <cellStyle name="Normal" xfId="0" builtinId="0"/>
    <cellStyle name="Normal 2" xfId="3" xr:uid="{00000000-0005-0000-0000-000002000000}"/>
    <cellStyle name="Normal_FM_data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sktop%20Folder/aWork/SiteInfo/AcSites/Climate/AnuclimOut/ExpSiteCli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n"/>
      <sheetName val="explocns"/>
      <sheetName val="MaxT"/>
      <sheetName val="MinT"/>
      <sheetName val="Rain"/>
      <sheetName val="Evap"/>
      <sheetName val="Radn"/>
      <sheetName val="vpd"/>
      <sheetName val="DryT9a"/>
      <sheetName val="WetT9a"/>
      <sheetName val="DryT3p"/>
      <sheetName val="WetT3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hilip Smethurst" id="{08090D71-E7E2-4562-9C1C-AC67BAACBB74}" userId="0c174ca2347e50f2" providerId="Windows Live"/>
  <person displayName="Huth, Neil (A&amp;F, Forest Hill)" id="{AB142071-CDB7-4E80-842B-55C6637BFFFA}" userId="S::hut104@csiro.au::74d2234b-0320-49ce-8da4-62eae1814c8f" providerId="AD"/>
  <person displayName="Mendham, Daniel (Environment, Black Mountain)" id="{2E49BCCB-588E-FB4B-9400-AEB1A9A99D7C}" userId="S::men064@csiro.au::c36e80dd-4bdb-4474-8ff5-96cfdd211ac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" dT="2026-01-02T04:55:26.10" personId="{AB142071-CDB7-4E80-842B-55C6637BFFFA}" id="{A6765C3E-0A79-43CA-BA2D-C4E7D27AA7FF}">
    <text xml:space="preserve">I’ve renamed this column.  We look to use the soil water data from modelling paper of McMurtrie and Landsberg instead
</text>
  </threadedComment>
  <threadedComment ref="AH1" dT="2026-02-20T02:41:24.59" personId="{08090D71-E7E2-4562-9C1C-AC67BAACBB74}" id="{59832307-5396-4075-B4E0-7A6D0CE6F0C9}">
    <text>Diameter of tree of mean BA (cm)</text>
  </threadedComment>
  <threadedComment ref="AM1" dT="2026-02-20T00:57:39.22" personId="{08090D71-E7E2-4562-9C1C-AC67BAACBB74}" id="{AE39DB48-BEF1-4305-A78A-65EE2F518CF5}">
    <text>Standing MAI (not including thinnings and mortality)</text>
  </threadedComment>
  <threadedComment ref="N206" dT="2026-10-27T23:07:32.75" personId="{2E49BCCB-588E-FB4B-9400-AEB1A9A99D7C}" id="{0BB6E534-4035-3E43-91C4-B4B56EA04BD2}">
    <text>HIghlighted block deleted as it has suspicious values and has been superceded by reworked original data below</text>
  </threadedComment>
  <threadedComment ref="B221" dT="2026-10-27T23:01:25.64" personId="{2E49BCCB-588E-FB4B-9400-AEB1A9A99D7C}" id="{71FEADFF-AFA7-CE49-BFEA-80A1F0555369}">
    <text>Code changed to FN for next 5 rows because this is the treatment where irrigation ceased in 1988</text>
  </threadedComment>
  <threadedComment ref="B301" dT="2026-10-27T22:57:39.45" personId="{2E49BCCB-588E-FB4B-9400-AEB1A9A99D7C}" id="{255421D8-30EE-C446-8442-86F7938964D4}">
    <text>code changed to FN as it looks like this is the treatment where irrigation stopped in 1988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940"/>
  <sheetViews>
    <sheetView tabSelected="1" zoomScale="138" workbookViewId="0">
      <pane xSplit="3" ySplit="1" topLeftCell="K1686" activePane="bottomRight" state="frozen"/>
      <selection pane="topRight" activeCell="D1" sqref="D1"/>
      <selection pane="bottomLeft" activeCell="A2" sqref="A2"/>
      <selection pane="bottomRight" activeCell="N1689" sqref="N1689:N1940"/>
    </sheetView>
  </sheetViews>
  <sheetFormatPr baseColWidth="10" defaultColWidth="9.33203125" defaultRowHeight="13"/>
  <cols>
    <col min="1" max="2" width="22" style="2" customWidth="1"/>
    <col min="3" max="3" width="12.33203125" style="2" customWidth="1"/>
    <col min="4" max="4" width="9.5" style="2" bestFit="1" customWidth="1"/>
    <col min="5" max="5" width="9.33203125" style="2" customWidth="1"/>
    <col min="6" max="6" width="9.5" style="2" customWidth="1"/>
    <col min="7" max="7" width="9.33203125" style="2" customWidth="1"/>
    <col min="8" max="8" width="9.5" style="2" customWidth="1"/>
    <col min="9" max="9" width="9.33203125" style="2" customWidth="1"/>
    <col min="10" max="10" width="9.5" style="2" customWidth="1"/>
    <col min="11" max="13" width="9.33203125" style="2" customWidth="1"/>
    <col min="14" max="15" width="23.6640625" style="2" customWidth="1"/>
    <col min="16" max="16" width="10.5" style="2" customWidth="1"/>
    <col min="17" max="18" width="9.33203125" style="2" customWidth="1"/>
    <col min="19" max="20" width="10.1640625" style="2" customWidth="1"/>
    <col min="21" max="21" width="10" style="2" customWidth="1"/>
    <col min="22" max="22" width="8.6640625" style="2" customWidth="1"/>
    <col min="23" max="25" width="9.5" style="2" customWidth="1"/>
    <col min="26" max="26" width="9.33203125" style="2" customWidth="1"/>
    <col min="27" max="29" width="14.83203125" style="2" customWidth="1"/>
    <col min="30" max="30" width="9.33203125" style="2" customWidth="1"/>
    <col min="31" max="31" width="17.33203125" style="2" customWidth="1"/>
    <col min="32" max="32" width="16.1640625" style="2" customWidth="1"/>
    <col min="33" max="34" width="15.6640625" style="2" customWidth="1"/>
    <col min="35" max="35" width="17.1640625" style="2" customWidth="1"/>
    <col min="37" max="42" width="23.6640625" style="2" customWidth="1"/>
    <col min="43" max="58" width="17.6640625" style="2" customWidth="1"/>
    <col min="59" max="61" width="15.6640625" style="2" customWidth="1"/>
    <col min="62" max="64" width="25.5" style="2" customWidth="1"/>
    <col min="65" max="65" width="27.83203125" style="2" bestFit="1" customWidth="1"/>
    <col min="66" max="66" width="10.33203125" style="2" bestFit="1" customWidth="1"/>
    <col min="67" max="67" width="27.83203125" style="2" bestFit="1" customWidth="1"/>
    <col min="68" max="16384" width="9.33203125" style="2"/>
  </cols>
  <sheetData>
    <row r="1" spans="1:75" ht="24">
      <c r="A1" s="8" t="s">
        <v>0</v>
      </c>
      <c r="B1" s="8" t="s">
        <v>135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  <c r="L1" s="8" t="s">
        <v>11</v>
      </c>
      <c r="M1" s="8" t="s">
        <v>12</v>
      </c>
      <c r="N1" s="8" t="s">
        <v>29</v>
      </c>
      <c r="O1" s="8" t="s">
        <v>128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5</v>
      </c>
      <c r="U1" s="8" t="s">
        <v>17</v>
      </c>
      <c r="V1" s="8" t="s">
        <v>18</v>
      </c>
      <c r="W1" s="8" t="s">
        <v>19</v>
      </c>
      <c r="X1" s="8" t="s">
        <v>127</v>
      </c>
      <c r="Y1" s="8" t="s">
        <v>20</v>
      </c>
      <c r="Z1" s="6" t="s">
        <v>21</v>
      </c>
      <c r="AA1" s="8" t="s">
        <v>22</v>
      </c>
      <c r="AB1" s="8" t="s">
        <v>23</v>
      </c>
      <c r="AC1" s="8" t="s">
        <v>51</v>
      </c>
      <c r="AD1" s="8" t="s">
        <v>24</v>
      </c>
      <c r="AE1" s="8" t="s">
        <v>25</v>
      </c>
      <c r="AF1" s="8" t="s">
        <v>26</v>
      </c>
      <c r="AG1" s="8" t="s">
        <v>27</v>
      </c>
      <c r="AH1" s="8" t="s">
        <v>117</v>
      </c>
      <c r="AI1" s="8" t="s">
        <v>28</v>
      </c>
      <c r="AK1" s="9" t="s">
        <v>30</v>
      </c>
      <c r="AL1" s="9" t="s">
        <v>31</v>
      </c>
      <c r="AM1" s="8" t="s">
        <v>32</v>
      </c>
      <c r="AN1" s="9" t="s">
        <v>33</v>
      </c>
      <c r="AO1" s="8" t="s">
        <v>34</v>
      </c>
      <c r="AP1" s="8" t="s">
        <v>36</v>
      </c>
      <c r="AQ1" s="8" t="s">
        <v>35</v>
      </c>
      <c r="AR1" s="8" t="s">
        <v>37</v>
      </c>
      <c r="AS1" s="8" t="s">
        <v>113</v>
      </c>
      <c r="AT1" s="8" t="s">
        <v>114</v>
      </c>
      <c r="AU1" s="8" t="s">
        <v>38</v>
      </c>
      <c r="AV1" s="8" t="s">
        <v>39</v>
      </c>
      <c r="AW1" s="8" t="s">
        <v>40</v>
      </c>
      <c r="AX1" s="8" t="s">
        <v>41</v>
      </c>
      <c r="AY1" s="8" t="s">
        <v>110</v>
      </c>
      <c r="AZ1" s="8" t="s">
        <v>107</v>
      </c>
      <c r="BA1" s="8" t="s">
        <v>47</v>
      </c>
      <c r="BB1" s="8" t="s">
        <v>45</v>
      </c>
      <c r="BC1" s="8" t="s">
        <v>46</v>
      </c>
      <c r="BD1" s="8" t="s">
        <v>42</v>
      </c>
      <c r="BE1" s="8" t="s">
        <v>43</v>
      </c>
      <c r="BF1" s="8" t="s">
        <v>44</v>
      </c>
      <c r="BG1" s="8" t="s">
        <v>108</v>
      </c>
      <c r="BH1" s="8" t="s">
        <v>109</v>
      </c>
      <c r="BI1" s="8" t="s">
        <v>119</v>
      </c>
      <c r="BJ1" s="8" t="s">
        <v>48</v>
      </c>
      <c r="BK1" s="8" t="s">
        <v>49</v>
      </c>
      <c r="BL1" s="8" t="s">
        <v>50</v>
      </c>
      <c r="BM1" s="6" t="s">
        <v>124</v>
      </c>
      <c r="BN1" s="6" t="s">
        <v>125</v>
      </c>
      <c r="BO1" s="6" t="s">
        <v>126</v>
      </c>
      <c r="BP1" s="1" t="s">
        <v>120</v>
      </c>
      <c r="BQ1" s="1" t="s">
        <v>121</v>
      </c>
      <c r="BR1" s="1" t="s">
        <v>122</v>
      </c>
      <c r="BS1" s="1" t="s">
        <v>123</v>
      </c>
      <c r="BT1" s="1"/>
      <c r="BU1" s="1"/>
      <c r="BV1" s="1"/>
      <c r="BW1" s="1"/>
    </row>
    <row r="2" spans="1:75" ht="13.25" customHeight="1">
      <c r="A2" s="16" t="s">
        <v>129</v>
      </c>
      <c r="B2" s="16" t="s">
        <v>136</v>
      </c>
      <c r="C2" s="17">
        <v>30538.351314294614</v>
      </c>
      <c r="D2" s="18">
        <v>10.150391505814513</v>
      </c>
      <c r="E2" s="6"/>
      <c r="F2" s="8"/>
      <c r="G2" s="10"/>
      <c r="H2" s="10">
        <v>490.7</v>
      </c>
      <c r="I2" s="10"/>
      <c r="J2" s="10"/>
      <c r="K2" s="22"/>
      <c r="L2" s="10"/>
      <c r="M2" s="10"/>
      <c r="N2" s="40"/>
      <c r="O2" s="40"/>
      <c r="P2" s="10"/>
      <c r="Q2" s="10"/>
      <c r="R2" s="10"/>
      <c r="S2" s="10"/>
      <c r="T2" s="10"/>
      <c r="U2" s="10"/>
      <c r="V2" s="8"/>
      <c r="W2" s="19">
        <v>2.009965404448927</v>
      </c>
      <c r="X2" s="56">
        <f>W2/H2</f>
        <v>4.0961186151394482E-3</v>
      </c>
      <c r="Y2" s="6"/>
      <c r="Z2" s="6"/>
      <c r="AA2" s="8"/>
      <c r="AB2" s="8"/>
      <c r="AC2" s="8"/>
      <c r="AD2" s="8"/>
      <c r="AE2" s="8"/>
      <c r="AF2" s="40"/>
      <c r="AG2" s="40"/>
      <c r="AH2" s="40"/>
      <c r="AI2" s="40"/>
      <c r="AK2" s="18"/>
      <c r="AL2" s="18"/>
      <c r="AM2" s="40" t="s">
        <v>118</v>
      </c>
      <c r="AN2" s="18"/>
      <c r="AO2" s="8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8"/>
      <c r="BK2" s="8"/>
      <c r="BL2" s="11" t="s">
        <v>52</v>
      </c>
      <c r="BM2" s="6"/>
      <c r="BN2" s="6"/>
      <c r="BO2" s="7"/>
      <c r="BP2" s="1"/>
      <c r="BQ2" s="1"/>
      <c r="BR2" s="1"/>
      <c r="BS2" s="1"/>
      <c r="BT2" s="1"/>
      <c r="BU2" s="1"/>
      <c r="BV2" s="1"/>
      <c r="BW2" s="1"/>
    </row>
    <row r="3" spans="1:75">
      <c r="A3" s="16" t="s">
        <v>129</v>
      </c>
      <c r="B3" s="16" t="s">
        <v>136</v>
      </c>
      <c r="C3" s="17">
        <v>30627.767451850104</v>
      </c>
      <c r="D3" s="18">
        <v>10.395204777118606</v>
      </c>
      <c r="E3" s="6"/>
      <c r="F3" s="8"/>
      <c r="G3" s="10"/>
      <c r="H3" s="10">
        <v>742.6</v>
      </c>
      <c r="I3" s="10"/>
      <c r="J3" s="10"/>
      <c r="K3" s="22"/>
      <c r="L3" s="10"/>
      <c r="M3" s="10"/>
      <c r="N3" s="40"/>
      <c r="O3" s="40"/>
      <c r="P3" s="10"/>
      <c r="Q3" s="10"/>
      <c r="R3" s="10"/>
      <c r="S3" s="10"/>
      <c r="T3" s="10"/>
      <c r="U3" s="10"/>
      <c r="V3" s="8"/>
      <c r="W3" s="19">
        <v>3.0419973100740414</v>
      </c>
      <c r="X3" s="56">
        <f t="shared" ref="X3:X66" si="0">W3/H3</f>
        <v>4.0964143685349331E-3</v>
      </c>
      <c r="Y3" s="6"/>
      <c r="Z3" s="6"/>
      <c r="AA3" s="8"/>
      <c r="AB3" s="8"/>
      <c r="AC3" s="8"/>
      <c r="AD3" s="8"/>
      <c r="AE3" s="8"/>
      <c r="AF3" s="40"/>
      <c r="AG3" s="40"/>
      <c r="AH3" s="40"/>
      <c r="AI3" s="40"/>
      <c r="AK3" s="18"/>
      <c r="AL3" s="18"/>
      <c r="AM3" s="40" t="s">
        <v>118</v>
      </c>
      <c r="AN3" s="18"/>
      <c r="AO3" s="8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8"/>
      <c r="BK3" s="8"/>
      <c r="BL3" s="11" t="s">
        <v>52</v>
      </c>
      <c r="BM3" s="6"/>
      <c r="BN3" s="6"/>
      <c r="BO3" s="7"/>
      <c r="BP3" s="1"/>
      <c r="BQ3" s="1"/>
      <c r="BR3" s="1"/>
      <c r="BS3" s="1"/>
      <c r="BT3" s="1"/>
      <c r="BU3" s="1"/>
      <c r="BV3" s="1"/>
      <c r="BW3" s="1"/>
    </row>
    <row r="4" spans="1:75" ht="13.25" customHeight="1">
      <c r="A4" s="16" t="s">
        <v>129</v>
      </c>
      <c r="B4" s="16" t="s">
        <v>136</v>
      </c>
      <c r="C4" s="17">
        <v>30715.258811305906</v>
      </c>
      <c r="D4" s="18">
        <v>10.634748180633713</v>
      </c>
      <c r="E4" s="6"/>
      <c r="F4" s="8"/>
      <c r="G4" s="10"/>
      <c r="H4" s="10">
        <v>904.4</v>
      </c>
      <c r="I4" s="10"/>
      <c r="J4" s="10"/>
      <c r="K4" s="22"/>
      <c r="L4" s="10"/>
      <c r="M4" s="10"/>
      <c r="N4" s="40"/>
      <c r="O4" s="40"/>
      <c r="P4" s="10"/>
      <c r="Q4" s="10"/>
      <c r="R4" s="10"/>
      <c r="S4" s="10"/>
      <c r="T4" s="10"/>
      <c r="U4" s="10"/>
      <c r="V4" s="8"/>
      <c r="W4" s="19">
        <v>3.7046434749614221</v>
      </c>
      <c r="X4" s="56">
        <f t="shared" si="0"/>
        <v>4.0962444437875082E-3</v>
      </c>
      <c r="Y4" s="6"/>
      <c r="Z4" s="6"/>
      <c r="AA4" s="8"/>
      <c r="AB4" s="8"/>
      <c r="AC4" s="8"/>
      <c r="AD4" s="8"/>
      <c r="AE4" s="8"/>
      <c r="AF4" s="40"/>
      <c r="AG4" s="40"/>
      <c r="AH4" s="40"/>
      <c r="AI4" s="40"/>
      <c r="AK4" s="18"/>
      <c r="AL4" s="18"/>
      <c r="AM4" s="40" t="s">
        <v>118</v>
      </c>
      <c r="AN4" s="18"/>
      <c r="AO4" s="8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8"/>
      <c r="BK4" s="8"/>
      <c r="BL4" s="11" t="s">
        <v>52</v>
      </c>
      <c r="BM4" s="6"/>
      <c r="BN4" s="6"/>
      <c r="BO4" s="7"/>
      <c r="BP4" s="1"/>
      <c r="BQ4" s="1"/>
      <c r="BR4" s="1"/>
      <c r="BS4" s="1"/>
      <c r="BT4" s="1"/>
      <c r="BU4" s="1"/>
      <c r="BV4" s="1"/>
      <c r="BW4" s="1"/>
    </row>
    <row r="5" spans="1:75" ht="13.25" customHeight="1">
      <c r="A5" s="16" t="s">
        <v>129</v>
      </c>
      <c r="B5" s="16" t="s">
        <v>136</v>
      </c>
      <c r="C5" s="17">
        <v>30802.559553724561</v>
      </c>
      <c r="D5" s="18">
        <v>10.873769691997065</v>
      </c>
      <c r="E5" s="6"/>
      <c r="F5" s="8"/>
      <c r="G5" s="10"/>
      <c r="H5" s="10">
        <v>840.8</v>
      </c>
      <c r="I5" s="10"/>
      <c r="J5" s="10"/>
      <c r="K5" s="22"/>
      <c r="L5" s="10"/>
      <c r="M5" s="10"/>
      <c r="N5" s="40"/>
      <c r="O5" s="40"/>
      <c r="P5" s="10"/>
      <c r="Q5" s="10"/>
      <c r="R5" s="10"/>
      <c r="S5" s="10"/>
      <c r="T5" s="10"/>
      <c r="U5" s="10"/>
      <c r="V5" s="8"/>
      <c r="W5" s="19">
        <v>3.4439752318098744</v>
      </c>
      <c r="X5" s="56">
        <f t="shared" si="0"/>
        <v>4.0960694954922392E-3</v>
      </c>
      <c r="Y5" s="6"/>
      <c r="Z5" s="6"/>
      <c r="AA5" s="8"/>
      <c r="AB5" s="8"/>
      <c r="AC5" s="8"/>
      <c r="AD5" s="8"/>
      <c r="AE5" s="8"/>
      <c r="AF5" s="40"/>
      <c r="AG5" s="40"/>
      <c r="AH5" s="40"/>
      <c r="AI5" s="40"/>
      <c r="AK5" s="18"/>
      <c r="AL5" s="18"/>
      <c r="AM5" s="40" t="s">
        <v>118</v>
      </c>
      <c r="AN5" s="18"/>
      <c r="AO5" s="8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8"/>
      <c r="BK5" s="8"/>
      <c r="BL5" s="11" t="s">
        <v>52</v>
      </c>
      <c r="BM5" s="6"/>
      <c r="BN5" s="6"/>
      <c r="BO5" s="7"/>
      <c r="BP5" s="1"/>
      <c r="BQ5" s="1"/>
      <c r="BR5" s="1"/>
      <c r="BS5" s="1"/>
      <c r="BT5" s="1"/>
      <c r="BU5" s="1"/>
      <c r="BV5" s="1"/>
      <c r="BW5" s="1"/>
    </row>
    <row r="6" spans="1:75" ht="13.25" customHeight="1">
      <c r="A6" s="16" t="s">
        <v>129</v>
      </c>
      <c r="B6" s="16" t="s">
        <v>136</v>
      </c>
      <c r="C6" s="17">
        <v>30887.21253482176</v>
      </c>
      <c r="D6" s="18">
        <v>11.105541873111324</v>
      </c>
      <c r="E6" s="6"/>
      <c r="F6" s="8"/>
      <c r="G6" s="10"/>
      <c r="H6" s="10">
        <v>794.9</v>
      </c>
      <c r="I6" s="10"/>
      <c r="J6" s="10"/>
      <c r="K6" s="22"/>
      <c r="L6" s="10"/>
      <c r="M6" s="10"/>
      <c r="N6" s="40"/>
      <c r="O6" s="40"/>
      <c r="P6" s="10"/>
      <c r="Q6" s="10"/>
      <c r="R6" s="10"/>
      <c r="S6" s="10"/>
      <c r="T6" s="10"/>
      <c r="U6" s="10"/>
      <c r="V6" s="8"/>
      <c r="W6" s="19">
        <v>3.2559819499880698</v>
      </c>
      <c r="X6" s="56">
        <f t="shared" si="0"/>
        <v>4.0960900113071706E-3</v>
      </c>
      <c r="Y6" s="6"/>
      <c r="Z6" s="6"/>
      <c r="AA6" s="8"/>
      <c r="AB6" s="8"/>
      <c r="AC6" s="8"/>
      <c r="AD6" s="8"/>
      <c r="AE6" s="8"/>
      <c r="AF6" s="40"/>
      <c r="AG6" s="40"/>
      <c r="AH6" s="40"/>
      <c r="AI6" s="40"/>
      <c r="AK6" s="18"/>
      <c r="AL6" s="18"/>
      <c r="AM6" s="40" t="s">
        <v>118</v>
      </c>
      <c r="AN6" s="18"/>
      <c r="AO6" s="8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8"/>
      <c r="BK6" s="8"/>
      <c r="BL6" s="11" t="s">
        <v>52</v>
      </c>
      <c r="BM6" s="6"/>
      <c r="BN6" s="6"/>
      <c r="BO6" s="7"/>
      <c r="BP6" s="1"/>
      <c r="BQ6" s="1"/>
      <c r="BR6" s="1"/>
      <c r="BS6" s="1"/>
      <c r="BT6" s="1"/>
      <c r="BU6" s="1"/>
      <c r="BV6" s="1"/>
      <c r="BW6" s="1"/>
    </row>
    <row r="7" spans="1:75">
      <c r="A7" s="16" t="s">
        <v>129</v>
      </c>
      <c r="B7" s="16" t="s">
        <v>136</v>
      </c>
      <c r="C7" s="17">
        <v>30977.292955495152</v>
      </c>
      <c r="D7" s="18">
        <v>11.352173891317392</v>
      </c>
      <c r="E7" s="6"/>
      <c r="F7" s="8"/>
      <c r="G7" s="10"/>
      <c r="H7" s="10">
        <v>1175.3</v>
      </c>
      <c r="I7" s="10"/>
      <c r="J7" s="10"/>
      <c r="K7" s="22"/>
      <c r="L7" s="10"/>
      <c r="M7" s="10"/>
      <c r="N7" s="40"/>
      <c r="O7" s="40"/>
      <c r="P7" s="10"/>
      <c r="Q7" s="10"/>
      <c r="R7" s="10"/>
      <c r="S7" s="10"/>
      <c r="T7" s="10"/>
      <c r="U7" s="10"/>
      <c r="V7" s="8"/>
      <c r="W7" s="19">
        <v>4.8140332023003296</v>
      </c>
      <c r="X7" s="56">
        <f t="shared" si="0"/>
        <v>4.0960037456822338E-3</v>
      </c>
      <c r="Y7" s="6"/>
      <c r="Z7" s="6"/>
      <c r="AA7" s="8"/>
      <c r="AB7" s="8"/>
      <c r="AC7" s="8"/>
      <c r="AD7" s="8"/>
      <c r="AE7" s="8"/>
      <c r="AF7" s="40"/>
      <c r="AG7" s="40"/>
      <c r="AH7" s="40"/>
      <c r="AI7" s="40"/>
      <c r="AK7" s="18"/>
      <c r="AL7" s="18"/>
      <c r="AM7" s="40" t="s">
        <v>118</v>
      </c>
      <c r="AN7" s="18"/>
      <c r="AO7" s="8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8"/>
      <c r="BK7" s="8"/>
      <c r="BL7" s="11" t="s">
        <v>52</v>
      </c>
      <c r="BM7" s="6"/>
      <c r="BN7" s="6"/>
      <c r="BO7" s="7"/>
      <c r="BP7" s="1"/>
      <c r="BQ7" s="1"/>
      <c r="BR7" s="1"/>
      <c r="BS7" s="1"/>
      <c r="BT7" s="1"/>
      <c r="BU7" s="1"/>
      <c r="BV7" s="1"/>
      <c r="BW7" s="1"/>
    </row>
    <row r="8" spans="1:75">
      <c r="A8" s="16" t="s">
        <v>129</v>
      </c>
      <c r="B8" s="16" t="s">
        <v>136</v>
      </c>
      <c r="C8" s="17">
        <v>31062.967834342868</v>
      </c>
      <c r="D8" s="18">
        <v>11.586743935748967</v>
      </c>
      <c r="E8" s="6"/>
      <c r="F8" s="8"/>
      <c r="G8" s="10"/>
      <c r="H8" s="10">
        <v>1103.4000000000001</v>
      </c>
      <c r="I8" s="10"/>
      <c r="J8" s="10"/>
      <c r="K8" s="22"/>
      <c r="L8" s="10"/>
      <c r="M8" s="10"/>
      <c r="N8" s="40"/>
      <c r="O8" s="40"/>
      <c r="P8" s="10"/>
      <c r="Q8" s="10"/>
      <c r="R8" s="10"/>
      <c r="S8" s="10"/>
      <c r="T8" s="10"/>
      <c r="U8" s="10"/>
      <c r="V8" s="8"/>
      <c r="W8" s="19">
        <v>4.5197676603342236</v>
      </c>
      <c r="X8" s="56">
        <f t="shared" si="0"/>
        <v>4.0962186517439032E-3</v>
      </c>
      <c r="Y8" s="6"/>
      <c r="Z8" s="6"/>
      <c r="AA8" s="8"/>
      <c r="AB8" s="8"/>
      <c r="AC8" s="8"/>
      <c r="AD8" s="8"/>
      <c r="AE8" s="8"/>
      <c r="AF8" s="40"/>
      <c r="AG8" s="40"/>
      <c r="AH8" s="40"/>
      <c r="AI8" s="40"/>
      <c r="AK8" s="18"/>
      <c r="AL8" s="18"/>
      <c r="AM8" s="40" t="s">
        <v>118</v>
      </c>
      <c r="AN8" s="18"/>
      <c r="AO8" s="8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8"/>
      <c r="BK8" s="8"/>
      <c r="BL8" s="11" t="s">
        <v>52</v>
      </c>
      <c r="BM8" s="6"/>
      <c r="BN8" s="6"/>
      <c r="BO8" s="7"/>
      <c r="BP8" s="1"/>
      <c r="BQ8" s="1"/>
      <c r="BR8" s="1"/>
      <c r="BS8" s="1"/>
      <c r="BT8" s="1"/>
      <c r="BU8" s="1"/>
      <c r="BV8" s="1"/>
      <c r="BW8" s="1"/>
    </row>
    <row r="9" spans="1:75">
      <c r="A9" s="16" t="s">
        <v>129</v>
      </c>
      <c r="B9" s="16" t="s">
        <v>136</v>
      </c>
      <c r="C9" s="17">
        <v>31146.788121978712</v>
      </c>
      <c r="D9" s="18">
        <v>11.816236277721874</v>
      </c>
      <c r="E9" s="6"/>
      <c r="F9" s="8"/>
      <c r="G9" s="10"/>
      <c r="H9" s="10">
        <v>982.4</v>
      </c>
      <c r="I9" s="10"/>
      <c r="J9" s="10"/>
      <c r="K9" s="22"/>
      <c r="L9" s="10"/>
      <c r="M9" s="10"/>
      <c r="N9" s="40"/>
      <c r="O9" s="40"/>
      <c r="P9" s="10"/>
      <c r="Q9" s="10"/>
      <c r="R9" s="10"/>
      <c r="S9" s="10"/>
      <c r="T9" s="10"/>
      <c r="U9" s="10"/>
      <c r="V9" s="8"/>
      <c r="W9" s="19">
        <v>4.0239875303143062</v>
      </c>
      <c r="X9" s="56">
        <f t="shared" si="0"/>
        <v>4.0960785121277547E-3</v>
      </c>
      <c r="Y9" s="6"/>
      <c r="Z9" s="6"/>
      <c r="AA9" s="8"/>
      <c r="AB9" s="8"/>
      <c r="AC9" s="8"/>
      <c r="AD9" s="8"/>
      <c r="AE9" s="8"/>
      <c r="AF9" s="40"/>
      <c r="AG9" s="40"/>
      <c r="AH9" s="40"/>
      <c r="AI9" s="40"/>
      <c r="AK9" s="18"/>
      <c r="AL9" s="18"/>
      <c r="AM9" s="40" t="s">
        <v>118</v>
      </c>
      <c r="AN9" s="18"/>
      <c r="AO9" s="8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8"/>
      <c r="BK9" s="8"/>
      <c r="BL9" s="11" t="s">
        <v>52</v>
      </c>
      <c r="BM9" s="6"/>
      <c r="BN9" s="6"/>
      <c r="BO9" s="7"/>
      <c r="BP9" s="1"/>
      <c r="BQ9" s="1"/>
      <c r="BR9" s="1"/>
      <c r="BS9" s="1"/>
      <c r="BT9" s="1"/>
      <c r="BU9" s="1"/>
      <c r="BV9" s="1"/>
      <c r="BW9" s="1"/>
    </row>
    <row r="10" spans="1:75">
      <c r="A10" s="16" t="s">
        <v>129</v>
      </c>
      <c r="B10" s="16" t="s">
        <v>136</v>
      </c>
      <c r="C10" s="17">
        <v>31238.172908667766</v>
      </c>
      <c r="D10" s="18">
        <v>12.06643953172499</v>
      </c>
      <c r="E10" s="6"/>
      <c r="F10" s="8"/>
      <c r="G10" s="10"/>
      <c r="H10" s="10">
        <v>911.9</v>
      </c>
      <c r="I10" s="10"/>
      <c r="J10" s="10"/>
      <c r="K10" s="22"/>
      <c r="L10" s="10"/>
      <c r="M10" s="10"/>
      <c r="N10" s="40"/>
      <c r="O10" s="40"/>
      <c r="P10" s="10"/>
      <c r="Q10" s="10"/>
      <c r="R10" s="10"/>
      <c r="S10" s="10"/>
      <c r="T10" s="10"/>
      <c r="U10" s="10"/>
      <c r="V10" s="8"/>
      <c r="W10" s="19">
        <v>3.7354561031042199</v>
      </c>
      <c r="X10" s="56">
        <f t="shared" si="0"/>
        <v>4.0963440104224364E-3</v>
      </c>
      <c r="Y10" s="6"/>
      <c r="Z10" s="6"/>
      <c r="AA10" s="8"/>
      <c r="AB10" s="8"/>
      <c r="AC10" s="8"/>
      <c r="AD10" s="8"/>
      <c r="AE10" s="8"/>
      <c r="AF10" s="40"/>
      <c r="AG10" s="40"/>
      <c r="AH10" s="40"/>
      <c r="AI10" s="40"/>
      <c r="AK10" s="18"/>
      <c r="AL10" s="18"/>
      <c r="AM10" s="40" t="s">
        <v>118</v>
      </c>
      <c r="AN10" s="18"/>
      <c r="AO10" s="8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8"/>
      <c r="BK10" s="8"/>
      <c r="BL10" s="11" t="s">
        <v>52</v>
      </c>
      <c r="BM10" s="6"/>
      <c r="BN10" s="6"/>
      <c r="BO10" s="7"/>
      <c r="BP10" s="1"/>
      <c r="BQ10" s="1"/>
      <c r="BR10" s="1"/>
      <c r="BS10" s="1"/>
      <c r="BT10" s="1"/>
      <c r="BU10" s="1"/>
      <c r="BV10" s="1"/>
      <c r="BW10" s="1"/>
    </row>
    <row r="11" spans="1:75">
      <c r="A11" s="16" t="s">
        <v>129</v>
      </c>
      <c r="B11" s="16" t="s">
        <v>136</v>
      </c>
      <c r="C11" s="17">
        <v>31324.149783298424</v>
      </c>
      <c r="D11" s="18">
        <v>12.301836413208168</v>
      </c>
      <c r="E11" s="6"/>
      <c r="F11" s="8"/>
      <c r="G11" s="10"/>
      <c r="H11" s="10">
        <v>1163.9000000000001</v>
      </c>
      <c r="I11" s="10"/>
      <c r="J11" s="10"/>
      <c r="K11" s="22"/>
      <c r="L11" s="10"/>
      <c r="M11" s="10"/>
      <c r="N11" s="40"/>
      <c r="O11" s="40"/>
      <c r="P11" s="10"/>
      <c r="Q11" s="10"/>
      <c r="R11" s="10"/>
      <c r="S11" s="10"/>
      <c r="T11" s="10"/>
      <c r="U11" s="10"/>
      <c r="V11" s="8"/>
      <c r="W11" s="19">
        <v>4.7673957356183116</v>
      </c>
      <c r="X11" s="56">
        <f t="shared" si="0"/>
        <v>4.0960526983575144E-3</v>
      </c>
      <c r="Y11" s="6"/>
      <c r="Z11" s="6"/>
      <c r="AA11" s="8"/>
      <c r="AB11" s="8"/>
      <c r="AC11" s="8"/>
      <c r="AD11" s="8"/>
      <c r="AE11" s="8"/>
      <c r="AF11" s="40"/>
      <c r="AG11" s="40"/>
      <c r="AH11" s="40"/>
      <c r="AI11" s="40"/>
      <c r="AK11" s="18"/>
      <c r="AL11" s="18"/>
      <c r="AM11" s="40" t="s">
        <v>118</v>
      </c>
      <c r="AN11" s="18"/>
      <c r="AO11" s="8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8"/>
      <c r="BK11" s="8"/>
      <c r="BL11" s="11" t="s">
        <v>52</v>
      </c>
      <c r="BM11" s="6"/>
      <c r="BN11" s="6"/>
      <c r="BO11" s="7"/>
      <c r="BP11" s="1"/>
      <c r="BQ11" s="1"/>
      <c r="BR11" s="1"/>
      <c r="BS11" s="1"/>
      <c r="BT11" s="1"/>
      <c r="BU11" s="1"/>
      <c r="BV11" s="1"/>
      <c r="BW11" s="1"/>
    </row>
    <row r="12" spans="1:75">
      <c r="A12" s="16" t="s">
        <v>129</v>
      </c>
      <c r="B12" s="16" t="s">
        <v>136</v>
      </c>
      <c r="C12" s="17">
        <v>31411.906053080591</v>
      </c>
      <c r="D12" s="18">
        <v>12.54210511715978</v>
      </c>
      <c r="E12" s="6"/>
      <c r="F12" s="8"/>
      <c r="G12" s="10"/>
      <c r="H12" s="10">
        <v>1221.8</v>
      </c>
      <c r="I12" s="10"/>
      <c r="J12" s="10"/>
      <c r="K12" s="22"/>
      <c r="L12" s="10"/>
      <c r="M12" s="10"/>
      <c r="N12" s="40"/>
      <c r="O12" s="40"/>
      <c r="P12" s="10"/>
      <c r="Q12" s="10"/>
      <c r="R12" s="10"/>
      <c r="S12" s="10"/>
      <c r="T12" s="10"/>
      <c r="U12" s="10"/>
      <c r="V12" s="8"/>
      <c r="W12" s="19">
        <v>5.0047683137066112</v>
      </c>
      <c r="X12" s="56">
        <f t="shared" si="0"/>
        <v>4.0962254982047893E-3</v>
      </c>
      <c r="Y12" s="6"/>
      <c r="Z12" s="6"/>
      <c r="AA12" s="8"/>
      <c r="AB12" s="8"/>
      <c r="AC12" s="8"/>
      <c r="AD12" s="8"/>
      <c r="AE12" s="8"/>
      <c r="AF12" s="40"/>
      <c r="AG12" s="40"/>
      <c r="AH12" s="40"/>
      <c r="AI12" s="40"/>
      <c r="AK12" s="18"/>
      <c r="AL12" s="18"/>
      <c r="AM12" s="40" t="s">
        <v>118</v>
      </c>
      <c r="AN12" s="18"/>
      <c r="AO12" s="8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8"/>
      <c r="BK12" s="8"/>
      <c r="BL12" s="11" t="s">
        <v>52</v>
      </c>
      <c r="BM12" s="6"/>
      <c r="BN12" s="6"/>
      <c r="BO12" s="7"/>
      <c r="BP12" s="1"/>
      <c r="BQ12" s="1"/>
      <c r="BR12" s="1"/>
      <c r="BS12" s="1"/>
      <c r="BT12" s="1"/>
      <c r="BU12" s="1"/>
      <c r="BV12" s="1"/>
      <c r="BW12" s="1"/>
    </row>
    <row r="13" spans="1:75">
      <c r="A13" s="16" t="s">
        <v>129</v>
      </c>
      <c r="B13" s="16" t="s">
        <v>136</v>
      </c>
      <c r="C13" s="17">
        <v>31500.039514709715</v>
      </c>
      <c r="D13" s="18">
        <v>12.783406538163227</v>
      </c>
      <c r="E13" s="6"/>
      <c r="F13" s="8"/>
      <c r="G13" s="10"/>
      <c r="H13" s="10">
        <v>1096.7</v>
      </c>
      <c r="I13" s="10"/>
      <c r="J13" s="10"/>
      <c r="K13" s="22"/>
      <c r="L13" s="10"/>
      <c r="M13" s="10"/>
      <c r="N13" s="40"/>
      <c r="O13" s="40"/>
      <c r="P13" s="10"/>
      <c r="Q13" s="10"/>
      <c r="R13" s="10"/>
      <c r="S13" s="10"/>
      <c r="T13" s="10"/>
      <c r="U13" s="10"/>
      <c r="V13" s="8"/>
      <c r="W13" s="19">
        <v>4.4923164098070423</v>
      </c>
      <c r="X13" s="56">
        <f t="shared" si="0"/>
        <v>4.096212646856061E-3</v>
      </c>
      <c r="Y13" s="6"/>
      <c r="Z13" s="6"/>
      <c r="AA13" s="8"/>
      <c r="AB13" s="8"/>
      <c r="AC13" s="8"/>
      <c r="AD13" s="8"/>
      <c r="AE13" s="8"/>
      <c r="AF13" s="40"/>
      <c r="AG13" s="40"/>
      <c r="AH13" s="40"/>
      <c r="AI13" s="40"/>
      <c r="AK13" s="18"/>
      <c r="AL13" s="18"/>
      <c r="AM13" s="40" t="s">
        <v>118</v>
      </c>
      <c r="AN13" s="18"/>
      <c r="AO13" s="8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8"/>
      <c r="BK13" s="8"/>
      <c r="BL13" s="11" t="s">
        <v>52</v>
      </c>
      <c r="BM13" s="6"/>
      <c r="BN13" s="6"/>
      <c r="BO13" s="7"/>
      <c r="BP13" s="1"/>
      <c r="BQ13" s="1"/>
      <c r="BR13" s="1"/>
      <c r="BS13" s="1"/>
      <c r="BT13" s="1"/>
      <c r="BU13" s="1"/>
      <c r="BV13" s="1"/>
      <c r="BW13" s="1"/>
    </row>
    <row r="14" spans="1:75">
      <c r="A14" s="16" t="s">
        <v>129</v>
      </c>
      <c r="B14" s="16" t="s">
        <v>136</v>
      </c>
      <c r="C14" s="17">
        <v>31586.115056720741</v>
      </c>
      <c r="D14" s="18">
        <v>13.0190735619811</v>
      </c>
      <c r="E14" s="6"/>
      <c r="F14" s="8"/>
      <c r="G14" s="10"/>
      <c r="H14" s="10">
        <v>1070</v>
      </c>
      <c r="I14" s="10"/>
      <c r="J14" s="10"/>
      <c r="K14" s="22"/>
      <c r="L14" s="10"/>
      <c r="M14" s="10"/>
      <c r="N14" s="40"/>
      <c r="O14" s="40"/>
      <c r="P14" s="10"/>
      <c r="Q14" s="10"/>
      <c r="R14" s="10"/>
      <c r="S14" s="10"/>
      <c r="T14" s="10"/>
      <c r="U14" s="10"/>
      <c r="V14" s="8"/>
      <c r="W14" s="19">
        <v>4.3827091357931796</v>
      </c>
      <c r="X14" s="56">
        <f t="shared" si="0"/>
        <v>4.0959898465356822E-3</v>
      </c>
      <c r="Y14" s="6"/>
      <c r="Z14" s="6"/>
      <c r="AA14" s="8"/>
      <c r="AB14" s="8"/>
      <c r="AC14" s="8"/>
      <c r="AD14" s="8"/>
      <c r="AE14" s="8"/>
      <c r="AF14" s="40"/>
      <c r="AG14" s="40"/>
      <c r="AH14" s="40"/>
      <c r="AI14" s="40"/>
      <c r="AK14" s="18"/>
      <c r="AL14" s="18"/>
      <c r="AM14" s="40" t="s">
        <v>118</v>
      </c>
      <c r="AN14" s="18"/>
      <c r="AO14" s="8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8"/>
      <c r="BK14" s="8"/>
      <c r="BL14" s="11" t="s">
        <v>52</v>
      </c>
      <c r="BM14" s="6"/>
      <c r="BN14" s="6"/>
      <c r="BO14" s="7"/>
      <c r="BP14" s="1"/>
      <c r="BQ14" s="1"/>
      <c r="BR14" s="1"/>
      <c r="BS14" s="1"/>
      <c r="BT14" s="1"/>
      <c r="BU14" s="1"/>
      <c r="BV14" s="1"/>
      <c r="BW14" s="1"/>
    </row>
    <row r="15" spans="1:75">
      <c r="A15" s="16" t="s">
        <v>129</v>
      </c>
      <c r="B15" s="16" t="s">
        <v>136</v>
      </c>
      <c r="C15" s="17">
        <v>31676.719901270066</v>
      </c>
      <c r="D15" s="18">
        <v>13.267141405174996</v>
      </c>
      <c r="E15" s="6"/>
      <c r="F15" s="8"/>
      <c r="G15" s="10"/>
      <c r="H15" s="10">
        <v>1226.3</v>
      </c>
      <c r="I15" s="10"/>
      <c r="J15" s="10"/>
      <c r="K15" s="22"/>
      <c r="L15" s="10"/>
      <c r="M15" s="10"/>
      <c r="N15" s="40"/>
      <c r="O15" s="40"/>
      <c r="P15" s="10"/>
      <c r="Q15" s="10"/>
      <c r="R15" s="10"/>
      <c r="S15" s="10"/>
      <c r="T15" s="10"/>
      <c r="U15" s="10"/>
      <c r="V15" s="8"/>
      <c r="W15" s="19">
        <v>5.0230647534337596</v>
      </c>
      <c r="X15" s="56">
        <f t="shared" si="0"/>
        <v>4.096114126587099E-3</v>
      </c>
      <c r="Y15" s="6"/>
      <c r="Z15" s="6"/>
      <c r="AA15" s="8"/>
      <c r="AB15" s="8"/>
      <c r="AC15" s="8"/>
      <c r="AD15" s="8"/>
      <c r="AE15" s="8"/>
      <c r="AF15" s="40"/>
      <c r="AG15" s="40"/>
      <c r="AH15" s="40"/>
      <c r="AI15" s="40"/>
      <c r="AK15" s="18"/>
      <c r="AL15" s="18"/>
      <c r="AM15" s="40" t="s">
        <v>118</v>
      </c>
      <c r="AN15" s="18"/>
      <c r="AO15" s="8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8"/>
      <c r="BK15" s="8"/>
      <c r="BL15" s="11" t="s">
        <v>52</v>
      </c>
      <c r="BM15" s="6"/>
      <c r="BN15" s="6"/>
      <c r="BO15" s="7"/>
      <c r="BP15" s="1"/>
      <c r="BQ15" s="1"/>
      <c r="BR15" s="1"/>
      <c r="BS15" s="1"/>
      <c r="BT15" s="1"/>
      <c r="BU15" s="1"/>
      <c r="BV15" s="1"/>
      <c r="BW15" s="1"/>
    </row>
    <row r="16" spans="1:75">
      <c r="A16" s="16" t="s">
        <v>129</v>
      </c>
      <c r="B16" s="16" t="s">
        <v>136</v>
      </c>
      <c r="C16" s="17">
        <v>31760.942939194949</v>
      </c>
      <c r="D16" s="18">
        <v>13.49773644089507</v>
      </c>
      <c r="E16" s="6"/>
      <c r="F16" s="8"/>
      <c r="G16" s="10"/>
      <c r="H16" s="10">
        <v>1311.5</v>
      </c>
      <c r="I16" s="10"/>
      <c r="J16" s="10"/>
      <c r="K16" s="22"/>
      <c r="L16" s="10"/>
      <c r="M16" s="10"/>
      <c r="N16" s="40"/>
      <c r="O16" s="40"/>
      <c r="P16" s="10"/>
      <c r="Q16" s="10"/>
      <c r="R16" s="10"/>
      <c r="S16" s="10"/>
      <c r="T16" s="10"/>
      <c r="U16" s="10"/>
      <c r="V16" s="12">
        <v>3.4377467707849391E-3</v>
      </c>
      <c r="W16" s="19">
        <v>5.3722591602002669</v>
      </c>
      <c r="X16" s="56">
        <f t="shared" si="0"/>
        <v>4.0962708045751174E-3</v>
      </c>
      <c r="Y16" s="6"/>
      <c r="Z16" s="6"/>
      <c r="AA16" s="8"/>
      <c r="AB16" s="8"/>
      <c r="AC16" s="8"/>
      <c r="AD16" s="8"/>
      <c r="AE16" s="8"/>
      <c r="AF16" s="40"/>
      <c r="AG16" s="40"/>
      <c r="AH16" s="40"/>
      <c r="AI16" s="40"/>
      <c r="AK16" s="18"/>
      <c r="AL16" s="18"/>
      <c r="AM16" s="40" t="s">
        <v>118</v>
      </c>
      <c r="AN16" s="18"/>
      <c r="AO16" s="8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8"/>
      <c r="BK16" s="8"/>
      <c r="BL16" s="11" t="s">
        <v>52</v>
      </c>
      <c r="BM16" s="6"/>
      <c r="BN16" s="6"/>
      <c r="BO16" s="7"/>
      <c r="BP16" s="1"/>
      <c r="BQ16" s="1"/>
      <c r="BR16" s="1"/>
      <c r="BS16" s="1"/>
      <c r="BT16" s="1"/>
      <c r="BU16" s="1"/>
      <c r="BV16" s="1"/>
      <c r="BW16" s="1"/>
    </row>
    <row r="17" spans="1:67" ht="13.25" customHeight="1">
      <c r="A17" s="16" t="s">
        <v>129</v>
      </c>
      <c r="B17" s="16" t="s">
        <v>136</v>
      </c>
      <c r="C17" s="17">
        <v>31847.187625286595</v>
      </c>
      <c r="D17" s="18">
        <v>13.733866565858111</v>
      </c>
      <c r="E17" s="6"/>
      <c r="F17" s="8"/>
      <c r="G17" s="10"/>
      <c r="H17" s="10">
        <v>1235.5999999999999</v>
      </c>
      <c r="I17" s="10"/>
      <c r="J17" s="10"/>
      <c r="K17" s="22"/>
      <c r="L17" s="10"/>
      <c r="M17" s="10"/>
      <c r="N17" s="40"/>
      <c r="O17" s="40"/>
      <c r="P17" s="10"/>
      <c r="Q17" s="10"/>
      <c r="R17" s="10"/>
      <c r="S17" s="10"/>
      <c r="T17" s="10"/>
      <c r="U17" s="10"/>
      <c r="V17" s="8"/>
      <c r="W17" s="19">
        <v>5.0612065029657822</v>
      </c>
      <c r="X17" s="56">
        <f t="shared" si="0"/>
        <v>4.0961528835916014E-3</v>
      </c>
      <c r="Y17" s="6"/>
      <c r="Z17" s="6"/>
      <c r="AA17" s="8"/>
      <c r="AB17" s="8"/>
      <c r="AC17" s="8"/>
      <c r="AD17" s="8"/>
      <c r="AE17" s="8"/>
      <c r="AF17" s="40"/>
      <c r="AG17" s="40"/>
      <c r="AH17" s="40"/>
      <c r="AI17" s="40"/>
      <c r="AK17" s="18"/>
      <c r="AL17" s="18"/>
      <c r="AM17" s="40" t="s">
        <v>118</v>
      </c>
      <c r="AN17" s="18"/>
      <c r="AO17" s="8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8"/>
      <c r="BK17" s="8"/>
      <c r="BL17" s="11" t="s">
        <v>52</v>
      </c>
      <c r="BM17" s="6"/>
      <c r="BN17" s="6"/>
      <c r="BO17" s="15"/>
    </row>
    <row r="18" spans="1:67" ht="13.25" customHeight="1">
      <c r="A18" s="16" t="s">
        <v>129</v>
      </c>
      <c r="B18" s="16" t="s">
        <v>136</v>
      </c>
      <c r="C18" s="17">
        <v>31938.346886534797</v>
      </c>
      <c r="D18" s="18">
        <v>13.983452351667603</v>
      </c>
      <c r="E18" s="6"/>
      <c r="F18" s="8"/>
      <c r="G18" s="10"/>
      <c r="H18" s="10">
        <v>1230.7</v>
      </c>
      <c r="I18" s="10"/>
      <c r="J18" s="10"/>
      <c r="K18" s="22"/>
      <c r="L18" s="10"/>
      <c r="M18" s="10"/>
      <c r="N18" s="40"/>
      <c r="O18" s="40"/>
      <c r="P18" s="10"/>
      <c r="Q18" s="10"/>
      <c r="R18" s="10"/>
      <c r="S18" s="10"/>
      <c r="T18" s="10"/>
      <c r="U18" s="10"/>
      <c r="V18" s="8"/>
      <c r="W18" s="19">
        <v>5.0412689200498733</v>
      </c>
      <c r="X18" s="56">
        <f t="shared" si="0"/>
        <v>4.0962614122449607E-3</v>
      </c>
      <c r="Y18" s="6"/>
      <c r="Z18" s="6"/>
      <c r="AA18" s="8"/>
      <c r="AB18" s="8"/>
      <c r="AC18" s="8"/>
      <c r="AD18" s="8"/>
      <c r="AE18" s="8"/>
      <c r="AF18" s="40"/>
      <c r="AG18" s="40"/>
      <c r="AH18" s="40"/>
      <c r="AI18" s="40"/>
      <c r="AK18" s="18"/>
      <c r="AL18" s="18"/>
      <c r="AM18" s="40" t="s">
        <v>118</v>
      </c>
      <c r="AN18" s="18"/>
      <c r="AO18" s="8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8"/>
      <c r="BK18" s="8"/>
      <c r="BL18" s="11" t="s">
        <v>52</v>
      </c>
      <c r="BM18" s="6"/>
      <c r="BN18" s="6"/>
      <c r="BO18" s="15"/>
    </row>
    <row r="19" spans="1:67" ht="13.25" customHeight="1">
      <c r="A19" s="16" t="s">
        <v>130</v>
      </c>
      <c r="B19" s="16" t="s">
        <v>137</v>
      </c>
      <c r="C19" s="17">
        <v>30538.351314294614</v>
      </c>
      <c r="D19" s="18">
        <v>10.150391505814513</v>
      </c>
      <c r="E19" s="6"/>
      <c r="F19" s="8"/>
      <c r="G19" s="10"/>
      <c r="H19" s="10">
        <v>492.1</v>
      </c>
      <c r="I19" s="10"/>
      <c r="J19" s="10"/>
      <c r="K19" s="22"/>
      <c r="L19" s="10"/>
      <c r="M19" s="10"/>
      <c r="N19" s="40"/>
      <c r="O19" s="40"/>
      <c r="P19" s="10"/>
      <c r="Q19" s="10"/>
      <c r="R19" s="10"/>
      <c r="S19" s="10"/>
      <c r="T19" s="10"/>
      <c r="U19" s="10"/>
      <c r="V19" s="8"/>
      <c r="W19" s="19">
        <v>3.0629625000000003</v>
      </c>
      <c r="X19" s="56">
        <f t="shared" si="0"/>
        <v>6.2242684413737048E-3</v>
      </c>
      <c r="Y19" s="8"/>
      <c r="Z19" s="6"/>
      <c r="AA19" s="8"/>
      <c r="AB19" s="8"/>
      <c r="AC19" s="8"/>
      <c r="AD19" s="8"/>
      <c r="AE19" s="8"/>
      <c r="AF19" s="40"/>
      <c r="AG19" s="40"/>
      <c r="AH19" s="40"/>
      <c r="AI19" s="40"/>
      <c r="AK19" s="18"/>
      <c r="AL19" s="18"/>
      <c r="AM19" s="40" t="s">
        <v>118</v>
      </c>
      <c r="AN19" s="18"/>
      <c r="AO19" s="8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8"/>
      <c r="BK19" s="8"/>
      <c r="BL19" s="11" t="s">
        <v>52</v>
      </c>
      <c r="BM19" s="6"/>
      <c r="BN19" s="6"/>
      <c r="BO19" s="15"/>
    </row>
    <row r="20" spans="1:67" ht="13.25" customHeight="1">
      <c r="A20" s="16" t="s">
        <v>130</v>
      </c>
      <c r="B20" s="16" t="s">
        <v>137</v>
      </c>
      <c r="C20" s="17">
        <v>30627.767451850104</v>
      </c>
      <c r="D20" s="18">
        <v>10.395204777118606</v>
      </c>
      <c r="E20" s="6"/>
      <c r="F20" s="8"/>
      <c r="G20" s="10"/>
      <c r="H20" s="10">
        <v>716.7</v>
      </c>
      <c r="I20" s="10"/>
      <c r="J20" s="10"/>
      <c r="K20" s="22"/>
      <c r="L20" s="10"/>
      <c r="M20" s="10"/>
      <c r="N20" s="40"/>
      <c r="O20" s="40"/>
      <c r="P20" s="10"/>
      <c r="Q20" s="10"/>
      <c r="R20" s="10"/>
      <c r="S20" s="10"/>
      <c r="T20" s="10"/>
      <c r="U20" s="10"/>
      <c r="V20" s="8"/>
      <c r="W20" s="19">
        <v>2.1834745540647873</v>
      </c>
      <c r="X20" s="56">
        <f t="shared" si="0"/>
        <v>3.0465669793006659E-3</v>
      </c>
      <c r="Y20" s="6"/>
      <c r="Z20" s="6"/>
      <c r="AA20" s="8"/>
      <c r="AB20" s="8"/>
      <c r="AC20" s="8"/>
      <c r="AD20" s="8"/>
      <c r="AE20" s="8"/>
      <c r="AF20" s="40"/>
      <c r="AG20" s="40"/>
      <c r="AH20" s="40"/>
      <c r="AI20" s="40"/>
      <c r="AK20" s="18"/>
      <c r="AL20" s="18"/>
      <c r="AM20" s="40" t="s">
        <v>118</v>
      </c>
      <c r="AN20" s="18"/>
      <c r="AO20" s="8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8"/>
      <c r="BK20" s="8"/>
      <c r="BL20" s="11" t="s">
        <v>52</v>
      </c>
      <c r="BM20" s="6"/>
      <c r="BN20" s="6"/>
      <c r="BO20" s="15"/>
    </row>
    <row r="21" spans="1:67" ht="13.25" customHeight="1">
      <c r="A21" s="16" t="s">
        <v>130</v>
      </c>
      <c r="B21" s="16" t="s">
        <v>137</v>
      </c>
      <c r="C21" s="17">
        <v>30715.258811305906</v>
      </c>
      <c r="D21" s="18">
        <v>10.634748180633713</v>
      </c>
      <c r="E21" s="6"/>
      <c r="F21" s="8"/>
      <c r="G21" s="10"/>
      <c r="H21" s="10">
        <v>791</v>
      </c>
      <c r="I21" s="10"/>
      <c r="J21" s="10"/>
      <c r="K21" s="22"/>
      <c r="L21" s="10"/>
      <c r="M21" s="10"/>
      <c r="N21" s="40"/>
      <c r="O21" s="40"/>
      <c r="P21" s="10"/>
      <c r="Q21" s="10"/>
      <c r="R21" s="10"/>
      <c r="S21" s="10"/>
      <c r="T21" s="10"/>
      <c r="U21" s="10"/>
      <c r="V21" s="8"/>
      <c r="W21" s="19">
        <v>3.1802438509194237</v>
      </c>
      <c r="X21" s="56">
        <f t="shared" si="0"/>
        <v>4.0205358418703204E-3</v>
      </c>
      <c r="Y21" s="6"/>
      <c r="Z21" s="6"/>
      <c r="AA21" s="8"/>
      <c r="AB21" s="8"/>
      <c r="AC21" s="8"/>
      <c r="AD21" s="8"/>
      <c r="AE21" s="8"/>
      <c r="AF21" s="40"/>
      <c r="AG21" s="40"/>
      <c r="AH21" s="40"/>
      <c r="AI21" s="40"/>
      <c r="AK21" s="18"/>
      <c r="AL21" s="18"/>
      <c r="AM21" s="40" t="s">
        <v>118</v>
      </c>
      <c r="AN21" s="18"/>
      <c r="AO21" s="8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8"/>
      <c r="BK21" s="8"/>
      <c r="BL21" s="11" t="s">
        <v>52</v>
      </c>
      <c r="BM21" s="6"/>
      <c r="BN21" s="6"/>
      <c r="BO21" s="15"/>
    </row>
    <row r="22" spans="1:67" ht="13.25" customHeight="1">
      <c r="A22" s="16" t="s">
        <v>130</v>
      </c>
      <c r="B22" s="16" t="s">
        <v>137</v>
      </c>
      <c r="C22" s="17">
        <v>30802.559553724561</v>
      </c>
      <c r="D22" s="18">
        <v>10.873769691997065</v>
      </c>
      <c r="E22" s="6"/>
      <c r="F22" s="8"/>
      <c r="G22" s="10"/>
      <c r="H22" s="10">
        <v>769.7</v>
      </c>
      <c r="I22" s="10"/>
      <c r="J22" s="10"/>
      <c r="K22" s="22"/>
      <c r="L22" s="10"/>
      <c r="M22" s="22"/>
      <c r="N22" s="40"/>
      <c r="O22" s="40"/>
      <c r="P22" s="22"/>
      <c r="Q22" s="22"/>
      <c r="R22" s="10"/>
      <c r="S22" s="22"/>
      <c r="T22" s="22"/>
      <c r="U22" s="10"/>
      <c r="V22" s="8"/>
      <c r="W22" s="19">
        <v>3.5101916246132112</v>
      </c>
      <c r="X22" s="56">
        <f t="shared" si="0"/>
        <v>4.5604672269887112E-3</v>
      </c>
      <c r="Y22" s="6"/>
      <c r="Z22" s="6"/>
      <c r="AA22" s="8"/>
      <c r="AB22" s="8"/>
      <c r="AC22" s="8"/>
      <c r="AD22" s="8"/>
      <c r="AE22" s="8"/>
      <c r="AF22" s="40"/>
      <c r="AG22" s="40"/>
      <c r="AH22" s="40"/>
      <c r="AI22" s="40"/>
      <c r="AK22" s="18"/>
      <c r="AL22" s="18"/>
      <c r="AM22" s="40" t="s">
        <v>118</v>
      </c>
      <c r="AN22" s="18"/>
      <c r="AO22" s="8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8"/>
      <c r="BK22" s="8"/>
      <c r="BL22" s="11" t="s">
        <v>52</v>
      </c>
      <c r="BM22" s="6"/>
      <c r="BN22" s="6"/>
      <c r="BO22" s="15"/>
    </row>
    <row r="23" spans="1:67">
      <c r="A23" s="16" t="s">
        <v>130</v>
      </c>
      <c r="B23" s="16" t="s">
        <v>137</v>
      </c>
      <c r="C23" s="17">
        <v>30887.21253482176</v>
      </c>
      <c r="D23" s="18">
        <v>11.105541873111324</v>
      </c>
      <c r="E23" s="6"/>
      <c r="F23" s="8"/>
      <c r="G23" s="10"/>
      <c r="H23" s="10">
        <v>732</v>
      </c>
      <c r="I23" s="10"/>
      <c r="J23" s="10"/>
      <c r="K23" s="22"/>
      <c r="L23" s="10"/>
      <c r="M23" s="10"/>
      <c r="N23" s="40"/>
      <c r="O23" s="40"/>
      <c r="P23" s="10"/>
      <c r="Q23" s="10"/>
      <c r="R23" s="10"/>
      <c r="S23" s="10"/>
      <c r="T23" s="10"/>
      <c r="U23" s="10"/>
      <c r="V23" s="8"/>
      <c r="W23" s="19">
        <v>3.4156984664858911</v>
      </c>
      <c r="X23" s="56">
        <f t="shared" si="0"/>
        <v>4.6662547356364631E-3</v>
      </c>
      <c r="Y23" s="6"/>
      <c r="Z23" s="6"/>
      <c r="AA23" s="8"/>
      <c r="AB23" s="8"/>
      <c r="AC23" s="8"/>
      <c r="AD23" s="8"/>
      <c r="AE23" s="8"/>
      <c r="AF23" s="40"/>
      <c r="AG23" s="40"/>
      <c r="AH23" s="40"/>
      <c r="AI23" s="40"/>
      <c r="AK23" s="18"/>
      <c r="AL23" s="18"/>
      <c r="AM23" s="40" t="s">
        <v>118</v>
      </c>
      <c r="AN23" s="18"/>
      <c r="AO23" s="8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8"/>
      <c r="BK23" s="8"/>
      <c r="BL23" s="11" t="s">
        <v>52</v>
      </c>
      <c r="BM23" s="6"/>
      <c r="BN23" s="6"/>
      <c r="BO23" s="15"/>
    </row>
    <row r="24" spans="1:67" ht="13.25" customHeight="1">
      <c r="A24" s="16" t="s">
        <v>130</v>
      </c>
      <c r="B24" s="16" t="s">
        <v>137</v>
      </c>
      <c r="C24" s="17">
        <v>30977.292955495152</v>
      </c>
      <c r="D24" s="18">
        <v>11.352173891317392</v>
      </c>
      <c r="E24" s="6"/>
      <c r="F24" s="8"/>
      <c r="G24" s="10"/>
      <c r="H24" s="10">
        <v>1025</v>
      </c>
      <c r="I24" s="10"/>
      <c r="J24" s="10"/>
      <c r="K24" s="22"/>
      <c r="L24" s="10"/>
      <c r="M24" s="10"/>
      <c r="N24" s="40"/>
      <c r="O24" s="40"/>
      <c r="P24" s="10"/>
      <c r="Q24" s="10"/>
      <c r="R24" s="10"/>
      <c r="S24" s="10"/>
      <c r="T24" s="10"/>
      <c r="U24" s="10"/>
      <c r="V24" s="8"/>
      <c r="W24" s="19">
        <v>3.2483611796586334</v>
      </c>
      <c r="X24" s="56">
        <f t="shared" si="0"/>
        <v>3.1691328582035445E-3</v>
      </c>
      <c r="Y24" s="6"/>
      <c r="Z24" s="6"/>
      <c r="AA24" s="8"/>
      <c r="AB24" s="8"/>
      <c r="AC24" s="8"/>
      <c r="AD24" s="8"/>
      <c r="AE24" s="8"/>
      <c r="AF24" s="40"/>
      <c r="AG24" s="40"/>
      <c r="AH24" s="40"/>
      <c r="AI24" s="40"/>
      <c r="AK24" s="18"/>
      <c r="AL24" s="18"/>
      <c r="AM24" s="40" t="s">
        <v>118</v>
      </c>
      <c r="AN24" s="18"/>
      <c r="AO24" s="8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8"/>
      <c r="BK24" s="8"/>
      <c r="BL24" s="11" t="s">
        <v>52</v>
      </c>
      <c r="BM24" s="6"/>
      <c r="BN24" s="6"/>
      <c r="BO24" s="15"/>
    </row>
    <row r="25" spans="1:67" ht="13.25" customHeight="1">
      <c r="A25" s="16" t="s">
        <v>130</v>
      </c>
      <c r="B25" s="16" t="s">
        <v>137</v>
      </c>
      <c r="C25" s="17">
        <v>31062.967834342868</v>
      </c>
      <c r="D25" s="18">
        <v>11.586743935748967</v>
      </c>
      <c r="E25" s="6"/>
      <c r="F25" s="8"/>
      <c r="G25" s="10"/>
      <c r="H25" s="10">
        <v>1001</v>
      </c>
      <c r="I25" s="10"/>
      <c r="J25" s="10"/>
      <c r="K25" s="22"/>
      <c r="L25" s="10"/>
      <c r="M25" s="10"/>
      <c r="N25" s="40"/>
      <c r="O25" s="40"/>
      <c r="P25" s="10"/>
      <c r="Q25" s="10"/>
      <c r="R25" s="10"/>
      <c r="S25" s="10"/>
      <c r="T25" s="10"/>
      <c r="U25" s="10"/>
      <c r="V25" s="8"/>
      <c r="W25" s="19">
        <v>4.5484810752014448</v>
      </c>
      <c r="X25" s="56">
        <f t="shared" si="0"/>
        <v>4.5439371380633815E-3</v>
      </c>
      <c r="Y25" s="6"/>
      <c r="Z25" s="6"/>
      <c r="AA25" s="8"/>
      <c r="AB25" s="8"/>
      <c r="AC25" s="8"/>
      <c r="AD25" s="8"/>
      <c r="AE25" s="8"/>
      <c r="AF25" s="40"/>
      <c r="AG25" s="40"/>
      <c r="AH25" s="40"/>
      <c r="AI25" s="40"/>
      <c r="AK25" s="18"/>
      <c r="AL25" s="18"/>
      <c r="AM25" s="40" t="s">
        <v>118</v>
      </c>
      <c r="AN25" s="18"/>
      <c r="AO25" s="8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8"/>
      <c r="BK25" s="8"/>
      <c r="BL25" s="11" t="s">
        <v>52</v>
      </c>
      <c r="BM25" s="6"/>
      <c r="BN25" s="6"/>
      <c r="BO25" s="15"/>
    </row>
    <row r="26" spans="1:67" ht="13.25" customHeight="1">
      <c r="A26" s="16" t="s">
        <v>130</v>
      </c>
      <c r="B26" s="16" t="s">
        <v>137</v>
      </c>
      <c r="C26" s="17">
        <v>31146.788121978712</v>
      </c>
      <c r="D26" s="18">
        <v>11.816236277721874</v>
      </c>
      <c r="E26" s="6"/>
      <c r="F26" s="8"/>
      <c r="G26" s="10"/>
      <c r="H26" s="10">
        <v>905.9</v>
      </c>
      <c r="I26" s="10"/>
      <c r="J26" s="10"/>
      <c r="K26" s="22"/>
      <c r="L26" s="10"/>
      <c r="M26" s="10"/>
      <c r="N26" s="40"/>
      <c r="O26" s="40"/>
      <c r="P26" s="10"/>
      <c r="Q26" s="10"/>
      <c r="R26" s="10"/>
      <c r="S26" s="10"/>
      <c r="T26" s="10"/>
      <c r="U26" s="10"/>
      <c r="V26" s="8"/>
      <c r="W26" s="19">
        <v>4.4417639268433167</v>
      </c>
      <c r="X26" s="56">
        <f t="shared" si="0"/>
        <v>4.9031503773521549E-3</v>
      </c>
      <c r="Y26" s="6"/>
      <c r="Z26" s="6"/>
      <c r="AA26" s="8"/>
      <c r="AB26" s="8"/>
      <c r="AC26" s="8"/>
      <c r="AD26" s="8"/>
      <c r="AE26" s="8"/>
      <c r="AF26" s="40"/>
      <c r="AG26" s="40"/>
      <c r="AH26" s="40"/>
      <c r="AI26" s="40"/>
      <c r="AK26" s="18"/>
      <c r="AL26" s="18"/>
      <c r="AM26" s="40" t="s">
        <v>118</v>
      </c>
      <c r="AN26" s="18"/>
      <c r="AO26" s="8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8"/>
      <c r="BK26" s="8"/>
      <c r="BL26" s="11" t="s">
        <v>52</v>
      </c>
      <c r="BM26" s="6"/>
      <c r="BN26" s="6"/>
      <c r="BO26" s="15"/>
    </row>
    <row r="27" spans="1:67">
      <c r="A27" s="16" t="s">
        <v>130</v>
      </c>
      <c r="B27" s="16" t="s">
        <v>137</v>
      </c>
      <c r="C27" s="17">
        <v>31238.172908667766</v>
      </c>
      <c r="D27" s="18">
        <v>12.06643953172499</v>
      </c>
      <c r="E27" s="6"/>
      <c r="F27" s="8"/>
      <c r="G27" s="10"/>
      <c r="H27" s="10">
        <v>890.1</v>
      </c>
      <c r="I27" s="10"/>
      <c r="J27" s="10"/>
      <c r="K27" s="22"/>
      <c r="L27" s="10"/>
      <c r="M27" s="10"/>
      <c r="N27" s="40"/>
      <c r="O27" s="40"/>
      <c r="P27" s="10"/>
      <c r="Q27" s="10"/>
      <c r="R27" s="10"/>
      <c r="S27" s="10"/>
      <c r="T27" s="10"/>
      <c r="U27" s="10"/>
      <c r="V27" s="8"/>
      <c r="W27" s="19">
        <v>4.0198720397140564</v>
      </c>
      <c r="X27" s="56">
        <f t="shared" si="0"/>
        <v>4.5162027184743924E-3</v>
      </c>
      <c r="Y27" s="6"/>
      <c r="Z27" s="6"/>
      <c r="AA27" s="8"/>
      <c r="AB27" s="8"/>
      <c r="AC27" s="8"/>
      <c r="AD27" s="8"/>
      <c r="AE27" s="8"/>
      <c r="AF27" s="40"/>
      <c r="AG27" s="40"/>
      <c r="AH27" s="40"/>
      <c r="AI27" s="40"/>
      <c r="AK27" s="18"/>
      <c r="AL27" s="18"/>
      <c r="AM27" s="40" t="s">
        <v>118</v>
      </c>
      <c r="AN27" s="18"/>
      <c r="AO27" s="8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8"/>
      <c r="BK27" s="8"/>
      <c r="BL27" s="11" t="s">
        <v>52</v>
      </c>
      <c r="BM27" s="6"/>
      <c r="BN27" s="6"/>
      <c r="BO27" s="15"/>
    </row>
    <row r="28" spans="1:67" ht="13.25" customHeight="1">
      <c r="A28" s="16" t="s">
        <v>130</v>
      </c>
      <c r="B28" s="16" t="s">
        <v>137</v>
      </c>
      <c r="C28" s="17">
        <v>31324.149783298424</v>
      </c>
      <c r="D28" s="18">
        <v>12.301836413208168</v>
      </c>
      <c r="E28" s="6"/>
      <c r="F28" s="8"/>
      <c r="G28" s="10"/>
      <c r="H28" s="10">
        <v>1051.9000000000001</v>
      </c>
      <c r="I28" s="10"/>
      <c r="J28" s="10"/>
      <c r="K28" s="22"/>
      <c r="L28" s="10"/>
      <c r="M28" s="10"/>
      <c r="N28" s="40"/>
      <c r="O28" s="40"/>
      <c r="P28" s="10"/>
      <c r="Q28" s="10"/>
      <c r="R28" s="10"/>
      <c r="S28" s="10"/>
      <c r="T28" s="10"/>
      <c r="U28" s="10"/>
      <c r="V28" s="8"/>
      <c r="W28" s="19">
        <v>3.9498768433167384</v>
      </c>
      <c r="X28" s="56">
        <f t="shared" si="0"/>
        <v>3.7549927210920602E-3</v>
      </c>
      <c r="Y28" s="6"/>
      <c r="Z28" s="6"/>
      <c r="AA28" s="8"/>
      <c r="AB28" s="8"/>
      <c r="AC28" s="8"/>
      <c r="AD28" s="8"/>
      <c r="AE28" s="8"/>
      <c r="AF28" s="40"/>
      <c r="AG28" s="40"/>
      <c r="AH28" s="40"/>
      <c r="AI28" s="40"/>
      <c r="AK28" s="18"/>
      <c r="AL28" s="18"/>
      <c r="AM28" s="40" t="s">
        <v>118</v>
      </c>
      <c r="AN28" s="18"/>
      <c r="AO28" s="8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8"/>
      <c r="BK28" s="8"/>
      <c r="BL28" s="11" t="s">
        <v>52</v>
      </c>
      <c r="BM28" s="6"/>
      <c r="BN28" s="6"/>
      <c r="BO28" s="15"/>
    </row>
    <row r="29" spans="1:67">
      <c r="A29" s="16" t="s">
        <v>130</v>
      </c>
      <c r="B29" s="16" t="s">
        <v>137</v>
      </c>
      <c r="C29" s="17">
        <v>31411.906053080591</v>
      </c>
      <c r="D29" s="18">
        <v>12.54210511715978</v>
      </c>
      <c r="E29" s="6"/>
      <c r="F29" s="8"/>
      <c r="G29" s="10"/>
      <c r="H29" s="10">
        <v>1134.4000000000001</v>
      </c>
      <c r="I29" s="10"/>
      <c r="J29" s="10"/>
      <c r="K29" s="22"/>
      <c r="L29" s="10"/>
      <c r="M29" s="10"/>
      <c r="N29" s="40"/>
      <c r="O29" s="40"/>
      <c r="P29" s="10"/>
      <c r="Q29" s="10"/>
      <c r="R29" s="10"/>
      <c r="S29" s="10"/>
      <c r="T29" s="10"/>
      <c r="U29" s="10"/>
      <c r="V29" s="8"/>
      <c r="W29" s="19">
        <v>4.6675935781393152</v>
      </c>
      <c r="X29" s="56">
        <f t="shared" si="0"/>
        <v>4.1145923643682251E-3</v>
      </c>
      <c r="Y29" s="6"/>
      <c r="Z29" s="6"/>
      <c r="AA29" s="8"/>
      <c r="AB29" s="8"/>
      <c r="AC29" s="8"/>
      <c r="AD29" s="8"/>
      <c r="AE29" s="8"/>
      <c r="AF29" s="40"/>
      <c r="AG29" s="40"/>
      <c r="AH29" s="40"/>
      <c r="AI29" s="40"/>
      <c r="AK29" s="18"/>
      <c r="AL29" s="18"/>
      <c r="AM29" s="40" t="s">
        <v>118</v>
      </c>
      <c r="AN29" s="18"/>
      <c r="AO29" s="8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8"/>
      <c r="BK29" s="8"/>
      <c r="BL29" s="11" t="s">
        <v>52</v>
      </c>
      <c r="BM29" s="6"/>
      <c r="BN29" s="6"/>
      <c r="BO29" s="15"/>
    </row>
    <row r="30" spans="1:67">
      <c r="A30" s="16" t="s">
        <v>130</v>
      </c>
      <c r="B30" s="16" t="s">
        <v>137</v>
      </c>
      <c r="C30" s="17">
        <v>31500.039514709715</v>
      </c>
      <c r="D30" s="18">
        <v>12.783406538163227</v>
      </c>
      <c r="E30" s="6"/>
      <c r="F30" s="8"/>
      <c r="G30" s="10"/>
      <c r="H30" s="10">
        <v>1028.4000000000001</v>
      </c>
      <c r="I30" s="10"/>
      <c r="J30" s="10"/>
      <c r="K30" s="22"/>
      <c r="L30" s="10"/>
      <c r="M30" s="10"/>
      <c r="N30" s="40"/>
      <c r="O30" s="40"/>
      <c r="P30" s="10"/>
      <c r="Q30" s="10"/>
      <c r="R30" s="10"/>
      <c r="S30" s="10"/>
      <c r="T30" s="10"/>
      <c r="U30" s="10"/>
      <c r="V30" s="8"/>
      <c r="W30" s="19">
        <v>5.0337634911091884</v>
      </c>
      <c r="X30" s="56">
        <f t="shared" si="0"/>
        <v>4.8947525195538587E-3</v>
      </c>
      <c r="Y30" s="6"/>
      <c r="Z30" s="6"/>
      <c r="AA30" s="8"/>
      <c r="AB30" s="8"/>
      <c r="AC30" s="8"/>
      <c r="AD30" s="8"/>
      <c r="AE30" s="8"/>
      <c r="AF30" s="40"/>
      <c r="AG30" s="40"/>
      <c r="AH30" s="40"/>
      <c r="AI30" s="40"/>
      <c r="AK30" s="18"/>
      <c r="AL30" s="18"/>
      <c r="AM30" s="40" t="s">
        <v>118</v>
      </c>
      <c r="AN30" s="18"/>
      <c r="AO30" s="8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8"/>
      <c r="BK30" s="8"/>
      <c r="BL30" s="11" t="s">
        <v>52</v>
      </c>
      <c r="BM30" s="6"/>
      <c r="BN30" s="6"/>
      <c r="BO30" s="15"/>
    </row>
    <row r="31" spans="1:67" ht="13.25" customHeight="1">
      <c r="A31" s="16" t="s">
        <v>130</v>
      </c>
      <c r="B31" s="16" t="s">
        <v>137</v>
      </c>
      <c r="C31" s="17">
        <v>31586.115056720741</v>
      </c>
      <c r="D31" s="18">
        <v>13.0190735619811</v>
      </c>
      <c r="E31" s="6"/>
      <c r="F31" s="8"/>
      <c r="G31" s="10"/>
      <c r="H31" s="10">
        <v>1012.6</v>
      </c>
      <c r="I31" s="10"/>
      <c r="J31" s="10"/>
      <c r="K31" s="22"/>
      <c r="L31" s="10"/>
      <c r="M31" s="10"/>
      <c r="N31" s="40"/>
      <c r="O31" s="40"/>
      <c r="P31" s="10"/>
      <c r="Q31" s="10"/>
      <c r="R31" s="10"/>
      <c r="S31" s="10"/>
      <c r="T31" s="10"/>
      <c r="U31" s="10"/>
      <c r="V31" s="8"/>
      <c r="W31" s="19">
        <v>4.5635754182784272</v>
      </c>
      <c r="X31" s="56">
        <f t="shared" si="0"/>
        <v>4.5067898659672395E-3</v>
      </c>
      <c r="Y31" s="6"/>
      <c r="Z31" s="6"/>
      <c r="AA31" s="8"/>
      <c r="AB31" s="8"/>
      <c r="AC31" s="8"/>
      <c r="AD31" s="8"/>
      <c r="AE31" s="8"/>
      <c r="AF31" s="40"/>
      <c r="AG31" s="40"/>
      <c r="AH31" s="40"/>
      <c r="AI31" s="40"/>
      <c r="AK31" s="18"/>
      <c r="AL31" s="18"/>
      <c r="AM31" s="40" t="s">
        <v>118</v>
      </c>
      <c r="AN31" s="18"/>
      <c r="AO31" s="8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8"/>
      <c r="BK31" s="8"/>
      <c r="BL31" s="11" t="s">
        <v>52</v>
      </c>
      <c r="BM31" s="6"/>
      <c r="BN31" s="6"/>
      <c r="BO31" s="15"/>
    </row>
    <row r="32" spans="1:67">
      <c r="A32" s="16" t="s">
        <v>130</v>
      </c>
      <c r="B32" s="16" t="s">
        <v>137</v>
      </c>
      <c r="C32" s="17">
        <v>31676.719901270066</v>
      </c>
      <c r="D32" s="18">
        <v>13.267141405174996</v>
      </c>
      <c r="E32" s="6"/>
      <c r="F32" s="8"/>
      <c r="G32" s="10"/>
      <c r="H32" s="10">
        <v>1147</v>
      </c>
      <c r="I32" s="10"/>
      <c r="J32" s="10"/>
      <c r="K32" s="22"/>
      <c r="L32" s="10"/>
      <c r="M32" s="10"/>
      <c r="N32" s="40"/>
      <c r="O32" s="40"/>
      <c r="P32" s="10"/>
      <c r="Q32" s="10"/>
      <c r="R32" s="10"/>
      <c r="S32" s="10"/>
      <c r="T32" s="10"/>
      <c r="U32" s="10"/>
      <c r="V32" s="8"/>
      <c r="W32" s="19">
        <v>4.4932803342703291</v>
      </c>
      <c r="X32" s="56">
        <f t="shared" si="0"/>
        <v>3.9174196462688137E-3</v>
      </c>
      <c r="Y32" s="6"/>
      <c r="Z32" s="6"/>
      <c r="AA32" s="8"/>
      <c r="AB32" s="8"/>
      <c r="AC32" s="8"/>
      <c r="AD32" s="8"/>
      <c r="AE32" s="8"/>
      <c r="AF32" s="40"/>
      <c r="AG32" s="40"/>
      <c r="AH32" s="40"/>
      <c r="AI32" s="40"/>
      <c r="AK32" s="18"/>
      <c r="AL32" s="18"/>
      <c r="AM32" s="40" t="s">
        <v>118</v>
      </c>
      <c r="AN32" s="18"/>
      <c r="AO32" s="8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8"/>
      <c r="BK32" s="8"/>
      <c r="BL32" s="11" t="s">
        <v>52</v>
      </c>
      <c r="BM32" s="6"/>
      <c r="BN32" s="6"/>
      <c r="BO32" s="15"/>
    </row>
    <row r="33" spans="1:67" ht="13.25" customHeight="1">
      <c r="A33" s="16" t="s">
        <v>130</v>
      </c>
      <c r="B33" s="16" t="s">
        <v>137</v>
      </c>
      <c r="C33" s="17">
        <v>31760.942939194949</v>
      </c>
      <c r="D33" s="18">
        <v>13.49773644089507</v>
      </c>
      <c r="E33" s="6"/>
      <c r="F33" s="8"/>
      <c r="G33" s="10"/>
      <c r="H33" s="10">
        <v>1254.2</v>
      </c>
      <c r="I33" s="10"/>
      <c r="J33" s="10"/>
      <c r="K33" s="22"/>
      <c r="L33" s="10"/>
      <c r="M33" s="10"/>
      <c r="N33" s="40"/>
      <c r="O33" s="40"/>
      <c r="P33" s="10"/>
      <c r="Q33" s="10"/>
      <c r="R33" s="10"/>
      <c r="S33" s="10"/>
      <c r="T33" s="10"/>
      <c r="U33" s="10"/>
      <c r="V33" s="8">
        <v>3.724225668350351E-3</v>
      </c>
      <c r="W33" s="19">
        <v>5.0899067359599641</v>
      </c>
      <c r="X33" s="56">
        <f t="shared" si="0"/>
        <v>4.0582895359272553E-3</v>
      </c>
      <c r="Y33" s="6"/>
      <c r="Z33" s="6"/>
      <c r="AA33" s="8"/>
      <c r="AB33" s="8"/>
      <c r="AC33" s="8"/>
      <c r="AD33" s="8"/>
      <c r="AE33" s="8"/>
      <c r="AF33" s="40"/>
      <c r="AG33" s="40"/>
      <c r="AH33" s="40"/>
      <c r="AI33" s="40"/>
      <c r="AK33" s="18"/>
      <c r="AL33" s="18"/>
      <c r="AM33" s="40" t="s">
        <v>118</v>
      </c>
      <c r="AN33" s="18"/>
      <c r="AO33" s="8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8"/>
      <c r="BK33" s="8"/>
      <c r="BL33" s="11" t="s">
        <v>52</v>
      </c>
      <c r="BM33" s="6"/>
      <c r="BN33" s="6"/>
      <c r="BO33" s="15"/>
    </row>
    <row r="34" spans="1:67" ht="13.25" customHeight="1">
      <c r="A34" s="16" t="s">
        <v>130</v>
      </c>
      <c r="B34" s="16" t="s">
        <v>137</v>
      </c>
      <c r="C34" s="17">
        <v>31847.187625286595</v>
      </c>
      <c r="D34" s="18">
        <v>13.733866565858111</v>
      </c>
      <c r="E34" s="6"/>
      <c r="F34" s="8"/>
      <c r="G34" s="10"/>
      <c r="H34" s="10">
        <v>1161.8</v>
      </c>
      <c r="I34" s="10"/>
      <c r="J34" s="10"/>
      <c r="K34" s="22"/>
      <c r="L34" s="10"/>
      <c r="M34" s="10"/>
      <c r="N34" s="40"/>
      <c r="O34" s="40"/>
      <c r="P34" s="10"/>
      <c r="Q34" s="10"/>
      <c r="R34" s="10"/>
      <c r="S34" s="10"/>
      <c r="T34" s="10"/>
      <c r="U34" s="10"/>
      <c r="V34" s="8"/>
      <c r="W34" s="19">
        <v>5.5653928232482501</v>
      </c>
      <c r="X34" s="56">
        <f t="shared" si="0"/>
        <v>4.7903191799348E-3</v>
      </c>
      <c r="Y34" s="6"/>
      <c r="Z34" s="6"/>
      <c r="AA34" s="8"/>
      <c r="AB34" s="8"/>
      <c r="AC34" s="8"/>
      <c r="AD34" s="8"/>
      <c r="AE34" s="8"/>
      <c r="AF34" s="40"/>
      <c r="AG34" s="40"/>
      <c r="AH34" s="40"/>
      <c r="AI34" s="40"/>
      <c r="AK34" s="18"/>
      <c r="AL34" s="18"/>
      <c r="AM34" s="40" t="s">
        <v>118</v>
      </c>
      <c r="AN34" s="18"/>
      <c r="AO34" s="8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8"/>
      <c r="BK34" s="8"/>
      <c r="BL34" s="11" t="s">
        <v>52</v>
      </c>
      <c r="BM34" s="6"/>
      <c r="BN34" s="6"/>
      <c r="BO34" s="15"/>
    </row>
    <row r="35" spans="1:67">
      <c r="A35" s="16" t="s">
        <v>130</v>
      </c>
      <c r="B35" s="16" t="s">
        <v>137</v>
      </c>
      <c r="C35" s="17">
        <v>31938.346886534797</v>
      </c>
      <c r="D35" s="18">
        <v>13.983452351667603</v>
      </c>
      <c r="E35" s="6"/>
      <c r="F35" s="8"/>
      <c r="G35" s="10"/>
      <c r="H35" s="10">
        <v>1124.2</v>
      </c>
      <c r="I35" s="10"/>
      <c r="J35" s="10"/>
      <c r="K35" s="22"/>
      <c r="L35" s="10"/>
      <c r="M35" s="10"/>
      <c r="N35" s="40"/>
      <c r="O35" s="40"/>
      <c r="P35" s="10"/>
      <c r="Q35" s="10"/>
      <c r="R35" s="10"/>
      <c r="S35" s="10"/>
      <c r="T35" s="10"/>
      <c r="U35" s="10"/>
      <c r="V35" s="8"/>
      <c r="W35" s="19">
        <v>5.1556749450812527</v>
      </c>
      <c r="X35" s="56">
        <f t="shared" si="0"/>
        <v>4.586083388259431E-3</v>
      </c>
      <c r="Y35" s="6"/>
      <c r="Z35" s="6"/>
      <c r="AA35" s="8"/>
      <c r="AB35" s="8"/>
      <c r="AC35" s="8"/>
      <c r="AD35" s="8"/>
      <c r="AE35" s="8"/>
      <c r="AF35" s="40"/>
      <c r="AG35" s="40"/>
      <c r="AH35" s="40"/>
      <c r="AI35" s="40"/>
      <c r="AK35" s="18"/>
      <c r="AL35" s="18"/>
      <c r="AM35" s="40" t="s">
        <v>118</v>
      </c>
      <c r="AN35" s="18"/>
      <c r="AO35" s="8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8"/>
      <c r="BK35" s="8"/>
      <c r="BL35" s="11" t="s">
        <v>52</v>
      </c>
      <c r="BM35" s="6"/>
      <c r="BN35" s="6"/>
      <c r="BO35" s="15"/>
    </row>
    <row r="36" spans="1:67">
      <c r="A36" s="16" t="s">
        <v>131</v>
      </c>
      <c r="B36" s="16" t="s">
        <v>138</v>
      </c>
      <c r="C36" s="17">
        <v>30538.351314294614</v>
      </c>
      <c r="D36" s="18">
        <v>10.150391505814513</v>
      </c>
      <c r="E36" s="6"/>
      <c r="F36" s="8"/>
      <c r="G36" s="10"/>
      <c r="H36" s="10">
        <v>462</v>
      </c>
      <c r="I36" s="10"/>
      <c r="J36" s="10"/>
      <c r="K36" s="22"/>
      <c r="L36" s="10"/>
      <c r="M36" s="10"/>
      <c r="N36" s="40"/>
      <c r="O36" s="40"/>
      <c r="P36" s="10"/>
      <c r="Q36" s="10"/>
      <c r="R36" s="10"/>
      <c r="S36" s="10"/>
      <c r="T36" s="10"/>
      <c r="U36" s="10"/>
      <c r="V36" s="8"/>
      <c r="W36" s="19">
        <v>2.1552966527883224</v>
      </c>
      <c r="X36" s="56">
        <f t="shared" si="0"/>
        <v>4.6651442701045936E-3</v>
      </c>
      <c r="Y36" s="6"/>
      <c r="Z36" s="6"/>
      <c r="AA36" s="8"/>
      <c r="AB36" s="8"/>
      <c r="AC36" s="8"/>
      <c r="AD36" s="8"/>
      <c r="AE36" s="8"/>
      <c r="AF36" s="40"/>
      <c r="AG36" s="40"/>
      <c r="AH36" s="40"/>
      <c r="AI36" s="40"/>
      <c r="AK36" s="18"/>
      <c r="AL36" s="18"/>
      <c r="AM36" s="40" t="s">
        <v>118</v>
      </c>
      <c r="AN36" s="18"/>
      <c r="AO36" s="8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8"/>
      <c r="BK36" s="8"/>
      <c r="BL36" s="11" t="s">
        <v>52</v>
      </c>
      <c r="BM36" s="6"/>
      <c r="BN36" s="6"/>
      <c r="BO36" s="15"/>
    </row>
    <row r="37" spans="1:67">
      <c r="A37" s="16" t="s">
        <v>131</v>
      </c>
      <c r="B37" s="16" t="s">
        <v>138</v>
      </c>
      <c r="C37" s="17">
        <v>30627.767451850104</v>
      </c>
      <c r="D37" s="18">
        <v>10.395204777118606</v>
      </c>
      <c r="E37" s="6"/>
      <c r="F37" s="8"/>
      <c r="G37" s="10"/>
      <c r="H37" s="10">
        <v>647</v>
      </c>
      <c r="I37" s="10"/>
      <c r="J37" s="10"/>
      <c r="K37" s="22"/>
      <c r="L37" s="10"/>
      <c r="M37" s="10"/>
      <c r="N37" s="40"/>
      <c r="O37" s="40"/>
      <c r="P37" s="10"/>
      <c r="Q37" s="10"/>
      <c r="R37" s="10"/>
      <c r="S37" s="10"/>
      <c r="T37" s="10"/>
      <c r="U37" s="10"/>
      <c r="V37" s="8"/>
      <c r="W37" s="19">
        <v>3.0183423474306905</v>
      </c>
      <c r="X37" s="56">
        <f t="shared" si="0"/>
        <v>4.6651350037568628E-3</v>
      </c>
      <c r="Y37" s="6"/>
      <c r="Z37" s="6"/>
      <c r="AA37" s="8"/>
      <c r="AB37" s="8"/>
      <c r="AC37" s="8"/>
      <c r="AD37" s="8"/>
      <c r="AE37" s="8"/>
      <c r="AF37" s="40"/>
      <c r="AG37" s="40"/>
      <c r="AH37" s="40"/>
      <c r="AI37" s="40"/>
      <c r="AK37" s="18"/>
      <c r="AL37" s="18"/>
      <c r="AM37" s="40" t="s">
        <v>118</v>
      </c>
      <c r="AN37" s="18"/>
      <c r="AO37" s="8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8"/>
      <c r="BK37" s="8"/>
      <c r="BL37" s="11" t="s">
        <v>52</v>
      </c>
      <c r="BM37" s="6"/>
      <c r="BN37" s="6"/>
      <c r="BO37" s="15"/>
    </row>
    <row r="38" spans="1:67" ht="13.25" customHeight="1">
      <c r="A38" s="16" t="s">
        <v>131</v>
      </c>
      <c r="B38" s="16" t="s">
        <v>138</v>
      </c>
      <c r="C38" s="17">
        <v>30715.258811305906</v>
      </c>
      <c r="D38" s="18">
        <v>10.634748180633713</v>
      </c>
      <c r="E38" s="6"/>
      <c r="F38" s="8"/>
      <c r="G38" s="10"/>
      <c r="H38" s="10">
        <v>744.6</v>
      </c>
      <c r="I38" s="10"/>
      <c r="J38" s="10"/>
      <c r="K38" s="22"/>
      <c r="L38" s="10"/>
      <c r="M38" s="10"/>
      <c r="N38" s="40"/>
      <c r="O38" s="40"/>
      <c r="P38" s="10"/>
      <c r="Q38" s="10"/>
      <c r="R38" s="10"/>
      <c r="S38" s="10"/>
      <c r="T38" s="10"/>
      <c r="U38" s="10"/>
      <c r="V38" s="8"/>
      <c r="W38" s="19">
        <v>3.4735233155522969</v>
      </c>
      <c r="X38" s="56">
        <f t="shared" si="0"/>
        <v>4.6649520756813015E-3</v>
      </c>
      <c r="Y38" s="6"/>
      <c r="Z38" s="6"/>
      <c r="AA38" s="8"/>
      <c r="AB38" s="8"/>
      <c r="AC38" s="8"/>
      <c r="AD38" s="8"/>
      <c r="AE38" s="8"/>
      <c r="AF38" s="40"/>
      <c r="AG38" s="40"/>
      <c r="AH38" s="40"/>
      <c r="AI38" s="40"/>
      <c r="AK38" s="18"/>
      <c r="AL38" s="18"/>
      <c r="AM38" s="40" t="s">
        <v>118</v>
      </c>
      <c r="AN38" s="18"/>
      <c r="AO38" s="8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8"/>
      <c r="BK38" s="8"/>
      <c r="BL38" s="11" t="s">
        <v>52</v>
      </c>
      <c r="BM38" s="6"/>
      <c r="BN38" s="6"/>
      <c r="BO38" s="15"/>
    </row>
    <row r="39" spans="1:67">
      <c r="A39" s="16" t="s">
        <v>131</v>
      </c>
      <c r="B39" s="16" t="s">
        <v>138</v>
      </c>
      <c r="C39" s="17">
        <v>30802.559553724561</v>
      </c>
      <c r="D39" s="18">
        <v>10.873769691997065</v>
      </c>
      <c r="E39" s="6"/>
      <c r="F39" s="8"/>
      <c r="G39" s="10"/>
      <c r="H39" s="10">
        <v>720.6</v>
      </c>
      <c r="I39" s="10"/>
      <c r="J39" s="10"/>
      <c r="K39" s="22"/>
      <c r="L39" s="10"/>
      <c r="M39" s="10"/>
      <c r="N39" s="40"/>
      <c r="O39" s="40"/>
      <c r="P39" s="10"/>
      <c r="Q39" s="10"/>
      <c r="R39" s="10"/>
      <c r="S39" s="10"/>
      <c r="T39" s="10"/>
      <c r="U39" s="10"/>
      <c r="V39" s="8"/>
      <c r="W39" s="19">
        <v>3.3614911261507547</v>
      </c>
      <c r="X39" s="56">
        <f t="shared" si="0"/>
        <v>4.6648502999594148E-3</v>
      </c>
      <c r="Y39" s="6"/>
      <c r="Z39" s="6"/>
      <c r="AA39" s="8"/>
      <c r="AB39" s="8"/>
      <c r="AC39" s="8"/>
      <c r="AD39" s="8"/>
      <c r="AE39" s="8"/>
      <c r="AF39" s="40"/>
      <c r="AG39" s="40"/>
      <c r="AH39" s="40"/>
      <c r="AI39" s="40"/>
      <c r="AK39" s="18"/>
      <c r="AL39" s="18"/>
      <c r="AM39" s="40" t="s">
        <v>118</v>
      </c>
      <c r="AN39" s="18"/>
      <c r="AO39" s="8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8"/>
      <c r="BK39" s="8"/>
      <c r="BL39" s="11" t="s">
        <v>52</v>
      </c>
      <c r="BM39" s="6"/>
      <c r="BN39" s="6"/>
      <c r="BO39" s="15"/>
    </row>
    <row r="40" spans="1:67" ht="13.25" customHeight="1">
      <c r="A40" s="16" t="s">
        <v>131</v>
      </c>
      <c r="B40" s="16" t="s">
        <v>138</v>
      </c>
      <c r="C40" s="17">
        <v>30887.21253482176</v>
      </c>
      <c r="D40" s="18">
        <v>11.105541873111324</v>
      </c>
      <c r="E40" s="6"/>
      <c r="F40" s="8"/>
      <c r="G40" s="10"/>
      <c r="H40" s="10">
        <v>682.9</v>
      </c>
      <c r="I40" s="10"/>
      <c r="J40" s="10"/>
      <c r="K40" s="22"/>
      <c r="L40" s="10"/>
      <c r="M40" s="10"/>
      <c r="N40" s="40"/>
      <c r="O40" s="40"/>
      <c r="P40" s="10"/>
      <c r="Q40" s="10"/>
      <c r="R40" s="10"/>
      <c r="S40" s="10"/>
      <c r="T40" s="10"/>
      <c r="U40" s="10"/>
      <c r="V40" s="8"/>
      <c r="W40" s="19">
        <v>3.1856249844094635</v>
      </c>
      <c r="X40" s="56">
        <f t="shared" si="0"/>
        <v>4.664848417644551E-3</v>
      </c>
      <c r="Y40" s="6"/>
      <c r="Z40" s="6"/>
      <c r="AA40" s="8"/>
      <c r="AB40" s="8"/>
      <c r="AC40" s="8"/>
      <c r="AD40" s="8"/>
      <c r="AE40" s="8"/>
      <c r="AF40" s="40"/>
      <c r="AG40" s="40"/>
      <c r="AH40" s="40"/>
      <c r="AI40" s="40"/>
      <c r="AK40" s="18"/>
      <c r="AL40" s="18"/>
      <c r="AM40" s="40" t="s">
        <v>118</v>
      </c>
      <c r="AN40" s="18"/>
      <c r="AO40" s="8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8"/>
      <c r="BK40" s="8"/>
      <c r="BL40" s="11" t="s">
        <v>52</v>
      </c>
      <c r="BM40" s="6"/>
      <c r="BN40" s="6"/>
      <c r="BO40" s="15"/>
    </row>
    <row r="41" spans="1:67">
      <c r="A41" s="16" t="s">
        <v>131</v>
      </c>
      <c r="B41" s="16" t="s">
        <v>138</v>
      </c>
      <c r="C41" s="17">
        <v>30977.292955495152</v>
      </c>
      <c r="D41" s="18">
        <v>11.352173891317392</v>
      </c>
      <c r="E41" s="6"/>
      <c r="F41" s="8"/>
      <c r="G41" s="10"/>
      <c r="H41" s="10">
        <v>896.6</v>
      </c>
      <c r="I41" s="10"/>
      <c r="J41" s="10"/>
      <c r="K41" s="22"/>
      <c r="L41" s="10"/>
      <c r="M41" s="10"/>
      <c r="N41" s="40"/>
      <c r="O41" s="40"/>
      <c r="P41" s="10"/>
      <c r="Q41" s="10"/>
      <c r="R41" s="10"/>
      <c r="S41" s="10"/>
      <c r="T41" s="10"/>
      <c r="U41" s="10"/>
      <c r="V41" s="8"/>
      <c r="W41" s="20">
        <v>4.1825801090571186</v>
      </c>
      <c r="X41" s="56">
        <f t="shared" si="0"/>
        <v>4.6649343174850755E-3</v>
      </c>
      <c r="Y41" s="6"/>
      <c r="Z41" s="6"/>
      <c r="AA41" s="8"/>
      <c r="AB41" s="8"/>
      <c r="AC41" s="8"/>
      <c r="AD41" s="8"/>
      <c r="AE41" s="8"/>
      <c r="AF41" s="40"/>
      <c r="AG41" s="40"/>
      <c r="AH41" s="40"/>
      <c r="AI41" s="40"/>
      <c r="AK41" s="18"/>
      <c r="AL41" s="18"/>
      <c r="AM41" s="40" t="s">
        <v>118</v>
      </c>
      <c r="AN41" s="18"/>
      <c r="AO41" s="8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8"/>
      <c r="BK41" s="8"/>
      <c r="BL41" s="11" t="s">
        <v>52</v>
      </c>
      <c r="BM41" s="6"/>
      <c r="BN41" s="6"/>
      <c r="BO41" s="15"/>
    </row>
    <row r="42" spans="1:67" ht="13.25" customHeight="1">
      <c r="A42" s="16" t="s">
        <v>131</v>
      </c>
      <c r="B42" s="16" t="s">
        <v>138</v>
      </c>
      <c r="C42" s="17">
        <v>31062.967834342868</v>
      </c>
      <c r="D42" s="18">
        <v>11.586743935748967</v>
      </c>
      <c r="E42" s="6"/>
      <c r="F42" s="8"/>
      <c r="G42" s="10"/>
      <c r="H42" s="10">
        <v>1058.3</v>
      </c>
      <c r="I42" s="10"/>
      <c r="J42" s="10"/>
      <c r="K42" s="22"/>
      <c r="L42" s="10"/>
      <c r="M42" s="10"/>
      <c r="N42" s="40"/>
      <c r="O42" s="40"/>
      <c r="P42" s="10"/>
      <c r="Q42" s="10"/>
      <c r="R42" s="10"/>
      <c r="S42" s="10"/>
      <c r="T42" s="10"/>
      <c r="U42" s="10"/>
      <c r="V42" s="8"/>
      <c r="W42" s="20">
        <v>4.9371553746912724</v>
      </c>
      <c r="X42" s="56">
        <f t="shared" si="0"/>
        <v>4.665175635161365E-3</v>
      </c>
      <c r="Y42" s="6"/>
      <c r="Z42" s="6"/>
      <c r="AA42" s="8"/>
      <c r="AB42" s="8"/>
      <c r="AC42" s="8"/>
      <c r="AD42" s="8"/>
      <c r="AE42" s="8"/>
      <c r="AF42" s="40"/>
      <c r="AG42" s="40"/>
      <c r="AH42" s="40"/>
      <c r="AI42" s="40"/>
      <c r="AK42" s="18"/>
      <c r="AL42" s="18"/>
      <c r="AM42" s="40" t="s">
        <v>118</v>
      </c>
      <c r="AN42" s="18"/>
      <c r="AO42" s="8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8"/>
      <c r="BK42" s="8"/>
      <c r="BL42" s="11" t="s">
        <v>52</v>
      </c>
      <c r="BM42" s="6"/>
      <c r="BN42" s="6"/>
      <c r="BO42" s="15"/>
    </row>
    <row r="43" spans="1:67" ht="13.25" customHeight="1">
      <c r="A43" s="16" t="s">
        <v>131</v>
      </c>
      <c r="B43" s="16" t="s">
        <v>138</v>
      </c>
      <c r="C43" s="17">
        <v>31146.788121978712</v>
      </c>
      <c r="D43" s="18">
        <v>11.816236277721874</v>
      </c>
      <c r="E43" s="6"/>
      <c r="F43" s="8"/>
      <c r="G43" s="10"/>
      <c r="H43" s="10">
        <v>1004.3</v>
      </c>
      <c r="I43" s="10"/>
      <c r="J43" s="10"/>
      <c r="K43" s="22"/>
      <c r="L43" s="10"/>
      <c r="M43" s="10"/>
      <c r="N43" s="40"/>
      <c r="O43" s="40"/>
      <c r="P43" s="10"/>
      <c r="Q43" s="10"/>
      <c r="R43" s="10"/>
      <c r="S43" s="10"/>
      <c r="T43" s="10"/>
      <c r="U43" s="10"/>
      <c r="V43" s="8"/>
      <c r="W43" s="20">
        <v>4.6849196855482553</v>
      </c>
      <c r="X43" s="56">
        <f t="shared" si="0"/>
        <v>4.6648607841762975E-3</v>
      </c>
      <c r="Y43" s="6"/>
      <c r="Z43" s="6"/>
      <c r="AA43" s="8"/>
      <c r="AB43" s="8"/>
      <c r="AC43" s="8"/>
      <c r="AD43" s="8"/>
      <c r="AE43" s="8"/>
      <c r="AF43" s="40"/>
      <c r="AG43" s="40"/>
      <c r="AH43" s="40"/>
      <c r="AI43" s="40"/>
      <c r="AK43" s="18"/>
      <c r="AL43" s="18"/>
      <c r="AM43" s="40" t="s">
        <v>118</v>
      </c>
      <c r="AN43" s="18"/>
      <c r="AO43" s="8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8"/>
      <c r="BK43" s="8"/>
      <c r="BL43" s="11" t="s">
        <v>52</v>
      </c>
      <c r="BM43" s="6"/>
      <c r="BN43" s="6"/>
      <c r="BO43" s="15"/>
    </row>
    <row r="44" spans="1:67">
      <c r="A44" s="16" t="s">
        <v>131</v>
      </c>
      <c r="B44" s="16" t="s">
        <v>138</v>
      </c>
      <c r="C44" s="17">
        <v>31238.172908667766</v>
      </c>
      <c r="D44" s="18">
        <v>12.06643953172499</v>
      </c>
      <c r="E44" s="6"/>
      <c r="F44" s="8"/>
      <c r="G44" s="10"/>
      <c r="H44" s="10">
        <v>917.4</v>
      </c>
      <c r="I44" s="10"/>
      <c r="J44" s="10"/>
      <c r="K44" s="22"/>
      <c r="L44" s="10"/>
      <c r="M44" s="10"/>
      <c r="N44" s="40"/>
      <c r="O44" s="40"/>
      <c r="P44" s="10"/>
      <c r="Q44" s="10"/>
      <c r="R44" s="10"/>
      <c r="S44" s="10"/>
      <c r="T44" s="10"/>
      <c r="U44" s="10"/>
      <c r="V44" s="8"/>
      <c r="W44" s="20">
        <v>4.2797872683703524</v>
      </c>
      <c r="X44" s="56">
        <f t="shared" si="0"/>
        <v>4.6651267368327367E-3</v>
      </c>
      <c r="Y44" s="6"/>
      <c r="Z44" s="6"/>
      <c r="AA44" s="8"/>
      <c r="AB44" s="8"/>
      <c r="AC44" s="8"/>
      <c r="AD44" s="8"/>
      <c r="AE44" s="8"/>
      <c r="AF44" s="40"/>
      <c r="AG44" s="40"/>
      <c r="AH44" s="40"/>
      <c r="AI44" s="40"/>
      <c r="AK44" s="18"/>
      <c r="AL44" s="18"/>
      <c r="AM44" s="40" t="s">
        <v>118</v>
      </c>
      <c r="AN44" s="18"/>
      <c r="AO44" s="8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8"/>
      <c r="BK44" s="8"/>
      <c r="BL44" s="11" t="s">
        <v>52</v>
      </c>
      <c r="BM44" s="6"/>
      <c r="BN44" s="6"/>
      <c r="BO44" s="15"/>
    </row>
    <row r="45" spans="1:67" ht="13.25" customHeight="1">
      <c r="A45" s="16" t="s">
        <v>131</v>
      </c>
      <c r="B45" s="16" t="s">
        <v>138</v>
      </c>
      <c r="C45" s="17">
        <v>31324.149783298424</v>
      </c>
      <c r="D45" s="18">
        <v>12.301836413208168</v>
      </c>
      <c r="E45" s="6"/>
      <c r="F45" s="8"/>
      <c r="G45" s="10"/>
      <c r="H45" s="10">
        <v>1046.4000000000001</v>
      </c>
      <c r="I45" s="10"/>
      <c r="J45" s="10"/>
      <c r="K45" s="22"/>
      <c r="L45" s="10"/>
      <c r="M45" s="10"/>
      <c r="N45" s="40"/>
      <c r="O45" s="40"/>
      <c r="P45" s="10"/>
      <c r="Q45" s="10"/>
      <c r="R45" s="10"/>
      <c r="S45" s="10"/>
      <c r="T45" s="10"/>
      <c r="U45" s="10"/>
      <c r="V45" s="8"/>
      <c r="W45" s="20">
        <v>4.8814658059696612</v>
      </c>
      <c r="X45" s="56">
        <f t="shared" si="0"/>
        <v>4.6650093711483763E-3</v>
      </c>
      <c r="Y45" s="6"/>
      <c r="Z45" s="6"/>
      <c r="AA45" s="8"/>
      <c r="AB45" s="8"/>
      <c r="AC45" s="8"/>
      <c r="AD45" s="8"/>
      <c r="AE45" s="8"/>
      <c r="AF45" s="40"/>
      <c r="AG45" s="40"/>
      <c r="AH45" s="40"/>
      <c r="AI45" s="40"/>
      <c r="AK45" s="18"/>
      <c r="AL45" s="18"/>
      <c r="AM45" s="40" t="s">
        <v>118</v>
      </c>
      <c r="AN45" s="18"/>
      <c r="AO45" s="8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8"/>
      <c r="BK45" s="8"/>
      <c r="BL45" s="11" t="s">
        <v>52</v>
      </c>
      <c r="BM45" s="6"/>
      <c r="BN45" s="6"/>
      <c r="BO45" s="15"/>
    </row>
    <row r="46" spans="1:67">
      <c r="A46" s="16" t="s">
        <v>131</v>
      </c>
      <c r="B46" s="16" t="s">
        <v>138</v>
      </c>
      <c r="C46" s="17">
        <v>31411.906053080591</v>
      </c>
      <c r="D46" s="18">
        <v>12.54210511715978</v>
      </c>
      <c r="E46" s="6"/>
      <c r="F46" s="8"/>
      <c r="G46" s="10"/>
      <c r="H46" s="10">
        <v>1164.4000000000001</v>
      </c>
      <c r="I46" s="10"/>
      <c r="J46" s="10"/>
      <c r="K46" s="22"/>
      <c r="L46" s="10"/>
      <c r="M46" s="10"/>
      <c r="N46" s="40"/>
      <c r="O46" s="40"/>
      <c r="P46" s="10"/>
      <c r="Q46" s="10"/>
      <c r="R46" s="10"/>
      <c r="S46" s="10"/>
      <c r="T46" s="10"/>
      <c r="U46" s="10"/>
      <c r="V46" s="8"/>
      <c r="W46" s="20">
        <v>5.4321612527539287</v>
      </c>
      <c r="X46" s="56">
        <f t="shared" si="0"/>
        <v>4.6652020377481347E-3</v>
      </c>
      <c r="Y46" s="6"/>
      <c r="Z46" s="6"/>
      <c r="AA46" s="8"/>
      <c r="AB46" s="8"/>
      <c r="AC46" s="8"/>
      <c r="AD46" s="8"/>
      <c r="AE46" s="8"/>
      <c r="AF46" s="40"/>
      <c r="AG46" s="40"/>
      <c r="AH46" s="40"/>
      <c r="AI46" s="40"/>
      <c r="AK46" s="18"/>
      <c r="AL46" s="18"/>
      <c r="AM46" s="40" t="s">
        <v>118</v>
      </c>
      <c r="AN46" s="18"/>
      <c r="AO46" s="8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8"/>
      <c r="BK46" s="8"/>
      <c r="BL46" s="11" t="s">
        <v>52</v>
      </c>
      <c r="BM46" s="6"/>
      <c r="BN46" s="6"/>
      <c r="BO46" s="15"/>
    </row>
    <row r="47" spans="1:67">
      <c r="A47" s="16" t="s">
        <v>131</v>
      </c>
      <c r="B47" s="16" t="s">
        <v>138</v>
      </c>
      <c r="C47" s="17">
        <v>31500.039514709715</v>
      </c>
      <c r="D47" s="18">
        <v>12.783406538163227</v>
      </c>
      <c r="E47" s="6"/>
      <c r="F47" s="8"/>
      <c r="G47" s="10"/>
      <c r="H47" s="10">
        <v>1132.2</v>
      </c>
      <c r="I47" s="10"/>
      <c r="J47" s="10"/>
      <c r="K47" s="22"/>
      <c r="L47" s="10"/>
      <c r="M47" s="10"/>
      <c r="N47" s="40"/>
      <c r="O47" s="40"/>
      <c r="P47" s="10"/>
      <c r="Q47" s="10"/>
      <c r="R47" s="10"/>
      <c r="S47" s="10"/>
      <c r="T47" s="10"/>
      <c r="U47" s="10"/>
      <c r="V47" s="8"/>
      <c r="W47" s="20">
        <v>5.2819442896515207</v>
      </c>
      <c r="X47" s="56">
        <f t="shared" si="0"/>
        <v>4.6652042833876702E-3</v>
      </c>
      <c r="Y47" s="6"/>
      <c r="Z47" s="6"/>
      <c r="AA47" s="8"/>
      <c r="AB47" s="8"/>
      <c r="AC47" s="8"/>
      <c r="AD47" s="8"/>
      <c r="AE47" s="8"/>
      <c r="AF47" s="40"/>
      <c r="AG47" s="40"/>
      <c r="AH47" s="40"/>
      <c r="AI47" s="40"/>
      <c r="AK47" s="18"/>
      <c r="AL47" s="18"/>
      <c r="AM47" s="40" t="s">
        <v>118</v>
      </c>
      <c r="AN47" s="18"/>
      <c r="AO47" s="8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8"/>
      <c r="BK47" s="8"/>
      <c r="BL47" s="11" t="s">
        <v>52</v>
      </c>
      <c r="BM47" s="6"/>
      <c r="BN47" s="6"/>
      <c r="BO47" s="15"/>
    </row>
    <row r="48" spans="1:67" ht="13.25" customHeight="1">
      <c r="A48" s="16" t="s">
        <v>131</v>
      </c>
      <c r="B48" s="16" t="s">
        <v>138</v>
      </c>
      <c r="C48" s="17">
        <v>31586.115056720741</v>
      </c>
      <c r="D48" s="18">
        <v>13.0190735619811</v>
      </c>
      <c r="E48" s="6"/>
      <c r="F48" s="8"/>
      <c r="G48" s="10"/>
      <c r="H48" s="10">
        <v>1105.5</v>
      </c>
      <c r="I48" s="10"/>
      <c r="J48" s="10"/>
      <c r="K48" s="22"/>
      <c r="L48" s="10"/>
      <c r="M48" s="10"/>
      <c r="N48" s="40"/>
      <c r="O48" s="40"/>
      <c r="P48" s="10"/>
      <c r="Q48" s="10"/>
      <c r="R48" s="10"/>
      <c r="S48" s="10"/>
      <c r="T48" s="10"/>
      <c r="U48" s="10"/>
      <c r="V48" s="8"/>
      <c r="W48" s="20">
        <v>5.1571137831357339</v>
      </c>
      <c r="X48" s="56">
        <f t="shared" si="0"/>
        <v>4.6649604551205195E-3</v>
      </c>
      <c r="Y48" s="6"/>
      <c r="Z48" s="6"/>
      <c r="AA48" s="8"/>
      <c r="AB48" s="8"/>
      <c r="AC48" s="8"/>
      <c r="AD48" s="8"/>
      <c r="AE48" s="8"/>
      <c r="AF48" s="40"/>
      <c r="AG48" s="40"/>
      <c r="AH48" s="40"/>
      <c r="AI48" s="40"/>
      <c r="AK48" s="18"/>
      <c r="AL48" s="18"/>
      <c r="AM48" s="40" t="s">
        <v>118</v>
      </c>
      <c r="AN48" s="18"/>
      <c r="AO48" s="8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8"/>
      <c r="BK48" s="8"/>
      <c r="BL48" s="11" t="s">
        <v>52</v>
      </c>
      <c r="BM48" s="6"/>
      <c r="BN48" s="6"/>
      <c r="BO48" s="15"/>
    </row>
    <row r="49" spans="1:67">
      <c r="A49" s="16" t="s">
        <v>131</v>
      </c>
      <c r="B49" s="16" t="s">
        <v>138</v>
      </c>
      <c r="C49" s="17">
        <v>31676.719901270066</v>
      </c>
      <c r="D49" s="18">
        <v>13.267141405174996</v>
      </c>
      <c r="E49" s="6"/>
      <c r="F49" s="8"/>
      <c r="G49" s="10"/>
      <c r="H49" s="10">
        <v>1190.7</v>
      </c>
      <c r="I49" s="10"/>
      <c r="J49" s="10"/>
      <c r="K49" s="22"/>
      <c r="L49" s="10"/>
      <c r="M49" s="10"/>
      <c r="N49" s="40"/>
      <c r="O49" s="40"/>
      <c r="P49" s="10"/>
      <c r="Q49" s="10"/>
      <c r="R49" s="10"/>
      <c r="S49" s="10"/>
      <c r="T49" s="10"/>
      <c r="U49" s="10"/>
      <c r="V49" s="8"/>
      <c r="W49" s="20">
        <v>5.5549125018851582</v>
      </c>
      <c r="X49" s="56">
        <f t="shared" si="0"/>
        <v>4.6652494346898108E-3</v>
      </c>
      <c r="Y49" s="6"/>
      <c r="Z49" s="6"/>
      <c r="AA49" s="8"/>
      <c r="AB49" s="8"/>
      <c r="AC49" s="8"/>
      <c r="AD49" s="8"/>
      <c r="AE49" s="8"/>
      <c r="AF49" s="40"/>
      <c r="AG49" s="40"/>
      <c r="AH49" s="40"/>
      <c r="AI49" s="40"/>
      <c r="AK49" s="18"/>
      <c r="AL49" s="18"/>
      <c r="AM49" s="40" t="s">
        <v>118</v>
      </c>
      <c r="AN49" s="18"/>
      <c r="AO49" s="8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8"/>
      <c r="BK49" s="8"/>
      <c r="BL49" s="11" t="s">
        <v>52</v>
      </c>
      <c r="BM49" s="6"/>
      <c r="BN49" s="6"/>
      <c r="BO49" s="15"/>
    </row>
    <row r="50" spans="1:67" ht="13.25" customHeight="1">
      <c r="A50" s="16" t="s">
        <v>131</v>
      </c>
      <c r="B50" s="16" t="s">
        <v>138</v>
      </c>
      <c r="C50" s="17">
        <v>31760.942939194949</v>
      </c>
      <c r="D50" s="18">
        <v>13.49773644089507</v>
      </c>
      <c r="E50" s="6"/>
      <c r="F50" s="8"/>
      <c r="G50" s="10"/>
      <c r="H50" s="10">
        <v>1368.9</v>
      </c>
      <c r="I50" s="10"/>
      <c r="J50" s="10"/>
      <c r="K50" s="22"/>
      <c r="L50" s="10"/>
      <c r="M50" s="10"/>
      <c r="N50" s="40"/>
      <c r="O50" s="40"/>
      <c r="P50" s="10"/>
      <c r="Q50" s="10"/>
      <c r="R50" s="10"/>
      <c r="S50" s="10"/>
      <c r="T50" s="10"/>
      <c r="U50" s="10"/>
      <c r="V50" s="8">
        <v>3.9152116000606262E-3</v>
      </c>
      <c r="W50" s="20">
        <v>6.3860149481524493</v>
      </c>
      <c r="X50" s="56">
        <f t="shared" si="0"/>
        <v>4.6650704566823355E-3</v>
      </c>
      <c r="Y50" s="6"/>
      <c r="Z50" s="6"/>
      <c r="AA50" s="8"/>
      <c r="AB50" s="8"/>
      <c r="AC50" s="8"/>
      <c r="AD50" s="8"/>
      <c r="AE50" s="8"/>
      <c r="AF50" s="40"/>
      <c r="AG50" s="40"/>
      <c r="AH50" s="40"/>
      <c r="AI50" s="40"/>
      <c r="AK50" s="18"/>
      <c r="AL50" s="18"/>
      <c r="AM50" s="40" t="s">
        <v>118</v>
      </c>
      <c r="AN50" s="18"/>
      <c r="AO50" s="8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8"/>
      <c r="BK50" s="8"/>
      <c r="BL50" s="11" t="s">
        <v>52</v>
      </c>
      <c r="BM50" s="6"/>
      <c r="BN50" s="6"/>
      <c r="BO50" s="15"/>
    </row>
    <row r="51" spans="1:67">
      <c r="A51" s="16" t="s">
        <v>131</v>
      </c>
      <c r="B51" s="16" t="s">
        <v>138</v>
      </c>
      <c r="C51" s="17">
        <v>31847.187625286595</v>
      </c>
      <c r="D51" s="18">
        <v>13.733866565858111</v>
      </c>
      <c r="E51" s="6"/>
      <c r="F51" s="8"/>
      <c r="G51" s="10"/>
      <c r="H51" s="10">
        <v>1323</v>
      </c>
      <c r="I51" s="10"/>
      <c r="J51" s="10"/>
      <c r="K51" s="22"/>
      <c r="L51" s="10"/>
      <c r="M51" s="10"/>
      <c r="N51" s="40"/>
      <c r="O51" s="40"/>
      <c r="P51" s="10"/>
      <c r="Q51" s="10"/>
      <c r="R51" s="10"/>
      <c r="S51" s="10"/>
      <c r="T51" s="10"/>
      <c r="U51" s="10"/>
      <c r="V51" s="8"/>
      <c r="W51" s="20">
        <v>6.1720691215311199</v>
      </c>
      <c r="X51" s="56">
        <f t="shared" si="0"/>
        <v>4.6652071969245047E-3</v>
      </c>
      <c r="Y51" s="6"/>
      <c r="Z51" s="6"/>
      <c r="AA51" s="8"/>
      <c r="AB51" s="8"/>
      <c r="AC51" s="8"/>
      <c r="AD51" s="8"/>
      <c r="AE51" s="8"/>
      <c r="AF51" s="40"/>
      <c r="AG51" s="40"/>
      <c r="AH51" s="40"/>
      <c r="AI51" s="40"/>
      <c r="AK51" s="18"/>
      <c r="AL51" s="18"/>
      <c r="AM51" s="40" t="s">
        <v>118</v>
      </c>
      <c r="AN51" s="18"/>
      <c r="AO51" s="8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8"/>
      <c r="BK51" s="8"/>
      <c r="BL51" s="11" t="s">
        <v>52</v>
      </c>
      <c r="BM51" s="6"/>
      <c r="BN51" s="6"/>
      <c r="BO51" s="15"/>
    </row>
    <row r="52" spans="1:67">
      <c r="A52" s="16" t="s">
        <v>131</v>
      </c>
      <c r="B52" s="16" t="s">
        <v>138</v>
      </c>
      <c r="C52" s="17">
        <v>31938.346886534797</v>
      </c>
      <c r="D52" s="18">
        <v>13.983452351667603</v>
      </c>
      <c r="E52" s="6"/>
      <c r="F52" s="8"/>
      <c r="G52" s="10"/>
      <c r="H52" s="10">
        <v>1271.7</v>
      </c>
      <c r="I52" s="10"/>
      <c r="J52" s="10"/>
      <c r="K52" s="22"/>
      <c r="L52" s="10"/>
      <c r="M52" s="10"/>
      <c r="N52" s="40"/>
      <c r="O52" s="40"/>
      <c r="P52" s="10"/>
      <c r="Q52" s="10"/>
      <c r="R52" s="10"/>
      <c r="S52" s="10"/>
      <c r="T52" s="10"/>
      <c r="U52" s="10"/>
      <c r="V52" s="8"/>
      <c r="W52" s="20">
        <v>5.9325792050918391</v>
      </c>
      <c r="X52" s="56">
        <f t="shared" si="0"/>
        <v>4.6650776166484538E-3</v>
      </c>
      <c r="Y52" s="6"/>
      <c r="Z52" s="6"/>
      <c r="AA52" s="8"/>
      <c r="AB52" s="8"/>
      <c r="AC52" s="8"/>
      <c r="AD52" s="8"/>
      <c r="AE52" s="8"/>
      <c r="AF52" s="40"/>
      <c r="AG52" s="40"/>
      <c r="AH52" s="40"/>
      <c r="AI52" s="40"/>
      <c r="AK52" s="18"/>
      <c r="AL52" s="18"/>
      <c r="AM52" s="40" t="s">
        <v>118</v>
      </c>
      <c r="AN52" s="18"/>
      <c r="AO52" s="8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8"/>
      <c r="BK52" s="8"/>
      <c r="BL52" s="11" t="s">
        <v>52</v>
      </c>
      <c r="BM52" s="6"/>
      <c r="BN52" s="6"/>
      <c r="BO52" s="15"/>
    </row>
    <row r="53" spans="1:67" ht="13.25" customHeight="1">
      <c r="A53" s="16" t="s">
        <v>132</v>
      </c>
      <c r="B53" s="16" t="s">
        <v>139</v>
      </c>
      <c r="C53" s="17">
        <v>30538.351314294614</v>
      </c>
      <c r="D53" s="18">
        <v>10.150391505814513</v>
      </c>
      <c r="E53" s="6"/>
      <c r="F53" s="8"/>
      <c r="G53" s="10"/>
      <c r="H53" s="10">
        <v>503</v>
      </c>
      <c r="I53" s="10"/>
      <c r="J53" s="10"/>
      <c r="K53" s="22"/>
      <c r="L53" s="10"/>
      <c r="M53" s="10"/>
      <c r="N53" s="40"/>
      <c r="O53" s="40"/>
      <c r="P53" s="10"/>
      <c r="Q53" s="10"/>
      <c r="R53" s="10"/>
      <c r="S53" s="10"/>
      <c r="T53" s="10"/>
      <c r="U53" s="10"/>
      <c r="V53" s="8"/>
      <c r="W53" s="20">
        <v>2.2987390180618346</v>
      </c>
      <c r="X53" s="56">
        <f t="shared" si="0"/>
        <v>4.5700576899837669E-3</v>
      </c>
      <c r="Y53" s="6"/>
      <c r="Z53" s="6"/>
      <c r="AA53" s="8"/>
      <c r="AB53" s="8"/>
      <c r="AC53" s="8"/>
      <c r="AD53" s="8"/>
      <c r="AE53" s="8"/>
      <c r="AF53" s="40"/>
      <c r="AG53" s="40"/>
      <c r="AH53" s="40"/>
      <c r="AI53" s="40"/>
      <c r="AK53" s="18"/>
      <c r="AL53" s="18"/>
      <c r="AM53" s="40" t="s">
        <v>118</v>
      </c>
      <c r="AN53" s="18"/>
      <c r="AO53" s="8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8"/>
      <c r="BK53" s="8"/>
      <c r="BL53" s="11" t="s">
        <v>52</v>
      </c>
      <c r="BM53" s="6"/>
      <c r="BN53" s="6"/>
      <c r="BO53" s="15"/>
    </row>
    <row r="54" spans="1:67">
      <c r="A54" s="16" t="s">
        <v>132</v>
      </c>
      <c r="B54" s="16" t="s">
        <v>139</v>
      </c>
      <c r="C54" s="17">
        <v>30627.767451850104</v>
      </c>
      <c r="D54" s="18">
        <v>10.395204777118606</v>
      </c>
      <c r="E54" s="6"/>
      <c r="F54" s="8"/>
      <c r="G54" s="10"/>
      <c r="H54" s="10">
        <v>749.5</v>
      </c>
      <c r="I54" s="10"/>
      <c r="J54" s="10"/>
      <c r="K54" s="22"/>
      <c r="L54" s="10"/>
      <c r="M54" s="10"/>
      <c r="N54" s="40"/>
      <c r="O54" s="40"/>
      <c r="P54" s="10"/>
      <c r="Q54" s="10"/>
      <c r="R54" s="10"/>
      <c r="S54" s="10"/>
      <c r="T54" s="10"/>
      <c r="U54" s="10"/>
      <c r="V54" s="8"/>
      <c r="W54" s="20">
        <v>3.4252198981288373</v>
      </c>
      <c r="X54" s="56">
        <f t="shared" si="0"/>
        <v>4.5700065351952463E-3</v>
      </c>
      <c r="Y54" s="6"/>
      <c r="Z54" s="6"/>
      <c r="AA54" s="8"/>
      <c r="AB54" s="8"/>
      <c r="AC54" s="8"/>
      <c r="AD54" s="8"/>
      <c r="AE54" s="8"/>
      <c r="AF54" s="40"/>
      <c r="AG54" s="40"/>
      <c r="AH54" s="40"/>
      <c r="AI54" s="40"/>
      <c r="AK54" s="18"/>
      <c r="AL54" s="18"/>
      <c r="AM54" s="40" t="s">
        <v>118</v>
      </c>
      <c r="AN54" s="18"/>
      <c r="AO54" s="8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8"/>
      <c r="BK54" s="8"/>
      <c r="BL54" s="11" t="s">
        <v>52</v>
      </c>
      <c r="BM54" s="6"/>
      <c r="BN54" s="6"/>
      <c r="BO54" s="15"/>
    </row>
    <row r="55" spans="1:67">
      <c r="A55" s="16" t="s">
        <v>132</v>
      </c>
      <c r="B55" s="16" t="s">
        <v>139</v>
      </c>
      <c r="C55" s="17">
        <v>30715.258811305906</v>
      </c>
      <c r="D55" s="18">
        <v>10.634748180633713</v>
      </c>
      <c r="E55" s="6"/>
      <c r="F55" s="8"/>
      <c r="G55" s="10"/>
      <c r="H55" s="10">
        <v>935.8</v>
      </c>
      <c r="I55" s="10"/>
      <c r="J55" s="10"/>
      <c r="K55" s="22"/>
      <c r="L55" s="10"/>
      <c r="M55" s="10"/>
      <c r="N55" s="40"/>
      <c r="O55" s="40"/>
      <c r="P55" s="10"/>
      <c r="Q55" s="10"/>
      <c r="R55" s="10"/>
      <c r="S55" s="10"/>
      <c r="T55" s="10"/>
      <c r="U55" s="10"/>
      <c r="V55" s="8"/>
      <c r="W55" s="20">
        <v>4.2770445844052229</v>
      </c>
      <c r="X55" s="56">
        <f t="shared" si="0"/>
        <v>4.5704686732263551E-3</v>
      </c>
      <c r="Y55" s="6"/>
      <c r="Z55" s="6"/>
      <c r="AA55" s="8"/>
      <c r="AB55" s="8"/>
      <c r="AC55" s="8"/>
      <c r="AD55" s="8"/>
      <c r="AE55" s="8"/>
      <c r="AF55" s="40"/>
      <c r="AG55" s="40"/>
      <c r="AH55" s="40"/>
      <c r="AI55" s="40"/>
      <c r="AK55" s="18"/>
      <c r="AL55" s="18"/>
      <c r="AM55" s="40" t="s">
        <v>118</v>
      </c>
      <c r="AN55" s="18"/>
      <c r="AO55" s="8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8"/>
      <c r="BK55" s="8"/>
      <c r="BL55" s="11" t="s">
        <v>52</v>
      </c>
      <c r="BM55" s="6"/>
      <c r="BN55" s="6"/>
      <c r="BO55" s="15"/>
    </row>
    <row r="56" spans="1:67" ht="13.25" customHeight="1">
      <c r="A56" s="16" t="s">
        <v>132</v>
      </c>
      <c r="B56" s="16" t="s">
        <v>139</v>
      </c>
      <c r="C56" s="17">
        <v>30802.559553724561</v>
      </c>
      <c r="D56" s="18">
        <v>10.873769691997065</v>
      </c>
      <c r="E56" s="6"/>
      <c r="F56" s="8"/>
      <c r="G56" s="10"/>
      <c r="H56" s="10">
        <v>876.3</v>
      </c>
      <c r="I56" s="10"/>
      <c r="J56" s="10"/>
      <c r="K56" s="22"/>
      <c r="L56" s="10"/>
      <c r="M56" s="10"/>
      <c r="N56" s="40"/>
      <c r="O56" s="40"/>
      <c r="P56" s="10"/>
      <c r="Q56" s="10"/>
      <c r="R56" s="10"/>
      <c r="S56" s="10"/>
      <c r="T56" s="10"/>
      <c r="U56" s="10"/>
      <c r="V56" s="8"/>
      <c r="W56" s="20">
        <v>4.0050136887800987</v>
      </c>
      <c r="X56" s="56">
        <f t="shared" si="0"/>
        <v>4.5703682400777121E-3</v>
      </c>
      <c r="Y56" s="6"/>
      <c r="Z56" s="6"/>
      <c r="AA56" s="8"/>
      <c r="AB56" s="8"/>
      <c r="AC56" s="8"/>
      <c r="AD56" s="8"/>
      <c r="AE56" s="8"/>
      <c r="AF56" s="40"/>
      <c r="AG56" s="40"/>
      <c r="AH56" s="40"/>
      <c r="AI56" s="40"/>
      <c r="AK56" s="18"/>
      <c r="AL56" s="18"/>
      <c r="AM56" s="40" t="s">
        <v>118</v>
      </c>
      <c r="AN56" s="18"/>
      <c r="AO56" s="8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8"/>
      <c r="BK56" s="8"/>
      <c r="BL56" s="11" t="s">
        <v>52</v>
      </c>
      <c r="BM56" s="6"/>
      <c r="BN56" s="6"/>
      <c r="BO56" s="15"/>
    </row>
    <row r="57" spans="1:67">
      <c r="A57" s="16" t="s">
        <v>132</v>
      </c>
      <c r="B57" s="16" t="s">
        <v>139</v>
      </c>
      <c r="C57" s="17">
        <v>30887.21253482176</v>
      </c>
      <c r="D57" s="18">
        <v>11.105541873111324</v>
      </c>
      <c r="E57" s="6"/>
      <c r="F57" s="8"/>
      <c r="G57" s="10"/>
      <c r="H57" s="10">
        <v>819.5</v>
      </c>
      <c r="I57" s="10"/>
      <c r="J57" s="10"/>
      <c r="K57" s="22"/>
      <c r="L57" s="10"/>
      <c r="M57" s="10"/>
      <c r="N57" s="40"/>
      <c r="O57" s="40"/>
      <c r="P57" s="10"/>
      <c r="Q57" s="10"/>
      <c r="R57" s="10"/>
      <c r="S57" s="10"/>
      <c r="T57" s="10"/>
      <c r="U57" s="10"/>
      <c r="V57" s="8"/>
      <c r="W57" s="20">
        <v>3.7452121232648556</v>
      </c>
      <c r="X57" s="56">
        <f t="shared" si="0"/>
        <v>4.5701185152713306E-3</v>
      </c>
      <c r="Y57" s="6"/>
      <c r="Z57" s="6"/>
      <c r="AA57" s="8"/>
      <c r="AB57" s="8"/>
      <c r="AC57" s="8"/>
      <c r="AD57" s="8"/>
      <c r="AE57" s="8"/>
      <c r="AF57" s="40"/>
      <c r="AG57" s="40"/>
      <c r="AH57" s="40"/>
      <c r="AI57" s="40"/>
      <c r="AK57" s="18"/>
      <c r="AL57" s="18"/>
      <c r="AM57" s="40" t="s">
        <v>118</v>
      </c>
      <c r="AN57" s="18"/>
      <c r="AO57" s="8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8"/>
      <c r="BK57" s="8"/>
      <c r="BL57" s="11" t="s">
        <v>52</v>
      </c>
      <c r="BM57" s="6"/>
      <c r="BN57" s="6"/>
      <c r="BO57" s="15"/>
    </row>
    <row r="58" spans="1:67" ht="13.25" customHeight="1">
      <c r="A58" s="16" t="s">
        <v>132</v>
      </c>
      <c r="B58" s="16" t="s">
        <v>139</v>
      </c>
      <c r="C58" s="17">
        <v>30977.292955495152</v>
      </c>
      <c r="D58" s="18">
        <v>11.352173891317392</v>
      </c>
      <c r="E58" s="6"/>
      <c r="F58" s="8"/>
      <c r="G58" s="10"/>
      <c r="H58" s="10">
        <v>1227.2</v>
      </c>
      <c r="I58" s="10"/>
      <c r="J58" s="10"/>
      <c r="K58" s="22"/>
      <c r="L58" s="10"/>
      <c r="M58" s="10"/>
      <c r="N58" s="40"/>
      <c r="O58" s="40"/>
      <c r="P58" s="10"/>
      <c r="Q58" s="10"/>
      <c r="R58" s="10"/>
      <c r="S58" s="10"/>
      <c r="T58" s="10"/>
      <c r="U58" s="10"/>
      <c r="V58" s="8"/>
      <c r="W58" s="20">
        <v>5.6084090280267933</v>
      </c>
      <c r="X58" s="56">
        <f t="shared" si="0"/>
        <v>4.5700855834638144E-3</v>
      </c>
      <c r="Y58" s="6"/>
      <c r="Z58" s="6"/>
      <c r="AA58" s="8"/>
      <c r="AB58" s="8"/>
      <c r="AC58" s="8"/>
      <c r="AD58" s="8"/>
      <c r="AE58" s="8"/>
      <c r="AF58" s="40"/>
      <c r="AG58" s="40"/>
      <c r="AH58" s="40"/>
      <c r="AI58" s="40"/>
      <c r="AK58" s="18"/>
      <c r="AL58" s="18"/>
      <c r="AM58" s="40" t="s">
        <v>118</v>
      </c>
      <c r="AN58" s="18"/>
      <c r="AO58" s="8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8"/>
      <c r="BK58" s="8"/>
      <c r="BL58" s="11" t="s">
        <v>52</v>
      </c>
      <c r="BM58" s="6"/>
      <c r="BN58" s="6"/>
      <c r="BO58" s="15"/>
    </row>
    <row r="59" spans="1:67" ht="13.25" customHeight="1">
      <c r="A59" s="16" t="s">
        <v>132</v>
      </c>
      <c r="B59" s="16" t="s">
        <v>139</v>
      </c>
      <c r="C59" s="17">
        <v>31062.967834342868</v>
      </c>
      <c r="D59" s="18">
        <v>11.586743935748967</v>
      </c>
      <c r="E59" s="6"/>
      <c r="F59" s="8"/>
      <c r="G59" s="10"/>
      <c r="H59" s="10">
        <v>1460</v>
      </c>
      <c r="I59" s="10"/>
      <c r="J59" s="10"/>
      <c r="K59" s="22"/>
      <c r="L59" s="10"/>
      <c r="M59" s="10"/>
      <c r="N59" s="40"/>
      <c r="O59" s="40"/>
      <c r="P59" s="10"/>
      <c r="Q59" s="10"/>
      <c r="R59" s="10"/>
      <c r="S59" s="10"/>
      <c r="T59" s="10"/>
      <c r="U59" s="10"/>
      <c r="V59" s="8"/>
      <c r="W59" s="20">
        <v>6.6724563466789819</v>
      </c>
      <c r="X59" s="56">
        <f t="shared" si="0"/>
        <v>4.570175579917111E-3</v>
      </c>
      <c r="Y59" s="6"/>
      <c r="Z59" s="6"/>
      <c r="AA59" s="8"/>
      <c r="AB59" s="8"/>
      <c r="AC59" s="8"/>
      <c r="AD59" s="8"/>
      <c r="AE59" s="8"/>
      <c r="AF59" s="40"/>
      <c r="AG59" s="40"/>
      <c r="AH59" s="40"/>
      <c r="AI59" s="40"/>
      <c r="AK59" s="18"/>
      <c r="AL59" s="18"/>
      <c r="AM59" s="40" t="s">
        <v>118</v>
      </c>
      <c r="AN59" s="18"/>
      <c r="AO59" s="8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8"/>
      <c r="BK59" s="8"/>
      <c r="BL59" s="11" t="s">
        <v>52</v>
      </c>
      <c r="BM59" s="6"/>
      <c r="BN59" s="6"/>
      <c r="BO59" s="15"/>
    </row>
    <row r="60" spans="1:67" ht="13.25" customHeight="1">
      <c r="A60" s="16" t="s">
        <v>132</v>
      </c>
      <c r="B60" s="16" t="s">
        <v>139</v>
      </c>
      <c r="C60" s="17">
        <v>31146.788121978712</v>
      </c>
      <c r="D60" s="18">
        <v>11.816236277721874</v>
      </c>
      <c r="E60" s="6"/>
      <c r="F60" s="8"/>
      <c r="G60" s="10"/>
      <c r="H60" s="10">
        <v>1304.8</v>
      </c>
      <c r="I60" s="10"/>
      <c r="J60" s="10"/>
      <c r="K60" s="22"/>
      <c r="L60" s="10"/>
      <c r="M60" s="10"/>
      <c r="N60" s="40"/>
      <c r="O60" s="40"/>
      <c r="P60" s="10"/>
      <c r="Q60" s="10"/>
      <c r="R60" s="10"/>
      <c r="S60" s="10"/>
      <c r="T60" s="10"/>
      <c r="U60" s="10"/>
      <c r="V60" s="8"/>
      <c r="W60" s="20">
        <v>5.963287568280828</v>
      </c>
      <c r="X60" s="56">
        <f t="shared" si="0"/>
        <v>4.5702694422753128E-3</v>
      </c>
      <c r="Y60" s="6"/>
      <c r="Z60" s="6"/>
      <c r="AA60" s="8"/>
      <c r="AB60" s="8"/>
      <c r="AC60" s="8"/>
      <c r="AD60" s="8"/>
      <c r="AE60" s="8"/>
      <c r="AF60" s="40"/>
      <c r="AG60" s="40"/>
      <c r="AH60" s="40"/>
      <c r="AI60" s="40"/>
      <c r="AK60" s="18"/>
      <c r="AL60" s="18"/>
      <c r="AM60" s="40" t="s">
        <v>118</v>
      </c>
      <c r="AN60" s="18"/>
      <c r="AO60" s="8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8"/>
      <c r="BK60" s="8"/>
      <c r="BL60" s="11" t="s">
        <v>52</v>
      </c>
      <c r="BM60" s="6"/>
      <c r="BN60" s="6"/>
      <c r="BO60" s="15"/>
    </row>
    <row r="61" spans="1:67">
      <c r="A61" s="16" t="s">
        <v>132</v>
      </c>
      <c r="B61" s="16" t="s">
        <v>139</v>
      </c>
      <c r="C61" s="17">
        <v>31238.172908667766</v>
      </c>
      <c r="D61" s="18">
        <v>12.06643953172499</v>
      </c>
      <c r="E61" s="6"/>
      <c r="F61" s="8"/>
      <c r="G61" s="10"/>
      <c r="H61" s="10">
        <v>1133.3</v>
      </c>
      <c r="I61" s="10"/>
      <c r="J61" s="10"/>
      <c r="K61" s="22"/>
      <c r="L61" s="10"/>
      <c r="M61" s="10"/>
      <c r="N61" s="40"/>
      <c r="O61" s="40"/>
      <c r="P61" s="10"/>
      <c r="Q61" s="10"/>
      <c r="R61" s="10"/>
      <c r="S61" s="10"/>
      <c r="T61" s="10"/>
      <c r="U61" s="10"/>
      <c r="V61" s="8"/>
      <c r="W61" s="20">
        <v>5.1792499926195168</v>
      </c>
      <c r="X61" s="56">
        <f t="shared" si="0"/>
        <v>4.5700608776312688E-3</v>
      </c>
      <c r="Y61" s="6"/>
      <c r="Z61" s="6"/>
      <c r="AA61" s="8"/>
      <c r="AB61" s="8"/>
      <c r="AC61" s="8"/>
      <c r="AD61" s="8"/>
      <c r="AE61" s="8"/>
      <c r="AF61" s="40"/>
      <c r="AG61" s="40"/>
      <c r="AH61" s="40"/>
      <c r="AI61" s="40"/>
      <c r="AK61" s="18"/>
      <c r="AL61" s="18"/>
      <c r="AM61" s="40" t="s">
        <v>118</v>
      </c>
      <c r="AN61" s="18"/>
      <c r="AO61" s="8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8"/>
      <c r="BK61" s="8"/>
      <c r="BL61" s="11" t="s">
        <v>52</v>
      </c>
      <c r="BM61" s="6"/>
      <c r="BN61" s="6"/>
      <c r="BO61" s="15"/>
    </row>
    <row r="62" spans="1:67">
      <c r="A62" s="16" t="s">
        <v>132</v>
      </c>
      <c r="B62" s="16" t="s">
        <v>139</v>
      </c>
      <c r="C62" s="17">
        <v>31324.149783298424</v>
      </c>
      <c r="D62" s="18">
        <v>12.301836413208168</v>
      </c>
      <c r="E62" s="6"/>
      <c r="F62" s="8"/>
      <c r="G62" s="10"/>
      <c r="H62" s="10">
        <v>1336</v>
      </c>
      <c r="I62" s="10"/>
      <c r="J62" s="10"/>
      <c r="K62" s="22"/>
      <c r="L62" s="10"/>
      <c r="M62" s="10"/>
      <c r="N62" s="40"/>
      <c r="O62" s="40"/>
      <c r="P62" s="10"/>
      <c r="Q62" s="10"/>
      <c r="R62" s="10"/>
      <c r="S62" s="10"/>
      <c r="T62" s="10"/>
      <c r="U62" s="10"/>
      <c r="V62" s="8"/>
      <c r="W62" s="20">
        <v>6.1058405232898521</v>
      </c>
      <c r="X62" s="56">
        <f t="shared" si="0"/>
        <v>4.5702399126421045E-3</v>
      </c>
      <c r="Y62" s="6"/>
      <c r="Z62" s="6"/>
      <c r="AA62" s="8"/>
      <c r="AB62" s="8"/>
      <c r="AC62" s="8"/>
      <c r="AD62" s="8"/>
      <c r="AE62" s="8"/>
      <c r="AF62" s="40"/>
      <c r="AG62" s="40"/>
      <c r="AH62" s="40"/>
      <c r="AI62" s="40"/>
      <c r="AK62" s="18"/>
      <c r="AL62" s="18"/>
      <c r="AM62" s="40" t="s">
        <v>118</v>
      </c>
      <c r="AN62" s="18"/>
      <c r="AO62" s="8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8"/>
      <c r="BK62" s="8"/>
      <c r="BL62" s="11" t="s">
        <v>52</v>
      </c>
      <c r="BM62" s="6"/>
      <c r="BN62" s="6"/>
      <c r="BO62" s="15"/>
    </row>
    <row r="63" spans="1:67">
      <c r="A63" s="16" t="s">
        <v>132</v>
      </c>
      <c r="B63" s="16" t="s">
        <v>139</v>
      </c>
      <c r="C63" s="17">
        <v>31411.906053080591</v>
      </c>
      <c r="D63" s="18">
        <v>12.54210511715978</v>
      </c>
      <c r="E63" s="6"/>
      <c r="F63" s="8"/>
      <c r="G63" s="10"/>
      <c r="H63" s="10">
        <v>1445.9</v>
      </c>
      <c r="I63" s="10"/>
      <c r="J63" s="10"/>
      <c r="K63" s="22"/>
      <c r="L63" s="10"/>
      <c r="M63" s="10"/>
      <c r="N63" s="40"/>
      <c r="O63" s="40"/>
      <c r="P63" s="10"/>
      <c r="Q63" s="10"/>
      <c r="R63" s="10"/>
      <c r="S63" s="10"/>
      <c r="T63" s="10"/>
      <c r="U63" s="10"/>
      <c r="V63" s="8"/>
      <c r="W63" s="20">
        <v>6.6079343127739394</v>
      </c>
      <c r="X63" s="56">
        <f t="shared" si="0"/>
        <v>4.5701184817580325E-3</v>
      </c>
      <c r="Y63" s="6"/>
      <c r="Z63" s="6"/>
      <c r="AA63" s="8"/>
      <c r="AB63" s="8"/>
      <c r="AC63" s="8"/>
      <c r="AD63" s="8"/>
      <c r="AE63" s="8"/>
      <c r="AF63" s="40"/>
      <c r="AG63" s="40"/>
      <c r="AH63" s="40"/>
      <c r="AI63" s="40"/>
      <c r="AK63" s="18"/>
      <c r="AL63" s="18"/>
      <c r="AM63" s="40" t="s">
        <v>118</v>
      </c>
      <c r="AN63" s="18"/>
      <c r="AO63" s="8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8"/>
      <c r="BK63" s="8"/>
      <c r="BL63" s="11" t="s">
        <v>52</v>
      </c>
      <c r="BM63" s="6"/>
      <c r="BN63" s="6"/>
      <c r="BO63" s="15"/>
    </row>
    <row r="64" spans="1:67">
      <c r="A64" s="16" t="s">
        <v>132</v>
      </c>
      <c r="B64" s="16" t="s">
        <v>139</v>
      </c>
      <c r="C64" s="17">
        <v>31500.039514709715</v>
      </c>
      <c r="D64" s="18">
        <v>12.783406538163227</v>
      </c>
      <c r="E64" s="6"/>
      <c r="F64" s="8"/>
      <c r="G64" s="10"/>
      <c r="H64" s="10">
        <v>1372.7</v>
      </c>
      <c r="I64" s="10"/>
      <c r="J64" s="10"/>
      <c r="K64" s="22"/>
      <c r="L64" s="10"/>
      <c r="M64" s="10"/>
      <c r="N64" s="40"/>
      <c r="O64" s="40"/>
      <c r="P64" s="10"/>
      <c r="Q64" s="10"/>
      <c r="R64" s="10"/>
      <c r="S64" s="10"/>
      <c r="T64" s="10"/>
      <c r="U64" s="10"/>
      <c r="V64" s="8"/>
      <c r="W64" s="20">
        <v>6.2734183792993878</v>
      </c>
      <c r="X64" s="56">
        <f t="shared" si="0"/>
        <v>4.5701306762580222E-3</v>
      </c>
      <c r="Y64" s="6"/>
      <c r="Z64" s="6"/>
      <c r="AA64" s="8"/>
      <c r="AB64" s="8"/>
      <c r="AC64" s="8"/>
      <c r="AD64" s="8"/>
      <c r="AE64" s="8"/>
      <c r="AF64" s="40"/>
      <c r="AG64" s="40"/>
      <c r="AH64" s="40"/>
      <c r="AI64" s="40"/>
      <c r="AK64" s="18"/>
      <c r="AL64" s="18"/>
      <c r="AM64" s="40" t="s">
        <v>118</v>
      </c>
      <c r="AN64" s="18"/>
      <c r="AO64" s="8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8"/>
      <c r="BK64" s="8"/>
      <c r="BL64" s="11" t="s">
        <v>52</v>
      </c>
      <c r="BM64" s="6"/>
      <c r="BN64" s="6"/>
      <c r="BO64" s="15"/>
    </row>
    <row r="65" spans="1:67" ht="13.25" customHeight="1">
      <c r="A65" s="16" t="s">
        <v>132</v>
      </c>
      <c r="B65" s="16" t="s">
        <v>139</v>
      </c>
      <c r="C65" s="17">
        <v>31586.115056720741</v>
      </c>
      <c r="D65" s="18">
        <v>13.0190735619811</v>
      </c>
      <c r="E65" s="6"/>
      <c r="F65" s="8"/>
      <c r="G65" s="10"/>
      <c r="H65" s="10">
        <v>1324</v>
      </c>
      <c r="I65" s="10"/>
      <c r="J65" s="10"/>
      <c r="K65" s="22"/>
      <c r="L65" s="10"/>
      <c r="M65" s="10"/>
      <c r="N65" s="40"/>
      <c r="O65" s="40"/>
      <c r="P65" s="10"/>
      <c r="Q65" s="10"/>
      <c r="R65" s="10"/>
      <c r="S65" s="10"/>
      <c r="T65" s="10"/>
      <c r="U65" s="10"/>
      <c r="V65" s="8"/>
      <c r="W65" s="20">
        <v>6.0511799035022689</v>
      </c>
      <c r="X65" s="56">
        <f t="shared" si="0"/>
        <v>4.5703775706210491E-3</v>
      </c>
      <c r="Y65" s="6"/>
      <c r="Z65" s="6"/>
      <c r="AA65" s="8"/>
      <c r="AB65" s="8"/>
      <c r="AC65" s="8"/>
      <c r="AD65" s="8"/>
      <c r="AE65" s="8"/>
      <c r="AF65" s="40"/>
      <c r="AG65" s="40"/>
      <c r="AH65" s="40"/>
      <c r="AI65" s="40"/>
      <c r="AK65" s="18"/>
      <c r="AL65" s="18"/>
      <c r="AM65" s="40" t="s">
        <v>118</v>
      </c>
      <c r="AN65" s="18"/>
      <c r="AO65" s="8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8"/>
      <c r="BK65" s="8"/>
      <c r="BL65" s="11" t="s">
        <v>52</v>
      </c>
      <c r="BM65" s="6"/>
      <c r="BN65" s="6"/>
      <c r="BO65" s="15"/>
    </row>
    <row r="66" spans="1:67">
      <c r="A66" s="16" t="s">
        <v>132</v>
      </c>
      <c r="B66" s="16" t="s">
        <v>139</v>
      </c>
      <c r="C66" s="17">
        <v>31676.719901270066</v>
      </c>
      <c r="D66" s="18">
        <v>13.267141405174996</v>
      </c>
      <c r="E66" s="6"/>
      <c r="F66" s="8"/>
      <c r="G66" s="10"/>
      <c r="H66" s="10">
        <v>1464</v>
      </c>
      <c r="I66" s="10"/>
      <c r="J66" s="10"/>
      <c r="K66" s="22"/>
      <c r="L66" s="10"/>
      <c r="M66" s="10"/>
      <c r="N66" s="40"/>
      <c r="O66" s="40"/>
      <c r="P66" s="10"/>
      <c r="Q66" s="10"/>
      <c r="R66" s="10"/>
      <c r="S66" s="10"/>
      <c r="T66" s="10"/>
      <c r="U66" s="10"/>
      <c r="V66" s="8"/>
      <c r="W66" s="20">
        <v>6.690730480968254</v>
      </c>
      <c r="X66" s="56">
        <f t="shared" si="0"/>
        <v>4.5701710935575502E-3</v>
      </c>
      <c r="Y66" s="6"/>
      <c r="Z66" s="6"/>
      <c r="AA66" s="8"/>
      <c r="AB66" s="8"/>
      <c r="AC66" s="8"/>
      <c r="AD66" s="8"/>
      <c r="AE66" s="8"/>
      <c r="AF66" s="40"/>
      <c r="AG66" s="40"/>
      <c r="AH66" s="40"/>
      <c r="AI66" s="40"/>
      <c r="AK66" s="18"/>
      <c r="AL66" s="18"/>
      <c r="AM66" s="40" t="s">
        <v>118</v>
      </c>
      <c r="AN66" s="18"/>
      <c r="AO66" s="8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8"/>
      <c r="BK66" s="8"/>
      <c r="BL66" s="11" t="s">
        <v>52</v>
      </c>
      <c r="BM66" s="6"/>
      <c r="BN66" s="6"/>
      <c r="BO66" s="15"/>
    </row>
    <row r="67" spans="1:67" ht="13.25" customHeight="1">
      <c r="A67" s="16" t="s">
        <v>132</v>
      </c>
      <c r="B67" s="16" t="s">
        <v>139</v>
      </c>
      <c r="C67" s="17">
        <v>31760.942939194949</v>
      </c>
      <c r="D67" s="18">
        <v>13.49773644089507</v>
      </c>
      <c r="E67" s="6"/>
      <c r="F67" s="8"/>
      <c r="G67" s="10"/>
      <c r="H67" s="10">
        <v>1694.1</v>
      </c>
      <c r="I67" s="10"/>
      <c r="J67" s="10"/>
      <c r="K67" s="22"/>
      <c r="L67" s="10"/>
      <c r="M67" s="10"/>
      <c r="N67" s="40"/>
      <c r="O67" s="40"/>
      <c r="P67" s="10"/>
      <c r="Q67" s="10"/>
      <c r="R67" s="10"/>
      <c r="S67" s="10"/>
      <c r="T67" s="10"/>
      <c r="U67" s="10"/>
      <c r="V67" s="8">
        <v>3.8356341285146777E-3</v>
      </c>
      <c r="W67" s="20">
        <v>7.742239610902816</v>
      </c>
      <c r="X67" s="56">
        <f t="shared" ref="X67:X86" si="1">W67/H67</f>
        <v>4.5701195979592803E-3</v>
      </c>
      <c r="Y67" s="6"/>
      <c r="Z67" s="6"/>
      <c r="AA67" s="8"/>
      <c r="AB67" s="8"/>
      <c r="AC67" s="8"/>
      <c r="AD67" s="8"/>
      <c r="AE67" s="8"/>
      <c r="AF67" s="40"/>
      <c r="AG67" s="40"/>
      <c r="AH67" s="40"/>
      <c r="AI67" s="40"/>
      <c r="AK67" s="18"/>
      <c r="AL67" s="18"/>
      <c r="AM67" s="40" t="s">
        <v>118</v>
      </c>
      <c r="AN67" s="18"/>
      <c r="AO67" s="8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8"/>
      <c r="BK67" s="8"/>
      <c r="BL67" s="11" t="s">
        <v>52</v>
      </c>
      <c r="BM67" s="6"/>
      <c r="BN67" s="6"/>
      <c r="BO67" s="15"/>
    </row>
    <row r="68" spans="1:67" ht="13.25" customHeight="1">
      <c r="A68" s="16" t="s">
        <v>132</v>
      </c>
      <c r="B68" s="16" t="s">
        <v>139</v>
      </c>
      <c r="C68" s="17">
        <v>31847.187625286595</v>
      </c>
      <c r="D68" s="18">
        <v>13.733866565858111</v>
      </c>
      <c r="E68" s="6"/>
      <c r="F68" s="8"/>
      <c r="G68" s="10"/>
      <c r="H68" s="10">
        <v>1536.1</v>
      </c>
      <c r="I68" s="10"/>
      <c r="J68" s="10"/>
      <c r="K68" s="22"/>
      <c r="L68" s="10"/>
      <c r="M68" s="10"/>
      <c r="N68" s="40"/>
      <c r="O68" s="40"/>
      <c r="P68" s="10"/>
      <c r="Q68" s="10"/>
      <c r="R68" s="10"/>
      <c r="S68" s="10"/>
      <c r="T68" s="10"/>
      <c r="U68" s="10"/>
      <c r="V68" s="8"/>
      <c r="W68" s="20">
        <v>7.0205326437870808</v>
      </c>
      <c r="X68" s="56">
        <f t="shared" si="1"/>
        <v>4.5703617237074935E-3</v>
      </c>
      <c r="Y68" s="6"/>
      <c r="Z68" s="6"/>
      <c r="AA68" s="8"/>
      <c r="AB68" s="8"/>
      <c r="AC68" s="8"/>
      <c r="AD68" s="8"/>
      <c r="AE68" s="8"/>
      <c r="AF68" s="40"/>
      <c r="AG68" s="40"/>
      <c r="AH68" s="40"/>
      <c r="AI68" s="40"/>
      <c r="AK68" s="18"/>
      <c r="AL68" s="18"/>
      <c r="AM68" s="40" t="s">
        <v>118</v>
      </c>
      <c r="AN68" s="18"/>
      <c r="AO68" s="8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8"/>
      <c r="BK68" s="8"/>
      <c r="BL68" s="11" t="s">
        <v>52</v>
      </c>
      <c r="BM68" s="6"/>
      <c r="BN68" s="6"/>
      <c r="BO68" s="15"/>
    </row>
    <row r="69" spans="1:67">
      <c r="A69" s="16" t="s">
        <v>132</v>
      </c>
      <c r="B69" s="16" t="s">
        <v>139</v>
      </c>
      <c r="C69" s="17">
        <v>31938.346886534797</v>
      </c>
      <c r="D69" s="18">
        <v>13.983452351667603</v>
      </c>
      <c r="E69" s="6"/>
      <c r="F69" s="8"/>
      <c r="G69" s="10"/>
      <c r="H69" s="10">
        <v>1411.1</v>
      </c>
      <c r="I69" s="10"/>
      <c r="J69" s="10"/>
      <c r="K69" s="22"/>
      <c r="L69" s="10"/>
      <c r="M69" s="10"/>
      <c r="N69" s="40"/>
      <c r="O69" s="40"/>
      <c r="P69" s="10"/>
      <c r="Q69" s="10"/>
      <c r="R69" s="10"/>
      <c r="S69" s="10"/>
      <c r="T69" s="10"/>
      <c r="U69" s="10"/>
      <c r="V69" s="8"/>
      <c r="W69" s="20">
        <v>6.4488463915881269</v>
      </c>
      <c r="X69" s="56">
        <f t="shared" si="1"/>
        <v>4.5700846088782702E-3</v>
      </c>
      <c r="Y69" s="6"/>
      <c r="Z69" s="6"/>
      <c r="AA69" s="8"/>
      <c r="AB69" s="8"/>
      <c r="AC69" s="8"/>
      <c r="AD69" s="8"/>
      <c r="AE69" s="8"/>
      <c r="AF69" s="40"/>
      <c r="AG69" s="40"/>
      <c r="AH69" s="40"/>
      <c r="AI69" s="40"/>
      <c r="AK69" s="18"/>
      <c r="AL69" s="18"/>
      <c r="AM69" s="40" t="s">
        <v>118</v>
      </c>
      <c r="AN69" s="18"/>
      <c r="AO69" s="8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8"/>
      <c r="BK69" s="8"/>
      <c r="BL69" s="11" t="s">
        <v>52</v>
      </c>
      <c r="BM69" s="6"/>
      <c r="BN69" s="6"/>
      <c r="BO69" s="15"/>
    </row>
    <row r="70" spans="1:67" ht="13.25" customHeight="1">
      <c r="A70" s="16" t="s">
        <v>133</v>
      </c>
      <c r="B70" s="16" t="s">
        <v>140</v>
      </c>
      <c r="C70" s="17">
        <v>30538.351314294614</v>
      </c>
      <c r="D70" s="18">
        <v>10.150391505814513</v>
      </c>
      <c r="E70" s="6"/>
      <c r="F70" s="8"/>
      <c r="G70" s="10"/>
      <c r="H70" s="10">
        <v>500.2</v>
      </c>
      <c r="I70" s="10"/>
      <c r="J70" s="10"/>
      <c r="K70" s="22"/>
      <c r="L70" s="10"/>
      <c r="M70" s="10"/>
      <c r="N70" s="40"/>
      <c r="O70" s="40"/>
      <c r="P70" s="10"/>
      <c r="Q70" s="10"/>
      <c r="R70" s="10"/>
      <c r="S70" s="10"/>
      <c r="T70" s="10"/>
      <c r="U70" s="10"/>
      <c r="V70" s="8"/>
      <c r="W70" s="20">
        <v>2.2672792575981346</v>
      </c>
      <c r="X70" s="56">
        <f t="shared" si="1"/>
        <v>4.5327454170294573E-3</v>
      </c>
      <c r="Y70" s="6"/>
      <c r="Z70" s="6"/>
      <c r="AA70" s="8"/>
      <c r="AB70" s="8"/>
      <c r="AC70" s="8"/>
      <c r="AD70" s="8"/>
      <c r="AE70" s="8"/>
      <c r="AF70" s="40"/>
      <c r="AG70" s="40"/>
      <c r="AH70" s="40"/>
      <c r="AI70" s="40"/>
      <c r="AK70" s="18"/>
      <c r="AL70" s="18"/>
      <c r="AM70" s="40" t="s">
        <v>118</v>
      </c>
      <c r="AN70" s="18"/>
      <c r="AO70" s="8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8"/>
      <c r="BK70" s="8"/>
      <c r="BL70" s="11" t="s">
        <v>52</v>
      </c>
      <c r="BM70" s="6"/>
      <c r="BN70" s="6"/>
      <c r="BO70" s="15"/>
    </row>
    <row r="71" spans="1:67">
      <c r="A71" s="16" t="s">
        <v>133</v>
      </c>
      <c r="B71" s="16" t="s">
        <v>140</v>
      </c>
      <c r="C71" s="17">
        <v>30627.767451850104</v>
      </c>
      <c r="D71" s="18">
        <v>10.395204777118606</v>
      </c>
      <c r="E71" s="6"/>
      <c r="F71" s="8"/>
      <c r="G71" s="10"/>
      <c r="H71" s="10">
        <v>708.5</v>
      </c>
      <c r="I71" s="10"/>
      <c r="J71" s="10"/>
      <c r="K71" s="22"/>
      <c r="L71" s="10"/>
      <c r="M71" s="10"/>
      <c r="N71" s="40"/>
      <c r="O71" s="40"/>
      <c r="P71" s="10"/>
      <c r="Q71" s="10"/>
      <c r="R71" s="10"/>
      <c r="S71" s="10"/>
      <c r="T71" s="10"/>
      <c r="U71" s="10"/>
      <c r="V71" s="8"/>
      <c r="W71" s="20">
        <v>3.2109974657696569</v>
      </c>
      <c r="X71" s="56">
        <f t="shared" si="1"/>
        <v>4.532106514847787E-3</v>
      </c>
      <c r="Y71" s="6"/>
      <c r="Z71" s="6"/>
      <c r="AA71" s="8"/>
      <c r="AB71" s="8"/>
      <c r="AC71" s="8"/>
      <c r="AD71" s="8"/>
      <c r="AE71" s="8"/>
      <c r="AF71" s="40"/>
      <c r="AG71" s="40"/>
      <c r="AH71" s="40"/>
      <c r="AI71" s="40"/>
      <c r="AK71" s="18"/>
      <c r="AL71" s="18"/>
      <c r="AM71" s="40" t="s">
        <v>118</v>
      </c>
      <c r="AN71" s="18"/>
      <c r="AO71" s="8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8"/>
      <c r="BK71" s="8"/>
      <c r="BL71" s="11" t="s">
        <v>52</v>
      </c>
      <c r="BM71" s="6"/>
      <c r="BN71" s="6"/>
      <c r="BO71" s="15"/>
    </row>
    <row r="72" spans="1:67" ht="13.25" customHeight="1">
      <c r="A72" s="16" t="s">
        <v>133</v>
      </c>
      <c r="B72" s="16" t="s">
        <v>140</v>
      </c>
      <c r="C72" s="17">
        <v>30715.258811305906</v>
      </c>
      <c r="D72" s="18">
        <v>10.634748180633713</v>
      </c>
      <c r="E72" s="6"/>
      <c r="F72" s="8"/>
      <c r="G72" s="10"/>
      <c r="H72" s="10">
        <v>807.4</v>
      </c>
      <c r="I72" s="10"/>
      <c r="J72" s="10"/>
      <c r="K72" s="22"/>
      <c r="L72" s="10"/>
      <c r="M72" s="10"/>
      <c r="N72" s="40"/>
      <c r="O72" s="40"/>
      <c r="P72" s="10"/>
      <c r="Q72" s="10"/>
      <c r="R72" s="10"/>
      <c r="S72" s="10"/>
      <c r="T72" s="10"/>
      <c r="U72" s="10"/>
      <c r="V72" s="8"/>
      <c r="W72" s="20">
        <v>3.6594942478440826</v>
      </c>
      <c r="X72" s="56">
        <f t="shared" si="1"/>
        <v>4.5324427146941825E-3</v>
      </c>
      <c r="Y72" s="6"/>
      <c r="Z72" s="6"/>
      <c r="AA72" s="8"/>
      <c r="AB72" s="8"/>
      <c r="AC72" s="8"/>
      <c r="AD72" s="8"/>
      <c r="AE72" s="8"/>
      <c r="AF72" s="40"/>
      <c r="AG72" s="40"/>
      <c r="AH72" s="40"/>
      <c r="AI72" s="40"/>
      <c r="AK72" s="18"/>
      <c r="AL72" s="18"/>
      <c r="AM72" s="40" t="s">
        <v>118</v>
      </c>
      <c r="AN72" s="18"/>
      <c r="AO72" s="8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8"/>
      <c r="BK72" s="8"/>
      <c r="BL72" s="11" t="s">
        <v>52</v>
      </c>
      <c r="BM72" s="6"/>
      <c r="BN72" s="6"/>
      <c r="BO72" s="15"/>
    </row>
    <row r="73" spans="1:67">
      <c r="A73" s="16" t="s">
        <v>133</v>
      </c>
      <c r="B73" s="16" t="s">
        <v>140</v>
      </c>
      <c r="C73" s="17">
        <v>30802.559553724561</v>
      </c>
      <c r="D73" s="18">
        <v>10.873769691997065</v>
      </c>
      <c r="E73" s="6"/>
      <c r="F73" s="8"/>
      <c r="G73" s="10"/>
      <c r="H73" s="10">
        <v>780.7</v>
      </c>
      <c r="I73" s="10"/>
      <c r="J73" s="10"/>
      <c r="K73" s="22"/>
      <c r="L73" s="10"/>
      <c r="M73" s="10"/>
      <c r="N73" s="40"/>
      <c r="O73" s="40"/>
      <c r="P73" s="10"/>
      <c r="Q73" s="10"/>
      <c r="R73" s="10"/>
      <c r="S73" s="10"/>
      <c r="T73" s="10"/>
      <c r="U73" s="10"/>
      <c r="V73" s="8"/>
      <c r="W73" s="20">
        <v>3.5383179274006813</v>
      </c>
      <c r="X73" s="56">
        <f t="shared" si="1"/>
        <v>4.5322376423731024E-3</v>
      </c>
      <c r="Y73" s="6"/>
      <c r="Z73" s="6"/>
      <c r="AA73" s="8"/>
      <c r="AB73" s="8"/>
      <c r="AC73" s="8"/>
      <c r="AD73" s="8"/>
      <c r="AE73" s="8"/>
      <c r="AF73" s="40"/>
      <c r="AG73" s="40"/>
      <c r="AH73" s="40"/>
      <c r="AI73" s="40"/>
      <c r="AK73" s="18"/>
      <c r="AL73" s="18"/>
      <c r="AM73" s="40" t="s">
        <v>118</v>
      </c>
      <c r="AN73" s="18"/>
      <c r="AO73" s="8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8"/>
      <c r="BK73" s="8"/>
      <c r="BL73" s="11" t="s">
        <v>52</v>
      </c>
      <c r="BM73" s="6"/>
      <c r="BN73" s="6"/>
      <c r="BO73" s="15"/>
    </row>
    <row r="74" spans="1:67" ht="13.25" customHeight="1">
      <c r="A74" s="16" t="s">
        <v>133</v>
      </c>
      <c r="B74" s="16" t="s">
        <v>140</v>
      </c>
      <c r="C74" s="17">
        <v>30887.21253482176</v>
      </c>
      <c r="D74" s="18">
        <v>11.105541873111324</v>
      </c>
      <c r="E74" s="6"/>
      <c r="F74" s="8"/>
      <c r="G74" s="10"/>
      <c r="H74" s="10">
        <v>745.7</v>
      </c>
      <c r="I74" s="10"/>
      <c r="J74" s="10"/>
      <c r="K74" s="22"/>
      <c r="L74" s="10"/>
      <c r="M74" s="10"/>
      <c r="N74" s="40"/>
      <c r="O74" s="40"/>
      <c r="P74" s="10"/>
      <c r="Q74" s="10"/>
      <c r="R74" s="10"/>
      <c r="S74" s="10"/>
      <c r="T74" s="10"/>
      <c r="U74" s="10"/>
      <c r="V74" s="8"/>
      <c r="W74" s="20">
        <v>3.3796094732811897</v>
      </c>
      <c r="X74" s="56">
        <f t="shared" si="1"/>
        <v>4.5321301773919662E-3</v>
      </c>
      <c r="Y74" s="6"/>
      <c r="Z74" s="6"/>
      <c r="AA74" s="8"/>
      <c r="AB74" s="8"/>
      <c r="AC74" s="8"/>
      <c r="AD74" s="8"/>
      <c r="AE74" s="8"/>
      <c r="AF74" s="40"/>
      <c r="AG74" s="40"/>
      <c r="AH74" s="40"/>
      <c r="AI74" s="40"/>
      <c r="AK74" s="18"/>
      <c r="AL74" s="18"/>
      <c r="AM74" s="40" t="s">
        <v>118</v>
      </c>
      <c r="AN74" s="18"/>
      <c r="AO74" s="8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8"/>
      <c r="BK74" s="8"/>
      <c r="BL74" s="11" t="s">
        <v>52</v>
      </c>
      <c r="BM74" s="6"/>
      <c r="BN74" s="6"/>
      <c r="BO74" s="15"/>
    </row>
    <row r="75" spans="1:67">
      <c r="A75" s="16" t="s">
        <v>133</v>
      </c>
      <c r="B75" s="16" t="s">
        <v>140</v>
      </c>
      <c r="C75" s="17">
        <v>30977.292955495152</v>
      </c>
      <c r="D75" s="18">
        <v>11.352173891317392</v>
      </c>
      <c r="E75" s="6"/>
      <c r="F75" s="8"/>
      <c r="G75" s="10"/>
      <c r="H75" s="10">
        <v>1011.3</v>
      </c>
      <c r="I75" s="10"/>
      <c r="J75" s="10"/>
      <c r="K75" s="22"/>
      <c r="L75" s="10"/>
      <c r="M75" s="10"/>
      <c r="N75" s="40"/>
      <c r="O75" s="40"/>
      <c r="P75" s="10"/>
      <c r="Q75" s="10"/>
      <c r="R75" s="10"/>
      <c r="S75" s="10"/>
      <c r="T75" s="10"/>
      <c r="U75" s="10"/>
      <c r="V75" s="8"/>
      <c r="W75" s="20">
        <v>4.583678827325901</v>
      </c>
      <c r="X75" s="56">
        <f t="shared" si="1"/>
        <v>4.5324620066507478E-3</v>
      </c>
      <c r="Y75" s="6"/>
      <c r="Z75" s="6"/>
      <c r="AA75" s="8"/>
      <c r="AB75" s="8"/>
      <c r="AC75" s="8"/>
      <c r="AD75" s="8"/>
      <c r="AE75" s="8"/>
      <c r="AF75" s="40"/>
      <c r="AG75" s="40"/>
      <c r="AH75" s="40"/>
      <c r="AI75" s="40"/>
      <c r="AK75" s="18"/>
      <c r="AL75" s="18"/>
      <c r="AM75" s="40" t="s">
        <v>118</v>
      </c>
      <c r="AN75" s="18"/>
      <c r="AO75" s="8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8"/>
      <c r="BK75" s="8"/>
      <c r="BL75" s="11" t="s">
        <v>52</v>
      </c>
      <c r="BM75" s="6"/>
      <c r="BN75" s="6"/>
      <c r="BO75" s="15"/>
    </row>
    <row r="76" spans="1:67" ht="13.25" customHeight="1">
      <c r="A76" s="16" t="s">
        <v>133</v>
      </c>
      <c r="B76" s="16" t="s">
        <v>140</v>
      </c>
      <c r="C76" s="17">
        <v>31062.967834342868</v>
      </c>
      <c r="D76" s="18">
        <v>11.586743935748967</v>
      </c>
      <c r="E76" s="6"/>
      <c r="F76" s="8"/>
      <c r="G76" s="10"/>
      <c r="H76" s="10">
        <v>1215.4000000000001</v>
      </c>
      <c r="I76" s="10"/>
      <c r="J76" s="10"/>
      <c r="K76" s="22"/>
      <c r="L76" s="10"/>
      <c r="M76" s="10"/>
      <c r="N76" s="40"/>
      <c r="O76" s="40"/>
      <c r="P76" s="10"/>
      <c r="Q76" s="10"/>
      <c r="R76" s="10"/>
      <c r="S76" s="10"/>
      <c r="T76" s="10"/>
      <c r="U76" s="10"/>
      <c r="V76" s="8"/>
      <c r="W76" s="20">
        <v>5.508745829459035</v>
      </c>
      <c r="X76" s="56">
        <f t="shared" si="1"/>
        <v>4.5324550184787189E-3</v>
      </c>
      <c r="Y76" s="6"/>
      <c r="Z76" s="6"/>
      <c r="AA76" s="8"/>
      <c r="AB76" s="8"/>
      <c r="AC76" s="8"/>
      <c r="AD76" s="8"/>
      <c r="AE76" s="8"/>
      <c r="AF76" s="40"/>
      <c r="AG76" s="40"/>
      <c r="AH76" s="40"/>
      <c r="AI76" s="40"/>
      <c r="AK76" s="18"/>
      <c r="AL76" s="18"/>
      <c r="AM76" s="40" t="s">
        <v>118</v>
      </c>
      <c r="AN76" s="18"/>
      <c r="AO76" s="8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8"/>
      <c r="BK76" s="8"/>
      <c r="BL76" s="11" t="s">
        <v>52</v>
      </c>
      <c r="BM76" s="6"/>
      <c r="BN76" s="6"/>
      <c r="BO76" s="15"/>
    </row>
    <row r="77" spans="1:67" ht="13.25" customHeight="1">
      <c r="A77" s="16" t="s">
        <v>133</v>
      </c>
      <c r="B77" s="16" t="s">
        <v>140</v>
      </c>
      <c r="C77" s="17">
        <v>31146.788121978712</v>
      </c>
      <c r="D77" s="18">
        <v>11.816236277721874</v>
      </c>
      <c r="E77" s="6"/>
      <c r="F77" s="8"/>
      <c r="G77" s="10"/>
      <c r="H77" s="10">
        <v>1145</v>
      </c>
      <c r="I77" s="10"/>
      <c r="J77" s="10"/>
      <c r="K77" s="22"/>
      <c r="L77" s="10"/>
      <c r="M77" s="10"/>
      <c r="N77" s="40"/>
      <c r="O77" s="40"/>
      <c r="P77" s="10"/>
      <c r="Q77" s="10"/>
      <c r="R77" s="10"/>
      <c r="S77" s="10"/>
      <c r="T77" s="10"/>
      <c r="U77" s="10"/>
      <c r="V77" s="8"/>
      <c r="W77" s="20">
        <v>5.1893380006927758</v>
      </c>
      <c r="X77" s="56">
        <f t="shared" si="1"/>
        <v>4.5321729263692366E-3</v>
      </c>
      <c r="Y77" s="6"/>
      <c r="Z77" s="6"/>
      <c r="AA77" s="8"/>
      <c r="AB77" s="8"/>
      <c r="AC77" s="8"/>
      <c r="AD77" s="8"/>
      <c r="AE77" s="8"/>
      <c r="AF77" s="40"/>
      <c r="AG77" s="40"/>
      <c r="AH77" s="40"/>
      <c r="AI77" s="40"/>
      <c r="AK77" s="18"/>
      <c r="AL77" s="18"/>
      <c r="AM77" s="40" t="s">
        <v>118</v>
      </c>
      <c r="AN77" s="18"/>
      <c r="AO77" s="8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8"/>
      <c r="BK77" s="8"/>
      <c r="BL77" s="11" t="s">
        <v>52</v>
      </c>
      <c r="BM77" s="6"/>
      <c r="BN77" s="6"/>
      <c r="BO77" s="15"/>
    </row>
    <row r="78" spans="1:67" ht="13.25" customHeight="1">
      <c r="A78" s="16" t="s">
        <v>133</v>
      </c>
      <c r="B78" s="16" t="s">
        <v>140</v>
      </c>
      <c r="C78" s="17">
        <v>31238.172908667766</v>
      </c>
      <c r="D78" s="18">
        <v>12.06643953172499</v>
      </c>
      <c r="E78" s="6"/>
      <c r="F78" s="8"/>
      <c r="G78" s="10"/>
      <c r="H78" s="10">
        <v>1075.9000000000001</v>
      </c>
      <c r="I78" s="10"/>
      <c r="J78" s="10"/>
      <c r="K78" s="22"/>
      <c r="L78" s="10"/>
      <c r="M78" s="10"/>
      <c r="N78" s="40"/>
      <c r="O78" s="40"/>
      <c r="P78" s="10"/>
      <c r="Q78" s="10"/>
      <c r="R78" s="10"/>
      <c r="S78" s="10"/>
      <c r="T78" s="10"/>
      <c r="U78" s="10"/>
      <c r="V78" s="8"/>
      <c r="W78" s="20">
        <v>4.8762238144724659</v>
      </c>
      <c r="X78" s="56">
        <f t="shared" si="1"/>
        <v>4.5322277297820106E-3</v>
      </c>
      <c r="Y78" s="6"/>
      <c r="Z78" s="6"/>
      <c r="AA78" s="8"/>
      <c r="AB78" s="8"/>
      <c r="AC78" s="8"/>
      <c r="AD78" s="8"/>
      <c r="AE78" s="8"/>
      <c r="AF78" s="40"/>
      <c r="AG78" s="40"/>
      <c r="AH78" s="40"/>
      <c r="AI78" s="40"/>
      <c r="AK78" s="18"/>
      <c r="AL78" s="18"/>
      <c r="AM78" s="40" t="s">
        <v>118</v>
      </c>
      <c r="AN78" s="18"/>
      <c r="AO78" s="8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8"/>
      <c r="BK78" s="8"/>
      <c r="BL78" s="11" t="s">
        <v>52</v>
      </c>
      <c r="BM78" s="6"/>
      <c r="BN78" s="6"/>
      <c r="BO78" s="15"/>
    </row>
    <row r="79" spans="1:67">
      <c r="A79" s="16" t="s">
        <v>133</v>
      </c>
      <c r="B79" s="16" t="s">
        <v>140</v>
      </c>
      <c r="C79" s="17">
        <v>31324.149783298424</v>
      </c>
      <c r="D79" s="18">
        <v>12.301836413208168</v>
      </c>
      <c r="E79" s="6"/>
      <c r="F79" s="8"/>
      <c r="G79" s="10"/>
      <c r="H79" s="10">
        <v>1379.7</v>
      </c>
      <c r="I79" s="10"/>
      <c r="J79" s="10"/>
      <c r="K79" s="22"/>
      <c r="L79" s="10"/>
      <c r="M79" s="10"/>
      <c r="N79" s="40"/>
      <c r="O79" s="40"/>
      <c r="P79" s="10"/>
      <c r="Q79" s="10"/>
      <c r="R79" s="10"/>
      <c r="S79" s="10"/>
      <c r="T79" s="10"/>
      <c r="U79" s="10"/>
      <c r="V79" s="8"/>
      <c r="W79" s="20">
        <v>6.253299057412157</v>
      </c>
      <c r="X79" s="56">
        <f t="shared" si="1"/>
        <v>4.5323614245213863E-3</v>
      </c>
      <c r="Y79" s="6"/>
      <c r="Z79" s="6"/>
      <c r="AA79" s="8"/>
      <c r="AB79" s="8"/>
      <c r="AC79" s="8"/>
      <c r="AD79" s="8"/>
      <c r="AE79" s="8"/>
      <c r="AF79" s="40"/>
      <c r="AG79" s="40"/>
      <c r="AH79" s="40"/>
      <c r="AI79" s="40"/>
      <c r="AK79" s="18"/>
      <c r="AL79" s="18"/>
      <c r="AM79" s="40" t="s">
        <v>118</v>
      </c>
      <c r="AN79" s="18"/>
      <c r="AO79" s="8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8"/>
      <c r="BK79" s="8"/>
      <c r="BL79" s="11" t="s">
        <v>52</v>
      </c>
      <c r="BM79" s="6"/>
      <c r="BN79" s="6"/>
      <c r="BO79" s="15"/>
    </row>
    <row r="80" spans="1:67">
      <c r="A80" s="16" t="s">
        <v>133</v>
      </c>
      <c r="B80" s="16" t="s">
        <v>140</v>
      </c>
      <c r="C80" s="17">
        <v>31411.906053080591</v>
      </c>
      <c r="D80" s="18">
        <v>12.54210511715978</v>
      </c>
      <c r="E80" s="6"/>
      <c r="F80" s="8"/>
      <c r="G80" s="10"/>
      <c r="H80" s="10">
        <v>1594.8</v>
      </c>
      <c r="I80" s="10"/>
      <c r="J80" s="10"/>
      <c r="K80" s="22"/>
      <c r="L80" s="10"/>
      <c r="M80" s="10"/>
      <c r="N80" s="40"/>
      <c r="O80" s="40"/>
      <c r="P80" s="10"/>
      <c r="Q80" s="10"/>
      <c r="R80" s="10"/>
      <c r="S80" s="10"/>
      <c r="T80" s="10"/>
      <c r="U80" s="10"/>
      <c r="V80" s="8"/>
      <c r="W80" s="20">
        <v>7.2280260351145911</v>
      </c>
      <c r="X80" s="56">
        <f t="shared" si="1"/>
        <v>4.5322460716795783E-3</v>
      </c>
      <c r="Y80" s="6"/>
      <c r="Z80" s="6"/>
      <c r="AA80" s="8"/>
      <c r="AB80" s="8"/>
      <c r="AC80" s="8"/>
      <c r="AD80" s="8"/>
      <c r="AE80" s="8"/>
      <c r="AF80" s="40"/>
      <c r="AG80" s="40"/>
      <c r="AH80" s="40"/>
      <c r="AI80" s="40"/>
      <c r="AK80" s="18"/>
      <c r="AL80" s="18"/>
      <c r="AM80" s="40" t="s">
        <v>118</v>
      </c>
      <c r="AN80" s="18"/>
      <c r="AO80" s="8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8"/>
      <c r="BK80" s="8"/>
      <c r="BL80" s="11" t="s">
        <v>52</v>
      </c>
      <c r="BM80" s="6"/>
      <c r="BN80" s="6"/>
      <c r="BO80" s="15"/>
    </row>
    <row r="81" spans="1:67">
      <c r="A81" s="16" t="s">
        <v>133</v>
      </c>
      <c r="B81" s="16" t="s">
        <v>140</v>
      </c>
      <c r="C81" s="17">
        <v>31500.039514709715</v>
      </c>
      <c r="D81" s="18">
        <v>12.783406538163227</v>
      </c>
      <c r="E81" s="6"/>
      <c r="F81" s="8"/>
      <c r="G81" s="10"/>
      <c r="H81" s="10">
        <v>1421.9</v>
      </c>
      <c r="I81" s="10"/>
      <c r="J81" s="10"/>
      <c r="K81" s="22"/>
      <c r="L81" s="10"/>
      <c r="M81" s="10"/>
      <c r="N81" s="40"/>
      <c r="O81" s="40"/>
      <c r="P81" s="10"/>
      <c r="Q81" s="10"/>
      <c r="R81" s="10"/>
      <c r="S81" s="10"/>
      <c r="T81" s="10"/>
      <c r="U81" s="10"/>
      <c r="V81" s="8"/>
      <c r="W81" s="20">
        <v>6.4443034512935355</v>
      </c>
      <c r="X81" s="56">
        <f t="shared" si="1"/>
        <v>4.5321776856976827E-3</v>
      </c>
      <c r="Y81" s="6"/>
      <c r="Z81" s="6"/>
      <c r="AA81" s="8"/>
      <c r="AB81" s="8"/>
      <c r="AC81" s="8"/>
      <c r="AD81" s="8"/>
      <c r="AE81" s="8"/>
      <c r="AF81" s="40"/>
      <c r="AG81" s="40"/>
      <c r="AH81" s="40"/>
      <c r="AI81" s="40"/>
      <c r="AK81" s="18"/>
      <c r="AL81" s="18"/>
      <c r="AM81" s="40" t="s">
        <v>118</v>
      </c>
      <c r="AN81" s="18"/>
      <c r="AO81" s="8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8"/>
      <c r="BK81" s="8"/>
      <c r="BL81" s="11" t="s">
        <v>52</v>
      </c>
      <c r="BM81" s="6"/>
      <c r="BN81" s="6"/>
      <c r="BO81" s="15"/>
    </row>
    <row r="82" spans="1:67" ht="13.25" customHeight="1">
      <c r="A82" s="16" t="s">
        <v>133</v>
      </c>
      <c r="B82" s="16" t="s">
        <v>140</v>
      </c>
      <c r="C82" s="17">
        <v>31586.115056720741</v>
      </c>
      <c r="D82" s="18">
        <v>13.0190735619811</v>
      </c>
      <c r="E82" s="6"/>
      <c r="F82" s="8"/>
      <c r="G82" s="10"/>
      <c r="H82" s="10">
        <v>1299.5</v>
      </c>
      <c r="I82" s="10"/>
      <c r="J82" s="10"/>
      <c r="K82" s="22"/>
      <c r="L82" s="10"/>
      <c r="M82" s="10"/>
      <c r="N82" s="40"/>
      <c r="O82" s="40"/>
      <c r="P82" s="10"/>
      <c r="Q82" s="10"/>
      <c r="R82" s="10"/>
      <c r="S82" s="10"/>
      <c r="T82" s="10"/>
      <c r="U82" s="10"/>
      <c r="V82" s="8"/>
      <c r="W82" s="20">
        <v>5.8895658991047881</v>
      </c>
      <c r="X82" s="56">
        <f t="shared" si="1"/>
        <v>4.5321784525623613E-3</v>
      </c>
      <c r="Y82" s="6"/>
      <c r="Z82" s="6"/>
      <c r="AA82" s="8"/>
      <c r="AB82" s="8"/>
      <c r="AC82" s="8"/>
      <c r="AD82" s="8"/>
      <c r="AE82" s="8"/>
      <c r="AF82" s="40"/>
      <c r="AG82" s="40"/>
      <c r="AH82" s="40"/>
      <c r="AI82" s="40"/>
      <c r="AK82" s="18"/>
      <c r="AL82" s="18"/>
      <c r="AM82" s="40" t="s">
        <v>118</v>
      </c>
      <c r="AN82" s="18"/>
      <c r="AO82" s="8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8"/>
      <c r="BK82" s="8"/>
      <c r="BL82" s="11" t="s">
        <v>52</v>
      </c>
      <c r="BM82" s="6"/>
      <c r="BN82" s="6"/>
      <c r="BO82" s="15"/>
    </row>
    <row r="83" spans="1:67" ht="13.25" customHeight="1">
      <c r="A83" s="16" t="s">
        <v>133</v>
      </c>
      <c r="B83" s="16" t="s">
        <v>140</v>
      </c>
      <c r="C83" s="17">
        <v>31676.719901270066</v>
      </c>
      <c r="D83" s="18">
        <v>13.267141405174996</v>
      </c>
      <c r="E83" s="6"/>
      <c r="F83" s="8"/>
      <c r="G83" s="10"/>
      <c r="H83" s="10">
        <v>1503.6</v>
      </c>
      <c r="I83" s="10"/>
      <c r="J83" s="10"/>
      <c r="K83" s="22"/>
      <c r="L83" s="10"/>
      <c r="M83" s="10"/>
      <c r="N83" s="40"/>
      <c r="O83" s="40"/>
      <c r="P83" s="10"/>
      <c r="Q83" s="10"/>
      <c r="R83" s="10"/>
      <c r="S83" s="10"/>
      <c r="T83" s="10"/>
      <c r="U83" s="10"/>
      <c r="V83" s="8"/>
      <c r="W83" s="20">
        <v>6.814786048970797</v>
      </c>
      <c r="X83" s="56">
        <f t="shared" si="1"/>
        <v>4.5323131477592428E-3</v>
      </c>
      <c r="Y83" s="6"/>
      <c r="Z83" s="6"/>
      <c r="AA83" s="8"/>
      <c r="AB83" s="8"/>
      <c r="AC83" s="8"/>
      <c r="AD83" s="8"/>
      <c r="AE83" s="8"/>
      <c r="AF83" s="40"/>
      <c r="AG83" s="40"/>
      <c r="AH83" s="40"/>
      <c r="AI83" s="40"/>
      <c r="AK83" s="18"/>
      <c r="AL83" s="18"/>
      <c r="AM83" s="40" t="s">
        <v>118</v>
      </c>
      <c r="AN83" s="18"/>
      <c r="AO83" s="8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8"/>
      <c r="BK83" s="8"/>
      <c r="BL83" s="11" t="s">
        <v>52</v>
      </c>
      <c r="BM83" s="6"/>
      <c r="BN83" s="6"/>
      <c r="BO83" s="15"/>
    </row>
    <row r="84" spans="1:67" ht="13.25" customHeight="1">
      <c r="A84" s="16" t="s">
        <v>133</v>
      </c>
      <c r="B84" s="16" t="s">
        <v>140</v>
      </c>
      <c r="C84" s="17">
        <v>31760.942939194949</v>
      </c>
      <c r="D84" s="18">
        <v>13.49773644089507</v>
      </c>
      <c r="E84" s="6"/>
      <c r="F84" s="8"/>
      <c r="G84" s="10"/>
      <c r="H84" s="10">
        <v>1765.1</v>
      </c>
      <c r="I84" s="10"/>
      <c r="J84" s="10"/>
      <c r="K84" s="22"/>
      <c r="L84" s="10"/>
      <c r="M84" s="10"/>
      <c r="N84" s="40"/>
      <c r="O84" s="40"/>
      <c r="P84" s="10"/>
      <c r="Q84" s="10"/>
      <c r="R84" s="10"/>
      <c r="S84" s="10"/>
      <c r="T84" s="10"/>
      <c r="U84" s="10"/>
      <c r="V84" s="8">
        <v>3.8038031398962982E-3</v>
      </c>
      <c r="W84" s="20">
        <v>8</v>
      </c>
      <c r="X84" s="56">
        <f t="shared" si="1"/>
        <v>4.5323211149509946E-3</v>
      </c>
      <c r="Y84" s="6"/>
      <c r="Z84" s="6"/>
      <c r="AA84" s="8"/>
      <c r="AB84" s="8"/>
      <c r="AC84" s="8"/>
      <c r="AD84" s="8"/>
      <c r="AE84" s="8"/>
      <c r="AF84" s="40"/>
      <c r="AG84" s="40"/>
      <c r="AH84" s="40"/>
      <c r="AI84" s="40"/>
      <c r="AK84" s="18"/>
      <c r="AL84" s="18"/>
      <c r="AM84" s="40" t="s">
        <v>118</v>
      </c>
      <c r="AN84" s="18"/>
      <c r="AO84" s="8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8"/>
      <c r="BK84" s="8"/>
      <c r="BL84" s="11" t="s">
        <v>52</v>
      </c>
      <c r="BM84" s="6"/>
      <c r="BN84" s="6"/>
      <c r="BO84" s="15"/>
    </row>
    <row r="85" spans="1:67">
      <c r="A85" s="16" t="s">
        <v>133</v>
      </c>
      <c r="B85" s="16" t="s">
        <v>140</v>
      </c>
      <c r="C85" s="17">
        <v>31847.187625286595</v>
      </c>
      <c r="D85" s="18">
        <v>13.733866565858111</v>
      </c>
      <c r="E85" s="6"/>
      <c r="F85" s="8"/>
      <c r="G85" s="10"/>
      <c r="H85" s="10">
        <v>1549.8</v>
      </c>
      <c r="I85" s="10"/>
      <c r="J85" s="10"/>
      <c r="K85" s="22"/>
      <c r="L85" s="10"/>
      <c r="M85" s="10"/>
      <c r="N85" s="40"/>
      <c r="O85" s="40"/>
      <c r="P85" s="10"/>
      <c r="Q85" s="10"/>
      <c r="R85" s="10"/>
      <c r="S85" s="10"/>
      <c r="T85" s="10"/>
      <c r="U85" s="10"/>
      <c r="V85" s="8"/>
      <c r="W85" s="20">
        <v>7.0242629765355771</v>
      </c>
      <c r="X85" s="56">
        <f t="shared" si="1"/>
        <v>4.5323673871051602E-3</v>
      </c>
      <c r="Y85" s="6"/>
      <c r="Z85" s="6"/>
      <c r="AA85" s="8"/>
      <c r="AB85" s="8"/>
      <c r="AC85" s="8"/>
      <c r="AD85" s="8"/>
      <c r="AE85" s="8"/>
      <c r="AF85" s="40"/>
      <c r="AG85" s="40"/>
      <c r="AH85" s="40"/>
      <c r="AI85" s="40"/>
      <c r="AK85" s="18"/>
      <c r="AL85" s="18"/>
      <c r="AM85" s="40" t="s">
        <v>118</v>
      </c>
      <c r="AN85" s="18"/>
      <c r="AO85" s="8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8"/>
      <c r="BK85" s="8"/>
      <c r="BL85" s="11" t="s">
        <v>52</v>
      </c>
      <c r="BM85" s="6"/>
      <c r="BN85" s="6"/>
      <c r="BO85" s="15"/>
    </row>
    <row r="86" spans="1:67" ht="13.25" customHeight="1">
      <c r="A86" s="16" t="s">
        <v>133</v>
      </c>
      <c r="B86" s="16" t="s">
        <v>140</v>
      </c>
      <c r="C86" s="17">
        <v>31938.346886534797</v>
      </c>
      <c r="D86" s="18">
        <v>13.983452351667603</v>
      </c>
      <c r="E86" s="6"/>
      <c r="F86" s="8"/>
      <c r="G86" s="10"/>
      <c r="H86" s="10">
        <v>1398.8</v>
      </c>
      <c r="I86" s="10"/>
      <c r="J86" s="10"/>
      <c r="K86" s="22"/>
      <c r="L86" s="10"/>
      <c r="M86" s="10"/>
      <c r="N86" s="40"/>
      <c r="O86" s="40"/>
      <c r="P86" s="10"/>
      <c r="Q86" s="10"/>
      <c r="R86" s="10"/>
      <c r="S86" s="10"/>
      <c r="T86" s="10"/>
      <c r="U86" s="10"/>
      <c r="V86" s="8"/>
      <c r="W86" s="20">
        <v>6.3396306222538321</v>
      </c>
      <c r="X86" s="56">
        <f t="shared" si="1"/>
        <v>4.5321923236015388E-3</v>
      </c>
      <c r="Y86" s="6"/>
      <c r="Z86" s="6"/>
      <c r="AA86" s="8"/>
      <c r="AB86" s="8"/>
      <c r="AC86" s="8"/>
      <c r="AD86" s="8"/>
      <c r="AE86" s="8"/>
      <c r="AF86" s="40"/>
      <c r="AG86" s="40"/>
      <c r="AH86" s="40"/>
      <c r="AI86" s="40"/>
      <c r="AK86" s="18"/>
      <c r="AL86" s="18"/>
      <c r="AM86" s="40" t="s">
        <v>118</v>
      </c>
      <c r="AN86" s="18"/>
      <c r="AO86" s="8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8"/>
      <c r="BK86" s="8"/>
      <c r="BL86" s="11" t="s">
        <v>52</v>
      </c>
      <c r="BM86" s="6"/>
      <c r="BN86" s="6"/>
      <c r="BO86" s="15"/>
    </row>
    <row r="87" spans="1:67" ht="14" customHeight="1">
      <c r="A87" s="6" t="s">
        <v>129</v>
      </c>
      <c r="B87" s="6" t="s">
        <v>136</v>
      </c>
      <c r="C87" s="17">
        <v>26831</v>
      </c>
      <c r="D87" s="18">
        <v>2.7000000000000001E-3</v>
      </c>
      <c r="E87" s="6">
        <v>100</v>
      </c>
      <c r="F87" s="6">
        <v>997</v>
      </c>
      <c r="G87" s="22"/>
      <c r="H87" s="10"/>
      <c r="I87" s="22"/>
      <c r="J87" s="22"/>
      <c r="K87" s="22"/>
      <c r="L87" s="22"/>
      <c r="M87" s="22"/>
      <c r="N87" s="18"/>
      <c r="O87" s="18"/>
      <c r="P87" s="22"/>
      <c r="Q87" s="22"/>
      <c r="R87" s="22"/>
      <c r="S87" s="22"/>
      <c r="T87" s="22"/>
      <c r="U87" s="22"/>
      <c r="V87" s="6"/>
      <c r="W87" s="6"/>
      <c r="X87" s="19"/>
      <c r="Y87" s="6"/>
      <c r="Z87" s="6"/>
      <c r="AA87" s="6"/>
      <c r="AB87" s="6"/>
      <c r="AC87" s="6"/>
      <c r="AD87" s="6"/>
      <c r="AE87" s="6"/>
      <c r="AF87" s="18"/>
      <c r="AG87" s="18"/>
      <c r="AH87" s="18"/>
      <c r="AI87" s="18"/>
      <c r="AK87" s="18"/>
      <c r="AL87" s="18"/>
      <c r="AM87" s="40" t="s">
        <v>118</v>
      </c>
      <c r="AN87" s="18"/>
      <c r="AO87" s="6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6"/>
      <c r="BK87" s="6"/>
      <c r="BL87" s="21" t="s">
        <v>53</v>
      </c>
      <c r="BM87" s="1"/>
      <c r="BN87" s="1"/>
      <c r="BO87" s="15"/>
    </row>
    <row r="88" spans="1:67">
      <c r="A88" s="6" t="s">
        <v>130</v>
      </c>
      <c r="B88" s="6" t="s">
        <v>139</v>
      </c>
      <c r="C88" s="17">
        <v>26831</v>
      </c>
      <c r="D88" s="18">
        <v>2.7000000000000001E-3</v>
      </c>
      <c r="E88" s="6">
        <v>100</v>
      </c>
      <c r="F88" s="6">
        <v>997</v>
      </c>
      <c r="G88" s="22"/>
      <c r="H88" s="10"/>
      <c r="I88" s="22"/>
      <c r="J88" s="22"/>
      <c r="K88" s="22"/>
      <c r="L88" s="22"/>
      <c r="M88" s="22"/>
      <c r="N88" s="18"/>
      <c r="O88" s="18"/>
      <c r="P88" s="22"/>
      <c r="Q88" s="22"/>
      <c r="R88" s="22"/>
      <c r="S88" s="22"/>
      <c r="T88" s="22"/>
      <c r="U88" s="22"/>
      <c r="V88" s="6"/>
      <c r="W88" s="6"/>
      <c r="X88" s="19"/>
      <c r="Y88" s="6"/>
      <c r="Z88" s="6"/>
      <c r="AA88" s="6"/>
      <c r="AB88" s="6"/>
      <c r="AC88" s="6"/>
      <c r="AD88" s="6"/>
      <c r="AE88" s="6"/>
      <c r="AF88" s="18"/>
      <c r="AG88" s="18"/>
      <c r="AH88" s="18"/>
      <c r="AI88" s="18"/>
      <c r="AK88" s="18"/>
      <c r="AL88" s="18"/>
      <c r="AM88" s="40" t="s">
        <v>118</v>
      </c>
      <c r="AN88" s="18"/>
      <c r="AO88" s="6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6"/>
      <c r="BK88" s="6"/>
      <c r="BL88" s="21" t="s">
        <v>53</v>
      </c>
      <c r="BM88" s="1"/>
      <c r="BN88" s="1"/>
      <c r="BO88" s="15"/>
    </row>
    <row r="89" spans="1:67">
      <c r="A89" s="6" t="s">
        <v>131</v>
      </c>
      <c r="B89" s="6" t="s">
        <v>138</v>
      </c>
      <c r="C89" s="17">
        <v>26831</v>
      </c>
      <c r="D89" s="18">
        <v>2.7000000000000001E-3</v>
      </c>
      <c r="E89" s="6">
        <v>100</v>
      </c>
      <c r="F89" s="6">
        <v>997</v>
      </c>
      <c r="G89" s="22"/>
      <c r="H89" s="10"/>
      <c r="I89" s="22"/>
      <c r="J89" s="22"/>
      <c r="K89" s="22"/>
      <c r="L89" s="22"/>
      <c r="M89" s="22"/>
      <c r="N89" s="18"/>
      <c r="O89" s="18"/>
      <c r="P89" s="22"/>
      <c r="Q89" s="22"/>
      <c r="R89" s="22"/>
      <c r="S89" s="22"/>
      <c r="T89" s="22"/>
      <c r="U89" s="22"/>
      <c r="V89" s="6"/>
      <c r="W89" s="6"/>
      <c r="X89" s="19"/>
      <c r="Y89" s="6"/>
      <c r="Z89" s="6"/>
      <c r="AA89" s="6"/>
      <c r="AB89" s="6"/>
      <c r="AC89" s="6"/>
      <c r="AD89" s="6"/>
      <c r="AE89" s="6"/>
      <c r="AF89" s="18"/>
      <c r="AG89" s="18"/>
      <c r="AH89" s="18"/>
      <c r="AI89" s="18"/>
      <c r="AK89" s="18"/>
      <c r="AL89" s="18"/>
      <c r="AM89" s="40" t="s">
        <v>118</v>
      </c>
      <c r="AN89" s="18"/>
      <c r="AO89" s="6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6"/>
      <c r="BK89" s="6"/>
      <c r="BL89" s="21" t="s">
        <v>53</v>
      </c>
      <c r="BM89" s="1"/>
      <c r="BN89" s="1"/>
      <c r="BO89" s="15"/>
    </row>
    <row r="90" spans="1:67" ht="14" customHeight="1">
      <c r="A90" s="6" t="s">
        <v>132</v>
      </c>
      <c r="B90" s="6" t="s">
        <v>139</v>
      </c>
      <c r="C90" s="17">
        <v>26831</v>
      </c>
      <c r="D90" s="18">
        <v>2.7000000000000001E-3</v>
      </c>
      <c r="E90" s="6">
        <v>100</v>
      </c>
      <c r="F90" s="6">
        <v>997</v>
      </c>
      <c r="G90" s="22"/>
      <c r="H90" s="10"/>
      <c r="I90" s="22"/>
      <c r="J90" s="22"/>
      <c r="K90" s="22"/>
      <c r="L90" s="22"/>
      <c r="M90" s="22"/>
      <c r="N90" s="18"/>
      <c r="O90" s="18"/>
      <c r="P90" s="22"/>
      <c r="Q90" s="22"/>
      <c r="R90" s="22"/>
      <c r="S90" s="22"/>
      <c r="T90" s="22"/>
      <c r="U90" s="22"/>
      <c r="V90" s="6"/>
      <c r="W90" s="6"/>
      <c r="X90" s="19"/>
      <c r="Y90" s="6"/>
      <c r="Z90" s="6"/>
      <c r="AA90" s="6"/>
      <c r="AB90" s="6"/>
      <c r="AC90" s="6"/>
      <c r="AD90" s="6"/>
      <c r="AE90" s="6"/>
      <c r="AF90" s="18"/>
      <c r="AG90" s="18"/>
      <c r="AH90" s="18"/>
      <c r="AI90" s="18"/>
      <c r="AK90" s="18"/>
      <c r="AL90" s="18"/>
      <c r="AM90" s="40" t="s">
        <v>118</v>
      </c>
      <c r="AN90" s="18"/>
      <c r="AO90" s="6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6"/>
      <c r="BK90" s="6"/>
      <c r="BL90" s="21" t="s">
        <v>53</v>
      </c>
      <c r="BM90" s="1"/>
      <c r="BN90" s="1"/>
      <c r="BO90" s="15"/>
    </row>
    <row r="91" spans="1:67">
      <c r="A91" s="6" t="s">
        <v>132</v>
      </c>
      <c r="B91" s="6" t="s">
        <v>139</v>
      </c>
      <c r="C91" s="17">
        <v>26831</v>
      </c>
      <c r="D91" s="18">
        <v>2.7000000000000001E-3</v>
      </c>
      <c r="E91" s="6">
        <v>100</v>
      </c>
      <c r="F91" s="6">
        <v>997</v>
      </c>
      <c r="G91" s="22"/>
      <c r="H91" s="10"/>
      <c r="I91" s="22"/>
      <c r="J91" s="22"/>
      <c r="K91" s="22"/>
      <c r="L91" s="22"/>
      <c r="M91" s="22"/>
      <c r="N91" s="18"/>
      <c r="O91" s="18"/>
      <c r="P91" s="22"/>
      <c r="Q91" s="22"/>
      <c r="R91" s="22"/>
      <c r="S91" s="22"/>
      <c r="T91" s="22"/>
      <c r="U91" s="22"/>
      <c r="V91" s="6"/>
      <c r="W91" s="6"/>
      <c r="X91" s="19"/>
      <c r="Y91" s="6"/>
      <c r="Z91" s="6"/>
      <c r="AA91" s="6"/>
      <c r="AB91" s="6"/>
      <c r="AC91" s="6"/>
      <c r="AD91" s="6"/>
      <c r="AE91" s="6"/>
      <c r="AF91" s="18"/>
      <c r="AG91" s="18"/>
      <c r="AH91" s="18"/>
      <c r="AI91" s="18"/>
      <c r="AK91" s="18"/>
      <c r="AL91" s="18"/>
      <c r="AM91" s="40" t="s">
        <v>118</v>
      </c>
      <c r="AN91" s="18"/>
      <c r="AO91" s="6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6"/>
      <c r="BK91" s="6"/>
      <c r="BL91" s="21" t="s">
        <v>53</v>
      </c>
      <c r="BM91" s="1"/>
      <c r="BN91" s="1"/>
      <c r="BO91" s="15"/>
    </row>
    <row r="92" spans="1:67" ht="14" customHeight="1">
      <c r="A92" s="6" t="s">
        <v>134</v>
      </c>
      <c r="B92" s="6" t="s">
        <v>141</v>
      </c>
      <c r="C92" s="17">
        <v>26831</v>
      </c>
      <c r="D92" s="18">
        <v>2.7000000000000001E-3</v>
      </c>
      <c r="E92" s="6">
        <v>100</v>
      </c>
      <c r="F92" s="6">
        <v>997</v>
      </c>
      <c r="G92" s="22"/>
      <c r="H92" s="10"/>
      <c r="I92" s="22"/>
      <c r="J92" s="22"/>
      <c r="K92" s="22"/>
      <c r="L92" s="22"/>
      <c r="M92" s="22"/>
      <c r="N92" s="18"/>
      <c r="O92" s="18"/>
      <c r="P92" s="22"/>
      <c r="Q92" s="22"/>
      <c r="R92" s="22"/>
      <c r="S92" s="22"/>
      <c r="T92" s="22"/>
      <c r="U92" s="22"/>
      <c r="V92" s="6"/>
      <c r="W92" s="6"/>
      <c r="X92" s="19"/>
      <c r="Y92" s="6"/>
      <c r="Z92" s="6"/>
      <c r="AA92" s="6"/>
      <c r="AB92" s="6"/>
      <c r="AC92" s="6"/>
      <c r="AD92" s="6"/>
      <c r="AE92" s="6"/>
      <c r="AF92" s="18"/>
      <c r="AG92" s="18"/>
      <c r="AH92" s="18"/>
      <c r="AI92" s="18"/>
      <c r="AK92" s="18"/>
      <c r="AL92" s="18"/>
      <c r="AM92" s="40" t="s">
        <v>118</v>
      </c>
      <c r="AN92" s="18"/>
      <c r="AO92" s="6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6"/>
      <c r="BK92" s="6"/>
      <c r="BL92" s="21" t="s">
        <v>53</v>
      </c>
      <c r="BM92" s="1"/>
      <c r="BN92" s="1"/>
      <c r="BO92" s="15"/>
    </row>
    <row r="93" spans="1:67">
      <c r="A93" s="6" t="s">
        <v>133</v>
      </c>
      <c r="B93" s="6" t="s">
        <v>140</v>
      </c>
      <c r="C93" s="17">
        <v>26831</v>
      </c>
      <c r="D93" s="18">
        <v>2.7000000000000001E-3</v>
      </c>
      <c r="E93" s="6">
        <v>100</v>
      </c>
      <c r="F93" s="6">
        <v>997</v>
      </c>
      <c r="G93" s="22"/>
      <c r="H93" s="10"/>
      <c r="I93" s="22"/>
      <c r="J93" s="22"/>
      <c r="K93" s="22"/>
      <c r="L93" s="22"/>
      <c r="M93" s="22"/>
      <c r="N93" s="18"/>
      <c r="O93" s="18"/>
      <c r="P93" s="22"/>
      <c r="Q93" s="22"/>
      <c r="R93" s="22"/>
      <c r="S93" s="22"/>
      <c r="T93" s="22"/>
      <c r="U93" s="22"/>
      <c r="V93" s="6"/>
      <c r="W93" s="6"/>
      <c r="X93" s="19"/>
      <c r="Y93" s="6"/>
      <c r="Z93" s="6"/>
      <c r="AA93" s="6"/>
      <c r="AB93" s="6"/>
      <c r="AC93" s="6"/>
      <c r="AD93" s="6"/>
      <c r="AE93" s="6"/>
      <c r="AF93" s="18"/>
      <c r="AG93" s="18"/>
      <c r="AH93" s="18"/>
      <c r="AI93" s="18"/>
      <c r="AK93" s="18"/>
      <c r="AL93" s="18"/>
      <c r="AM93" s="40" t="s">
        <v>118</v>
      </c>
      <c r="AN93" s="18"/>
      <c r="AO93" s="6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6"/>
      <c r="BK93" s="6"/>
      <c r="BL93" s="21" t="s">
        <v>53</v>
      </c>
      <c r="BM93" s="1"/>
      <c r="BN93" s="1"/>
      <c r="BO93" s="15"/>
    </row>
    <row r="94" spans="1:67" ht="14" customHeight="1">
      <c r="A94" s="6" t="s">
        <v>129</v>
      </c>
      <c r="B94" s="6" t="s">
        <v>136</v>
      </c>
      <c r="C94" s="17">
        <v>30483</v>
      </c>
      <c r="D94" s="18">
        <v>10</v>
      </c>
      <c r="E94" s="22">
        <v>62.688064192577727</v>
      </c>
      <c r="F94" s="6">
        <v>625</v>
      </c>
      <c r="G94" s="22"/>
      <c r="H94" s="10"/>
      <c r="I94" s="22"/>
      <c r="J94" s="22"/>
      <c r="K94" s="22"/>
      <c r="L94" s="22"/>
      <c r="M94" s="22"/>
      <c r="N94" s="18"/>
      <c r="O94" s="18"/>
      <c r="P94" s="22"/>
      <c r="Q94" s="22"/>
      <c r="R94" s="22"/>
      <c r="S94" s="22"/>
      <c r="T94" s="22"/>
      <c r="U94" s="22"/>
      <c r="V94" s="6"/>
      <c r="W94" s="6"/>
      <c r="X94" s="19"/>
      <c r="Y94" s="6"/>
      <c r="Z94" s="6"/>
      <c r="AA94" s="6"/>
      <c r="AB94" s="6"/>
      <c r="AC94" s="6"/>
      <c r="AD94" s="6"/>
      <c r="AE94" s="6"/>
      <c r="AF94" s="18"/>
      <c r="AG94" s="18"/>
      <c r="AH94" s="18"/>
      <c r="AI94" s="18"/>
      <c r="AK94" s="18"/>
      <c r="AL94" s="18"/>
      <c r="AM94" s="40" t="s">
        <v>118</v>
      </c>
      <c r="AN94" s="18"/>
      <c r="AO94" s="6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6"/>
      <c r="BK94" s="6"/>
      <c r="BL94" s="21" t="s">
        <v>53</v>
      </c>
      <c r="BM94" s="1"/>
      <c r="BN94" s="1"/>
      <c r="BO94" s="15"/>
    </row>
    <row r="95" spans="1:67">
      <c r="A95" s="6" t="s">
        <v>130</v>
      </c>
      <c r="B95" s="6" t="s">
        <v>139</v>
      </c>
      <c r="C95" s="17">
        <v>30483</v>
      </c>
      <c r="D95" s="18">
        <v>10</v>
      </c>
      <c r="E95" s="22">
        <v>60.080240722166501</v>
      </c>
      <c r="F95" s="6">
        <v>599</v>
      </c>
      <c r="G95" s="22"/>
      <c r="H95" s="10"/>
      <c r="I95" s="22"/>
      <c r="J95" s="22"/>
      <c r="K95" s="22"/>
      <c r="L95" s="22"/>
      <c r="M95" s="22"/>
      <c r="N95" s="18"/>
      <c r="O95" s="18"/>
      <c r="P95" s="22"/>
      <c r="Q95" s="22"/>
      <c r="R95" s="22"/>
      <c r="S95" s="22"/>
      <c r="T95" s="22"/>
      <c r="U95" s="22"/>
      <c r="V95" s="6"/>
      <c r="W95" s="6"/>
      <c r="X95" s="19"/>
      <c r="Y95" s="6"/>
      <c r="Z95" s="6"/>
      <c r="AA95" s="6"/>
      <c r="AB95" s="6"/>
      <c r="AC95" s="6"/>
      <c r="AD95" s="6"/>
      <c r="AE95" s="6"/>
      <c r="AF95" s="18"/>
      <c r="AG95" s="18"/>
      <c r="AH95" s="18"/>
      <c r="AI95" s="18"/>
      <c r="AK95" s="18"/>
      <c r="AL95" s="18"/>
      <c r="AM95" s="40" t="s">
        <v>118</v>
      </c>
      <c r="AN95" s="18"/>
      <c r="AO95" s="6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6"/>
      <c r="BK95" s="6"/>
      <c r="BL95" s="21" t="s">
        <v>53</v>
      </c>
      <c r="BM95" s="1"/>
      <c r="BN95" s="1"/>
      <c r="BO95" s="15"/>
    </row>
    <row r="96" spans="1:67" ht="14" customHeight="1">
      <c r="A96" s="6" t="s">
        <v>131</v>
      </c>
      <c r="B96" s="6" t="s">
        <v>138</v>
      </c>
      <c r="C96" s="17">
        <v>30483</v>
      </c>
      <c r="D96" s="18">
        <v>10</v>
      </c>
      <c r="E96" s="22">
        <v>70.511534603811427</v>
      </c>
      <c r="F96" s="6">
        <v>703</v>
      </c>
      <c r="G96" s="22"/>
      <c r="H96" s="10"/>
      <c r="I96" s="22"/>
      <c r="J96" s="22"/>
      <c r="K96" s="22"/>
      <c r="L96" s="22"/>
      <c r="M96" s="22"/>
      <c r="N96" s="18"/>
      <c r="O96" s="18"/>
      <c r="P96" s="22"/>
      <c r="Q96" s="22"/>
      <c r="R96" s="22"/>
      <c r="S96" s="22"/>
      <c r="T96" s="22"/>
      <c r="U96" s="22"/>
      <c r="V96" s="6"/>
      <c r="W96" s="6"/>
      <c r="X96" s="19"/>
      <c r="Y96" s="6"/>
      <c r="Z96" s="6"/>
      <c r="AA96" s="6"/>
      <c r="AB96" s="6"/>
      <c r="AC96" s="6"/>
      <c r="AD96" s="6"/>
      <c r="AE96" s="6"/>
      <c r="AF96" s="18"/>
      <c r="AG96" s="18"/>
      <c r="AH96" s="18"/>
      <c r="AI96" s="18"/>
      <c r="AK96" s="18"/>
      <c r="AL96" s="18"/>
      <c r="AM96" s="40" t="s">
        <v>118</v>
      </c>
      <c r="AN96" s="18"/>
      <c r="AO96" s="6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6"/>
      <c r="BK96" s="6"/>
      <c r="BL96" s="21" t="s">
        <v>53</v>
      </c>
      <c r="BM96" s="1"/>
      <c r="BN96" s="1"/>
      <c r="BO96" s="15"/>
    </row>
    <row r="97" spans="1:67">
      <c r="A97" s="6" t="s">
        <v>132</v>
      </c>
      <c r="B97" s="6" t="s">
        <v>139</v>
      </c>
      <c r="C97" s="17">
        <v>30483</v>
      </c>
      <c r="D97" s="18">
        <v>10</v>
      </c>
      <c r="E97" s="22">
        <v>70.611835506519554</v>
      </c>
      <c r="F97" s="6">
        <v>704</v>
      </c>
      <c r="G97" s="22"/>
      <c r="H97" s="10"/>
      <c r="I97" s="22"/>
      <c r="J97" s="22"/>
      <c r="K97" s="22"/>
      <c r="L97" s="22"/>
      <c r="M97" s="22"/>
      <c r="N97" s="18"/>
      <c r="O97" s="18"/>
      <c r="P97" s="22"/>
      <c r="Q97" s="22"/>
      <c r="R97" s="22"/>
      <c r="S97" s="22"/>
      <c r="T97" s="22"/>
      <c r="U97" s="22"/>
      <c r="V97" s="6"/>
      <c r="W97" s="6"/>
      <c r="X97" s="19"/>
      <c r="Y97" s="6"/>
      <c r="Z97" s="6"/>
      <c r="AA97" s="6"/>
      <c r="AB97" s="6"/>
      <c r="AC97" s="6"/>
      <c r="AD97" s="6"/>
      <c r="AE97" s="6"/>
      <c r="AF97" s="18"/>
      <c r="AG97" s="18"/>
      <c r="AH97" s="18"/>
      <c r="AI97" s="18"/>
      <c r="AK97" s="18"/>
      <c r="AL97" s="18"/>
      <c r="AM97" s="40" t="s">
        <v>118</v>
      </c>
      <c r="AN97" s="18"/>
      <c r="AO97" s="6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6"/>
      <c r="BK97" s="6"/>
      <c r="BL97" s="21" t="s">
        <v>53</v>
      </c>
      <c r="BM97" s="1"/>
      <c r="BN97" s="1"/>
      <c r="BO97" s="15"/>
    </row>
    <row r="98" spans="1:67" ht="14" customHeight="1">
      <c r="A98" s="6" t="s">
        <v>132</v>
      </c>
      <c r="B98" s="6" t="s">
        <v>139</v>
      </c>
      <c r="C98" s="17">
        <v>30483</v>
      </c>
      <c r="D98" s="18">
        <v>10</v>
      </c>
      <c r="E98" s="6"/>
      <c r="F98" s="6"/>
      <c r="G98" s="22"/>
      <c r="H98" s="10"/>
      <c r="I98" s="22"/>
      <c r="J98" s="22"/>
      <c r="K98" s="22"/>
      <c r="L98" s="22"/>
      <c r="M98" s="22"/>
      <c r="N98" s="18"/>
      <c r="O98" s="18"/>
      <c r="P98" s="22"/>
      <c r="Q98" s="22"/>
      <c r="R98" s="22"/>
      <c r="S98" s="22"/>
      <c r="T98" s="22"/>
      <c r="U98" s="22"/>
      <c r="V98" s="6"/>
      <c r="W98" s="6"/>
      <c r="X98" s="19"/>
      <c r="Y98" s="6"/>
      <c r="Z98" s="6"/>
      <c r="AA98" s="6"/>
      <c r="AB98" s="6"/>
      <c r="AC98" s="6"/>
      <c r="AD98" s="6"/>
      <c r="AE98" s="6"/>
      <c r="AF98" s="18"/>
      <c r="AG98" s="18"/>
      <c r="AH98" s="18"/>
      <c r="AI98" s="18"/>
      <c r="AK98" s="18"/>
      <c r="AL98" s="18"/>
      <c r="AM98" s="40" t="s">
        <v>118</v>
      </c>
      <c r="AN98" s="18"/>
      <c r="AO98" s="6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6"/>
      <c r="BK98" s="6"/>
      <c r="BL98" s="21" t="s">
        <v>53</v>
      </c>
      <c r="BM98" s="1"/>
      <c r="BN98" s="1"/>
      <c r="BO98" s="15"/>
    </row>
    <row r="99" spans="1:67">
      <c r="A99" s="6" t="s">
        <v>134</v>
      </c>
      <c r="B99" s="6" t="s">
        <v>141</v>
      </c>
      <c r="C99" s="17">
        <v>30483</v>
      </c>
      <c r="D99" s="18">
        <v>10</v>
      </c>
      <c r="E99" s="22">
        <v>74.824473420260787</v>
      </c>
      <c r="F99" s="22">
        <v>746</v>
      </c>
      <c r="G99" s="22"/>
      <c r="H99" s="10"/>
      <c r="I99" s="22"/>
      <c r="J99" s="22"/>
      <c r="K99" s="22"/>
      <c r="L99" s="22"/>
      <c r="M99" s="22"/>
      <c r="N99" s="18"/>
      <c r="O99" s="18"/>
      <c r="P99" s="22"/>
      <c r="Q99" s="22"/>
      <c r="R99" s="22"/>
      <c r="S99" s="22"/>
      <c r="T99" s="22"/>
      <c r="U99" s="22"/>
      <c r="V99" s="6"/>
      <c r="W99" s="6"/>
      <c r="X99" s="19"/>
      <c r="Y99" s="6"/>
      <c r="Z99" s="6"/>
      <c r="AA99" s="6"/>
      <c r="AB99" s="6"/>
      <c r="AC99" s="6"/>
      <c r="AD99" s="6"/>
      <c r="AE99" s="6"/>
      <c r="AF99" s="18"/>
      <c r="AG99" s="18"/>
      <c r="AH99" s="18"/>
      <c r="AI99" s="18"/>
      <c r="AK99" s="18"/>
      <c r="AL99" s="18"/>
      <c r="AM99" s="40" t="s">
        <v>118</v>
      </c>
      <c r="AN99" s="18"/>
      <c r="AO99" s="6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6"/>
      <c r="BK99" s="6"/>
      <c r="BL99" s="21" t="s">
        <v>53</v>
      </c>
      <c r="BM99" s="1"/>
      <c r="BN99" s="1"/>
      <c r="BO99" s="15"/>
    </row>
    <row r="100" spans="1:67">
      <c r="A100" s="6" t="s">
        <v>133</v>
      </c>
      <c r="B100" s="6" t="s">
        <v>140</v>
      </c>
      <c r="C100" s="17">
        <v>30483</v>
      </c>
      <c r="D100" s="18">
        <v>10</v>
      </c>
      <c r="E100" s="6"/>
      <c r="F100" s="22"/>
      <c r="G100" s="22"/>
      <c r="H100" s="10"/>
      <c r="I100" s="22"/>
      <c r="J100" s="22"/>
      <c r="K100" s="22"/>
      <c r="L100" s="22"/>
      <c r="M100" s="22"/>
      <c r="N100" s="18"/>
      <c r="O100" s="18"/>
      <c r="P100" s="22"/>
      <c r="Q100" s="22"/>
      <c r="R100" s="22"/>
      <c r="S100" s="22"/>
      <c r="T100" s="22"/>
      <c r="U100" s="22"/>
      <c r="V100" s="6"/>
      <c r="W100" s="6"/>
      <c r="X100" s="19"/>
      <c r="Y100" s="6"/>
      <c r="Z100" s="6"/>
      <c r="AA100" s="6"/>
      <c r="AB100" s="6"/>
      <c r="AC100" s="6"/>
      <c r="AD100" s="6"/>
      <c r="AE100" s="6"/>
      <c r="AF100" s="18"/>
      <c r="AG100" s="18"/>
      <c r="AH100" s="18"/>
      <c r="AI100" s="18"/>
      <c r="AK100" s="18"/>
      <c r="AL100" s="18"/>
      <c r="AM100" s="40" t="s">
        <v>118</v>
      </c>
      <c r="AN100" s="18"/>
      <c r="AO100" s="6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6"/>
      <c r="BK100" s="6"/>
      <c r="BL100" s="21" t="s">
        <v>53</v>
      </c>
      <c r="BM100" s="1"/>
      <c r="BN100" s="1"/>
      <c r="BO100" s="15"/>
    </row>
    <row r="101" spans="1:67" ht="14.5" customHeight="1">
      <c r="A101" s="6" t="s">
        <v>129</v>
      </c>
      <c r="B101" s="6" t="s">
        <v>136</v>
      </c>
      <c r="C101" s="17">
        <v>30862.66420000001</v>
      </c>
      <c r="D101" s="18">
        <v>11.041068638837487</v>
      </c>
      <c r="E101" s="23"/>
      <c r="F101" s="22"/>
      <c r="G101" s="22"/>
      <c r="H101" s="10"/>
      <c r="I101" s="22"/>
      <c r="J101" s="22"/>
      <c r="K101" s="22"/>
      <c r="L101" s="22"/>
      <c r="M101" s="22"/>
      <c r="N101" s="18"/>
      <c r="O101" s="18"/>
      <c r="P101" s="22"/>
      <c r="Q101" s="22"/>
      <c r="R101" s="22"/>
      <c r="S101" s="22"/>
      <c r="T101" s="22"/>
      <c r="U101" s="22"/>
      <c r="V101" s="23"/>
      <c r="W101" s="23"/>
      <c r="X101" s="19"/>
      <c r="Y101" s="23"/>
      <c r="Z101" s="23"/>
      <c r="AA101" s="24"/>
      <c r="AB101" s="24"/>
      <c r="AC101" s="24"/>
      <c r="AD101" s="21"/>
      <c r="AE101" s="6"/>
      <c r="AF101" s="18"/>
      <c r="AG101" s="18"/>
      <c r="AH101" s="18"/>
      <c r="AI101" s="18"/>
      <c r="AK101" s="18"/>
      <c r="AL101" s="18"/>
      <c r="AM101" s="40" t="s">
        <v>118</v>
      </c>
      <c r="AN101" s="18"/>
      <c r="AO101" s="6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6"/>
      <c r="BK101" s="6"/>
      <c r="BL101" s="21" t="s">
        <v>53</v>
      </c>
      <c r="BM101" s="3"/>
      <c r="BN101" s="1"/>
      <c r="BO101" s="15"/>
    </row>
    <row r="102" spans="1:67" ht="14.5" customHeight="1">
      <c r="A102" s="6" t="s">
        <v>129</v>
      </c>
      <c r="B102" s="6" t="s">
        <v>136</v>
      </c>
      <c r="C102" s="17">
        <v>31227.906400000011</v>
      </c>
      <c r="D102" s="18">
        <v>12.041068638837487</v>
      </c>
      <c r="E102" s="23"/>
      <c r="F102" s="22"/>
      <c r="G102" s="22"/>
      <c r="H102" s="10"/>
      <c r="I102" s="22"/>
      <c r="J102" s="22"/>
      <c r="K102" s="22"/>
      <c r="L102" s="22"/>
      <c r="M102" s="22"/>
      <c r="N102" s="18"/>
      <c r="O102" s="18"/>
      <c r="P102" s="22"/>
      <c r="Q102" s="22"/>
      <c r="R102" s="22"/>
      <c r="S102" s="22"/>
      <c r="T102" s="22"/>
      <c r="U102" s="22"/>
      <c r="V102" s="23"/>
      <c r="W102" s="23"/>
      <c r="X102" s="19"/>
      <c r="Y102" s="23"/>
      <c r="Z102" s="23"/>
      <c r="AA102" s="24"/>
      <c r="AB102" s="24"/>
      <c r="AC102" s="24"/>
      <c r="AD102" s="21"/>
      <c r="AE102" s="6"/>
      <c r="AF102" s="18"/>
      <c r="AG102" s="18"/>
      <c r="AH102" s="18"/>
      <c r="AI102" s="18"/>
      <c r="AK102" s="18"/>
      <c r="AL102" s="18"/>
      <c r="AM102" s="40" t="s">
        <v>118</v>
      </c>
      <c r="AN102" s="18"/>
      <c r="AO102" s="6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6"/>
      <c r="BK102" s="6"/>
      <c r="BL102" s="21" t="s">
        <v>53</v>
      </c>
      <c r="BM102" s="3"/>
      <c r="BN102" s="1"/>
      <c r="BO102" s="15"/>
    </row>
    <row r="103" spans="1:67">
      <c r="A103" s="6" t="s">
        <v>129</v>
      </c>
      <c r="B103" s="6" t="s">
        <v>136</v>
      </c>
      <c r="C103" s="17">
        <v>31593.148600000008</v>
      </c>
      <c r="D103" s="18">
        <v>13.041068638837487</v>
      </c>
      <c r="E103" s="23"/>
      <c r="F103" s="22"/>
      <c r="G103" s="22"/>
      <c r="H103" s="10"/>
      <c r="I103" s="22"/>
      <c r="J103" s="22"/>
      <c r="K103" s="22"/>
      <c r="L103" s="22"/>
      <c r="M103" s="22"/>
      <c r="N103" s="18"/>
      <c r="O103" s="18"/>
      <c r="P103" s="22"/>
      <c r="Q103" s="22"/>
      <c r="R103" s="22"/>
      <c r="S103" s="22"/>
      <c r="T103" s="22"/>
      <c r="U103" s="22"/>
      <c r="V103" s="23"/>
      <c r="W103" s="23"/>
      <c r="X103" s="19"/>
      <c r="Y103" s="23"/>
      <c r="Z103" s="23"/>
      <c r="AA103" s="24"/>
      <c r="AB103" s="24"/>
      <c r="AC103" s="24"/>
      <c r="AD103" s="21"/>
      <c r="AE103" s="6"/>
      <c r="AF103" s="18"/>
      <c r="AG103" s="18"/>
      <c r="AH103" s="18"/>
      <c r="AI103" s="18"/>
      <c r="AK103" s="18"/>
      <c r="AL103" s="18"/>
      <c r="AM103" s="40" t="s">
        <v>118</v>
      </c>
      <c r="AN103" s="18"/>
      <c r="AO103" s="6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6"/>
      <c r="BK103" s="6"/>
      <c r="BL103" s="21" t="s">
        <v>53</v>
      </c>
      <c r="BM103" s="3"/>
      <c r="BN103" s="1"/>
      <c r="BO103" s="15"/>
    </row>
    <row r="104" spans="1:67" ht="14.5" customHeight="1">
      <c r="A104" s="6" t="s">
        <v>129</v>
      </c>
      <c r="B104" s="6" t="s">
        <v>136</v>
      </c>
      <c r="C104" s="17">
        <v>31958.390800000008</v>
      </c>
      <c r="D104" s="18">
        <v>14.041068638837487</v>
      </c>
      <c r="E104" s="22">
        <v>62.688064192577727</v>
      </c>
      <c r="F104" s="22">
        <v>625</v>
      </c>
      <c r="G104" s="22"/>
      <c r="H104" s="10"/>
      <c r="I104" s="22"/>
      <c r="J104" s="22"/>
      <c r="K104" s="22"/>
      <c r="L104" s="22"/>
      <c r="M104" s="22"/>
      <c r="N104" s="18"/>
      <c r="O104" s="18"/>
      <c r="P104" s="22"/>
      <c r="Q104" s="22"/>
      <c r="R104" s="22"/>
      <c r="S104" s="22"/>
      <c r="T104" s="22"/>
      <c r="U104" s="22"/>
      <c r="V104" s="23"/>
      <c r="W104" s="23"/>
      <c r="X104" s="19"/>
      <c r="Y104" s="23"/>
      <c r="Z104" s="23"/>
      <c r="AA104" s="24"/>
      <c r="AB104" s="24"/>
      <c r="AC104" s="24"/>
      <c r="AD104" s="21"/>
      <c r="AE104" s="6"/>
      <c r="AF104" s="18"/>
      <c r="AG104" s="18"/>
      <c r="AH104" s="18"/>
      <c r="AI104" s="18"/>
      <c r="AK104" s="18"/>
      <c r="AL104" s="18"/>
      <c r="AM104" s="40" t="s">
        <v>118</v>
      </c>
      <c r="AN104" s="18"/>
      <c r="AO104" s="6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6"/>
      <c r="BK104" s="6"/>
      <c r="BL104" s="21" t="s">
        <v>53</v>
      </c>
      <c r="BM104" s="3"/>
      <c r="BN104" s="1"/>
      <c r="BO104" s="15"/>
    </row>
    <row r="105" spans="1:67" ht="14.5" customHeight="1">
      <c r="A105" s="6" t="s">
        <v>129</v>
      </c>
      <c r="B105" s="6" t="s">
        <v>136</v>
      </c>
      <c r="C105" s="17">
        <v>30862.66420000001</v>
      </c>
      <c r="D105" s="18">
        <v>11.041068638837487</v>
      </c>
      <c r="E105" s="23"/>
      <c r="F105" s="22"/>
      <c r="G105" s="22"/>
      <c r="H105" s="10"/>
      <c r="I105" s="22"/>
      <c r="J105" s="22"/>
      <c r="K105" s="22"/>
      <c r="L105" s="22"/>
      <c r="M105" s="22"/>
      <c r="N105" s="18"/>
      <c r="O105" s="18"/>
      <c r="P105" s="22">
        <v>2532.7769999999996</v>
      </c>
      <c r="Q105" s="22"/>
      <c r="R105" s="22"/>
      <c r="S105" s="22"/>
      <c r="T105" s="22"/>
      <c r="U105" s="22"/>
      <c r="V105" s="23"/>
      <c r="W105" s="23"/>
      <c r="X105" s="19"/>
      <c r="Y105" s="23"/>
      <c r="Z105" s="23"/>
      <c r="AA105" s="24"/>
      <c r="AB105" s="24"/>
      <c r="AC105" s="24"/>
      <c r="AD105" s="21"/>
      <c r="AE105" s="6"/>
      <c r="AF105" s="18"/>
      <c r="AG105" s="18"/>
      <c r="AH105" s="18"/>
      <c r="AI105" s="18"/>
      <c r="AK105" s="18"/>
      <c r="AL105" s="18"/>
      <c r="AM105" s="40" t="s">
        <v>118</v>
      </c>
      <c r="AN105" s="18"/>
      <c r="AO105" s="6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6"/>
      <c r="BK105" s="6"/>
      <c r="BL105" s="21" t="s">
        <v>53</v>
      </c>
      <c r="BM105" s="3"/>
      <c r="BN105" s="1"/>
      <c r="BO105" s="15"/>
    </row>
    <row r="106" spans="1:67">
      <c r="A106" s="6" t="s">
        <v>129</v>
      </c>
      <c r="B106" s="6" t="s">
        <v>136</v>
      </c>
      <c r="C106" s="17">
        <v>31227.906400000011</v>
      </c>
      <c r="D106" s="18">
        <v>12.041068638837487</v>
      </c>
      <c r="E106" s="23"/>
      <c r="F106" s="22"/>
      <c r="G106" s="22"/>
      <c r="H106" s="10"/>
      <c r="I106" s="22"/>
      <c r="J106" s="22"/>
      <c r="K106" s="22"/>
      <c r="L106" s="22"/>
      <c r="M106" s="22"/>
      <c r="N106" s="18"/>
      <c r="O106" s="18"/>
      <c r="P106" s="22">
        <v>3280.2599999999998</v>
      </c>
      <c r="Q106" s="22"/>
      <c r="R106" s="22"/>
      <c r="S106" s="22"/>
      <c r="T106" s="22"/>
      <c r="U106" s="22"/>
      <c r="V106" s="23"/>
      <c r="W106" s="23"/>
      <c r="X106" s="19"/>
      <c r="Y106" s="23"/>
      <c r="Z106" s="23"/>
      <c r="AA106" s="24"/>
      <c r="AB106" s="24"/>
      <c r="AC106" s="24"/>
      <c r="AD106" s="21"/>
      <c r="AE106" s="6"/>
      <c r="AF106" s="18"/>
      <c r="AG106" s="18"/>
      <c r="AH106" s="18"/>
      <c r="AI106" s="18"/>
      <c r="AK106" s="18"/>
      <c r="AL106" s="18"/>
      <c r="AM106" s="40" t="s">
        <v>118</v>
      </c>
      <c r="AN106" s="18"/>
      <c r="AO106" s="6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6"/>
      <c r="BK106" s="6"/>
      <c r="BL106" s="21" t="s">
        <v>53</v>
      </c>
      <c r="BM106" s="3"/>
      <c r="BN106" s="1"/>
      <c r="BO106" s="15"/>
    </row>
    <row r="107" spans="1:67">
      <c r="A107" s="6" t="s">
        <v>129</v>
      </c>
      <c r="B107" s="6" t="s">
        <v>136</v>
      </c>
      <c r="C107" s="17">
        <v>31593.148600000008</v>
      </c>
      <c r="D107" s="18">
        <v>13.041068638837487</v>
      </c>
      <c r="E107" s="23"/>
      <c r="F107" s="22"/>
      <c r="G107" s="22"/>
      <c r="H107" s="10"/>
      <c r="I107" s="22"/>
      <c r="J107" s="22"/>
      <c r="K107" s="22"/>
      <c r="L107" s="22"/>
      <c r="M107" s="22"/>
      <c r="N107" s="18"/>
      <c r="O107" s="18"/>
      <c r="P107" s="22">
        <v>3961.11</v>
      </c>
      <c r="Q107" s="22"/>
      <c r="R107" s="22"/>
      <c r="S107" s="22"/>
      <c r="T107" s="22"/>
      <c r="U107" s="22"/>
      <c r="V107" s="23"/>
      <c r="W107" s="23"/>
      <c r="X107" s="19"/>
      <c r="Y107" s="23"/>
      <c r="Z107" s="23"/>
      <c r="AA107" s="24"/>
      <c r="AB107" s="24"/>
      <c r="AC107" s="24"/>
      <c r="AD107" s="21"/>
      <c r="AE107" s="6"/>
      <c r="AF107" s="18"/>
      <c r="AG107" s="18"/>
      <c r="AH107" s="18"/>
      <c r="AI107" s="18"/>
      <c r="AK107" s="18"/>
      <c r="AL107" s="18"/>
      <c r="AM107" s="40" t="s">
        <v>118</v>
      </c>
      <c r="AN107" s="18"/>
      <c r="AO107" s="6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6"/>
      <c r="BK107" s="6"/>
      <c r="BL107" s="21" t="s">
        <v>53</v>
      </c>
      <c r="BM107" s="3"/>
      <c r="BN107" s="1"/>
      <c r="BO107" s="15"/>
    </row>
    <row r="108" spans="1:67">
      <c r="A108" s="6" t="s">
        <v>129</v>
      </c>
      <c r="B108" s="6" t="s">
        <v>136</v>
      </c>
      <c r="C108" s="17">
        <v>31958.390800000008</v>
      </c>
      <c r="D108" s="18">
        <v>14.041068638837487</v>
      </c>
      <c r="E108" s="23"/>
      <c r="F108" s="22"/>
      <c r="G108" s="22"/>
      <c r="H108" s="10"/>
      <c r="I108" s="22"/>
      <c r="J108" s="22"/>
      <c r="K108" s="22"/>
      <c r="L108" s="22"/>
      <c r="M108" s="22"/>
      <c r="N108" s="18"/>
      <c r="O108" s="18"/>
      <c r="P108" s="22">
        <v>4841.91</v>
      </c>
      <c r="Q108" s="22"/>
      <c r="R108" s="22"/>
      <c r="S108" s="22"/>
      <c r="T108" s="22"/>
      <c r="U108" s="22"/>
      <c r="V108" s="23"/>
      <c r="W108" s="23"/>
      <c r="X108" s="19"/>
      <c r="Y108" s="23"/>
      <c r="Z108" s="23"/>
      <c r="AA108" s="24"/>
      <c r="AB108" s="24"/>
      <c r="AC108" s="24"/>
      <c r="AD108" s="21"/>
      <c r="AE108" s="6"/>
      <c r="AF108" s="18"/>
      <c r="AG108" s="18"/>
      <c r="AH108" s="18"/>
      <c r="AI108" s="18"/>
      <c r="AK108" s="18"/>
      <c r="AL108" s="18"/>
      <c r="AM108" s="40" t="s">
        <v>118</v>
      </c>
      <c r="AN108" s="18"/>
      <c r="AO108" s="6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6"/>
      <c r="BK108" s="6"/>
      <c r="BL108" s="21" t="s">
        <v>53</v>
      </c>
      <c r="BM108" s="3"/>
      <c r="BN108" s="1"/>
      <c r="BO108" s="15"/>
    </row>
    <row r="109" spans="1:67" ht="14.5" customHeight="1">
      <c r="A109" s="6" t="s">
        <v>129</v>
      </c>
      <c r="B109" s="6" t="s">
        <v>136</v>
      </c>
      <c r="C109" s="17">
        <v>30921.102952000037</v>
      </c>
      <c r="D109" s="18">
        <v>11.201068638837569</v>
      </c>
      <c r="E109" s="23"/>
      <c r="F109" s="22"/>
      <c r="G109" s="22"/>
      <c r="H109" s="10"/>
      <c r="I109" s="22"/>
      <c r="J109" s="22"/>
      <c r="K109" s="22"/>
      <c r="L109" s="22"/>
      <c r="M109" s="22"/>
      <c r="N109" s="18"/>
      <c r="O109" s="18"/>
      <c r="P109" s="22"/>
      <c r="Q109" s="22"/>
      <c r="R109" s="22"/>
      <c r="S109" s="22"/>
      <c r="T109" s="22"/>
      <c r="U109" s="22"/>
      <c r="V109" s="23"/>
      <c r="W109" s="23"/>
      <c r="X109" s="19"/>
      <c r="Y109" s="23"/>
      <c r="Z109" s="23"/>
      <c r="AA109" s="6"/>
      <c r="AB109" s="6"/>
      <c r="AC109" s="6"/>
      <c r="AD109" s="21"/>
      <c r="AE109" s="6"/>
      <c r="AF109" s="18"/>
      <c r="AG109" s="18"/>
      <c r="AH109" s="18"/>
      <c r="AI109" s="18"/>
      <c r="AK109" s="18"/>
      <c r="AL109" s="18"/>
      <c r="AM109" s="40" t="s">
        <v>118</v>
      </c>
      <c r="AN109" s="18"/>
      <c r="AO109" s="6"/>
      <c r="AP109" s="32"/>
      <c r="AQ109" s="32">
        <v>1.0699999999999999E-2</v>
      </c>
      <c r="AR109" s="32"/>
      <c r="AS109" s="32"/>
      <c r="AT109" s="32"/>
      <c r="AU109" s="32"/>
      <c r="AV109" s="32"/>
      <c r="AW109" s="32"/>
      <c r="AX109" s="32"/>
      <c r="AY109" s="32"/>
      <c r="AZ109" s="32"/>
      <c r="BA109" s="32">
        <v>7.8132469999999996</v>
      </c>
      <c r="BB109" s="32"/>
      <c r="BC109" s="32"/>
      <c r="BD109" s="32"/>
      <c r="BE109" s="32"/>
      <c r="BF109" s="32"/>
      <c r="BG109" s="32"/>
      <c r="BH109" s="32"/>
      <c r="BI109" s="32">
        <f>BJ109/10</f>
        <v>8</v>
      </c>
      <c r="BJ109" s="6">
        <v>80</v>
      </c>
      <c r="BK109" s="6"/>
      <c r="BL109" s="21" t="s">
        <v>53</v>
      </c>
      <c r="BM109" s="1"/>
      <c r="BN109" s="1"/>
      <c r="BO109" s="15"/>
    </row>
    <row r="110" spans="1:67">
      <c r="A110" s="6" t="s">
        <v>129</v>
      </c>
      <c r="B110" s="6" t="s">
        <v>136</v>
      </c>
      <c r="C110" s="17">
        <v>31012.413502000039</v>
      </c>
      <c r="D110" s="18">
        <v>11.451068638837569</v>
      </c>
      <c r="E110" s="23"/>
      <c r="F110" s="22"/>
      <c r="G110" s="22"/>
      <c r="H110" s="22"/>
      <c r="I110" s="22"/>
      <c r="J110" s="22"/>
      <c r="K110" s="22"/>
      <c r="L110" s="22"/>
      <c r="M110" s="22"/>
      <c r="N110" s="18"/>
      <c r="O110" s="18"/>
      <c r="P110" s="22"/>
      <c r="Q110" s="22"/>
      <c r="R110" s="22"/>
      <c r="S110" s="22"/>
      <c r="T110" s="22"/>
      <c r="U110" s="22"/>
      <c r="V110" s="23"/>
      <c r="W110" s="23"/>
      <c r="X110" s="19"/>
      <c r="Y110" s="23"/>
      <c r="Z110" s="23"/>
      <c r="AA110" s="6"/>
      <c r="AB110" s="6"/>
      <c r="AC110" s="6"/>
      <c r="AD110" s="21"/>
      <c r="AE110" s="6"/>
      <c r="AF110" s="18"/>
      <c r="AG110" s="18"/>
      <c r="AH110" s="18"/>
      <c r="AI110" s="18"/>
      <c r="AK110" s="18"/>
      <c r="AL110" s="18"/>
      <c r="AM110" s="40" t="s">
        <v>118</v>
      </c>
      <c r="AN110" s="18"/>
      <c r="AO110" s="6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6"/>
      <c r="BK110" s="6"/>
      <c r="BL110" s="21" t="s">
        <v>53</v>
      </c>
      <c r="BM110" s="1"/>
      <c r="BN110" s="1"/>
      <c r="BO110" s="15"/>
    </row>
    <row r="111" spans="1:67" ht="14.5" customHeight="1">
      <c r="A111" s="6" t="s">
        <v>129</v>
      </c>
      <c r="B111" s="6" t="s">
        <v>136</v>
      </c>
      <c r="C111" s="17">
        <v>31103.724052000041</v>
      </c>
      <c r="D111" s="18">
        <v>11.701068638837569</v>
      </c>
      <c r="E111" s="23"/>
      <c r="F111" s="22"/>
      <c r="G111" s="22"/>
      <c r="H111" s="22"/>
      <c r="I111" s="22"/>
      <c r="J111" s="22"/>
      <c r="K111" s="22"/>
      <c r="L111" s="22"/>
      <c r="M111" s="22"/>
      <c r="N111" s="18"/>
      <c r="O111" s="18"/>
      <c r="P111" s="22"/>
      <c r="Q111" s="22"/>
      <c r="R111" s="22"/>
      <c r="S111" s="22"/>
      <c r="T111" s="22"/>
      <c r="U111" s="22"/>
      <c r="V111" s="23"/>
      <c r="W111" s="23"/>
      <c r="X111" s="19"/>
      <c r="Y111" s="23"/>
      <c r="Z111" s="23"/>
      <c r="AA111" s="6"/>
      <c r="AB111" s="6"/>
      <c r="AC111" s="6"/>
      <c r="AD111" s="21"/>
      <c r="AE111" s="6"/>
      <c r="AF111" s="18"/>
      <c r="AG111" s="18"/>
      <c r="AH111" s="18"/>
      <c r="AI111" s="18"/>
      <c r="AK111" s="18"/>
      <c r="AL111" s="18"/>
      <c r="AM111" s="40" t="s">
        <v>118</v>
      </c>
      <c r="AN111" s="18"/>
      <c r="AO111" s="6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6"/>
      <c r="BK111" s="6"/>
      <c r="BL111" s="21" t="s">
        <v>53</v>
      </c>
      <c r="BM111" s="1"/>
      <c r="BN111" s="1"/>
      <c r="BO111" s="15"/>
    </row>
    <row r="112" spans="1:67">
      <c r="A112" s="6" t="s">
        <v>129</v>
      </c>
      <c r="B112" s="6" t="s">
        <v>136</v>
      </c>
      <c r="C112" s="17">
        <v>31195.03460200004</v>
      </c>
      <c r="D112" s="18">
        <v>11.951068638837569</v>
      </c>
      <c r="E112" s="23"/>
      <c r="F112" s="22"/>
      <c r="G112" s="22"/>
      <c r="H112" s="22"/>
      <c r="I112" s="22"/>
      <c r="J112" s="22"/>
      <c r="K112" s="22"/>
      <c r="L112" s="22"/>
      <c r="M112" s="22"/>
      <c r="N112" s="18"/>
      <c r="O112" s="18"/>
      <c r="P112" s="22"/>
      <c r="Q112" s="22"/>
      <c r="R112" s="22"/>
      <c r="S112" s="22"/>
      <c r="T112" s="22"/>
      <c r="U112" s="22"/>
      <c r="V112" s="23"/>
      <c r="W112" s="23"/>
      <c r="X112" s="19"/>
      <c r="Y112" s="23"/>
      <c r="Z112" s="23"/>
      <c r="AA112" s="6"/>
      <c r="AB112" s="6"/>
      <c r="AC112" s="6"/>
      <c r="AD112" s="21"/>
      <c r="AE112" s="6"/>
      <c r="AF112" s="18"/>
      <c r="AG112" s="18"/>
      <c r="AH112" s="18"/>
      <c r="AI112" s="18"/>
      <c r="AK112" s="18"/>
      <c r="AL112" s="18"/>
      <c r="AM112" s="40" t="s">
        <v>118</v>
      </c>
      <c r="AN112" s="18"/>
      <c r="AO112" s="6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6"/>
      <c r="BK112" s="6"/>
      <c r="BL112" s="21" t="s">
        <v>53</v>
      </c>
      <c r="BM112" s="1"/>
      <c r="BN112" s="1"/>
      <c r="BO112" s="15"/>
    </row>
    <row r="113" spans="1:67" ht="14.5" customHeight="1">
      <c r="A113" s="6" t="s">
        <v>129</v>
      </c>
      <c r="B113" s="6" t="s">
        <v>136</v>
      </c>
      <c r="C113" s="17">
        <v>31286.345152000038</v>
      </c>
      <c r="D113" s="18">
        <v>12.201068638837569</v>
      </c>
      <c r="E113" s="23"/>
      <c r="F113" s="22"/>
      <c r="G113" s="22"/>
      <c r="H113" s="22"/>
      <c r="I113" s="22"/>
      <c r="J113" s="22"/>
      <c r="K113" s="22"/>
      <c r="L113" s="22"/>
      <c r="M113" s="22"/>
      <c r="N113" s="18"/>
      <c r="O113" s="18"/>
      <c r="P113" s="22"/>
      <c r="Q113" s="22"/>
      <c r="R113" s="22"/>
      <c r="S113" s="22"/>
      <c r="T113" s="22"/>
      <c r="U113" s="22"/>
      <c r="V113" s="23"/>
      <c r="W113" s="23"/>
      <c r="X113" s="19"/>
      <c r="Y113" s="23"/>
      <c r="Z113" s="23"/>
      <c r="AA113" s="6"/>
      <c r="AB113" s="6"/>
      <c r="AC113" s="6"/>
      <c r="AD113" s="21"/>
      <c r="AE113" s="6"/>
      <c r="AF113" s="18"/>
      <c r="AG113" s="18"/>
      <c r="AH113" s="18"/>
      <c r="AI113" s="18"/>
      <c r="AK113" s="18"/>
      <c r="AL113" s="18"/>
      <c r="AM113" s="40" t="s">
        <v>118</v>
      </c>
      <c r="AN113" s="18"/>
      <c r="AO113" s="6"/>
      <c r="AP113" s="32"/>
      <c r="AQ113" s="32">
        <v>1.0500000000000001E-2</v>
      </c>
      <c r="AR113" s="32"/>
      <c r="AS113" s="32"/>
      <c r="AT113" s="32"/>
      <c r="AU113" s="32"/>
      <c r="AV113" s="32"/>
      <c r="AW113" s="32"/>
      <c r="AX113" s="32"/>
      <c r="AY113" s="32"/>
      <c r="AZ113" s="32"/>
      <c r="BA113" s="32">
        <v>9.3468375000000012</v>
      </c>
      <c r="BB113" s="32"/>
      <c r="BC113" s="32"/>
      <c r="BD113" s="32"/>
      <c r="BE113" s="32"/>
      <c r="BF113" s="32"/>
      <c r="BG113" s="32"/>
      <c r="BH113" s="32"/>
      <c r="BI113" s="32">
        <f>BJ113/10</f>
        <v>11.5</v>
      </c>
      <c r="BJ113" s="6">
        <v>115</v>
      </c>
      <c r="BK113" s="6"/>
      <c r="BL113" s="21" t="s">
        <v>53</v>
      </c>
      <c r="BO113" s="15"/>
    </row>
    <row r="114" spans="1:67" ht="14.5" customHeight="1">
      <c r="A114" s="6" t="s">
        <v>129</v>
      </c>
      <c r="B114" s="6" t="s">
        <v>136</v>
      </c>
      <c r="C114" s="17">
        <v>31377.65570200004</v>
      </c>
      <c r="D114" s="18">
        <v>12.451068638837569</v>
      </c>
      <c r="E114" s="23"/>
      <c r="F114" s="22"/>
      <c r="G114" s="22"/>
      <c r="H114" s="22"/>
      <c r="I114" s="22"/>
      <c r="J114" s="22"/>
      <c r="K114" s="22"/>
      <c r="L114" s="22"/>
      <c r="M114" s="22"/>
      <c r="N114" s="18"/>
      <c r="O114" s="18"/>
      <c r="P114" s="22"/>
      <c r="Q114" s="22"/>
      <c r="R114" s="22"/>
      <c r="S114" s="22"/>
      <c r="T114" s="22"/>
      <c r="U114" s="22"/>
      <c r="V114" s="23"/>
      <c r="W114" s="23"/>
      <c r="X114" s="19"/>
      <c r="Y114" s="23"/>
      <c r="Z114" s="23"/>
      <c r="AA114" s="6"/>
      <c r="AB114" s="6"/>
      <c r="AC114" s="6"/>
      <c r="AD114" s="21"/>
      <c r="AE114" s="6"/>
      <c r="AF114" s="18"/>
      <c r="AG114" s="18"/>
      <c r="AH114" s="18"/>
      <c r="AI114" s="18"/>
      <c r="AK114" s="18"/>
      <c r="AL114" s="18"/>
      <c r="AM114" s="40" t="s">
        <v>118</v>
      </c>
      <c r="AN114" s="18"/>
      <c r="AO114" s="6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6"/>
      <c r="BK114" s="6"/>
      <c r="BL114" s="21" t="s">
        <v>53</v>
      </c>
      <c r="BO114" s="15"/>
    </row>
    <row r="115" spans="1:67" ht="14.5" customHeight="1">
      <c r="A115" s="6" t="s">
        <v>129</v>
      </c>
      <c r="B115" s="6" t="s">
        <v>136</v>
      </c>
      <c r="C115" s="17">
        <v>31468.966252000038</v>
      </c>
      <c r="D115" s="18">
        <v>12.701068638837569</v>
      </c>
      <c r="E115" s="23"/>
      <c r="F115" s="22"/>
      <c r="G115" s="22"/>
      <c r="H115" s="22"/>
      <c r="I115" s="22"/>
      <c r="J115" s="22"/>
      <c r="K115" s="22"/>
      <c r="L115" s="22"/>
      <c r="M115" s="22"/>
      <c r="N115" s="18"/>
      <c r="O115" s="18"/>
      <c r="P115" s="22"/>
      <c r="Q115" s="22"/>
      <c r="R115" s="22"/>
      <c r="S115" s="22"/>
      <c r="T115" s="22"/>
      <c r="U115" s="22"/>
      <c r="V115" s="23"/>
      <c r="W115" s="23"/>
      <c r="X115" s="19"/>
      <c r="Y115" s="23"/>
      <c r="Z115" s="23"/>
      <c r="AA115" s="6"/>
      <c r="AB115" s="6"/>
      <c r="AC115" s="6"/>
      <c r="AD115" s="21"/>
      <c r="AE115" s="6"/>
      <c r="AF115" s="18"/>
      <c r="AG115" s="18"/>
      <c r="AH115" s="18"/>
      <c r="AI115" s="18"/>
      <c r="AK115" s="18"/>
      <c r="AL115" s="18"/>
      <c r="AM115" s="40" t="s">
        <v>118</v>
      </c>
      <c r="AN115" s="18"/>
      <c r="AO115" s="6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6"/>
      <c r="BK115" s="6"/>
      <c r="BL115" s="21" t="s">
        <v>53</v>
      </c>
      <c r="BO115" s="15"/>
    </row>
    <row r="116" spans="1:67" ht="14.5" customHeight="1">
      <c r="A116" s="6" t="s">
        <v>129</v>
      </c>
      <c r="B116" s="6" t="s">
        <v>136</v>
      </c>
      <c r="C116" s="17">
        <v>31560.27680200004</v>
      </c>
      <c r="D116" s="18">
        <v>12.951068638837569</v>
      </c>
      <c r="E116" s="23"/>
      <c r="F116" s="22"/>
      <c r="G116" s="22"/>
      <c r="H116" s="22"/>
      <c r="I116" s="22"/>
      <c r="J116" s="22"/>
      <c r="K116" s="22"/>
      <c r="L116" s="22"/>
      <c r="M116" s="22"/>
      <c r="N116" s="18"/>
      <c r="O116" s="18"/>
      <c r="P116" s="22"/>
      <c r="Q116" s="22"/>
      <c r="R116" s="22"/>
      <c r="S116" s="22"/>
      <c r="T116" s="22"/>
      <c r="U116" s="22"/>
      <c r="V116" s="23"/>
      <c r="W116" s="23"/>
      <c r="X116" s="19"/>
      <c r="Y116" s="23"/>
      <c r="Z116" s="23"/>
      <c r="AA116" s="6"/>
      <c r="AB116" s="6"/>
      <c r="AC116" s="6"/>
      <c r="AD116" s="21"/>
      <c r="AE116" s="6"/>
      <c r="AF116" s="18"/>
      <c r="AG116" s="18"/>
      <c r="AH116" s="18"/>
      <c r="AI116" s="18"/>
      <c r="AK116" s="18"/>
      <c r="AL116" s="18"/>
      <c r="AM116" s="40" t="s">
        <v>118</v>
      </c>
      <c r="AN116" s="18"/>
      <c r="AO116" s="6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6"/>
      <c r="BK116" s="6"/>
      <c r="BL116" s="21" t="s">
        <v>53</v>
      </c>
      <c r="BO116" s="15"/>
    </row>
    <row r="117" spans="1:67">
      <c r="A117" s="6" t="s">
        <v>129</v>
      </c>
      <c r="B117" s="6" t="s">
        <v>136</v>
      </c>
      <c r="C117" s="17">
        <v>31651.587352000039</v>
      </c>
      <c r="D117" s="18">
        <v>13.201068638837569</v>
      </c>
      <c r="E117" s="23"/>
      <c r="F117" s="22"/>
      <c r="G117" s="22"/>
      <c r="H117" s="22"/>
      <c r="I117" s="22"/>
      <c r="J117" s="22"/>
      <c r="K117" s="22"/>
      <c r="L117" s="22"/>
      <c r="M117" s="22"/>
      <c r="N117" s="18"/>
      <c r="O117" s="18"/>
      <c r="P117" s="22"/>
      <c r="Q117" s="22"/>
      <c r="R117" s="22"/>
      <c r="S117" s="22"/>
      <c r="T117" s="22"/>
      <c r="U117" s="22"/>
      <c r="V117" s="23"/>
      <c r="W117" s="23"/>
      <c r="X117" s="19"/>
      <c r="Y117" s="23"/>
      <c r="Z117" s="23"/>
      <c r="AA117" s="6"/>
      <c r="AB117" s="6"/>
      <c r="AC117" s="6"/>
      <c r="AD117" s="21"/>
      <c r="AE117" s="6"/>
      <c r="AF117" s="18"/>
      <c r="AG117" s="18"/>
      <c r="AH117" s="18"/>
      <c r="AI117" s="18"/>
      <c r="AK117" s="18"/>
      <c r="AL117" s="18"/>
      <c r="AM117" s="40" t="s">
        <v>118</v>
      </c>
      <c r="AN117" s="18"/>
      <c r="AO117" s="6"/>
      <c r="AP117" s="32"/>
      <c r="AQ117" s="32">
        <v>1.03E-2</v>
      </c>
      <c r="AR117" s="32"/>
      <c r="AS117" s="32"/>
      <c r="AT117" s="32"/>
      <c r="AU117" s="32"/>
      <c r="AV117" s="32"/>
      <c r="AW117" s="32"/>
      <c r="AX117" s="32"/>
      <c r="AY117" s="32"/>
      <c r="AZ117" s="32"/>
      <c r="BA117" s="32">
        <v>10.365508</v>
      </c>
      <c r="BB117" s="32"/>
      <c r="BC117" s="32"/>
      <c r="BD117" s="32"/>
      <c r="BE117" s="32"/>
      <c r="BF117" s="32"/>
      <c r="BG117" s="32"/>
      <c r="BH117" s="32"/>
      <c r="BI117" s="32">
        <f>BJ117/10</f>
        <v>12</v>
      </c>
      <c r="BJ117" s="6">
        <v>120</v>
      </c>
      <c r="BK117" s="6"/>
      <c r="BL117" s="21" t="s">
        <v>53</v>
      </c>
      <c r="BO117" s="15"/>
    </row>
    <row r="118" spans="1:67">
      <c r="A118" s="6" t="s">
        <v>129</v>
      </c>
      <c r="B118" s="6" t="s">
        <v>136</v>
      </c>
      <c r="C118" s="17">
        <v>31742.897902000041</v>
      </c>
      <c r="D118" s="18">
        <v>13.451068638837569</v>
      </c>
      <c r="E118" s="23"/>
      <c r="F118" s="22"/>
      <c r="G118" s="22"/>
      <c r="H118" s="22"/>
      <c r="I118" s="22"/>
      <c r="J118" s="22"/>
      <c r="K118" s="22"/>
      <c r="L118" s="22"/>
      <c r="M118" s="22"/>
      <c r="N118" s="18"/>
      <c r="O118" s="18"/>
      <c r="P118" s="22"/>
      <c r="Q118" s="22"/>
      <c r="R118" s="22"/>
      <c r="S118" s="22"/>
      <c r="T118" s="22"/>
      <c r="U118" s="22"/>
      <c r="V118" s="23"/>
      <c r="W118" s="23"/>
      <c r="X118" s="19"/>
      <c r="Y118" s="23"/>
      <c r="Z118" s="23"/>
      <c r="AA118" s="6"/>
      <c r="AB118" s="6"/>
      <c r="AC118" s="6"/>
      <c r="AD118" s="21"/>
      <c r="AE118" s="6"/>
      <c r="AF118" s="18"/>
      <c r="AG118" s="18"/>
      <c r="AH118" s="18"/>
      <c r="AI118" s="18"/>
      <c r="AK118" s="18"/>
      <c r="AL118" s="18"/>
      <c r="AM118" s="40" t="s">
        <v>118</v>
      </c>
      <c r="AN118" s="18"/>
      <c r="AO118" s="6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6"/>
      <c r="BK118" s="6"/>
      <c r="BL118" s="21" t="s">
        <v>53</v>
      </c>
      <c r="BO118" s="15"/>
    </row>
    <row r="119" spans="1:67" ht="14.5" customHeight="1">
      <c r="A119" s="6" t="s">
        <v>129</v>
      </c>
      <c r="B119" s="6" t="s">
        <v>136</v>
      </c>
      <c r="C119" s="17">
        <v>31834.208452000039</v>
      </c>
      <c r="D119" s="18">
        <v>13.701068638837569</v>
      </c>
      <c r="E119" s="23"/>
      <c r="F119" s="22"/>
      <c r="G119" s="22"/>
      <c r="H119" s="22"/>
      <c r="I119" s="22"/>
      <c r="J119" s="22"/>
      <c r="K119" s="22"/>
      <c r="L119" s="22"/>
      <c r="M119" s="22"/>
      <c r="N119" s="18"/>
      <c r="O119" s="18"/>
      <c r="P119" s="22"/>
      <c r="Q119" s="22"/>
      <c r="R119" s="22"/>
      <c r="S119" s="22"/>
      <c r="T119" s="22"/>
      <c r="U119" s="22"/>
      <c r="V119" s="23"/>
      <c r="W119" s="23"/>
      <c r="X119" s="19"/>
      <c r="Y119" s="23"/>
      <c r="Z119" s="23"/>
      <c r="AA119" s="6"/>
      <c r="AB119" s="6"/>
      <c r="AC119" s="6"/>
      <c r="AD119" s="21"/>
      <c r="AE119" s="6"/>
      <c r="AF119" s="18"/>
      <c r="AG119" s="18"/>
      <c r="AH119" s="18"/>
      <c r="AI119" s="18"/>
      <c r="AK119" s="18"/>
      <c r="AL119" s="18"/>
      <c r="AM119" s="40" t="s">
        <v>118</v>
      </c>
      <c r="AN119" s="18"/>
      <c r="AO119" s="6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6"/>
      <c r="BK119" s="6"/>
      <c r="BL119" s="21" t="s">
        <v>53</v>
      </c>
      <c r="BO119" s="15"/>
    </row>
    <row r="120" spans="1:67" ht="14.5" customHeight="1">
      <c r="A120" s="6" t="s">
        <v>129</v>
      </c>
      <c r="B120" s="6" t="s">
        <v>136</v>
      </c>
      <c r="C120" s="17">
        <v>31925.519002000037</v>
      </c>
      <c r="D120" s="18">
        <v>13.951068638837569</v>
      </c>
      <c r="E120" s="23"/>
      <c r="F120" s="22"/>
      <c r="G120" s="22"/>
      <c r="H120" s="22"/>
      <c r="I120" s="22"/>
      <c r="J120" s="22"/>
      <c r="K120" s="22"/>
      <c r="L120" s="22"/>
      <c r="M120" s="22"/>
      <c r="N120" s="18"/>
      <c r="O120" s="18"/>
      <c r="P120" s="22"/>
      <c r="Q120" s="22"/>
      <c r="R120" s="22"/>
      <c r="S120" s="22"/>
      <c r="T120" s="22"/>
      <c r="U120" s="22"/>
      <c r="V120" s="23"/>
      <c r="W120" s="23"/>
      <c r="X120" s="19"/>
      <c r="Y120" s="23"/>
      <c r="Z120" s="23"/>
      <c r="AA120" s="6"/>
      <c r="AB120" s="6"/>
      <c r="AC120" s="6"/>
      <c r="AD120" s="21"/>
      <c r="AE120" s="6"/>
      <c r="AF120" s="18"/>
      <c r="AG120" s="18"/>
      <c r="AH120" s="18"/>
      <c r="AI120" s="18"/>
      <c r="AK120" s="18"/>
      <c r="AL120" s="18"/>
      <c r="AM120" s="40" t="s">
        <v>118</v>
      </c>
      <c r="AN120" s="18"/>
      <c r="AO120" s="6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6"/>
      <c r="BK120" s="6"/>
      <c r="BL120" s="21" t="s">
        <v>53</v>
      </c>
      <c r="BO120" s="15"/>
    </row>
    <row r="121" spans="1:67">
      <c r="A121" s="6" t="s">
        <v>129</v>
      </c>
      <c r="B121" s="6" t="s">
        <v>136</v>
      </c>
      <c r="C121" s="17">
        <v>32016.829552000039</v>
      </c>
      <c r="D121" s="18">
        <v>14.201068638837569</v>
      </c>
      <c r="E121" s="23"/>
      <c r="F121" s="22"/>
      <c r="G121" s="22"/>
      <c r="H121" s="22"/>
      <c r="I121" s="22"/>
      <c r="J121" s="22"/>
      <c r="K121" s="22"/>
      <c r="L121" s="22"/>
      <c r="M121" s="22"/>
      <c r="N121" s="18"/>
      <c r="O121" s="18"/>
      <c r="P121" s="22"/>
      <c r="Q121" s="22"/>
      <c r="R121" s="22"/>
      <c r="S121" s="22"/>
      <c r="T121" s="22"/>
      <c r="U121" s="22"/>
      <c r="V121" s="23"/>
      <c r="W121" s="23"/>
      <c r="X121" s="19"/>
      <c r="Y121" s="23"/>
      <c r="Z121" s="23"/>
      <c r="AA121" s="6"/>
      <c r="AB121" s="6"/>
      <c r="AC121" s="6"/>
      <c r="AD121" s="21"/>
      <c r="AE121" s="6"/>
      <c r="AF121" s="18"/>
      <c r="AG121" s="18"/>
      <c r="AH121" s="18"/>
      <c r="AI121" s="18"/>
      <c r="AK121" s="18"/>
      <c r="AL121" s="18"/>
      <c r="AM121" s="40" t="s">
        <v>118</v>
      </c>
      <c r="AN121" s="18"/>
      <c r="AO121" s="6"/>
      <c r="AP121" s="32"/>
      <c r="AQ121" s="32">
        <v>0.01</v>
      </c>
      <c r="AR121" s="32"/>
      <c r="AS121" s="32"/>
      <c r="AT121" s="32"/>
      <c r="AU121" s="32"/>
      <c r="AV121" s="32"/>
      <c r="AW121" s="32"/>
      <c r="AX121" s="32"/>
      <c r="AY121" s="32"/>
      <c r="AZ121" s="32"/>
      <c r="BA121" s="32">
        <v>11.4872</v>
      </c>
      <c r="BB121" s="32"/>
      <c r="BC121" s="32"/>
      <c r="BD121" s="32"/>
      <c r="BE121" s="32"/>
      <c r="BF121" s="32"/>
      <c r="BG121" s="32"/>
      <c r="BH121" s="32"/>
      <c r="BI121" s="32">
        <f>BJ121/10</f>
        <v>13</v>
      </c>
      <c r="BJ121" s="6">
        <v>130</v>
      </c>
      <c r="BK121" s="6"/>
      <c r="BL121" s="21" t="s">
        <v>53</v>
      </c>
      <c r="BO121" s="15"/>
    </row>
    <row r="122" spans="1:67">
      <c r="A122" s="6" t="s">
        <v>130</v>
      </c>
      <c r="B122" s="6" t="s">
        <v>137</v>
      </c>
      <c r="C122" s="17">
        <v>30862.66420000001</v>
      </c>
      <c r="D122" s="18">
        <v>11.041068638837487</v>
      </c>
      <c r="E122" s="23"/>
      <c r="F122" s="22"/>
      <c r="G122" s="22"/>
      <c r="H122" s="22"/>
      <c r="I122" s="22"/>
      <c r="J122" s="22"/>
      <c r="K122" s="22"/>
      <c r="L122" s="22"/>
      <c r="M122" s="22"/>
      <c r="N122" s="18"/>
      <c r="O122" s="18"/>
      <c r="P122" s="22"/>
      <c r="Q122" s="22"/>
      <c r="R122" s="22"/>
      <c r="S122" s="22"/>
      <c r="T122" s="22"/>
      <c r="U122" s="22"/>
      <c r="V122" s="23"/>
      <c r="W122" s="23"/>
      <c r="X122" s="19"/>
      <c r="Y122" s="23"/>
      <c r="Z122" s="23"/>
      <c r="AA122" s="6"/>
      <c r="AB122" s="6"/>
      <c r="AC122" s="6"/>
      <c r="AD122" s="21"/>
      <c r="AE122" s="6"/>
      <c r="AF122" s="18"/>
      <c r="AG122" s="18"/>
      <c r="AH122" s="18"/>
      <c r="AI122" s="18"/>
      <c r="AK122" s="18"/>
      <c r="AL122" s="18"/>
      <c r="AM122" s="40" t="s">
        <v>118</v>
      </c>
      <c r="AN122" s="18"/>
      <c r="AO122" s="6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6"/>
      <c r="BK122" s="6"/>
      <c r="BL122" s="21" t="s">
        <v>53</v>
      </c>
      <c r="BO122" s="15"/>
    </row>
    <row r="123" spans="1:67" ht="14.5" customHeight="1">
      <c r="A123" s="6" t="s">
        <v>130</v>
      </c>
      <c r="B123" s="6" t="s">
        <v>137</v>
      </c>
      <c r="C123" s="17">
        <v>31227.906400000011</v>
      </c>
      <c r="D123" s="18">
        <v>12.041068638837487</v>
      </c>
      <c r="E123" s="23"/>
      <c r="F123" s="22"/>
      <c r="G123" s="22"/>
      <c r="H123" s="22"/>
      <c r="I123" s="22"/>
      <c r="J123" s="22"/>
      <c r="K123" s="22"/>
      <c r="L123" s="22"/>
      <c r="M123" s="22"/>
      <c r="N123" s="18"/>
      <c r="O123" s="18"/>
      <c r="P123" s="22"/>
      <c r="Q123" s="22"/>
      <c r="R123" s="22"/>
      <c r="S123" s="22"/>
      <c r="T123" s="22"/>
      <c r="U123" s="22"/>
      <c r="V123" s="23"/>
      <c r="W123" s="23"/>
      <c r="X123" s="19"/>
      <c r="Y123" s="23"/>
      <c r="Z123" s="23"/>
      <c r="AA123" s="6"/>
      <c r="AB123" s="6"/>
      <c r="AC123" s="6"/>
      <c r="AD123" s="21"/>
      <c r="AE123" s="6"/>
      <c r="AF123" s="18"/>
      <c r="AG123" s="18"/>
      <c r="AH123" s="18"/>
      <c r="AI123" s="18"/>
      <c r="AK123" s="18"/>
      <c r="AL123" s="18"/>
      <c r="AM123" s="40" t="s">
        <v>118</v>
      </c>
      <c r="AN123" s="18"/>
      <c r="AO123" s="6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6"/>
      <c r="BK123" s="6"/>
      <c r="BL123" s="21" t="s">
        <v>53</v>
      </c>
      <c r="BO123" s="15"/>
    </row>
    <row r="124" spans="1:67">
      <c r="A124" s="6" t="s">
        <v>130</v>
      </c>
      <c r="B124" s="6" t="s">
        <v>137</v>
      </c>
      <c r="C124" s="17">
        <v>31593.148600000008</v>
      </c>
      <c r="D124" s="18">
        <v>13.041068638837487</v>
      </c>
      <c r="E124" s="23"/>
      <c r="F124" s="22"/>
      <c r="G124" s="22"/>
      <c r="H124" s="22"/>
      <c r="I124" s="22"/>
      <c r="J124" s="22"/>
      <c r="K124" s="22"/>
      <c r="L124" s="22"/>
      <c r="M124" s="22"/>
      <c r="N124" s="18"/>
      <c r="O124" s="18"/>
      <c r="P124" s="22"/>
      <c r="Q124" s="22"/>
      <c r="R124" s="22"/>
      <c r="S124" s="22"/>
      <c r="T124" s="22"/>
      <c r="U124" s="22"/>
      <c r="V124" s="23"/>
      <c r="W124" s="23"/>
      <c r="X124" s="19"/>
      <c r="Y124" s="23"/>
      <c r="Z124" s="23"/>
      <c r="AA124" s="6"/>
      <c r="AB124" s="6"/>
      <c r="AC124" s="6"/>
      <c r="AD124" s="21"/>
      <c r="AE124" s="6"/>
      <c r="AF124" s="18"/>
      <c r="AG124" s="18"/>
      <c r="AH124" s="18"/>
      <c r="AI124" s="18"/>
      <c r="AK124" s="18"/>
      <c r="AL124" s="18"/>
      <c r="AM124" s="40" t="s">
        <v>118</v>
      </c>
      <c r="AN124" s="18"/>
      <c r="AO124" s="6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6"/>
      <c r="BK124" s="6"/>
      <c r="BL124" s="21" t="s">
        <v>53</v>
      </c>
      <c r="BO124" s="15"/>
    </row>
    <row r="125" spans="1:67">
      <c r="A125" s="6" t="s">
        <v>130</v>
      </c>
      <c r="B125" s="6" t="s">
        <v>137</v>
      </c>
      <c r="C125" s="17">
        <v>31958.390800000008</v>
      </c>
      <c r="D125" s="18">
        <v>14.041068638837487</v>
      </c>
      <c r="E125" s="22">
        <v>53.560682046138417</v>
      </c>
      <c r="F125" s="22">
        <v>534</v>
      </c>
      <c r="G125" s="22"/>
      <c r="H125" s="22"/>
      <c r="I125" s="22"/>
      <c r="J125" s="22"/>
      <c r="K125" s="22"/>
      <c r="L125" s="22"/>
      <c r="M125" s="22"/>
      <c r="N125" s="18"/>
      <c r="O125" s="18"/>
      <c r="P125" s="22"/>
      <c r="Q125" s="22"/>
      <c r="R125" s="22"/>
      <c r="S125" s="22"/>
      <c r="T125" s="22"/>
      <c r="U125" s="22"/>
      <c r="V125" s="23"/>
      <c r="W125" s="23"/>
      <c r="X125" s="19"/>
      <c r="Y125" s="23"/>
      <c r="Z125" s="23"/>
      <c r="AA125" s="6"/>
      <c r="AB125" s="6"/>
      <c r="AC125" s="6"/>
      <c r="AD125" s="21"/>
      <c r="AE125" s="6"/>
      <c r="AF125" s="18"/>
      <c r="AG125" s="18"/>
      <c r="AH125" s="18"/>
      <c r="AI125" s="18"/>
      <c r="AK125" s="18"/>
      <c r="AL125" s="18"/>
      <c r="AM125" s="40" t="s">
        <v>118</v>
      </c>
      <c r="AN125" s="18"/>
      <c r="AO125" s="6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6"/>
      <c r="BK125" s="6"/>
      <c r="BL125" s="21" t="s">
        <v>53</v>
      </c>
      <c r="BO125" s="15"/>
    </row>
    <row r="126" spans="1:67" ht="14.5" customHeight="1">
      <c r="A126" s="6" t="s">
        <v>130</v>
      </c>
      <c r="B126" s="6" t="s">
        <v>137</v>
      </c>
      <c r="C126" s="17">
        <v>30862.66420000001</v>
      </c>
      <c r="D126" s="18">
        <v>11.041068638837487</v>
      </c>
      <c r="E126" s="23"/>
      <c r="F126" s="22"/>
      <c r="G126" s="22"/>
      <c r="H126" s="22"/>
      <c r="I126" s="22"/>
      <c r="J126" s="22"/>
      <c r="K126" s="22"/>
      <c r="L126" s="22"/>
      <c r="M126" s="22"/>
      <c r="N126" s="18"/>
      <c r="O126" s="18"/>
      <c r="P126" s="22">
        <v>2666.6669999999999</v>
      </c>
      <c r="Q126" s="22"/>
      <c r="R126" s="22"/>
      <c r="S126" s="22"/>
      <c r="T126" s="22"/>
      <c r="U126" s="22"/>
      <c r="V126" s="23"/>
      <c r="W126" s="23"/>
      <c r="X126" s="19"/>
      <c r="Y126" s="23"/>
      <c r="Z126" s="23"/>
      <c r="AA126" s="6"/>
      <c r="AB126" s="6"/>
      <c r="AC126" s="6"/>
      <c r="AD126" s="21"/>
      <c r="AE126" s="6"/>
      <c r="AF126" s="18"/>
      <c r="AG126" s="18"/>
      <c r="AH126" s="18"/>
      <c r="AI126" s="18"/>
      <c r="AK126" s="18"/>
      <c r="AL126" s="18"/>
      <c r="AM126" s="40" t="s">
        <v>118</v>
      </c>
      <c r="AN126" s="18"/>
      <c r="AO126" s="6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6"/>
      <c r="BK126" s="6"/>
      <c r="BL126" s="21" t="s">
        <v>53</v>
      </c>
      <c r="BO126" s="15"/>
    </row>
    <row r="127" spans="1:67" ht="14.5" customHeight="1">
      <c r="A127" s="6" t="s">
        <v>130</v>
      </c>
      <c r="B127" s="6" t="s">
        <v>137</v>
      </c>
      <c r="C127" s="17">
        <v>31227.906400000011</v>
      </c>
      <c r="D127" s="18">
        <v>12.041068638837487</v>
      </c>
      <c r="E127" s="23"/>
      <c r="F127" s="22"/>
      <c r="G127" s="22"/>
      <c r="H127" s="22"/>
      <c r="I127" s="22"/>
      <c r="J127" s="22"/>
      <c r="K127" s="22"/>
      <c r="L127" s="22"/>
      <c r="M127" s="22"/>
      <c r="N127" s="18"/>
      <c r="O127" s="18"/>
      <c r="P127" s="22">
        <v>3399.99</v>
      </c>
      <c r="Q127" s="22"/>
      <c r="R127" s="22"/>
      <c r="S127" s="22"/>
      <c r="T127" s="22"/>
      <c r="U127" s="22"/>
      <c r="V127" s="23"/>
      <c r="W127" s="23"/>
      <c r="X127" s="19"/>
      <c r="Y127" s="23"/>
      <c r="Z127" s="23"/>
      <c r="AA127" s="6"/>
      <c r="AB127" s="6"/>
      <c r="AC127" s="6"/>
      <c r="AD127" s="21"/>
      <c r="AE127" s="6"/>
      <c r="AF127" s="18"/>
      <c r="AG127" s="18"/>
      <c r="AH127" s="18"/>
      <c r="AI127" s="18"/>
      <c r="AK127" s="18"/>
      <c r="AL127" s="18"/>
      <c r="AM127" s="40" t="s">
        <v>118</v>
      </c>
      <c r="AN127" s="18"/>
      <c r="AO127" s="6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6"/>
      <c r="BK127" s="6"/>
      <c r="BL127" s="21" t="s">
        <v>53</v>
      </c>
      <c r="BO127" s="15"/>
    </row>
    <row r="128" spans="1:67">
      <c r="A128" s="6" t="s">
        <v>130</v>
      </c>
      <c r="B128" s="6" t="s">
        <v>137</v>
      </c>
      <c r="C128" s="17">
        <v>31593.148600000008</v>
      </c>
      <c r="D128" s="18">
        <v>13.041068638837487</v>
      </c>
      <c r="E128" s="23"/>
      <c r="F128" s="22"/>
      <c r="G128" s="22"/>
      <c r="H128" s="22"/>
      <c r="I128" s="22"/>
      <c r="J128" s="22"/>
      <c r="K128" s="22"/>
      <c r="L128" s="22"/>
      <c r="M128" s="22"/>
      <c r="N128" s="18"/>
      <c r="O128" s="18"/>
      <c r="P128" s="22">
        <v>4200</v>
      </c>
      <c r="Q128" s="22"/>
      <c r="R128" s="22"/>
      <c r="S128" s="22"/>
      <c r="T128" s="22"/>
      <c r="U128" s="22"/>
      <c r="V128" s="23"/>
      <c r="W128" s="23"/>
      <c r="X128" s="19"/>
      <c r="Y128" s="23"/>
      <c r="Z128" s="23"/>
      <c r="AA128" s="6"/>
      <c r="AB128" s="6"/>
      <c r="AC128" s="6"/>
      <c r="AD128" s="21"/>
      <c r="AE128" s="6"/>
      <c r="AF128" s="18"/>
      <c r="AG128" s="18"/>
      <c r="AH128" s="18"/>
      <c r="AI128" s="18"/>
      <c r="AK128" s="18"/>
      <c r="AL128" s="18"/>
      <c r="AM128" s="40" t="s">
        <v>118</v>
      </c>
      <c r="AN128" s="18"/>
      <c r="AO128" s="6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6"/>
      <c r="BK128" s="6"/>
      <c r="BL128" s="21" t="s">
        <v>53</v>
      </c>
      <c r="BO128" s="15"/>
    </row>
    <row r="129" spans="1:67" ht="14.5" customHeight="1">
      <c r="A129" s="6" t="s">
        <v>130</v>
      </c>
      <c r="B129" s="6" t="s">
        <v>137</v>
      </c>
      <c r="C129" s="17">
        <v>31958.390800000008</v>
      </c>
      <c r="D129" s="18">
        <v>14.041068638837487</v>
      </c>
      <c r="E129" s="23"/>
      <c r="F129" s="22"/>
      <c r="G129" s="22"/>
      <c r="H129" s="22"/>
      <c r="I129" s="22"/>
      <c r="J129" s="22"/>
      <c r="K129" s="22"/>
      <c r="L129" s="22"/>
      <c r="M129" s="22"/>
      <c r="N129" s="18"/>
      <c r="O129" s="18"/>
      <c r="P129" s="22">
        <v>5000.0099999999993</v>
      </c>
      <c r="Q129" s="22"/>
      <c r="R129" s="22"/>
      <c r="S129" s="22"/>
      <c r="T129" s="22"/>
      <c r="U129" s="22"/>
      <c r="V129" s="23"/>
      <c r="W129" s="23"/>
      <c r="X129" s="19"/>
      <c r="Y129" s="23"/>
      <c r="Z129" s="23"/>
      <c r="AA129" s="6"/>
      <c r="AB129" s="6"/>
      <c r="AC129" s="6"/>
      <c r="AD129" s="21"/>
      <c r="AE129" s="6"/>
      <c r="AF129" s="18"/>
      <c r="AG129" s="18"/>
      <c r="AH129" s="18"/>
      <c r="AI129" s="18"/>
      <c r="AK129" s="18"/>
      <c r="AL129" s="18"/>
      <c r="AM129" s="40" t="s">
        <v>118</v>
      </c>
      <c r="AN129" s="18"/>
      <c r="AO129" s="6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6"/>
      <c r="BK129" s="6"/>
      <c r="BL129" s="21" t="s">
        <v>53</v>
      </c>
      <c r="BO129" s="15"/>
    </row>
    <row r="130" spans="1:67" ht="14.5" customHeight="1">
      <c r="A130" s="6" t="s">
        <v>130</v>
      </c>
      <c r="B130" s="6" t="s">
        <v>137</v>
      </c>
      <c r="C130" s="17">
        <v>30921.102952000037</v>
      </c>
      <c r="D130" s="18">
        <v>11.201068638837569</v>
      </c>
      <c r="E130" s="23"/>
      <c r="F130" s="22"/>
      <c r="G130" s="22"/>
      <c r="H130" s="22"/>
      <c r="I130" s="22"/>
      <c r="J130" s="22"/>
      <c r="K130" s="22"/>
      <c r="L130" s="22"/>
      <c r="M130" s="22"/>
      <c r="N130" s="18"/>
      <c r="O130" s="18"/>
      <c r="P130" s="22"/>
      <c r="Q130" s="22"/>
      <c r="R130" s="22"/>
      <c r="S130" s="22"/>
      <c r="T130" s="22"/>
      <c r="U130" s="22"/>
      <c r="V130" s="23"/>
      <c r="W130" s="23"/>
      <c r="X130" s="19"/>
      <c r="Y130" s="23"/>
      <c r="Z130" s="23"/>
      <c r="AA130" s="6"/>
      <c r="AB130" s="6"/>
      <c r="AC130" s="6"/>
      <c r="AD130" s="21"/>
      <c r="AE130" s="6"/>
      <c r="AF130" s="18"/>
      <c r="AG130" s="18"/>
      <c r="AH130" s="18"/>
      <c r="AI130" s="18"/>
      <c r="AK130" s="18"/>
      <c r="AL130" s="18"/>
      <c r="AM130" s="40" t="s">
        <v>118</v>
      </c>
      <c r="AN130" s="18"/>
      <c r="AO130" s="6"/>
      <c r="AP130" s="32"/>
      <c r="AQ130" s="32">
        <v>1.52E-2</v>
      </c>
      <c r="AR130" s="32"/>
      <c r="AS130" s="32"/>
      <c r="AT130" s="32"/>
      <c r="AU130" s="32"/>
      <c r="AV130" s="32"/>
      <c r="AW130" s="32"/>
      <c r="AX130" s="32"/>
      <c r="AY130" s="32"/>
      <c r="AZ130" s="32"/>
      <c r="BA130" s="32">
        <v>12.16</v>
      </c>
      <c r="BB130" s="32"/>
      <c r="BC130" s="32"/>
      <c r="BD130" s="32"/>
      <c r="BE130" s="32"/>
      <c r="BF130" s="32"/>
      <c r="BG130" s="32"/>
      <c r="BH130" s="32"/>
      <c r="BI130" s="32">
        <f>BJ130/10</f>
        <v>15</v>
      </c>
      <c r="BJ130" s="6">
        <v>150</v>
      </c>
      <c r="BK130" s="6"/>
      <c r="BL130" s="21" t="s">
        <v>53</v>
      </c>
      <c r="BO130" s="15"/>
    </row>
    <row r="131" spans="1:67">
      <c r="A131" s="6" t="s">
        <v>130</v>
      </c>
      <c r="B131" s="6" t="s">
        <v>137</v>
      </c>
      <c r="C131" s="17">
        <v>31012.413502000039</v>
      </c>
      <c r="D131" s="18">
        <v>11.451068638837569</v>
      </c>
      <c r="E131" s="23"/>
      <c r="F131" s="22"/>
      <c r="G131" s="22"/>
      <c r="H131" s="22"/>
      <c r="I131" s="22"/>
      <c r="J131" s="22"/>
      <c r="K131" s="22"/>
      <c r="L131" s="22"/>
      <c r="M131" s="22"/>
      <c r="N131" s="18"/>
      <c r="O131" s="18"/>
      <c r="P131" s="22"/>
      <c r="Q131" s="22"/>
      <c r="R131" s="22"/>
      <c r="S131" s="22"/>
      <c r="T131" s="22"/>
      <c r="U131" s="22"/>
      <c r="V131" s="23"/>
      <c r="W131" s="23"/>
      <c r="X131" s="19"/>
      <c r="Y131" s="23"/>
      <c r="Z131" s="23"/>
      <c r="AA131" s="6"/>
      <c r="AB131" s="6"/>
      <c r="AC131" s="6"/>
      <c r="AD131" s="21"/>
      <c r="AE131" s="6"/>
      <c r="AF131" s="18"/>
      <c r="AG131" s="18"/>
      <c r="AH131" s="18"/>
      <c r="AI131" s="18"/>
      <c r="AK131" s="18"/>
      <c r="AL131" s="18"/>
      <c r="AM131" s="40" t="s">
        <v>118</v>
      </c>
      <c r="AN131" s="18"/>
      <c r="AO131" s="6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6"/>
      <c r="BK131" s="6"/>
      <c r="BL131" s="21" t="s">
        <v>53</v>
      </c>
      <c r="BO131" s="15"/>
    </row>
    <row r="132" spans="1:67" ht="14.5" customHeight="1">
      <c r="A132" s="6" t="s">
        <v>130</v>
      </c>
      <c r="B132" s="6" t="s">
        <v>137</v>
      </c>
      <c r="C132" s="17">
        <v>31103.724052000041</v>
      </c>
      <c r="D132" s="18">
        <v>11.701068638837569</v>
      </c>
      <c r="E132" s="23"/>
      <c r="F132" s="22"/>
      <c r="G132" s="22"/>
      <c r="H132" s="22"/>
      <c r="I132" s="22"/>
      <c r="J132" s="22"/>
      <c r="K132" s="22"/>
      <c r="L132" s="22"/>
      <c r="M132" s="22"/>
      <c r="N132" s="18"/>
      <c r="O132" s="18"/>
      <c r="P132" s="22"/>
      <c r="Q132" s="22"/>
      <c r="R132" s="22"/>
      <c r="S132" s="22"/>
      <c r="T132" s="22"/>
      <c r="U132" s="22"/>
      <c r="V132" s="23"/>
      <c r="W132" s="23"/>
      <c r="X132" s="19"/>
      <c r="Y132" s="23"/>
      <c r="Z132" s="23"/>
      <c r="AA132" s="6"/>
      <c r="AB132" s="6"/>
      <c r="AC132" s="6"/>
      <c r="AD132" s="21"/>
      <c r="AE132" s="6"/>
      <c r="AF132" s="18"/>
      <c r="AG132" s="18"/>
      <c r="AH132" s="18"/>
      <c r="AI132" s="18"/>
      <c r="AK132" s="18"/>
      <c r="AL132" s="18"/>
      <c r="AM132" s="40" t="s">
        <v>118</v>
      </c>
      <c r="AN132" s="18"/>
      <c r="AO132" s="6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6"/>
      <c r="BK132" s="6"/>
      <c r="BL132" s="21" t="s">
        <v>53</v>
      </c>
      <c r="BO132" s="15"/>
    </row>
    <row r="133" spans="1:67">
      <c r="A133" s="6" t="s">
        <v>130</v>
      </c>
      <c r="B133" s="6" t="s">
        <v>137</v>
      </c>
      <c r="C133" s="17">
        <v>31195.03460200004</v>
      </c>
      <c r="D133" s="18">
        <v>11.951068638837569</v>
      </c>
      <c r="E133" s="23"/>
      <c r="F133" s="22"/>
      <c r="G133" s="22"/>
      <c r="H133" s="22"/>
      <c r="I133" s="22"/>
      <c r="J133" s="22"/>
      <c r="K133" s="22"/>
      <c r="L133" s="22"/>
      <c r="M133" s="22"/>
      <c r="N133" s="18"/>
      <c r="O133" s="18"/>
      <c r="P133" s="22"/>
      <c r="Q133" s="22"/>
      <c r="R133" s="22"/>
      <c r="S133" s="22"/>
      <c r="T133" s="22"/>
      <c r="U133" s="22"/>
      <c r="V133" s="23"/>
      <c r="W133" s="23"/>
      <c r="X133" s="19"/>
      <c r="Y133" s="23"/>
      <c r="Z133" s="23"/>
      <c r="AA133" s="6"/>
      <c r="AB133" s="6"/>
      <c r="AC133" s="6"/>
      <c r="AD133" s="21"/>
      <c r="AE133" s="6"/>
      <c r="AF133" s="18"/>
      <c r="AG133" s="18"/>
      <c r="AH133" s="18"/>
      <c r="AI133" s="18"/>
      <c r="AK133" s="18"/>
      <c r="AL133" s="18"/>
      <c r="AM133" s="40" t="s">
        <v>118</v>
      </c>
      <c r="AN133" s="18"/>
      <c r="AO133" s="6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6"/>
      <c r="BK133" s="6"/>
      <c r="BL133" s="21" t="s">
        <v>53</v>
      </c>
      <c r="BO133" s="15"/>
    </row>
    <row r="134" spans="1:67" ht="14.5" customHeight="1">
      <c r="A134" s="6" t="s">
        <v>130</v>
      </c>
      <c r="B134" s="6" t="s">
        <v>137</v>
      </c>
      <c r="C134" s="17">
        <v>31286.345152000038</v>
      </c>
      <c r="D134" s="18">
        <v>12.201068638837569</v>
      </c>
      <c r="E134" s="23"/>
      <c r="F134" s="22"/>
      <c r="G134" s="22"/>
      <c r="H134" s="22"/>
      <c r="I134" s="22"/>
      <c r="J134" s="22"/>
      <c r="K134" s="22"/>
      <c r="L134" s="22"/>
      <c r="M134" s="22"/>
      <c r="N134" s="18"/>
      <c r="O134" s="18"/>
      <c r="P134" s="22"/>
      <c r="Q134" s="22"/>
      <c r="R134" s="22"/>
      <c r="S134" s="22"/>
      <c r="T134" s="22"/>
      <c r="U134" s="22"/>
      <c r="V134" s="23"/>
      <c r="W134" s="23"/>
      <c r="X134" s="19"/>
      <c r="Y134" s="23"/>
      <c r="Z134" s="23"/>
      <c r="AA134" s="6"/>
      <c r="AB134" s="6"/>
      <c r="AC134" s="6"/>
      <c r="AD134" s="21"/>
      <c r="AE134" s="6"/>
      <c r="AF134" s="18"/>
      <c r="AG134" s="18"/>
      <c r="AH134" s="18"/>
      <c r="AI134" s="18"/>
      <c r="AK134" s="18"/>
      <c r="AL134" s="18"/>
      <c r="AM134" s="40" t="s">
        <v>118</v>
      </c>
      <c r="AN134" s="18"/>
      <c r="AO134" s="6"/>
      <c r="AP134" s="32"/>
      <c r="AQ134" s="32">
        <v>1.2999999999999999E-2</v>
      </c>
      <c r="AR134" s="32"/>
      <c r="AS134" s="32"/>
      <c r="AT134" s="32"/>
      <c r="AU134" s="32"/>
      <c r="AV134" s="32"/>
      <c r="AW134" s="32"/>
      <c r="AX134" s="32"/>
      <c r="AY134" s="32"/>
      <c r="AZ134" s="32"/>
      <c r="BA134" s="32">
        <v>12.133329</v>
      </c>
      <c r="BB134" s="32"/>
      <c r="BC134" s="32"/>
      <c r="BD134" s="32"/>
      <c r="BE134" s="32"/>
      <c r="BF134" s="32"/>
      <c r="BG134" s="32"/>
      <c r="BH134" s="32"/>
      <c r="BI134" s="32">
        <f>BJ134/10</f>
        <v>15.5</v>
      </c>
      <c r="BJ134" s="6">
        <v>155</v>
      </c>
      <c r="BK134" s="6"/>
      <c r="BL134" s="21" t="s">
        <v>53</v>
      </c>
      <c r="BO134" s="15"/>
    </row>
    <row r="135" spans="1:67">
      <c r="A135" s="6" t="s">
        <v>130</v>
      </c>
      <c r="B135" s="6" t="s">
        <v>137</v>
      </c>
      <c r="C135" s="17">
        <v>31377.65570200004</v>
      </c>
      <c r="D135" s="18">
        <v>12.451068638837569</v>
      </c>
      <c r="E135" s="23"/>
      <c r="F135" s="22"/>
      <c r="G135" s="22"/>
      <c r="H135" s="22"/>
      <c r="I135" s="22"/>
      <c r="J135" s="22"/>
      <c r="K135" s="22"/>
      <c r="L135" s="22"/>
      <c r="M135" s="22"/>
      <c r="N135" s="18"/>
      <c r="O135" s="18"/>
      <c r="P135" s="22"/>
      <c r="Q135" s="22"/>
      <c r="R135" s="22"/>
      <c r="S135" s="22"/>
      <c r="T135" s="22"/>
      <c r="U135" s="22"/>
      <c r="V135" s="23"/>
      <c r="W135" s="23"/>
      <c r="X135" s="19"/>
      <c r="Y135" s="23"/>
      <c r="Z135" s="23"/>
      <c r="AA135" s="6"/>
      <c r="AB135" s="6"/>
      <c r="AC135" s="6"/>
      <c r="AD135" s="21"/>
      <c r="AE135" s="6"/>
      <c r="AF135" s="18"/>
      <c r="AG135" s="18"/>
      <c r="AH135" s="18"/>
      <c r="AI135" s="18"/>
      <c r="AK135" s="18"/>
      <c r="AL135" s="18"/>
      <c r="AM135" s="40" t="s">
        <v>118</v>
      </c>
      <c r="AN135" s="18"/>
      <c r="AO135" s="6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6"/>
      <c r="BK135" s="6"/>
      <c r="BL135" s="21" t="s">
        <v>53</v>
      </c>
      <c r="BO135" s="15"/>
    </row>
    <row r="136" spans="1:67" ht="14.5" customHeight="1">
      <c r="A136" s="6" t="s">
        <v>130</v>
      </c>
      <c r="B136" s="6" t="s">
        <v>137</v>
      </c>
      <c r="C136" s="17">
        <v>31468.966252000038</v>
      </c>
      <c r="D136" s="18">
        <v>12.701068638837569</v>
      </c>
      <c r="E136" s="23"/>
      <c r="F136" s="22"/>
      <c r="G136" s="22"/>
      <c r="H136" s="22"/>
      <c r="I136" s="22"/>
      <c r="J136" s="22"/>
      <c r="K136" s="22"/>
      <c r="L136" s="22"/>
      <c r="M136" s="22"/>
      <c r="N136" s="18"/>
      <c r="O136" s="18"/>
      <c r="P136" s="22"/>
      <c r="Q136" s="22"/>
      <c r="R136" s="22"/>
      <c r="S136" s="22"/>
      <c r="T136" s="22"/>
      <c r="U136" s="22"/>
      <c r="V136" s="23"/>
      <c r="W136" s="23"/>
      <c r="X136" s="19"/>
      <c r="Y136" s="23"/>
      <c r="Z136" s="23"/>
      <c r="AA136" s="6"/>
      <c r="AB136" s="6"/>
      <c r="AC136" s="6"/>
      <c r="AD136" s="21"/>
      <c r="AE136" s="6"/>
      <c r="AF136" s="18"/>
      <c r="AG136" s="18"/>
      <c r="AH136" s="18"/>
      <c r="AI136" s="18"/>
      <c r="AK136" s="18"/>
      <c r="AL136" s="18"/>
      <c r="AM136" s="40" t="s">
        <v>118</v>
      </c>
      <c r="AN136" s="18"/>
      <c r="AO136" s="6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6"/>
      <c r="BK136" s="6"/>
      <c r="BL136" s="21" t="s">
        <v>53</v>
      </c>
      <c r="BO136" s="15"/>
    </row>
    <row r="137" spans="1:67">
      <c r="A137" s="6" t="s">
        <v>130</v>
      </c>
      <c r="B137" s="6" t="s">
        <v>137</v>
      </c>
      <c r="C137" s="17">
        <v>31560.27680200004</v>
      </c>
      <c r="D137" s="18">
        <v>12.951068638837569</v>
      </c>
      <c r="E137" s="23"/>
      <c r="F137" s="22"/>
      <c r="G137" s="22"/>
      <c r="H137" s="22"/>
      <c r="I137" s="22"/>
      <c r="J137" s="22"/>
      <c r="K137" s="22"/>
      <c r="L137" s="22"/>
      <c r="M137" s="22"/>
      <c r="N137" s="18"/>
      <c r="O137" s="18"/>
      <c r="P137" s="22"/>
      <c r="Q137" s="22"/>
      <c r="R137" s="22"/>
      <c r="S137" s="22"/>
      <c r="T137" s="22"/>
      <c r="U137" s="22"/>
      <c r="V137" s="23"/>
      <c r="W137" s="23"/>
      <c r="X137" s="19"/>
      <c r="Y137" s="23"/>
      <c r="Z137" s="23"/>
      <c r="AA137" s="6"/>
      <c r="AB137" s="6"/>
      <c r="AC137" s="6"/>
      <c r="AD137" s="21"/>
      <c r="AE137" s="6"/>
      <c r="AF137" s="18"/>
      <c r="AG137" s="18"/>
      <c r="AH137" s="18"/>
      <c r="AI137" s="18"/>
      <c r="AK137" s="18"/>
      <c r="AL137" s="18"/>
      <c r="AM137" s="40" t="s">
        <v>118</v>
      </c>
      <c r="AN137" s="18"/>
      <c r="AO137" s="6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6"/>
      <c r="BK137" s="6"/>
      <c r="BL137" s="21" t="s">
        <v>53</v>
      </c>
      <c r="BO137" s="15"/>
    </row>
    <row r="138" spans="1:67" ht="14.5" customHeight="1">
      <c r="A138" s="6" t="s">
        <v>130</v>
      </c>
      <c r="B138" s="6" t="s">
        <v>137</v>
      </c>
      <c r="C138" s="17">
        <v>31651.587352000039</v>
      </c>
      <c r="D138" s="18">
        <v>13.201068638837569</v>
      </c>
      <c r="E138" s="23"/>
      <c r="F138" s="22"/>
      <c r="G138" s="22"/>
      <c r="H138" s="22"/>
      <c r="I138" s="22"/>
      <c r="J138" s="22"/>
      <c r="K138" s="22"/>
      <c r="L138" s="22"/>
      <c r="M138" s="22"/>
      <c r="N138" s="18"/>
      <c r="O138" s="18"/>
      <c r="P138" s="22"/>
      <c r="Q138" s="22"/>
      <c r="R138" s="22"/>
      <c r="S138" s="22"/>
      <c r="T138" s="22"/>
      <c r="U138" s="22"/>
      <c r="V138" s="23"/>
      <c r="W138" s="23"/>
      <c r="X138" s="19"/>
      <c r="Y138" s="23"/>
      <c r="Z138" s="23"/>
      <c r="AA138" s="6"/>
      <c r="AB138" s="6"/>
      <c r="AC138" s="6"/>
      <c r="AD138" s="21"/>
      <c r="AE138" s="6"/>
      <c r="AF138" s="18"/>
      <c r="AG138" s="18"/>
      <c r="AH138" s="18"/>
      <c r="AI138" s="18"/>
      <c r="AK138" s="18"/>
      <c r="AL138" s="18"/>
      <c r="AM138" s="40" t="s">
        <v>118</v>
      </c>
      <c r="AN138" s="18"/>
      <c r="AO138" s="6"/>
      <c r="AP138" s="32"/>
      <c r="AQ138" s="32">
        <v>1.0699999999999999E-2</v>
      </c>
      <c r="AR138" s="32"/>
      <c r="AS138" s="32"/>
      <c r="AT138" s="32"/>
      <c r="AU138" s="32"/>
      <c r="AV138" s="32"/>
      <c r="AW138" s="32"/>
      <c r="AX138" s="32"/>
      <c r="AY138" s="32"/>
      <c r="AZ138" s="32"/>
      <c r="BA138" s="32">
        <v>11.651123</v>
      </c>
      <c r="BB138" s="32"/>
      <c r="BC138" s="32"/>
      <c r="BD138" s="32"/>
      <c r="BE138" s="32"/>
      <c r="BF138" s="32"/>
      <c r="BG138" s="32"/>
      <c r="BH138" s="32"/>
      <c r="BI138" s="32">
        <f>BJ138/10</f>
        <v>13.5</v>
      </c>
      <c r="BJ138" s="6">
        <v>135</v>
      </c>
      <c r="BK138" s="6"/>
      <c r="BL138" s="21" t="s">
        <v>53</v>
      </c>
      <c r="BO138" s="15"/>
    </row>
    <row r="139" spans="1:67">
      <c r="A139" s="6" t="s">
        <v>130</v>
      </c>
      <c r="B139" s="6" t="s">
        <v>137</v>
      </c>
      <c r="C139" s="17">
        <v>31742.897902000041</v>
      </c>
      <c r="D139" s="18">
        <v>13.451068638837569</v>
      </c>
      <c r="E139" s="23"/>
      <c r="F139" s="22"/>
      <c r="G139" s="22"/>
      <c r="H139" s="22"/>
      <c r="I139" s="22"/>
      <c r="J139" s="22"/>
      <c r="K139" s="22"/>
      <c r="L139" s="22"/>
      <c r="M139" s="22"/>
      <c r="N139" s="18"/>
      <c r="O139" s="18"/>
      <c r="P139" s="22"/>
      <c r="Q139" s="22"/>
      <c r="R139" s="22"/>
      <c r="S139" s="22"/>
      <c r="T139" s="22"/>
      <c r="U139" s="22"/>
      <c r="V139" s="23"/>
      <c r="W139" s="23"/>
      <c r="X139" s="19"/>
      <c r="Y139" s="23"/>
      <c r="Z139" s="23"/>
      <c r="AA139" s="6"/>
      <c r="AB139" s="6"/>
      <c r="AC139" s="6"/>
      <c r="AD139" s="21"/>
      <c r="AE139" s="6"/>
      <c r="AF139" s="18"/>
      <c r="AG139" s="18"/>
      <c r="AH139" s="18"/>
      <c r="AI139" s="18"/>
      <c r="AK139" s="18"/>
      <c r="AL139" s="18"/>
      <c r="AM139" s="40" t="s">
        <v>118</v>
      </c>
      <c r="AN139" s="18"/>
      <c r="AO139" s="6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6"/>
      <c r="BK139" s="6"/>
      <c r="BL139" s="21" t="s">
        <v>53</v>
      </c>
      <c r="BO139" s="15"/>
    </row>
    <row r="140" spans="1:67" ht="14.5" customHeight="1">
      <c r="A140" s="6" t="s">
        <v>130</v>
      </c>
      <c r="B140" s="6" t="s">
        <v>137</v>
      </c>
      <c r="C140" s="17">
        <v>31834.208452000039</v>
      </c>
      <c r="D140" s="18">
        <v>13.701068638837569</v>
      </c>
      <c r="E140" s="23"/>
      <c r="F140" s="22"/>
      <c r="G140" s="22"/>
      <c r="H140" s="22"/>
      <c r="I140" s="22"/>
      <c r="J140" s="22"/>
      <c r="K140" s="22"/>
      <c r="L140" s="22"/>
      <c r="M140" s="22"/>
      <c r="N140" s="18"/>
      <c r="O140" s="18"/>
      <c r="P140" s="22"/>
      <c r="Q140" s="22"/>
      <c r="R140" s="22"/>
      <c r="S140" s="22"/>
      <c r="T140" s="22"/>
      <c r="U140" s="22"/>
      <c r="V140" s="23"/>
      <c r="W140" s="23"/>
      <c r="X140" s="19"/>
      <c r="Y140" s="23"/>
      <c r="Z140" s="23"/>
      <c r="AA140" s="6"/>
      <c r="AB140" s="6"/>
      <c r="AC140" s="6"/>
      <c r="AD140" s="21"/>
      <c r="AE140" s="6"/>
      <c r="AF140" s="18"/>
      <c r="AG140" s="18"/>
      <c r="AH140" s="18"/>
      <c r="AI140" s="18"/>
      <c r="AK140" s="18"/>
      <c r="AL140" s="18"/>
      <c r="AM140" s="40" t="s">
        <v>118</v>
      </c>
      <c r="AN140" s="18"/>
      <c r="AO140" s="6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6"/>
      <c r="BK140" s="6"/>
      <c r="BL140" s="21" t="s">
        <v>53</v>
      </c>
      <c r="BO140" s="15"/>
    </row>
    <row r="141" spans="1:67">
      <c r="A141" s="6" t="s">
        <v>130</v>
      </c>
      <c r="B141" s="6" t="s">
        <v>137</v>
      </c>
      <c r="C141" s="17">
        <v>31925.519002000037</v>
      </c>
      <c r="D141" s="18">
        <v>13.951068638837569</v>
      </c>
      <c r="E141" s="23"/>
      <c r="F141" s="22"/>
      <c r="G141" s="22"/>
      <c r="H141" s="22"/>
      <c r="I141" s="22"/>
      <c r="J141" s="22"/>
      <c r="K141" s="22"/>
      <c r="L141" s="22"/>
      <c r="M141" s="22"/>
      <c r="N141" s="18"/>
      <c r="O141" s="18"/>
      <c r="P141" s="22"/>
      <c r="Q141" s="22"/>
      <c r="R141" s="22"/>
      <c r="S141" s="22"/>
      <c r="T141" s="22"/>
      <c r="U141" s="22"/>
      <c r="V141" s="23"/>
      <c r="W141" s="23"/>
      <c r="X141" s="19"/>
      <c r="Y141" s="23"/>
      <c r="Z141" s="23"/>
      <c r="AA141" s="6"/>
      <c r="AB141" s="6"/>
      <c r="AC141" s="6"/>
      <c r="AD141" s="21"/>
      <c r="AE141" s="6"/>
      <c r="AF141" s="18"/>
      <c r="AG141" s="18"/>
      <c r="AH141" s="18"/>
      <c r="AI141" s="18"/>
      <c r="AK141" s="18"/>
      <c r="AL141" s="18"/>
      <c r="AM141" s="40" t="s">
        <v>118</v>
      </c>
      <c r="AN141" s="18"/>
      <c r="AO141" s="6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6"/>
      <c r="BK141" s="6"/>
      <c r="BL141" s="21" t="s">
        <v>53</v>
      </c>
      <c r="BO141" s="15"/>
    </row>
    <row r="142" spans="1:67">
      <c r="A142" s="6" t="s">
        <v>130</v>
      </c>
      <c r="B142" s="6" t="s">
        <v>137</v>
      </c>
      <c r="C142" s="17">
        <v>32016.829552000039</v>
      </c>
      <c r="D142" s="18">
        <v>14.201068638837569</v>
      </c>
      <c r="E142" s="23"/>
      <c r="F142" s="22"/>
      <c r="G142" s="22"/>
      <c r="H142" s="22"/>
      <c r="I142" s="22"/>
      <c r="J142" s="22"/>
      <c r="K142" s="22"/>
      <c r="L142" s="22"/>
      <c r="M142" s="22"/>
      <c r="N142" s="18"/>
      <c r="O142" s="18"/>
      <c r="P142" s="22"/>
      <c r="Q142" s="22"/>
      <c r="R142" s="22"/>
      <c r="S142" s="22"/>
      <c r="T142" s="22"/>
      <c r="U142" s="22"/>
      <c r="V142" s="23"/>
      <c r="W142" s="23"/>
      <c r="X142" s="19"/>
      <c r="Y142" s="23"/>
      <c r="Z142" s="23"/>
      <c r="AA142" s="6"/>
      <c r="AB142" s="6"/>
      <c r="AC142" s="6"/>
      <c r="AD142" s="21"/>
      <c r="AE142" s="6"/>
      <c r="AF142" s="18"/>
      <c r="AG142" s="18"/>
      <c r="AH142" s="18"/>
      <c r="AI142" s="18"/>
      <c r="AK142" s="18"/>
      <c r="AL142" s="18"/>
      <c r="AM142" s="40" t="s">
        <v>118</v>
      </c>
      <c r="AN142" s="18"/>
      <c r="AO142" s="6"/>
      <c r="AP142" s="32"/>
      <c r="AQ142" s="32">
        <v>0.01</v>
      </c>
      <c r="AR142" s="32"/>
      <c r="AS142" s="32"/>
      <c r="AT142" s="32"/>
      <c r="AU142" s="32"/>
      <c r="AV142" s="32"/>
      <c r="AW142" s="32"/>
      <c r="AX142" s="32"/>
      <c r="AY142" s="32"/>
      <c r="AZ142" s="32"/>
      <c r="BA142" s="32">
        <v>12.666700000000001</v>
      </c>
      <c r="BB142" s="32"/>
      <c r="BC142" s="32"/>
      <c r="BD142" s="32"/>
      <c r="BE142" s="32"/>
      <c r="BF142" s="32"/>
      <c r="BG142" s="32"/>
      <c r="BH142" s="32"/>
      <c r="BI142" s="32">
        <f>BJ142/10</f>
        <v>13.5</v>
      </c>
      <c r="BJ142" s="6">
        <v>135</v>
      </c>
      <c r="BK142" s="6"/>
      <c r="BL142" s="21" t="s">
        <v>53</v>
      </c>
      <c r="BO142" s="15"/>
    </row>
    <row r="143" spans="1:67" ht="14.5" customHeight="1">
      <c r="A143" s="6" t="s">
        <v>131</v>
      </c>
      <c r="B143" s="6" t="s">
        <v>138</v>
      </c>
      <c r="C143" s="17">
        <v>30862.66420000001</v>
      </c>
      <c r="D143" s="18">
        <v>11.041068638837487</v>
      </c>
      <c r="E143" s="23"/>
      <c r="F143" s="22"/>
      <c r="G143" s="22"/>
      <c r="H143" s="22"/>
      <c r="I143" s="22"/>
      <c r="J143" s="22"/>
      <c r="K143" s="22"/>
      <c r="L143" s="22"/>
      <c r="M143" s="22"/>
      <c r="N143" s="18"/>
      <c r="O143" s="18"/>
      <c r="P143" s="22"/>
      <c r="Q143" s="22"/>
      <c r="R143" s="22"/>
      <c r="S143" s="22"/>
      <c r="T143" s="22"/>
      <c r="U143" s="22"/>
      <c r="V143" s="23"/>
      <c r="W143" s="23"/>
      <c r="X143" s="19"/>
      <c r="Y143" s="23"/>
      <c r="Z143" s="23"/>
      <c r="AA143" s="6"/>
      <c r="AB143" s="6"/>
      <c r="AC143" s="6"/>
      <c r="AD143" s="21"/>
      <c r="AE143" s="6"/>
      <c r="AF143" s="18"/>
      <c r="AG143" s="18"/>
      <c r="AH143" s="18"/>
      <c r="AI143" s="18"/>
      <c r="AK143" s="18"/>
      <c r="AL143" s="18"/>
      <c r="AM143" s="40" t="s">
        <v>118</v>
      </c>
      <c r="AN143" s="18"/>
      <c r="AO143" s="6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6"/>
      <c r="BK143" s="6"/>
      <c r="BL143" s="21" t="s">
        <v>53</v>
      </c>
      <c r="BO143" s="15"/>
    </row>
    <row r="144" spans="1:67" ht="14.5" customHeight="1">
      <c r="A144" s="6" t="s">
        <v>131</v>
      </c>
      <c r="B144" s="6" t="s">
        <v>138</v>
      </c>
      <c r="C144" s="17">
        <v>31227.906400000011</v>
      </c>
      <c r="D144" s="18">
        <v>12.041068638837487</v>
      </c>
      <c r="E144" s="23"/>
      <c r="F144" s="22"/>
      <c r="G144" s="22"/>
      <c r="H144" s="22"/>
      <c r="I144" s="22"/>
      <c r="J144" s="22"/>
      <c r="K144" s="22"/>
      <c r="L144" s="22"/>
      <c r="M144" s="22"/>
      <c r="N144" s="18"/>
      <c r="O144" s="18"/>
      <c r="P144" s="22"/>
      <c r="Q144" s="22"/>
      <c r="R144" s="22"/>
      <c r="S144" s="22"/>
      <c r="T144" s="22"/>
      <c r="U144" s="22"/>
      <c r="V144" s="23"/>
      <c r="W144" s="23"/>
      <c r="X144" s="19"/>
      <c r="Y144" s="23"/>
      <c r="Z144" s="23"/>
      <c r="AA144" s="6"/>
      <c r="AB144" s="6"/>
      <c r="AC144" s="6"/>
      <c r="AD144" s="21"/>
      <c r="AE144" s="6"/>
      <c r="AF144" s="18"/>
      <c r="AG144" s="18"/>
      <c r="AH144" s="18"/>
      <c r="AI144" s="18"/>
      <c r="AK144" s="18"/>
      <c r="AL144" s="18"/>
      <c r="AM144" s="40" t="s">
        <v>118</v>
      </c>
      <c r="AN144" s="18"/>
      <c r="AO144" s="6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6"/>
      <c r="BK144" s="6"/>
      <c r="BL144" s="21" t="s">
        <v>53</v>
      </c>
      <c r="BO144" s="15"/>
    </row>
    <row r="145" spans="1:67">
      <c r="A145" s="6" t="s">
        <v>131</v>
      </c>
      <c r="B145" s="6" t="s">
        <v>138</v>
      </c>
      <c r="C145" s="17">
        <v>31593.148600000008</v>
      </c>
      <c r="D145" s="18">
        <v>13.041068638837487</v>
      </c>
      <c r="E145" s="23"/>
      <c r="F145" s="22"/>
      <c r="G145" s="22"/>
      <c r="H145" s="22"/>
      <c r="I145" s="22"/>
      <c r="J145" s="22"/>
      <c r="K145" s="22"/>
      <c r="L145" s="22"/>
      <c r="M145" s="22"/>
      <c r="N145" s="18"/>
      <c r="O145" s="18"/>
      <c r="P145" s="22"/>
      <c r="Q145" s="22"/>
      <c r="R145" s="22"/>
      <c r="S145" s="22"/>
      <c r="T145" s="22"/>
      <c r="U145" s="22"/>
      <c r="V145" s="23"/>
      <c r="W145" s="23"/>
      <c r="X145" s="19"/>
      <c r="Y145" s="23"/>
      <c r="Z145" s="23"/>
      <c r="AA145" s="6"/>
      <c r="AB145" s="6"/>
      <c r="AC145" s="6"/>
      <c r="AD145" s="21"/>
      <c r="AE145" s="6"/>
      <c r="AF145" s="18"/>
      <c r="AG145" s="18"/>
      <c r="AH145" s="18"/>
      <c r="AI145" s="18"/>
      <c r="AK145" s="18"/>
      <c r="AL145" s="18"/>
      <c r="AM145" s="40" t="s">
        <v>118</v>
      </c>
      <c r="AN145" s="18"/>
      <c r="AO145" s="6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6"/>
      <c r="BK145" s="6"/>
      <c r="BL145" s="21" t="s">
        <v>53</v>
      </c>
      <c r="BO145" s="15"/>
    </row>
    <row r="146" spans="1:67" ht="14.5" customHeight="1">
      <c r="A146" s="6" t="s">
        <v>131</v>
      </c>
      <c r="B146" s="6" t="s">
        <v>138</v>
      </c>
      <c r="C146" s="17">
        <v>31958.390800000008</v>
      </c>
      <c r="D146" s="18">
        <v>14.041068638837487</v>
      </c>
      <c r="E146" s="22">
        <v>69.508525576730193</v>
      </c>
      <c r="F146" s="22">
        <v>693</v>
      </c>
      <c r="G146" s="22"/>
      <c r="H146" s="22"/>
      <c r="I146" s="22"/>
      <c r="J146" s="22"/>
      <c r="K146" s="22"/>
      <c r="L146" s="22"/>
      <c r="M146" s="22"/>
      <c r="N146" s="18"/>
      <c r="O146" s="18"/>
      <c r="P146" s="22"/>
      <c r="Q146" s="22"/>
      <c r="R146" s="22"/>
      <c r="S146" s="22"/>
      <c r="T146" s="22"/>
      <c r="U146" s="22"/>
      <c r="V146" s="23"/>
      <c r="W146" s="23"/>
      <c r="X146" s="19"/>
      <c r="Y146" s="23"/>
      <c r="Z146" s="23"/>
      <c r="AA146" s="6"/>
      <c r="AB146" s="6"/>
      <c r="AC146" s="6"/>
      <c r="AD146" s="21"/>
      <c r="AE146" s="6"/>
      <c r="AF146" s="18"/>
      <c r="AG146" s="18"/>
      <c r="AH146" s="18"/>
      <c r="AI146" s="18"/>
      <c r="AK146" s="18"/>
      <c r="AL146" s="18"/>
      <c r="AM146" s="40" t="s">
        <v>118</v>
      </c>
      <c r="AN146" s="18"/>
      <c r="AO146" s="6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6"/>
      <c r="BK146" s="6"/>
      <c r="BL146" s="21" t="s">
        <v>53</v>
      </c>
      <c r="BO146" s="15"/>
    </row>
    <row r="147" spans="1:67" ht="14.5" customHeight="1">
      <c r="A147" s="6" t="s">
        <v>131</v>
      </c>
      <c r="B147" s="6" t="s">
        <v>138</v>
      </c>
      <c r="C147" s="17">
        <v>30862.66420000001</v>
      </c>
      <c r="D147" s="18">
        <v>11.041068638837487</v>
      </c>
      <c r="E147" s="23"/>
      <c r="F147" s="22"/>
      <c r="G147" s="22"/>
      <c r="H147" s="22"/>
      <c r="I147" s="22"/>
      <c r="J147" s="22"/>
      <c r="K147" s="22"/>
      <c r="L147" s="22"/>
      <c r="M147" s="22"/>
      <c r="N147" s="18"/>
      <c r="O147" s="18"/>
      <c r="P147" s="22">
        <v>2399.8679999999999</v>
      </c>
      <c r="Q147" s="22"/>
      <c r="R147" s="22"/>
      <c r="S147" s="22"/>
      <c r="T147" s="22"/>
      <c r="U147" s="22"/>
      <c r="V147" s="23"/>
      <c r="W147" s="23"/>
      <c r="X147" s="19"/>
      <c r="Y147" s="23"/>
      <c r="Z147" s="23"/>
      <c r="AA147" s="6"/>
      <c r="AB147" s="6"/>
      <c r="AC147" s="6"/>
      <c r="AD147" s="21"/>
      <c r="AE147" s="6"/>
      <c r="AF147" s="18"/>
      <c r="AG147" s="18"/>
      <c r="AH147" s="18"/>
      <c r="AI147" s="18"/>
      <c r="AK147" s="18"/>
      <c r="AL147" s="18"/>
      <c r="AM147" s="40" t="s">
        <v>118</v>
      </c>
      <c r="AN147" s="18"/>
      <c r="AO147" s="6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6"/>
      <c r="BK147" s="6"/>
      <c r="BL147" s="21" t="s">
        <v>53</v>
      </c>
      <c r="BO147" s="15"/>
    </row>
    <row r="148" spans="1:67">
      <c r="A148" s="6" t="s">
        <v>131</v>
      </c>
      <c r="B148" s="6" t="s">
        <v>138</v>
      </c>
      <c r="C148" s="17">
        <v>31227.906400000011</v>
      </c>
      <c r="D148" s="18">
        <v>12.041068638837487</v>
      </c>
      <c r="E148" s="23"/>
      <c r="F148" s="22"/>
      <c r="G148" s="22"/>
      <c r="H148" s="22"/>
      <c r="I148" s="22"/>
      <c r="J148" s="22"/>
      <c r="K148" s="22"/>
      <c r="L148" s="22"/>
      <c r="M148" s="22"/>
      <c r="N148" s="18"/>
      <c r="O148" s="18"/>
      <c r="P148" s="22">
        <v>3573.63</v>
      </c>
      <c r="Q148" s="22"/>
      <c r="R148" s="22"/>
      <c r="S148" s="22"/>
      <c r="T148" s="22"/>
      <c r="U148" s="22"/>
      <c r="V148" s="23"/>
      <c r="W148" s="23"/>
      <c r="X148" s="19"/>
      <c r="Y148" s="23"/>
      <c r="Z148" s="23"/>
      <c r="AA148" s="6"/>
      <c r="AB148" s="6"/>
      <c r="AC148" s="6"/>
      <c r="AD148" s="21"/>
      <c r="AE148" s="6"/>
      <c r="AF148" s="18"/>
      <c r="AG148" s="18"/>
      <c r="AH148" s="18"/>
      <c r="AI148" s="18"/>
      <c r="AK148" s="18"/>
      <c r="AL148" s="18"/>
      <c r="AM148" s="40" t="s">
        <v>118</v>
      </c>
      <c r="AN148" s="18"/>
      <c r="AO148" s="6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6"/>
      <c r="BK148" s="6"/>
      <c r="BL148" s="21" t="s">
        <v>53</v>
      </c>
      <c r="BO148" s="15"/>
    </row>
    <row r="149" spans="1:67">
      <c r="A149" s="6" t="s">
        <v>131</v>
      </c>
      <c r="B149" s="6" t="s">
        <v>138</v>
      </c>
      <c r="C149" s="17">
        <v>31593.148600000008</v>
      </c>
      <c r="D149" s="18">
        <v>13.041068638837487</v>
      </c>
      <c r="E149" s="23"/>
      <c r="F149" s="22"/>
      <c r="G149" s="22"/>
      <c r="H149" s="22"/>
      <c r="I149" s="22"/>
      <c r="J149" s="22"/>
      <c r="K149" s="22"/>
      <c r="L149" s="22"/>
      <c r="M149" s="22"/>
      <c r="N149" s="18"/>
      <c r="O149" s="18"/>
      <c r="P149" s="22">
        <v>4880.7300000000005</v>
      </c>
      <c r="Q149" s="22"/>
      <c r="R149" s="22"/>
      <c r="S149" s="22"/>
      <c r="T149" s="22"/>
      <c r="U149" s="22"/>
      <c r="V149" s="23"/>
      <c r="W149" s="23"/>
      <c r="X149" s="19"/>
      <c r="Y149" s="23"/>
      <c r="Z149" s="23"/>
      <c r="AA149" s="6"/>
      <c r="AB149" s="6"/>
      <c r="AC149" s="6"/>
      <c r="AD149" s="21"/>
      <c r="AE149" s="6"/>
      <c r="AF149" s="18"/>
      <c r="AG149" s="18"/>
      <c r="AH149" s="18"/>
      <c r="AI149" s="18"/>
      <c r="AK149" s="18"/>
      <c r="AL149" s="18"/>
      <c r="AM149" s="40" t="s">
        <v>118</v>
      </c>
      <c r="AN149" s="18"/>
      <c r="AO149" s="6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6"/>
      <c r="BK149" s="6"/>
      <c r="BL149" s="21" t="s">
        <v>53</v>
      </c>
      <c r="BO149" s="15"/>
    </row>
    <row r="150" spans="1:67" ht="14.5" customHeight="1">
      <c r="A150" s="6" t="s">
        <v>131</v>
      </c>
      <c r="B150" s="6" t="s">
        <v>138</v>
      </c>
      <c r="C150" s="17">
        <v>31958.390800000008</v>
      </c>
      <c r="D150" s="18">
        <v>14.041068638837487</v>
      </c>
      <c r="E150" s="23"/>
      <c r="F150" s="22"/>
      <c r="G150" s="22"/>
      <c r="H150" s="22"/>
      <c r="I150" s="22"/>
      <c r="J150" s="22"/>
      <c r="K150" s="22"/>
      <c r="L150" s="22"/>
      <c r="M150" s="22"/>
      <c r="N150" s="18"/>
      <c r="O150" s="18"/>
      <c r="P150" s="22">
        <v>6254.4599999999991</v>
      </c>
      <c r="Q150" s="22"/>
      <c r="R150" s="22"/>
      <c r="S150" s="22"/>
      <c r="T150" s="22"/>
      <c r="U150" s="22"/>
      <c r="V150" s="23"/>
      <c r="W150" s="23"/>
      <c r="X150" s="19"/>
      <c r="Y150" s="23"/>
      <c r="Z150" s="23"/>
      <c r="AA150" s="6"/>
      <c r="AB150" s="6"/>
      <c r="AC150" s="6"/>
      <c r="AD150" s="21"/>
      <c r="AE150" s="6"/>
      <c r="AF150" s="18"/>
      <c r="AG150" s="18"/>
      <c r="AH150" s="18"/>
      <c r="AI150" s="18"/>
      <c r="AK150" s="18"/>
      <c r="AL150" s="18"/>
      <c r="AM150" s="40" t="s">
        <v>118</v>
      </c>
      <c r="AN150" s="18"/>
      <c r="AO150" s="6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6"/>
      <c r="BK150" s="6"/>
      <c r="BL150" s="21" t="s">
        <v>53</v>
      </c>
      <c r="BO150" s="15"/>
    </row>
    <row r="151" spans="1:67">
      <c r="A151" s="6" t="s">
        <v>131</v>
      </c>
      <c r="B151" s="6" t="s">
        <v>138</v>
      </c>
      <c r="C151" s="17">
        <v>30921.102952000037</v>
      </c>
      <c r="D151" s="18">
        <v>11.201068638837569</v>
      </c>
      <c r="E151" s="23"/>
      <c r="F151" s="22"/>
      <c r="G151" s="22"/>
      <c r="H151" s="22"/>
      <c r="I151" s="22"/>
      <c r="J151" s="22"/>
      <c r="K151" s="22"/>
      <c r="L151" s="22"/>
      <c r="M151" s="22"/>
      <c r="N151" s="18"/>
      <c r="O151" s="18"/>
      <c r="P151" s="22"/>
      <c r="Q151" s="22"/>
      <c r="R151" s="22"/>
      <c r="S151" s="22"/>
      <c r="T151" s="22"/>
      <c r="U151" s="22"/>
      <c r="V151" s="23"/>
      <c r="W151" s="23"/>
      <c r="X151" s="19"/>
      <c r="Y151" s="23"/>
      <c r="Z151" s="23"/>
      <c r="AA151" s="6"/>
      <c r="AB151" s="6"/>
      <c r="AC151" s="6"/>
      <c r="AD151" s="21"/>
      <c r="AE151" s="6"/>
      <c r="AF151" s="18"/>
      <c r="AG151" s="18"/>
      <c r="AH151" s="18"/>
      <c r="AI151" s="18"/>
      <c r="AK151" s="18"/>
      <c r="AL151" s="18"/>
      <c r="AM151" s="40" t="s">
        <v>118</v>
      </c>
      <c r="AN151" s="18"/>
      <c r="AO151" s="6"/>
      <c r="AP151" s="32"/>
      <c r="AQ151" s="32">
        <v>1.01E-2</v>
      </c>
      <c r="AR151" s="32"/>
      <c r="AS151" s="32"/>
      <c r="AT151" s="32"/>
      <c r="AU151" s="32"/>
      <c r="AV151" s="32"/>
      <c r="AW151" s="32"/>
      <c r="AX151" s="32"/>
      <c r="AY151" s="32"/>
      <c r="AZ151" s="32"/>
      <c r="BA151" s="32">
        <v>6.942437</v>
      </c>
      <c r="BB151" s="32"/>
      <c r="BC151" s="32"/>
      <c r="BD151" s="32"/>
      <c r="BE151" s="32"/>
      <c r="BF151" s="32"/>
      <c r="BG151" s="32"/>
      <c r="BH151" s="32"/>
      <c r="BI151" s="32">
        <f>BJ151/10</f>
        <v>7.5</v>
      </c>
      <c r="BJ151" s="6">
        <v>75</v>
      </c>
      <c r="BK151" s="6"/>
      <c r="BL151" s="21" t="s">
        <v>53</v>
      </c>
      <c r="BO151" s="15"/>
    </row>
    <row r="152" spans="1:67">
      <c r="A152" s="6" t="s">
        <v>131</v>
      </c>
      <c r="B152" s="6" t="s">
        <v>138</v>
      </c>
      <c r="C152" s="17">
        <v>31012.413502000039</v>
      </c>
      <c r="D152" s="18">
        <v>11.451068638837569</v>
      </c>
      <c r="E152" s="23"/>
      <c r="F152" s="22"/>
      <c r="G152" s="22"/>
      <c r="H152" s="22"/>
      <c r="I152" s="22"/>
      <c r="J152" s="22"/>
      <c r="K152" s="22"/>
      <c r="L152" s="22"/>
      <c r="M152" s="22"/>
      <c r="N152" s="18"/>
      <c r="O152" s="18"/>
      <c r="P152" s="22"/>
      <c r="Q152" s="22"/>
      <c r="R152" s="22"/>
      <c r="S152" s="22"/>
      <c r="T152" s="22"/>
      <c r="U152" s="22"/>
      <c r="V152" s="23"/>
      <c r="W152" s="23"/>
      <c r="X152" s="19"/>
      <c r="Y152" s="23"/>
      <c r="Z152" s="23"/>
      <c r="AA152" s="6"/>
      <c r="AB152" s="6"/>
      <c r="AC152" s="6"/>
      <c r="AD152" s="21"/>
      <c r="AE152" s="6"/>
      <c r="AF152" s="18"/>
      <c r="AG152" s="18"/>
      <c r="AH152" s="18"/>
      <c r="AI152" s="18"/>
      <c r="AK152" s="18"/>
      <c r="AL152" s="18"/>
      <c r="AM152" s="40" t="s">
        <v>118</v>
      </c>
      <c r="AN152" s="18"/>
      <c r="AO152" s="6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6"/>
      <c r="BK152" s="6"/>
      <c r="BL152" s="21" t="s">
        <v>53</v>
      </c>
      <c r="BO152" s="15"/>
    </row>
    <row r="153" spans="1:67">
      <c r="A153" s="6" t="s">
        <v>131</v>
      </c>
      <c r="B153" s="6" t="s">
        <v>138</v>
      </c>
      <c r="C153" s="17">
        <v>31103.724052000041</v>
      </c>
      <c r="D153" s="18">
        <v>11.701068638837569</v>
      </c>
      <c r="E153" s="23"/>
      <c r="F153" s="22"/>
      <c r="G153" s="22"/>
      <c r="H153" s="22"/>
      <c r="I153" s="22"/>
      <c r="J153" s="22"/>
      <c r="K153" s="22"/>
      <c r="L153" s="22"/>
      <c r="M153" s="22"/>
      <c r="N153" s="18"/>
      <c r="O153" s="18"/>
      <c r="P153" s="22"/>
      <c r="Q153" s="22"/>
      <c r="R153" s="22"/>
      <c r="S153" s="22"/>
      <c r="T153" s="22"/>
      <c r="U153" s="22"/>
      <c r="V153" s="23"/>
      <c r="W153" s="23"/>
      <c r="X153" s="19"/>
      <c r="Y153" s="23"/>
      <c r="Z153" s="23"/>
      <c r="AA153" s="6"/>
      <c r="AB153" s="6"/>
      <c r="AC153" s="6"/>
      <c r="AD153" s="21"/>
      <c r="AE153" s="6"/>
      <c r="AF153" s="18"/>
      <c r="AG153" s="18"/>
      <c r="AH153" s="18"/>
      <c r="AI153" s="18"/>
      <c r="AK153" s="18"/>
      <c r="AL153" s="18"/>
      <c r="AM153" s="40" t="s">
        <v>118</v>
      </c>
      <c r="AN153" s="18"/>
      <c r="AO153" s="6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6"/>
      <c r="BK153" s="6"/>
      <c r="BL153" s="21" t="s">
        <v>53</v>
      </c>
      <c r="BO153" s="15"/>
    </row>
    <row r="154" spans="1:67" ht="14.5" customHeight="1">
      <c r="A154" s="6" t="s">
        <v>131</v>
      </c>
      <c r="B154" s="6" t="s">
        <v>138</v>
      </c>
      <c r="C154" s="17">
        <v>31195.03460200004</v>
      </c>
      <c r="D154" s="18">
        <v>11.951068638837569</v>
      </c>
      <c r="E154" s="23"/>
      <c r="F154" s="22"/>
      <c r="G154" s="22"/>
      <c r="H154" s="22"/>
      <c r="I154" s="22"/>
      <c r="J154" s="22"/>
      <c r="K154" s="22"/>
      <c r="L154" s="22"/>
      <c r="M154" s="22"/>
      <c r="N154" s="18"/>
      <c r="O154" s="18"/>
      <c r="P154" s="22"/>
      <c r="Q154" s="22"/>
      <c r="R154" s="22"/>
      <c r="S154" s="22"/>
      <c r="T154" s="22"/>
      <c r="U154" s="22"/>
      <c r="V154" s="23"/>
      <c r="W154" s="23"/>
      <c r="X154" s="19"/>
      <c r="Y154" s="23"/>
      <c r="Z154" s="23"/>
      <c r="AA154" s="6"/>
      <c r="AB154" s="6"/>
      <c r="AC154" s="6"/>
      <c r="AD154" s="21"/>
      <c r="AE154" s="6"/>
      <c r="AF154" s="18"/>
      <c r="AG154" s="18"/>
      <c r="AH154" s="18"/>
      <c r="AI154" s="18"/>
      <c r="AK154" s="18"/>
      <c r="AL154" s="18"/>
      <c r="AM154" s="40" t="s">
        <v>118</v>
      </c>
      <c r="AN154" s="18"/>
      <c r="AO154" s="6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6"/>
      <c r="BK154" s="6"/>
      <c r="BL154" s="21" t="s">
        <v>53</v>
      </c>
      <c r="BO154" s="15"/>
    </row>
    <row r="155" spans="1:67" ht="14.5" customHeight="1">
      <c r="A155" s="6" t="s">
        <v>131</v>
      </c>
      <c r="B155" s="6" t="s">
        <v>138</v>
      </c>
      <c r="C155" s="17">
        <v>31286.345152000038</v>
      </c>
      <c r="D155" s="18">
        <v>12.201068638837569</v>
      </c>
      <c r="E155" s="23"/>
      <c r="F155" s="22"/>
      <c r="G155" s="22"/>
      <c r="H155" s="22"/>
      <c r="I155" s="22"/>
      <c r="J155" s="22"/>
      <c r="K155" s="22"/>
      <c r="L155" s="22"/>
      <c r="M155" s="22"/>
      <c r="N155" s="18"/>
      <c r="O155" s="18"/>
      <c r="P155" s="22"/>
      <c r="Q155" s="22"/>
      <c r="R155" s="22"/>
      <c r="S155" s="22"/>
      <c r="T155" s="22"/>
      <c r="U155" s="22"/>
      <c r="V155" s="23"/>
      <c r="W155" s="23"/>
      <c r="X155" s="19"/>
      <c r="Y155" s="23"/>
      <c r="Z155" s="23"/>
      <c r="AA155" s="6"/>
      <c r="AB155" s="6"/>
      <c r="AC155" s="6"/>
      <c r="AD155" s="21"/>
      <c r="AE155" s="6"/>
      <c r="AF155" s="18"/>
      <c r="AG155" s="18"/>
      <c r="AH155" s="18"/>
      <c r="AI155" s="18"/>
      <c r="AK155" s="18"/>
      <c r="AL155" s="18"/>
      <c r="AM155" s="40" t="s">
        <v>118</v>
      </c>
      <c r="AN155" s="18"/>
      <c r="AO155" s="6"/>
      <c r="AP155" s="32"/>
      <c r="AQ155" s="32">
        <v>8.9999999999999993E-3</v>
      </c>
      <c r="AR155" s="32"/>
      <c r="AS155" s="32"/>
      <c r="AT155" s="32"/>
      <c r="AU155" s="32"/>
      <c r="AV155" s="32"/>
      <c r="AW155" s="32"/>
      <c r="AX155" s="32"/>
      <c r="AY155" s="32"/>
      <c r="AZ155" s="32"/>
      <c r="BA155" s="32">
        <v>8.3091779999999993</v>
      </c>
      <c r="BB155" s="32"/>
      <c r="BC155" s="32"/>
      <c r="BD155" s="32"/>
      <c r="BE155" s="32"/>
      <c r="BF155" s="32"/>
      <c r="BG155" s="32"/>
      <c r="BH155" s="32"/>
      <c r="BI155" s="32">
        <f>BJ155/10</f>
        <v>11</v>
      </c>
      <c r="BJ155" s="6">
        <v>110</v>
      </c>
      <c r="BK155" s="6"/>
      <c r="BL155" s="21" t="s">
        <v>53</v>
      </c>
      <c r="BO155" s="15"/>
    </row>
    <row r="156" spans="1:67">
      <c r="A156" s="6" t="s">
        <v>131</v>
      </c>
      <c r="B156" s="6" t="s">
        <v>138</v>
      </c>
      <c r="C156" s="17">
        <v>31377.65570200004</v>
      </c>
      <c r="D156" s="18">
        <v>12.451068638837569</v>
      </c>
      <c r="E156" s="23"/>
      <c r="F156" s="22"/>
      <c r="G156" s="22"/>
      <c r="H156" s="22"/>
      <c r="I156" s="22"/>
      <c r="J156" s="22"/>
      <c r="K156" s="22"/>
      <c r="L156" s="22"/>
      <c r="M156" s="22"/>
      <c r="N156" s="18"/>
      <c r="O156" s="18"/>
      <c r="P156" s="22"/>
      <c r="Q156" s="22"/>
      <c r="R156" s="22"/>
      <c r="S156" s="22"/>
      <c r="T156" s="22"/>
      <c r="U156" s="22"/>
      <c r="V156" s="23"/>
      <c r="W156" s="23"/>
      <c r="X156" s="19"/>
      <c r="Y156" s="23"/>
      <c r="Z156" s="23"/>
      <c r="AA156" s="6"/>
      <c r="AB156" s="6"/>
      <c r="AC156" s="6"/>
      <c r="AD156" s="21"/>
      <c r="AE156" s="6"/>
      <c r="AF156" s="18"/>
      <c r="AG156" s="18"/>
      <c r="AH156" s="18"/>
      <c r="AI156" s="18"/>
      <c r="AK156" s="18"/>
      <c r="AL156" s="18"/>
      <c r="AM156" s="40" t="s">
        <v>118</v>
      </c>
      <c r="AN156" s="18"/>
      <c r="AO156" s="6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6"/>
      <c r="BK156" s="6"/>
      <c r="BL156" s="21" t="s">
        <v>53</v>
      </c>
      <c r="BO156" s="15"/>
    </row>
    <row r="157" spans="1:67">
      <c r="A157" s="6" t="s">
        <v>131</v>
      </c>
      <c r="B157" s="6" t="s">
        <v>138</v>
      </c>
      <c r="C157" s="17">
        <v>31468.966252000038</v>
      </c>
      <c r="D157" s="18">
        <v>12.701068638837569</v>
      </c>
      <c r="E157" s="23"/>
      <c r="F157" s="22"/>
      <c r="G157" s="22"/>
      <c r="H157" s="22"/>
      <c r="I157" s="22"/>
      <c r="J157" s="22"/>
      <c r="K157" s="22"/>
      <c r="L157" s="22"/>
      <c r="M157" s="22"/>
      <c r="N157" s="18"/>
      <c r="O157" s="18"/>
      <c r="P157" s="22"/>
      <c r="Q157" s="22"/>
      <c r="R157" s="22"/>
      <c r="S157" s="22"/>
      <c r="T157" s="22"/>
      <c r="U157" s="22"/>
      <c r="V157" s="23"/>
      <c r="W157" s="23"/>
      <c r="X157" s="19"/>
      <c r="Y157" s="23"/>
      <c r="Z157" s="23"/>
      <c r="AA157" s="6"/>
      <c r="AB157" s="6"/>
      <c r="AC157" s="6"/>
      <c r="AD157" s="21"/>
      <c r="AE157" s="6"/>
      <c r="AF157" s="18"/>
      <c r="AG157" s="18"/>
      <c r="AH157" s="18"/>
      <c r="AI157" s="18"/>
      <c r="AK157" s="18"/>
      <c r="AL157" s="18"/>
      <c r="AM157" s="40" t="s">
        <v>118</v>
      </c>
      <c r="AN157" s="18"/>
      <c r="AO157" s="6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6"/>
      <c r="BK157" s="6"/>
      <c r="BL157" s="21" t="s">
        <v>53</v>
      </c>
      <c r="BO157" s="15"/>
    </row>
    <row r="158" spans="1:67">
      <c r="A158" s="6" t="s">
        <v>131</v>
      </c>
      <c r="B158" s="6" t="s">
        <v>138</v>
      </c>
      <c r="C158" s="17">
        <v>31560.27680200004</v>
      </c>
      <c r="D158" s="18">
        <v>12.951068638837569</v>
      </c>
      <c r="E158" s="23"/>
      <c r="F158" s="22"/>
      <c r="G158" s="22"/>
      <c r="H158" s="22"/>
      <c r="I158" s="22"/>
      <c r="J158" s="22"/>
      <c r="K158" s="22"/>
      <c r="L158" s="22"/>
      <c r="M158" s="22"/>
      <c r="N158" s="18"/>
      <c r="O158" s="18"/>
      <c r="P158" s="22"/>
      <c r="Q158" s="22"/>
      <c r="R158" s="22"/>
      <c r="S158" s="22"/>
      <c r="T158" s="22"/>
      <c r="U158" s="22"/>
      <c r="V158" s="23"/>
      <c r="W158" s="23"/>
      <c r="X158" s="19"/>
      <c r="Y158" s="23"/>
      <c r="Z158" s="23"/>
      <c r="AA158" s="6"/>
      <c r="AB158" s="6"/>
      <c r="AC158" s="6"/>
      <c r="AD158" s="21"/>
      <c r="AE158" s="6"/>
      <c r="AF158" s="18"/>
      <c r="AG158" s="18"/>
      <c r="AH158" s="18"/>
      <c r="AI158" s="18"/>
      <c r="AK158" s="18"/>
      <c r="AL158" s="18"/>
      <c r="AM158" s="40" t="s">
        <v>118</v>
      </c>
      <c r="AN158" s="18"/>
      <c r="AO158" s="6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6"/>
      <c r="BK158" s="6"/>
      <c r="BL158" s="21" t="s">
        <v>53</v>
      </c>
      <c r="BO158" s="15"/>
    </row>
    <row r="159" spans="1:67">
      <c r="A159" s="6" t="s">
        <v>131</v>
      </c>
      <c r="B159" s="6" t="s">
        <v>138</v>
      </c>
      <c r="C159" s="17">
        <v>31651.587352000039</v>
      </c>
      <c r="D159" s="18">
        <v>13.201068638837569</v>
      </c>
      <c r="E159" s="23"/>
      <c r="F159" s="22"/>
      <c r="G159" s="22"/>
      <c r="H159" s="22"/>
      <c r="I159" s="22"/>
      <c r="J159" s="22"/>
      <c r="K159" s="22"/>
      <c r="L159" s="22"/>
      <c r="M159" s="22"/>
      <c r="N159" s="18"/>
      <c r="O159" s="18"/>
      <c r="P159" s="22"/>
      <c r="Q159" s="22"/>
      <c r="R159" s="22"/>
      <c r="S159" s="22"/>
      <c r="T159" s="22"/>
      <c r="U159" s="22"/>
      <c r="V159" s="23"/>
      <c r="W159" s="23"/>
      <c r="X159" s="19"/>
      <c r="Y159" s="23"/>
      <c r="Z159" s="23"/>
      <c r="AA159" s="6"/>
      <c r="AB159" s="6"/>
      <c r="AC159" s="6"/>
      <c r="AD159" s="21"/>
      <c r="AE159" s="6"/>
      <c r="AF159" s="18"/>
      <c r="AG159" s="18"/>
      <c r="AH159" s="18"/>
      <c r="AI159" s="18"/>
      <c r="AK159" s="18"/>
      <c r="AL159" s="18"/>
      <c r="AM159" s="40" t="s">
        <v>118</v>
      </c>
      <c r="AN159" s="18"/>
      <c r="AO159" s="6"/>
      <c r="AP159" s="32"/>
      <c r="AQ159" s="32">
        <v>8.0999999999999996E-3</v>
      </c>
      <c r="AR159" s="32"/>
      <c r="AS159" s="32"/>
      <c r="AT159" s="32"/>
      <c r="AU159" s="32"/>
      <c r="AV159" s="32"/>
      <c r="AW159" s="32"/>
      <c r="AX159" s="32"/>
      <c r="AY159" s="32"/>
      <c r="AZ159" s="32"/>
      <c r="BA159" s="32">
        <v>9.0261539999999982</v>
      </c>
      <c r="BB159" s="32"/>
      <c r="BC159" s="32"/>
      <c r="BD159" s="32"/>
      <c r="BE159" s="32"/>
      <c r="BF159" s="32"/>
      <c r="BG159" s="32"/>
      <c r="BH159" s="32"/>
      <c r="BI159" s="32">
        <f>BJ159/10</f>
        <v>10</v>
      </c>
      <c r="BJ159" s="6">
        <v>100</v>
      </c>
      <c r="BK159" s="6"/>
      <c r="BL159" s="21" t="s">
        <v>53</v>
      </c>
      <c r="BO159" s="15"/>
    </row>
    <row r="160" spans="1:67" ht="14.5" customHeight="1">
      <c r="A160" s="6" t="s">
        <v>131</v>
      </c>
      <c r="B160" s="6" t="s">
        <v>138</v>
      </c>
      <c r="C160" s="17">
        <v>31742.897902000041</v>
      </c>
      <c r="D160" s="18">
        <v>13.451068638837569</v>
      </c>
      <c r="E160" s="23"/>
      <c r="F160" s="22"/>
      <c r="G160" s="22"/>
      <c r="H160" s="22"/>
      <c r="I160" s="22"/>
      <c r="J160" s="22"/>
      <c r="K160" s="22"/>
      <c r="L160" s="22"/>
      <c r="M160" s="22"/>
      <c r="N160" s="18"/>
      <c r="O160" s="18"/>
      <c r="P160" s="22"/>
      <c r="Q160" s="22"/>
      <c r="R160" s="22"/>
      <c r="S160" s="22"/>
      <c r="T160" s="22"/>
      <c r="U160" s="22"/>
      <c r="V160" s="23"/>
      <c r="W160" s="23"/>
      <c r="X160" s="19"/>
      <c r="Y160" s="23"/>
      <c r="Z160" s="23"/>
      <c r="AA160" s="6"/>
      <c r="AB160" s="6"/>
      <c r="AC160" s="6"/>
      <c r="AD160" s="21"/>
      <c r="AE160" s="6"/>
      <c r="AF160" s="18"/>
      <c r="AG160" s="18"/>
      <c r="AH160" s="18"/>
      <c r="AI160" s="18"/>
      <c r="AK160" s="18"/>
      <c r="AL160" s="18"/>
      <c r="AM160" s="40" t="s">
        <v>118</v>
      </c>
      <c r="AN160" s="18"/>
      <c r="AO160" s="6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6"/>
      <c r="BK160" s="6"/>
      <c r="BL160" s="21" t="s">
        <v>53</v>
      </c>
      <c r="BO160" s="15"/>
    </row>
    <row r="161" spans="1:67">
      <c r="A161" s="6" t="s">
        <v>131</v>
      </c>
      <c r="B161" s="6" t="s">
        <v>138</v>
      </c>
      <c r="C161" s="17">
        <v>31834.208452000039</v>
      </c>
      <c r="D161" s="18">
        <v>13.701068638837569</v>
      </c>
      <c r="E161" s="23"/>
      <c r="F161" s="22"/>
      <c r="G161" s="22"/>
      <c r="H161" s="22"/>
      <c r="I161" s="22"/>
      <c r="J161" s="22"/>
      <c r="K161" s="22"/>
      <c r="L161" s="22"/>
      <c r="M161" s="22"/>
      <c r="N161" s="18"/>
      <c r="O161" s="18"/>
      <c r="P161" s="22"/>
      <c r="Q161" s="22"/>
      <c r="R161" s="22"/>
      <c r="S161" s="22"/>
      <c r="T161" s="22"/>
      <c r="U161" s="22"/>
      <c r="V161" s="23"/>
      <c r="W161" s="23"/>
      <c r="X161" s="19"/>
      <c r="Y161" s="23"/>
      <c r="Z161" s="23"/>
      <c r="AA161" s="6"/>
      <c r="AB161" s="6"/>
      <c r="AC161" s="6"/>
      <c r="AD161" s="21"/>
      <c r="AE161" s="6"/>
      <c r="AF161" s="18"/>
      <c r="AG161" s="18"/>
      <c r="AH161" s="18"/>
      <c r="AI161" s="18"/>
      <c r="AK161" s="18"/>
      <c r="AL161" s="18"/>
      <c r="AM161" s="40" t="s">
        <v>118</v>
      </c>
      <c r="AN161" s="18"/>
      <c r="AO161" s="6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6"/>
      <c r="BK161" s="6"/>
      <c r="BL161" s="21" t="s">
        <v>53</v>
      </c>
      <c r="BO161" s="15"/>
    </row>
    <row r="162" spans="1:67" ht="14.5" customHeight="1">
      <c r="A162" s="6" t="s">
        <v>131</v>
      </c>
      <c r="B162" s="6" t="s">
        <v>138</v>
      </c>
      <c r="C162" s="17">
        <v>31925.519002000037</v>
      </c>
      <c r="D162" s="18">
        <v>13.951068638837569</v>
      </c>
      <c r="E162" s="23"/>
      <c r="F162" s="22"/>
      <c r="G162" s="22"/>
      <c r="H162" s="22"/>
      <c r="I162" s="22"/>
      <c r="J162" s="22"/>
      <c r="K162" s="22"/>
      <c r="L162" s="22"/>
      <c r="M162" s="22"/>
      <c r="N162" s="18"/>
      <c r="O162" s="18"/>
      <c r="P162" s="22"/>
      <c r="Q162" s="22"/>
      <c r="R162" s="22"/>
      <c r="S162" s="22"/>
      <c r="T162" s="22"/>
      <c r="U162" s="22"/>
      <c r="V162" s="23"/>
      <c r="W162" s="23"/>
      <c r="X162" s="19"/>
      <c r="Y162" s="23"/>
      <c r="Z162" s="23"/>
      <c r="AA162" s="6"/>
      <c r="AB162" s="6"/>
      <c r="AC162" s="6"/>
      <c r="AD162" s="21"/>
      <c r="AE162" s="6"/>
      <c r="AF162" s="18"/>
      <c r="AG162" s="18"/>
      <c r="AH162" s="18"/>
      <c r="AI162" s="18"/>
      <c r="AK162" s="18"/>
      <c r="AL162" s="18"/>
      <c r="AM162" s="40" t="s">
        <v>118</v>
      </c>
      <c r="AN162" s="18"/>
      <c r="AO162" s="6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6"/>
      <c r="BK162" s="6"/>
      <c r="BL162" s="21" t="s">
        <v>53</v>
      </c>
      <c r="BO162" s="15"/>
    </row>
    <row r="163" spans="1:67" ht="14.5" customHeight="1">
      <c r="A163" s="6" t="s">
        <v>131</v>
      </c>
      <c r="B163" s="6" t="s">
        <v>138</v>
      </c>
      <c r="C163" s="17">
        <v>32016.829552000039</v>
      </c>
      <c r="D163" s="18">
        <v>14.201068638837569</v>
      </c>
      <c r="E163" s="23"/>
      <c r="F163" s="22"/>
      <c r="G163" s="22"/>
      <c r="H163" s="22"/>
      <c r="I163" s="22"/>
      <c r="J163" s="22"/>
      <c r="K163" s="22"/>
      <c r="L163" s="22"/>
      <c r="M163" s="22"/>
      <c r="N163" s="18"/>
      <c r="O163" s="18"/>
      <c r="P163" s="22"/>
      <c r="Q163" s="22"/>
      <c r="R163" s="22"/>
      <c r="S163" s="22"/>
      <c r="T163" s="22"/>
      <c r="U163" s="22"/>
      <c r="V163" s="23"/>
      <c r="W163" s="23"/>
      <c r="X163" s="19"/>
      <c r="Y163" s="23"/>
      <c r="Z163" s="23"/>
      <c r="AA163" s="6"/>
      <c r="AB163" s="6"/>
      <c r="AC163" s="6"/>
      <c r="AD163" s="21"/>
      <c r="AE163" s="6"/>
      <c r="AF163" s="18"/>
      <c r="AG163" s="18"/>
      <c r="AH163" s="18"/>
      <c r="AI163" s="18"/>
      <c r="AK163" s="18"/>
      <c r="AL163" s="18"/>
      <c r="AM163" s="40" t="s">
        <v>118</v>
      </c>
      <c r="AN163" s="18"/>
      <c r="AO163" s="6"/>
      <c r="AP163" s="32"/>
      <c r="AQ163" s="32">
        <v>7.1999999999999998E-3</v>
      </c>
      <c r="AR163" s="32"/>
      <c r="AS163" s="32"/>
      <c r="AT163" s="32"/>
      <c r="AU163" s="32"/>
      <c r="AV163" s="32"/>
      <c r="AW163" s="32"/>
      <c r="AX163" s="32"/>
      <c r="AY163" s="32"/>
      <c r="AZ163" s="32"/>
      <c r="BA163" s="32">
        <v>9.5757840000000005</v>
      </c>
      <c r="BB163" s="32"/>
      <c r="BC163" s="32"/>
      <c r="BD163" s="32"/>
      <c r="BE163" s="32"/>
      <c r="BF163" s="32"/>
      <c r="BG163" s="32"/>
      <c r="BH163" s="32"/>
      <c r="BI163" s="32">
        <f>BJ163/10</f>
        <v>10</v>
      </c>
      <c r="BJ163" s="6">
        <v>100</v>
      </c>
      <c r="BK163" s="6"/>
      <c r="BL163" s="21" t="s">
        <v>53</v>
      </c>
      <c r="BO163" s="15"/>
    </row>
    <row r="164" spans="1:67" ht="14.5" customHeight="1">
      <c r="A164" s="6" t="s">
        <v>132</v>
      </c>
      <c r="B164" s="6" t="s">
        <v>139</v>
      </c>
      <c r="C164" s="17">
        <v>30862.66420000001</v>
      </c>
      <c r="D164" s="18">
        <v>11.041068638837487</v>
      </c>
      <c r="E164" s="23"/>
      <c r="F164" s="22"/>
      <c r="G164" s="22"/>
      <c r="H164" s="22"/>
      <c r="I164" s="22"/>
      <c r="J164" s="22"/>
      <c r="K164" s="22"/>
      <c r="L164" s="22"/>
      <c r="M164" s="22"/>
      <c r="N164" s="18"/>
      <c r="O164" s="18"/>
      <c r="P164" s="22"/>
      <c r="Q164" s="22"/>
      <c r="R164" s="22"/>
      <c r="S164" s="22"/>
      <c r="T164" s="22"/>
      <c r="U164" s="22"/>
      <c r="V164" s="23"/>
      <c r="W164" s="23"/>
      <c r="X164" s="19"/>
      <c r="Y164" s="23"/>
      <c r="Z164" s="23"/>
      <c r="AA164" s="6"/>
      <c r="AB164" s="6"/>
      <c r="AC164" s="6"/>
      <c r="AD164" s="21"/>
      <c r="AE164" s="6"/>
      <c r="AF164" s="18"/>
      <c r="AG164" s="18"/>
      <c r="AH164" s="18"/>
      <c r="AI164" s="18"/>
      <c r="AK164" s="18"/>
      <c r="AL164" s="18"/>
      <c r="AM164" s="40" t="s">
        <v>118</v>
      </c>
      <c r="AN164" s="18"/>
      <c r="AO164" s="6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6"/>
      <c r="BK164" s="6"/>
      <c r="BL164" s="21" t="s">
        <v>53</v>
      </c>
      <c r="BO164" s="15"/>
    </row>
    <row r="165" spans="1:67" ht="14.5" customHeight="1">
      <c r="A165" s="6" t="s">
        <v>132</v>
      </c>
      <c r="B165" s="6" t="s">
        <v>139</v>
      </c>
      <c r="C165" s="17">
        <v>31227.906400000011</v>
      </c>
      <c r="D165" s="18">
        <v>12.041068638837487</v>
      </c>
      <c r="E165" s="23"/>
      <c r="F165" s="22"/>
      <c r="G165" s="22"/>
      <c r="H165" s="22"/>
      <c r="I165" s="22"/>
      <c r="J165" s="22"/>
      <c r="K165" s="22"/>
      <c r="L165" s="22"/>
      <c r="M165" s="22"/>
      <c r="N165" s="18"/>
      <c r="O165" s="18"/>
      <c r="P165" s="22"/>
      <c r="Q165" s="22"/>
      <c r="R165" s="22"/>
      <c r="S165" s="22"/>
      <c r="T165" s="22"/>
      <c r="U165" s="22"/>
      <c r="V165" s="23"/>
      <c r="W165" s="23"/>
      <c r="X165" s="19"/>
      <c r="Y165" s="23"/>
      <c r="Z165" s="23"/>
      <c r="AA165" s="6"/>
      <c r="AB165" s="6"/>
      <c r="AC165" s="6"/>
      <c r="AD165" s="21"/>
      <c r="AE165" s="6"/>
      <c r="AF165" s="18"/>
      <c r="AG165" s="18"/>
      <c r="AH165" s="18"/>
      <c r="AI165" s="18"/>
      <c r="AK165" s="18"/>
      <c r="AL165" s="18"/>
      <c r="AM165" s="40" t="s">
        <v>118</v>
      </c>
      <c r="AN165" s="18"/>
      <c r="AO165" s="6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6"/>
      <c r="BK165" s="6"/>
      <c r="BL165" s="21" t="s">
        <v>53</v>
      </c>
      <c r="BO165" s="15"/>
    </row>
    <row r="166" spans="1:67" ht="14.5" customHeight="1">
      <c r="A166" s="6" t="s">
        <v>132</v>
      </c>
      <c r="B166" s="6" t="s">
        <v>139</v>
      </c>
      <c r="C166" s="17">
        <v>31593.148600000008</v>
      </c>
      <c r="D166" s="18">
        <v>13.041068638837487</v>
      </c>
      <c r="E166" s="23"/>
      <c r="F166" s="22"/>
      <c r="G166" s="22"/>
      <c r="H166" s="22"/>
      <c r="I166" s="22"/>
      <c r="J166" s="22"/>
      <c r="K166" s="22"/>
      <c r="L166" s="22"/>
      <c r="M166" s="22"/>
      <c r="N166" s="18"/>
      <c r="O166" s="18"/>
      <c r="P166" s="22"/>
      <c r="Q166" s="22"/>
      <c r="R166" s="22"/>
      <c r="S166" s="22"/>
      <c r="T166" s="22"/>
      <c r="U166" s="22"/>
      <c r="V166" s="23"/>
      <c r="W166" s="23"/>
      <c r="X166" s="19"/>
      <c r="Y166" s="23"/>
      <c r="Z166" s="23"/>
      <c r="AA166" s="6"/>
      <c r="AB166" s="6"/>
      <c r="AC166" s="6"/>
      <c r="AD166" s="21"/>
      <c r="AE166" s="6"/>
      <c r="AF166" s="18"/>
      <c r="AG166" s="18"/>
      <c r="AH166" s="18"/>
      <c r="AI166" s="18"/>
      <c r="AK166" s="18"/>
      <c r="AL166" s="18"/>
      <c r="AM166" s="40" t="s">
        <v>118</v>
      </c>
      <c r="AN166" s="18"/>
      <c r="AO166" s="6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6"/>
      <c r="BK166" s="6"/>
      <c r="BL166" s="21" t="s">
        <v>53</v>
      </c>
      <c r="BO166" s="15"/>
    </row>
    <row r="167" spans="1:67" ht="14.5" customHeight="1">
      <c r="A167" s="6" t="s">
        <v>132</v>
      </c>
      <c r="B167" s="6" t="s">
        <v>139</v>
      </c>
      <c r="C167" s="17">
        <v>31958.390800000008</v>
      </c>
      <c r="D167" s="18">
        <v>14.041068638837487</v>
      </c>
      <c r="E167" s="23"/>
      <c r="F167" s="22"/>
      <c r="G167" s="22"/>
      <c r="H167" s="22"/>
      <c r="I167" s="22"/>
      <c r="J167" s="22"/>
      <c r="K167" s="22"/>
      <c r="L167" s="22"/>
      <c r="M167" s="22"/>
      <c r="N167" s="18"/>
      <c r="O167" s="18"/>
      <c r="P167" s="22"/>
      <c r="Q167" s="22"/>
      <c r="R167" s="22"/>
      <c r="S167" s="22"/>
      <c r="T167" s="22"/>
      <c r="U167" s="22"/>
      <c r="V167" s="23"/>
      <c r="W167" s="23"/>
      <c r="X167" s="19"/>
      <c r="Y167" s="23"/>
      <c r="Z167" s="23"/>
      <c r="AA167" s="6"/>
      <c r="AB167" s="6"/>
      <c r="AC167" s="6"/>
      <c r="AD167" s="21"/>
      <c r="AE167" s="6"/>
      <c r="AF167" s="18"/>
      <c r="AG167" s="18"/>
      <c r="AH167" s="18"/>
      <c r="AI167" s="18"/>
      <c r="AK167" s="18"/>
      <c r="AL167" s="18"/>
      <c r="AM167" s="40" t="s">
        <v>118</v>
      </c>
      <c r="AN167" s="18"/>
      <c r="AO167" s="6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6"/>
      <c r="BK167" s="6"/>
      <c r="BL167" s="21" t="s">
        <v>53</v>
      </c>
      <c r="BO167" s="15"/>
    </row>
    <row r="168" spans="1:67">
      <c r="A168" s="6" t="s">
        <v>132</v>
      </c>
      <c r="B168" s="6" t="s">
        <v>139</v>
      </c>
      <c r="C168" s="17">
        <v>30862.66420000001</v>
      </c>
      <c r="D168" s="18">
        <v>11.041068638837487</v>
      </c>
      <c r="E168" s="23"/>
      <c r="F168" s="22"/>
      <c r="G168" s="22"/>
      <c r="H168" s="22"/>
      <c r="I168" s="22"/>
      <c r="J168" s="22"/>
      <c r="K168" s="22"/>
      <c r="L168" s="22"/>
      <c r="M168" s="22"/>
      <c r="N168" s="18"/>
      <c r="O168" s="18"/>
      <c r="P168" s="22">
        <v>2866.0170000000003</v>
      </c>
      <c r="Q168" s="22"/>
      <c r="R168" s="22"/>
      <c r="S168" s="22"/>
      <c r="T168" s="22"/>
      <c r="U168" s="22"/>
      <c r="V168" s="23"/>
      <c r="W168" s="23"/>
      <c r="X168" s="19"/>
      <c r="Y168" s="23"/>
      <c r="Z168" s="23"/>
      <c r="AA168" s="6"/>
      <c r="AB168" s="6"/>
      <c r="AC168" s="6"/>
      <c r="AD168" s="21"/>
      <c r="AE168" s="6"/>
      <c r="AF168" s="18"/>
      <c r="AG168" s="18"/>
      <c r="AH168" s="18"/>
      <c r="AI168" s="18"/>
      <c r="AK168" s="18"/>
      <c r="AL168" s="18"/>
      <c r="AM168" s="40" t="s">
        <v>118</v>
      </c>
      <c r="AN168" s="18"/>
      <c r="AO168" s="6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6"/>
      <c r="BK168" s="6"/>
      <c r="BL168" s="21" t="s">
        <v>53</v>
      </c>
      <c r="BO168" s="15"/>
    </row>
    <row r="169" spans="1:67">
      <c r="A169" s="6" t="s">
        <v>132</v>
      </c>
      <c r="B169" s="6" t="s">
        <v>139</v>
      </c>
      <c r="C169" s="17">
        <v>31227.906400000011</v>
      </c>
      <c r="D169" s="18">
        <v>12.041068638837487</v>
      </c>
      <c r="E169" s="23"/>
      <c r="F169" s="22"/>
      <c r="G169" s="22"/>
      <c r="H169" s="22"/>
      <c r="I169" s="22"/>
      <c r="J169" s="22"/>
      <c r="K169" s="22"/>
      <c r="L169" s="22"/>
      <c r="M169" s="22"/>
      <c r="N169" s="18"/>
      <c r="O169" s="18"/>
      <c r="P169" s="22">
        <v>4306.4399999999996</v>
      </c>
      <c r="Q169" s="22"/>
      <c r="R169" s="22"/>
      <c r="S169" s="22"/>
      <c r="T169" s="22"/>
      <c r="U169" s="22"/>
      <c r="V169" s="23"/>
      <c r="W169" s="23"/>
      <c r="X169" s="19"/>
      <c r="Y169" s="23"/>
      <c r="Z169" s="23"/>
      <c r="AA169" s="6"/>
      <c r="AB169" s="6"/>
      <c r="AC169" s="6"/>
      <c r="AD169" s="21"/>
      <c r="AE169" s="6"/>
      <c r="AF169" s="18"/>
      <c r="AG169" s="18"/>
      <c r="AH169" s="18"/>
      <c r="AI169" s="18"/>
      <c r="AK169" s="18"/>
      <c r="AL169" s="18"/>
      <c r="AM169" s="40" t="s">
        <v>118</v>
      </c>
      <c r="AN169" s="18"/>
      <c r="AO169" s="6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6"/>
      <c r="BK169" s="6"/>
      <c r="BL169" s="21" t="s">
        <v>53</v>
      </c>
      <c r="BO169" s="15"/>
    </row>
    <row r="170" spans="1:67" ht="14.5" customHeight="1">
      <c r="A170" s="6" t="s">
        <v>132</v>
      </c>
      <c r="B170" s="6" t="s">
        <v>139</v>
      </c>
      <c r="C170" s="17">
        <v>31593.148600000008</v>
      </c>
      <c r="D170" s="18">
        <v>13.041068638837487</v>
      </c>
      <c r="E170" s="23"/>
      <c r="F170" s="22"/>
      <c r="G170" s="22"/>
      <c r="H170" s="22"/>
      <c r="I170" s="22"/>
      <c r="J170" s="22"/>
      <c r="K170" s="22"/>
      <c r="L170" s="22"/>
      <c r="M170" s="22"/>
      <c r="N170" s="18"/>
      <c r="O170" s="18"/>
      <c r="P170" s="22">
        <v>6013.9800000000005</v>
      </c>
      <c r="Q170" s="22"/>
      <c r="R170" s="22"/>
      <c r="S170" s="22"/>
      <c r="T170" s="22"/>
      <c r="U170" s="22"/>
      <c r="V170" s="23"/>
      <c r="W170" s="23"/>
      <c r="X170" s="19"/>
      <c r="Y170" s="23"/>
      <c r="Z170" s="23"/>
      <c r="AA170" s="6"/>
      <c r="AB170" s="6"/>
      <c r="AC170" s="6"/>
      <c r="AD170" s="21"/>
      <c r="AE170" s="6"/>
      <c r="AF170" s="18"/>
      <c r="AG170" s="18"/>
      <c r="AH170" s="18"/>
      <c r="AI170" s="18"/>
      <c r="AK170" s="18"/>
      <c r="AL170" s="18"/>
      <c r="AM170" s="40" t="s">
        <v>118</v>
      </c>
      <c r="AN170" s="18"/>
      <c r="AO170" s="6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6"/>
      <c r="BK170" s="6"/>
      <c r="BL170" s="21" t="s">
        <v>53</v>
      </c>
      <c r="BO170" s="15"/>
    </row>
    <row r="171" spans="1:67">
      <c r="A171" s="6" t="s">
        <v>132</v>
      </c>
      <c r="B171" s="6" t="s">
        <v>139</v>
      </c>
      <c r="C171" s="17">
        <v>31958.390800000008</v>
      </c>
      <c r="D171" s="18">
        <v>14.041068638837487</v>
      </c>
      <c r="E171" s="22">
        <v>70.611835506519554</v>
      </c>
      <c r="F171" s="22">
        <v>704</v>
      </c>
      <c r="G171" s="22"/>
      <c r="H171" s="22"/>
      <c r="I171" s="22"/>
      <c r="J171" s="22"/>
      <c r="K171" s="22"/>
      <c r="L171" s="22"/>
      <c r="M171" s="22"/>
      <c r="N171" s="18"/>
      <c r="O171" s="18"/>
      <c r="P171" s="22">
        <v>7721.0700000000006</v>
      </c>
      <c r="Q171" s="22"/>
      <c r="R171" s="22"/>
      <c r="S171" s="22"/>
      <c r="T171" s="22"/>
      <c r="U171" s="22"/>
      <c r="V171" s="23"/>
      <c r="W171" s="23"/>
      <c r="X171" s="19"/>
      <c r="Y171" s="23"/>
      <c r="Z171" s="23"/>
      <c r="AA171" s="6"/>
      <c r="AB171" s="6"/>
      <c r="AC171" s="6"/>
      <c r="AD171" s="21"/>
      <c r="AE171" s="6"/>
      <c r="AF171" s="18"/>
      <c r="AG171" s="18"/>
      <c r="AH171" s="18"/>
      <c r="AI171" s="18"/>
      <c r="AK171" s="18"/>
      <c r="AL171" s="18"/>
      <c r="AM171" s="40" t="s">
        <v>118</v>
      </c>
      <c r="AN171" s="18"/>
      <c r="AO171" s="6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6"/>
      <c r="BK171" s="6"/>
      <c r="BL171" s="21" t="s">
        <v>53</v>
      </c>
      <c r="BO171" s="15"/>
    </row>
    <row r="172" spans="1:67" ht="14.5" customHeight="1">
      <c r="A172" s="6" t="s">
        <v>132</v>
      </c>
      <c r="B172" s="6" t="s">
        <v>139</v>
      </c>
      <c r="C172" s="17">
        <v>30921.102952000037</v>
      </c>
      <c r="D172" s="18">
        <v>11.201068638837569</v>
      </c>
      <c r="E172" s="23"/>
      <c r="F172" s="22"/>
      <c r="G172" s="22"/>
      <c r="H172" s="22"/>
      <c r="I172" s="22"/>
      <c r="J172" s="22"/>
      <c r="K172" s="22"/>
      <c r="L172" s="22"/>
      <c r="M172" s="22"/>
      <c r="N172" s="18"/>
      <c r="O172" s="18"/>
      <c r="P172" s="22"/>
      <c r="Q172" s="22"/>
      <c r="R172" s="22"/>
      <c r="S172" s="22"/>
      <c r="T172" s="22"/>
      <c r="U172" s="22"/>
      <c r="V172" s="23"/>
      <c r="W172" s="23"/>
      <c r="X172" s="19"/>
      <c r="Y172" s="23"/>
      <c r="Z172" s="23"/>
      <c r="AA172" s="6"/>
      <c r="AB172" s="6"/>
      <c r="AC172" s="6"/>
      <c r="AD172" s="21"/>
      <c r="AE172" s="6"/>
      <c r="AF172" s="18"/>
      <c r="AG172" s="18"/>
      <c r="AH172" s="18"/>
      <c r="AI172" s="18"/>
      <c r="AK172" s="18"/>
      <c r="AL172" s="18"/>
      <c r="AM172" s="40" t="s">
        <v>118</v>
      </c>
      <c r="AN172" s="18"/>
      <c r="AO172" s="6"/>
      <c r="AP172" s="32"/>
      <c r="AQ172" s="32">
        <v>1.7999999999999999E-2</v>
      </c>
      <c r="AR172" s="32"/>
      <c r="AS172" s="32"/>
      <c r="AT172" s="32"/>
      <c r="AU172" s="32"/>
      <c r="AV172" s="32"/>
      <c r="AW172" s="32"/>
      <c r="AX172" s="32"/>
      <c r="AY172" s="32"/>
      <c r="AZ172" s="32"/>
      <c r="BA172" s="32">
        <v>14.772527999999999</v>
      </c>
      <c r="BB172" s="32"/>
      <c r="BC172" s="32"/>
      <c r="BD172" s="32"/>
      <c r="BE172" s="32"/>
      <c r="BF172" s="32"/>
      <c r="BG172" s="32"/>
      <c r="BH172" s="32"/>
      <c r="BI172" s="32">
        <f>BJ172/10</f>
        <v>18</v>
      </c>
      <c r="BJ172" s="6">
        <v>180</v>
      </c>
      <c r="BK172" s="6"/>
      <c r="BL172" s="21" t="s">
        <v>53</v>
      </c>
      <c r="BO172" s="15"/>
    </row>
    <row r="173" spans="1:67">
      <c r="A173" s="6" t="s">
        <v>132</v>
      </c>
      <c r="B173" s="6" t="s">
        <v>139</v>
      </c>
      <c r="C173" s="17">
        <v>31012.413502000039</v>
      </c>
      <c r="D173" s="18">
        <v>11.451068638837569</v>
      </c>
      <c r="E173" s="23"/>
      <c r="F173" s="22"/>
      <c r="G173" s="22"/>
      <c r="H173" s="22"/>
      <c r="I173" s="22"/>
      <c r="J173" s="22"/>
      <c r="K173" s="22"/>
      <c r="L173" s="22"/>
      <c r="M173" s="22"/>
      <c r="N173" s="18"/>
      <c r="O173" s="18"/>
      <c r="P173" s="22"/>
      <c r="Q173" s="22"/>
      <c r="R173" s="22"/>
      <c r="S173" s="22"/>
      <c r="T173" s="22"/>
      <c r="U173" s="22"/>
      <c r="V173" s="23"/>
      <c r="W173" s="23"/>
      <c r="X173" s="19"/>
      <c r="Y173" s="23"/>
      <c r="Z173" s="23"/>
      <c r="AA173" s="6"/>
      <c r="AB173" s="6"/>
      <c r="AC173" s="6"/>
      <c r="AD173" s="21"/>
      <c r="AE173" s="6"/>
      <c r="AF173" s="18"/>
      <c r="AG173" s="18"/>
      <c r="AH173" s="18"/>
      <c r="AI173" s="18"/>
      <c r="AK173" s="18"/>
      <c r="AL173" s="18"/>
      <c r="AM173" s="40" t="s">
        <v>118</v>
      </c>
      <c r="AN173" s="18"/>
      <c r="AO173" s="6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6"/>
      <c r="BK173" s="6"/>
      <c r="BL173" s="21" t="s">
        <v>53</v>
      </c>
      <c r="BO173" s="15"/>
    </row>
    <row r="174" spans="1:67">
      <c r="A174" s="6" t="s">
        <v>132</v>
      </c>
      <c r="B174" s="6" t="s">
        <v>139</v>
      </c>
      <c r="C174" s="17">
        <v>31103.724052000041</v>
      </c>
      <c r="D174" s="18">
        <v>11.701068638837569</v>
      </c>
      <c r="E174" s="23"/>
      <c r="F174" s="22"/>
      <c r="G174" s="22"/>
      <c r="H174" s="22"/>
      <c r="I174" s="22"/>
      <c r="J174" s="22"/>
      <c r="K174" s="22"/>
      <c r="L174" s="22"/>
      <c r="M174" s="22"/>
      <c r="N174" s="18"/>
      <c r="O174" s="18"/>
      <c r="P174" s="22"/>
      <c r="Q174" s="22"/>
      <c r="R174" s="22"/>
      <c r="S174" s="22"/>
      <c r="T174" s="22"/>
      <c r="U174" s="22"/>
      <c r="V174" s="23"/>
      <c r="W174" s="23"/>
      <c r="X174" s="19"/>
      <c r="Y174" s="23"/>
      <c r="Z174" s="23"/>
      <c r="AA174" s="6"/>
      <c r="AB174" s="6"/>
      <c r="AC174" s="6"/>
      <c r="AD174" s="21"/>
      <c r="AE174" s="6"/>
      <c r="AF174" s="18"/>
      <c r="AG174" s="18"/>
      <c r="AH174" s="18"/>
      <c r="AI174" s="18"/>
      <c r="AK174" s="18"/>
      <c r="AL174" s="18"/>
      <c r="AM174" s="40" t="s">
        <v>118</v>
      </c>
      <c r="AN174" s="18"/>
      <c r="AO174" s="6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6"/>
      <c r="BK174" s="6"/>
      <c r="BL174" s="21" t="s">
        <v>53</v>
      </c>
      <c r="BO174" s="15"/>
    </row>
    <row r="175" spans="1:67" ht="14.5" customHeight="1">
      <c r="A175" s="6" t="s">
        <v>132</v>
      </c>
      <c r="B175" s="6" t="s">
        <v>139</v>
      </c>
      <c r="C175" s="17">
        <v>31195.03460200004</v>
      </c>
      <c r="D175" s="18">
        <v>11.951068638837569</v>
      </c>
      <c r="E175" s="23"/>
      <c r="F175" s="22"/>
      <c r="G175" s="22"/>
      <c r="H175" s="22"/>
      <c r="I175" s="22"/>
      <c r="J175" s="22"/>
      <c r="K175" s="22"/>
      <c r="L175" s="22"/>
      <c r="M175" s="22"/>
      <c r="N175" s="18"/>
      <c r="O175" s="18"/>
      <c r="P175" s="22"/>
      <c r="Q175" s="22"/>
      <c r="R175" s="22"/>
      <c r="S175" s="22"/>
      <c r="T175" s="22"/>
      <c r="U175" s="22"/>
      <c r="V175" s="23"/>
      <c r="W175" s="23"/>
      <c r="X175" s="19"/>
      <c r="Y175" s="23"/>
      <c r="Z175" s="23"/>
      <c r="AA175" s="6"/>
      <c r="AB175" s="6"/>
      <c r="AC175" s="6"/>
      <c r="AD175" s="21"/>
      <c r="AE175" s="6"/>
      <c r="AF175" s="18"/>
      <c r="AG175" s="18"/>
      <c r="AH175" s="18"/>
      <c r="AI175" s="18"/>
      <c r="AK175" s="18"/>
      <c r="AL175" s="18"/>
      <c r="AM175" s="40" t="s">
        <v>118</v>
      </c>
      <c r="AN175" s="18"/>
      <c r="AO175" s="6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6"/>
      <c r="BK175" s="6"/>
      <c r="BL175" s="21" t="s">
        <v>53</v>
      </c>
      <c r="BO175" s="15"/>
    </row>
    <row r="176" spans="1:67">
      <c r="A176" s="6" t="s">
        <v>132</v>
      </c>
      <c r="B176" s="6" t="s">
        <v>139</v>
      </c>
      <c r="C176" s="17">
        <v>31286.345152000038</v>
      </c>
      <c r="D176" s="18">
        <v>12.201068638837569</v>
      </c>
      <c r="E176" s="23"/>
      <c r="F176" s="22"/>
      <c r="G176" s="22"/>
      <c r="H176" s="22"/>
      <c r="I176" s="22"/>
      <c r="J176" s="22"/>
      <c r="K176" s="22"/>
      <c r="L176" s="22"/>
      <c r="M176" s="22"/>
      <c r="N176" s="18"/>
      <c r="O176" s="18"/>
      <c r="P176" s="22"/>
      <c r="Q176" s="22"/>
      <c r="R176" s="22"/>
      <c r="S176" s="22"/>
      <c r="T176" s="22"/>
      <c r="U176" s="22"/>
      <c r="V176" s="23"/>
      <c r="W176" s="23"/>
      <c r="X176" s="19"/>
      <c r="Y176" s="23"/>
      <c r="Z176" s="23"/>
      <c r="AA176" s="6"/>
      <c r="AB176" s="6"/>
      <c r="AC176" s="6"/>
      <c r="AD176" s="21"/>
      <c r="AE176" s="6"/>
      <c r="AF176" s="18"/>
      <c r="AG176" s="18"/>
      <c r="AH176" s="18"/>
      <c r="AI176" s="18"/>
      <c r="AK176" s="18"/>
      <c r="AL176" s="18"/>
      <c r="AM176" s="40" t="s">
        <v>118</v>
      </c>
      <c r="AN176" s="18"/>
      <c r="AO176" s="6"/>
      <c r="AP176" s="32"/>
      <c r="AQ176" s="32">
        <v>1.37E-2</v>
      </c>
      <c r="AR176" s="32"/>
      <c r="AS176" s="32"/>
      <c r="AT176" s="32"/>
      <c r="AU176" s="32"/>
      <c r="AV176" s="32"/>
      <c r="AW176" s="32"/>
      <c r="AX176" s="32"/>
      <c r="AY176" s="32"/>
      <c r="AZ176" s="32"/>
      <c r="BA176" s="32">
        <v>15.690473000000001</v>
      </c>
      <c r="BB176" s="32"/>
      <c r="BC176" s="32"/>
      <c r="BD176" s="32"/>
      <c r="BE176" s="32"/>
      <c r="BF176" s="32"/>
      <c r="BG176" s="32"/>
      <c r="BH176" s="32"/>
      <c r="BI176" s="32">
        <f>BJ176/10</f>
        <v>22.5</v>
      </c>
      <c r="BJ176" s="6">
        <v>225</v>
      </c>
      <c r="BK176" s="6"/>
      <c r="BL176" s="21" t="s">
        <v>53</v>
      </c>
      <c r="BO176" s="15"/>
    </row>
    <row r="177" spans="1:67" ht="14.5" customHeight="1">
      <c r="A177" s="6" t="s">
        <v>132</v>
      </c>
      <c r="B177" s="6" t="s">
        <v>139</v>
      </c>
      <c r="C177" s="17">
        <v>31377.65570200004</v>
      </c>
      <c r="D177" s="18">
        <v>12.451068638837569</v>
      </c>
      <c r="E177" s="23"/>
      <c r="F177" s="22"/>
      <c r="G177" s="22"/>
      <c r="H177" s="22"/>
      <c r="I177" s="22"/>
      <c r="J177" s="22"/>
      <c r="K177" s="22"/>
      <c r="L177" s="22"/>
      <c r="M177" s="22"/>
      <c r="N177" s="18"/>
      <c r="O177" s="18"/>
      <c r="P177" s="22"/>
      <c r="Q177" s="22"/>
      <c r="R177" s="22"/>
      <c r="S177" s="22"/>
      <c r="T177" s="22"/>
      <c r="U177" s="22"/>
      <c r="V177" s="23"/>
      <c r="W177" s="23"/>
      <c r="X177" s="19"/>
      <c r="Y177" s="23"/>
      <c r="Z177" s="23"/>
      <c r="AA177" s="6"/>
      <c r="AB177" s="6"/>
      <c r="AC177" s="6"/>
      <c r="AD177" s="21"/>
      <c r="AE177" s="6"/>
      <c r="AF177" s="18"/>
      <c r="AG177" s="18"/>
      <c r="AH177" s="18"/>
      <c r="AI177" s="18"/>
      <c r="AK177" s="18"/>
      <c r="AL177" s="18"/>
      <c r="AM177" s="40" t="s">
        <v>118</v>
      </c>
      <c r="AN177" s="18"/>
      <c r="AO177" s="6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6"/>
      <c r="BK177" s="6"/>
      <c r="BL177" s="21" t="s">
        <v>53</v>
      </c>
      <c r="BO177" s="15"/>
    </row>
    <row r="178" spans="1:67">
      <c r="A178" s="6" t="s">
        <v>132</v>
      </c>
      <c r="B178" s="6" t="s">
        <v>139</v>
      </c>
      <c r="C178" s="17">
        <v>31468.966252000038</v>
      </c>
      <c r="D178" s="18">
        <v>12.701068638837569</v>
      </c>
      <c r="E178" s="23"/>
      <c r="F178" s="22"/>
      <c r="G178" s="22"/>
      <c r="H178" s="22"/>
      <c r="I178" s="22"/>
      <c r="J178" s="22"/>
      <c r="K178" s="22"/>
      <c r="L178" s="22"/>
      <c r="M178" s="22"/>
      <c r="N178" s="18"/>
      <c r="O178" s="18"/>
      <c r="P178" s="22"/>
      <c r="Q178" s="22"/>
      <c r="R178" s="22"/>
      <c r="S178" s="22"/>
      <c r="T178" s="22"/>
      <c r="U178" s="22"/>
      <c r="V178" s="23"/>
      <c r="W178" s="23"/>
      <c r="X178" s="19"/>
      <c r="Y178" s="23"/>
      <c r="Z178" s="23"/>
      <c r="AA178" s="6"/>
      <c r="AB178" s="6"/>
      <c r="AC178" s="6"/>
      <c r="AD178" s="21"/>
      <c r="AE178" s="6"/>
      <c r="AF178" s="18"/>
      <c r="AG178" s="18"/>
      <c r="AH178" s="18"/>
      <c r="AI178" s="18"/>
      <c r="AK178" s="18"/>
      <c r="AL178" s="18"/>
      <c r="AM178" s="40" t="s">
        <v>118</v>
      </c>
      <c r="AN178" s="18"/>
      <c r="AO178" s="6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6"/>
      <c r="BK178" s="6"/>
      <c r="BL178" s="21" t="s">
        <v>53</v>
      </c>
      <c r="BO178" s="15"/>
    </row>
    <row r="179" spans="1:67" ht="14.5" customHeight="1">
      <c r="A179" s="6" t="s">
        <v>132</v>
      </c>
      <c r="B179" s="6" t="s">
        <v>139</v>
      </c>
      <c r="C179" s="17">
        <v>31560.27680200004</v>
      </c>
      <c r="D179" s="18">
        <v>12.951068638837569</v>
      </c>
      <c r="E179" s="23"/>
      <c r="F179" s="22"/>
      <c r="G179" s="22"/>
      <c r="H179" s="22"/>
      <c r="I179" s="22"/>
      <c r="J179" s="22"/>
      <c r="K179" s="22"/>
      <c r="L179" s="22"/>
      <c r="M179" s="22"/>
      <c r="N179" s="18"/>
      <c r="O179" s="18"/>
      <c r="P179" s="22"/>
      <c r="Q179" s="22"/>
      <c r="R179" s="22"/>
      <c r="S179" s="22"/>
      <c r="T179" s="22"/>
      <c r="U179" s="22"/>
      <c r="V179" s="23"/>
      <c r="W179" s="23"/>
      <c r="X179" s="19"/>
      <c r="Y179" s="23"/>
      <c r="Z179" s="23"/>
      <c r="AA179" s="6"/>
      <c r="AB179" s="6"/>
      <c r="AC179" s="6"/>
      <c r="AD179" s="21"/>
      <c r="AE179" s="6"/>
      <c r="AF179" s="18"/>
      <c r="AG179" s="18"/>
      <c r="AH179" s="18"/>
      <c r="AI179" s="18"/>
      <c r="AK179" s="18"/>
      <c r="AL179" s="18"/>
      <c r="AM179" s="40" t="s">
        <v>118</v>
      </c>
      <c r="AN179" s="18"/>
      <c r="AO179" s="6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6"/>
      <c r="BK179" s="6"/>
      <c r="BL179" s="21" t="s">
        <v>53</v>
      </c>
      <c r="BO179" s="15"/>
    </row>
    <row r="180" spans="1:67" ht="14.5" customHeight="1">
      <c r="A180" s="6" t="s">
        <v>132</v>
      </c>
      <c r="B180" s="6" t="s">
        <v>139</v>
      </c>
      <c r="C180" s="17">
        <v>31651.587352000039</v>
      </c>
      <c r="D180" s="18">
        <v>13.201068638837569</v>
      </c>
      <c r="E180" s="23"/>
      <c r="F180" s="22"/>
      <c r="G180" s="22"/>
      <c r="H180" s="22"/>
      <c r="I180" s="22"/>
      <c r="J180" s="22"/>
      <c r="K180" s="22"/>
      <c r="L180" s="22"/>
      <c r="M180" s="22"/>
      <c r="N180" s="18"/>
      <c r="O180" s="18"/>
      <c r="P180" s="22"/>
      <c r="Q180" s="22"/>
      <c r="R180" s="22"/>
      <c r="S180" s="22"/>
      <c r="T180" s="22"/>
      <c r="U180" s="22"/>
      <c r="V180" s="23"/>
      <c r="W180" s="23"/>
      <c r="X180" s="19"/>
      <c r="Y180" s="23"/>
      <c r="Z180" s="23"/>
      <c r="AA180" s="6"/>
      <c r="AB180" s="6"/>
      <c r="AC180" s="6"/>
      <c r="AD180" s="21"/>
      <c r="AE180" s="6"/>
      <c r="AF180" s="18"/>
      <c r="AG180" s="18"/>
      <c r="AH180" s="18"/>
      <c r="AI180" s="18"/>
      <c r="AK180" s="18"/>
      <c r="AL180" s="18"/>
      <c r="AM180" s="40" t="s">
        <v>118</v>
      </c>
      <c r="AN180" s="18"/>
      <c r="AO180" s="6"/>
      <c r="AP180" s="32"/>
      <c r="AQ180" s="32">
        <v>1.0999999999999999E-2</v>
      </c>
      <c r="AR180" s="32"/>
      <c r="AS180" s="32"/>
      <c r="AT180" s="32"/>
      <c r="AU180" s="32"/>
      <c r="AV180" s="32"/>
      <c r="AW180" s="32"/>
      <c r="AX180" s="32"/>
      <c r="AY180" s="32"/>
      <c r="AZ180" s="32"/>
      <c r="BA180" s="32">
        <v>14.70205</v>
      </c>
      <c r="BB180" s="32"/>
      <c r="BC180" s="32"/>
      <c r="BD180" s="32"/>
      <c r="BE180" s="32"/>
      <c r="BF180" s="32"/>
      <c r="BG180" s="32"/>
      <c r="BH180" s="32"/>
      <c r="BI180" s="32">
        <f>BJ180/10</f>
        <v>18</v>
      </c>
      <c r="BJ180" s="6">
        <v>180</v>
      </c>
      <c r="BK180" s="6"/>
      <c r="BL180" s="21" t="s">
        <v>53</v>
      </c>
      <c r="BO180" s="15"/>
    </row>
    <row r="181" spans="1:67" ht="14.5" customHeight="1">
      <c r="A181" s="6" t="s">
        <v>132</v>
      </c>
      <c r="B181" s="6" t="s">
        <v>139</v>
      </c>
      <c r="C181" s="17">
        <v>31742.897902000041</v>
      </c>
      <c r="D181" s="18">
        <v>13.451068638837569</v>
      </c>
      <c r="E181" s="23"/>
      <c r="F181" s="22"/>
      <c r="G181" s="22"/>
      <c r="H181" s="22"/>
      <c r="I181" s="22"/>
      <c r="J181" s="22"/>
      <c r="K181" s="22"/>
      <c r="L181" s="22"/>
      <c r="M181" s="22"/>
      <c r="N181" s="18"/>
      <c r="O181" s="18"/>
      <c r="P181" s="22"/>
      <c r="Q181" s="22"/>
      <c r="R181" s="22"/>
      <c r="S181" s="22"/>
      <c r="T181" s="22"/>
      <c r="U181" s="22"/>
      <c r="V181" s="23"/>
      <c r="W181" s="23"/>
      <c r="X181" s="19"/>
      <c r="Y181" s="23"/>
      <c r="Z181" s="23"/>
      <c r="AA181" s="6"/>
      <c r="AB181" s="6"/>
      <c r="AC181" s="6"/>
      <c r="AD181" s="21"/>
      <c r="AE181" s="6"/>
      <c r="AF181" s="18"/>
      <c r="AG181" s="18"/>
      <c r="AH181" s="18"/>
      <c r="AI181" s="18"/>
      <c r="AK181" s="18"/>
      <c r="AL181" s="18"/>
      <c r="AM181" s="40" t="s">
        <v>118</v>
      </c>
      <c r="AN181" s="18"/>
      <c r="AO181" s="6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6"/>
      <c r="BK181" s="6"/>
      <c r="BL181" s="21" t="s">
        <v>53</v>
      </c>
      <c r="BO181" s="15"/>
    </row>
    <row r="182" spans="1:67">
      <c r="A182" s="6" t="s">
        <v>132</v>
      </c>
      <c r="B182" s="6" t="s">
        <v>139</v>
      </c>
      <c r="C182" s="17">
        <v>31834.208452000039</v>
      </c>
      <c r="D182" s="18">
        <v>13.701068638837569</v>
      </c>
      <c r="E182" s="23"/>
      <c r="F182" s="22"/>
      <c r="G182" s="22"/>
      <c r="H182" s="22"/>
      <c r="I182" s="22"/>
      <c r="J182" s="22"/>
      <c r="K182" s="22"/>
      <c r="L182" s="22"/>
      <c r="M182" s="22"/>
      <c r="N182" s="18"/>
      <c r="O182" s="18"/>
      <c r="P182" s="22"/>
      <c r="Q182" s="22"/>
      <c r="R182" s="22"/>
      <c r="S182" s="22"/>
      <c r="T182" s="22"/>
      <c r="U182" s="22"/>
      <c r="V182" s="23"/>
      <c r="W182" s="23"/>
      <c r="X182" s="19"/>
      <c r="Y182" s="23"/>
      <c r="Z182" s="23"/>
      <c r="AA182" s="6"/>
      <c r="AB182" s="6"/>
      <c r="AC182" s="6"/>
      <c r="AD182" s="21"/>
      <c r="AE182" s="6"/>
      <c r="AF182" s="18"/>
      <c r="AG182" s="18"/>
      <c r="AH182" s="18"/>
      <c r="AI182" s="18"/>
      <c r="AK182" s="18"/>
      <c r="AL182" s="18"/>
      <c r="AM182" s="40" t="s">
        <v>118</v>
      </c>
      <c r="AN182" s="18"/>
      <c r="AO182" s="6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6"/>
      <c r="BK182" s="6"/>
      <c r="BL182" s="21" t="s">
        <v>53</v>
      </c>
      <c r="BO182" s="15"/>
    </row>
    <row r="183" spans="1:67" ht="14.5" customHeight="1">
      <c r="A183" s="6" t="s">
        <v>132</v>
      </c>
      <c r="B183" s="6" t="s">
        <v>139</v>
      </c>
      <c r="C183" s="17">
        <v>31925.519002000037</v>
      </c>
      <c r="D183" s="18">
        <v>13.951068638837569</v>
      </c>
      <c r="E183" s="23"/>
      <c r="F183" s="22"/>
      <c r="G183" s="22"/>
      <c r="H183" s="22"/>
      <c r="I183" s="22"/>
      <c r="J183" s="22"/>
      <c r="K183" s="22"/>
      <c r="L183" s="22"/>
      <c r="M183" s="22"/>
      <c r="N183" s="18"/>
      <c r="O183" s="18"/>
      <c r="P183" s="22"/>
      <c r="Q183" s="22"/>
      <c r="R183" s="22"/>
      <c r="S183" s="22"/>
      <c r="T183" s="22"/>
      <c r="U183" s="22"/>
      <c r="V183" s="23"/>
      <c r="W183" s="23"/>
      <c r="X183" s="19"/>
      <c r="Y183" s="23"/>
      <c r="Z183" s="23"/>
      <c r="AA183" s="6"/>
      <c r="AB183" s="6"/>
      <c r="AC183" s="6"/>
      <c r="AD183" s="21"/>
      <c r="AE183" s="6"/>
      <c r="AF183" s="18"/>
      <c r="AG183" s="18"/>
      <c r="AH183" s="18"/>
      <c r="AI183" s="18"/>
      <c r="AK183" s="18"/>
      <c r="AL183" s="18"/>
      <c r="AM183" s="40" t="s">
        <v>118</v>
      </c>
      <c r="AN183" s="18"/>
      <c r="AO183" s="6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6"/>
      <c r="BK183" s="6"/>
      <c r="BL183" s="21" t="s">
        <v>53</v>
      </c>
      <c r="BO183" s="15"/>
    </row>
    <row r="184" spans="1:67">
      <c r="A184" s="6" t="s">
        <v>132</v>
      </c>
      <c r="B184" s="6" t="s">
        <v>139</v>
      </c>
      <c r="C184" s="17">
        <v>32016.829552000039</v>
      </c>
      <c r="D184" s="18">
        <v>14.201068638837569</v>
      </c>
      <c r="E184" s="23"/>
      <c r="F184" s="22"/>
      <c r="G184" s="22"/>
      <c r="H184" s="22"/>
      <c r="I184" s="22"/>
      <c r="J184" s="22"/>
      <c r="K184" s="22"/>
      <c r="L184" s="22"/>
      <c r="M184" s="22"/>
      <c r="N184" s="18"/>
      <c r="O184" s="18"/>
      <c r="P184" s="22"/>
      <c r="Q184" s="22"/>
      <c r="R184" s="22"/>
      <c r="S184" s="22"/>
      <c r="T184" s="22"/>
      <c r="U184" s="22"/>
      <c r="V184" s="23"/>
      <c r="W184" s="23"/>
      <c r="X184" s="19"/>
      <c r="Y184" s="23"/>
      <c r="Z184" s="23"/>
      <c r="AA184" s="6"/>
      <c r="AB184" s="6"/>
      <c r="AC184" s="6"/>
      <c r="AD184" s="21"/>
      <c r="AE184" s="6"/>
      <c r="AF184" s="18"/>
      <c r="AG184" s="18"/>
      <c r="AH184" s="18"/>
      <c r="AI184" s="18"/>
      <c r="AK184" s="18"/>
      <c r="AL184" s="18"/>
      <c r="AM184" s="40" t="s">
        <v>118</v>
      </c>
      <c r="AN184" s="18"/>
      <c r="AO184" s="6"/>
      <c r="AP184" s="32"/>
      <c r="AQ184" s="32">
        <v>0.01</v>
      </c>
      <c r="AR184" s="32"/>
      <c r="AS184" s="32"/>
      <c r="AT184" s="32"/>
      <c r="AU184" s="32"/>
      <c r="AV184" s="32"/>
      <c r="AW184" s="32"/>
      <c r="AX184" s="32"/>
      <c r="AY184" s="32"/>
      <c r="AZ184" s="32"/>
      <c r="BA184" s="32">
        <v>15.521800000000002</v>
      </c>
      <c r="BB184" s="32"/>
      <c r="BC184" s="32"/>
      <c r="BD184" s="32"/>
      <c r="BE184" s="32"/>
      <c r="BF184" s="32"/>
      <c r="BG184" s="32"/>
      <c r="BH184" s="32"/>
      <c r="BI184" s="32">
        <f>BJ184/10</f>
        <v>17.5</v>
      </c>
      <c r="BJ184" s="6">
        <v>175</v>
      </c>
      <c r="BK184" s="6"/>
      <c r="BL184" s="21" t="s">
        <v>53</v>
      </c>
      <c r="BO184" s="15"/>
    </row>
    <row r="185" spans="1:67" ht="14.5" customHeight="1">
      <c r="A185" s="6" t="s">
        <v>134</v>
      </c>
      <c r="B185" s="6" t="s">
        <v>141</v>
      </c>
      <c r="C185" s="17">
        <v>30862.66420000001</v>
      </c>
      <c r="D185" s="18">
        <v>11.041068638837487</v>
      </c>
      <c r="E185" s="23"/>
      <c r="F185" s="22"/>
      <c r="G185" s="22"/>
      <c r="H185" s="22"/>
      <c r="I185" s="22"/>
      <c r="J185" s="22"/>
      <c r="K185" s="22"/>
      <c r="L185" s="22"/>
      <c r="M185" s="22"/>
      <c r="N185" s="18"/>
      <c r="O185" s="18"/>
      <c r="P185" s="22"/>
      <c r="Q185" s="22"/>
      <c r="R185" s="22"/>
      <c r="S185" s="22"/>
      <c r="T185" s="22"/>
      <c r="U185" s="22"/>
      <c r="V185" s="23"/>
      <c r="W185" s="23"/>
      <c r="X185" s="19"/>
      <c r="Y185" s="23"/>
      <c r="Z185" s="23"/>
      <c r="AA185" s="6"/>
      <c r="AB185" s="6"/>
      <c r="AC185" s="6"/>
      <c r="AD185" s="21"/>
      <c r="AE185" s="6"/>
      <c r="AF185" s="18"/>
      <c r="AG185" s="18"/>
      <c r="AH185" s="18"/>
      <c r="AI185" s="18"/>
      <c r="AK185" s="18"/>
      <c r="AL185" s="18"/>
      <c r="AM185" s="40" t="s">
        <v>118</v>
      </c>
      <c r="AN185" s="18"/>
      <c r="AO185" s="6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6"/>
      <c r="BK185" s="6"/>
      <c r="BL185" s="21" t="s">
        <v>53</v>
      </c>
      <c r="BO185" s="15"/>
    </row>
    <row r="186" spans="1:67" ht="14.5" customHeight="1">
      <c r="A186" s="6" t="s">
        <v>134</v>
      </c>
      <c r="B186" s="6" t="s">
        <v>141</v>
      </c>
      <c r="C186" s="17">
        <v>31227.906400000011</v>
      </c>
      <c r="D186" s="18">
        <v>12.041068638837487</v>
      </c>
      <c r="E186" s="23"/>
      <c r="F186" s="22"/>
      <c r="G186" s="22"/>
      <c r="H186" s="22"/>
      <c r="I186" s="22"/>
      <c r="J186" s="22"/>
      <c r="K186" s="22"/>
      <c r="L186" s="22"/>
      <c r="M186" s="22"/>
      <c r="N186" s="18"/>
      <c r="O186" s="18"/>
      <c r="P186" s="22"/>
      <c r="Q186" s="22"/>
      <c r="R186" s="22"/>
      <c r="S186" s="22"/>
      <c r="T186" s="22"/>
      <c r="U186" s="22"/>
      <c r="V186" s="23"/>
      <c r="W186" s="23"/>
      <c r="X186" s="19"/>
      <c r="Y186" s="23"/>
      <c r="Z186" s="23"/>
      <c r="AA186" s="6"/>
      <c r="AB186" s="6"/>
      <c r="AC186" s="6"/>
      <c r="AD186" s="21"/>
      <c r="AE186" s="6"/>
      <c r="AF186" s="18"/>
      <c r="AG186" s="18"/>
      <c r="AH186" s="18"/>
      <c r="AI186" s="18"/>
      <c r="AK186" s="18"/>
      <c r="AL186" s="18"/>
      <c r="AM186" s="40" t="s">
        <v>118</v>
      </c>
      <c r="AN186" s="18"/>
      <c r="AO186" s="6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6"/>
      <c r="BK186" s="6"/>
      <c r="BL186" s="21" t="s">
        <v>53</v>
      </c>
      <c r="BO186" s="15"/>
    </row>
    <row r="187" spans="1:67">
      <c r="A187" s="6" t="s">
        <v>134</v>
      </c>
      <c r="B187" s="6" t="s">
        <v>141</v>
      </c>
      <c r="C187" s="17">
        <v>31593.148600000008</v>
      </c>
      <c r="D187" s="18">
        <v>13.041068638837487</v>
      </c>
      <c r="E187" s="23"/>
      <c r="F187" s="22"/>
      <c r="G187" s="22"/>
      <c r="H187" s="22"/>
      <c r="I187" s="22"/>
      <c r="J187" s="22"/>
      <c r="K187" s="22"/>
      <c r="L187" s="22"/>
      <c r="M187" s="22"/>
      <c r="N187" s="18"/>
      <c r="O187" s="18"/>
      <c r="P187" s="22"/>
      <c r="Q187" s="22"/>
      <c r="R187" s="22"/>
      <c r="S187" s="22"/>
      <c r="T187" s="22"/>
      <c r="U187" s="22"/>
      <c r="V187" s="23"/>
      <c r="W187" s="23"/>
      <c r="X187" s="19"/>
      <c r="Y187" s="23"/>
      <c r="Z187" s="23"/>
      <c r="AA187" s="6"/>
      <c r="AB187" s="6"/>
      <c r="AC187" s="6"/>
      <c r="AD187" s="21"/>
      <c r="AE187" s="6"/>
      <c r="AF187" s="18"/>
      <c r="AG187" s="18"/>
      <c r="AH187" s="18"/>
      <c r="AI187" s="18"/>
      <c r="AK187" s="18"/>
      <c r="AL187" s="18"/>
      <c r="AM187" s="40" t="s">
        <v>118</v>
      </c>
      <c r="AN187" s="18"/>
      <c r="AO187" s="6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6"/>
      <c r="BK187" s="6"/>
      <c r="BL187" s="21" t="s">
        <v>53</v>
      </c>
      <c r="BO187" s="15"/>
    </row>
    <row r="188" spans="1:67" ht="14.5" customHeight="1">
      <c r="A188" s="6" t="s">
        <v>134</v>
      </c>
      <c r="B188" s="6" t="s">
        <v>141</v>
      </c>
      <c r="C188" s="17">
        <v>31958.390800000008</v>
      </c>
      <c r="D188" s="18">
        <v>14.041068638837487</v>
      </c>
      <c r="E188" s="23"/>
      <c r="F188" s="22"/>
      <c r="G188" s="22"/>
      <c r="H188" s="22"/>
      <c r="I188" s="22"/>
      <c r="J188" s="22"/>
      <c r="K188" s="22"/>
      <c r="L188" s="22"/>
      <c r="M188" s="22"/>
      <c r="N188" s="18"/>
      <c r="O188" s="18"/>
      <c r="P188" s="22"/>
      <c r="Q188" s="22"/>
      <c r="R188" s="22"/>
      <c r="S188" s="22"/>
      <c r="T188" s="22"/>
      <c r="U188" s="22"/>
      <c r="V188" s="23"/>
      <c r="W188" s="23"/>
      <c r="X188" s="19"/>
      <c r="Y188" s="23"/>
      <c r="Z188" s="23"/>
      <c r="AA188" s="6"/>
      <c r="AB188" s="6"/>
      <c r="AC188" s="6"/>
      <c r="AD188" s="21"/>
      <c r="AE188" s="6"/>
      <c r="AF188" s="18"/>
      <c r="AG188" s="18"/>
      <c r="AH188" s="18"/>
      <c r="AI188" s="18"/>
      <c r="AK188" s="18"/>
      <c r="AL188" s="18"/>
      <c r="AM188" s="40" t="s">
        <v>118</v>
      </c>
      <c r="AN188" s="18"/>
      <c r="AO188" s="6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6"/>
      <c r="BK188" s="6"/>
      <c r="BL188" s="21" t="s">
        <v>53</v>
      </c>
      <c r="BO188" s="15"/>
    </row>
    <row r="189" spans="1:67">
      <c r="A189" s="6" t="s">
        <v>134</v>
      </c>
      <c r="B189" s="6" t="s">
        <v>141</v>
      </c>
      <c r="C189" s="17">
        <v>30862.66420000001</v>
      </c>
      <c r="D189" s="18">
        <v>11.041068638837487</v>
      </c>
      <c r="E189" s="23"/>
      <c r="F189" s="22"/>
      <c r="G189" s="22"/>
      <c r="H189" s="22"/>
      <c r="I189" s="22"/>
      <c r="J189" s="22"/>
      <c r="K189" s="22"/>
      <c r="L189" s="22"/>
      <c r="M189" s="22"/>
      <c r="N189" s="18"/>
      <c r="O189" s="18"/>
      <c r="P189" s="22">
        <v>2713.2359999999999</v>
      </c>
      <c r="Q189" s="22"/>
      <c r="R189" s="22"/>
      <c r="S189" s="22"/>
      <c r="T189" s="22"/>
      <c r="U189" s="22"/>
      <c r="V189" s="23"/>
      <c r="W189" s="23"/>
      <c r="X189" s="19"/>
      <c r="Y189" s="23"/>
      <c r="Z189" s="23"/>
      <c r="AA189" s="6"/>
      <c r="AB189" s="6"/>
      <c r="AC189" s="6"/>
      <c r="AD189" s="21"/>
      <c r="AE189" s="6"/>
      <c r="AF189" s="18"/>
      <c r="AG189" s="18"/>
      <c r="AH189" s="18"/>
      <c r="AI189" s="18"/>
      <c r="AK189" s="18"/>
      <c r="AL189" s="18"/>
      <c r="AM189" s="40" t="s">
        <v>118</v>
      </c>
      <c r="AN189" s="18"/>
      <c r="AO189" s="6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6"/>
      <c r="BK189" s="6"/>
      <c r="BL189" s="21" t="s">
        <v>53</v>
      </c>
      <c r="BO189" s="15"/>
    </row>
    <row r="190" spans="1:67" ht="14.5" customHeight="1">
      <c r="A190" s="6" t="s">
        <v>134</v>
      </c>
      <c r="B190" s="6" t="s">
        <v>141</v>
      </c>
      <c r="C190" s="17">
        <v>31227.906400000011</v>
      </c>
      <c r="D190" s="18">
        <v>12.041068638837487</v>
      </c>
      <c r="E190" s="23"/>
      <c r="F190" s="22"/>
      <c r="G190" s="22"/>
      <c r="H190" s="22"/>
      <c r="I190" s="22"/>
      <c r="J190" s="22"/>
      <c r="K190" s="22"/>
      <c r="L190" s="22"/>
      <c r="M190" s="22"/>
      <c r="N190" s="18"/>
      <c r="O190" s="18"/>
      <c r="P190" s="22">
        <v>4433.82</v>
      </c>
      <c r="Q190" s="22"/>
      <c r="R190" s="22"/>
      <c r="S190" s="22"/>
      <c r="T190" s="22"/>
      <c r="U190" s="22"/>
      <c r="V190" s="23"/>
      <c r="W190" s="23"/>
      <c r="X190" s="19"/>
      <c r="Y190" s="23"/>
      <c r="Z190" s="23"/>
      <c r="AA190" s="6"/>
      <c r="AB190" s="6"/>
      <c r="AC190" s="6"/>
      <c r="AD190" s="21"/>
      <c r="AE190" s="6"/>
      <c r="AF190" s="18"/>
      <c r="AG190" s="18"/>
      <c r="AH190" s="18"/>
      <c r="AI190" s="18"/>
      <c r="AK190" s="18"/>
      <c r="AL190" s="18"/>
      <c r="AM190" s="40" t="s">
        <v>118</v>
      </c>
      <c r="AN190" s="18"/>
      <c r="AO190" s="6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6"/>
      <c r="BK190" s="6"/>
      <c r="BL190" s="21" t="s">
        <v>53</v>
      </c>
      <c r="BO190" s="15"/>
    </row>
    <row r="191" spans="1:67">
      <c r="A191" s="6" t="s">
        <v>134</v>
      </c>
      <c r="B191" s="6" t="s">
        <v>141</v>
      </c>
      <c r="C191" s="17">
        <v>31593.148600000008</v>
      </c>
      <c r="D191" s="18">
        <v>13.041068638837487</v>
      </c>
      <c r="E191" s="23"/>
      <c r="F191" s="22"/>
      <c r="G191" s="22"/>
      <c r="H191" s="22"/>
      <c r="I191" s="22"/>
      <c r="J191" s="22"/>
      <c r="K191" s="22"/>
      <c r="L191" s="22"/>
      <c r="M191" s="22"/>
      <c r="N191" s="18"/>
      <c r="O191" s="18"/>
      <c r="P191" s="22">
        <v>6220.59</v>
      </c>
      <c r="Q191" s="22"/>
      <c r="R191" s="22"/>
      <c r="S191" s="22"/>
      <c r="T191" s="22"/>
      <c r="U191" s="22"/>
      <c r="V191" s="23"/>
      <c r="W191" s="23"/>
      <c r="X191" s="19"/>
      <c r="Y191" s="23"/>
      <c r="Z191" s="23"/>
      <c r="AA191" s="6"/>
      <c r="AB191" s="6"/>
      <c r="AC191" s="6"/>
      <c r="AD191" s="21"/>
      <c r="AE191" s="6"/>
      <c r="AF191" s="18"/>
      <c r="AG191" s="18"/>
      <c r="AH191" s="18"/>
      <c r="AI191" s="18"/>
      <c r="AK191" s="18"/>
      <c r="AL191" s="18"/>
      <c r="AM191" s="40" t="s">
        <v>118</v>
      </c>
      <c r="AN191" s="18"/>
      <c r="AO191" s="6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6"/>
      <c r="BK191" s="6"/>
      <c r="BL191" s="21" t="s">
        <v>53</v>
      </c>
      <c r="BO191" s="15"/>
    </row>
    <row r="192" spans="1:67">
      <c r="A192" s="6" t="s">
        <v>134</v>
      </c>
      <c r="B192" s="6" t="s">
        <v>141</v>
      </c>
      <c r="C192" s="17">
        <v>31958.390800000008</v>
      </c>
      <c r="D192" s="18">
        <v>14.041068638837487</v>
      </c>
      <c r="E192" s="23"/>
      <c r="F192" s="22"/>
      <c r="G192" s="22"/>
      <c r="H192" s="22"/>
      <c r="I192" s="22"/>
      <c r="J192" s="22"/>
      <c r="K192" s="22"/>
      <c r="L192" s="22"/>
      <c r="M192" s="22"/>
      <c r="N192" s="18"/>
      <c r="O192" s="18"/>
      <c r="P192" s="22">
        <v>8338.23</v>
      </c>
      <c r="Q192" s="22"/>
      <c r="R192" s="22"/>
      <c r="S192" s="22"/>
      <c r="T192" s="22"/>
      <c r="U192" s="22"/>
      <c r="V192" s="23"/>
      <c r="W192" s="23"/>
      <c r="X192" s="19"/>
      <c r="Y192" s="23"/>
      <c r="Z192" s="23"/>
      <c r="AA192" s="6"/>
      <c r="AB192" s="6"/>
      <c r="AC192" s="6"/>
      <c r="AD192" s="21"/>
      <c r="AE192" s="6"/>
      <c r="AF192" s="18"/>
      <c r="AG192" s="18"/>
      <c r="AH192" s="18"/>
      <c r="AI192" s="18"/>
      <c r="AK192" s="18"/>
      <c r="AL192" s="18"/>
      <c r="AM192" s="40" t="s">
        <v>118</v>
      </c>
      <c r="AN192" s="18"/>
      <c r="AO192" s="6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6"/>
      <c r="BK192" s="6"/>
      <c r="BL192" s="21" t="s">
        <v>53</v>
      </c>
      <c r="BO192" s="15"/>
    </row>
    <row r="193" spans="1:67" ht="14.5" customHeight="1">
      <c r="A193" s="6" t="s">
        <v>134</v>
      </c>
      <c r="B193" s="6" t="s">
        <v>141</v>
      </c>
      <c r="C193" s="17">
        <v>30921.102952000037</v>
      </c>
      <c r="D193" s="18">
        <v>11.201068638837569</v>
      </c>
      <c r="E193" s="23"/>
      <c r="F193" s="22"/>
      <c r="G193" s="22"/>
      <c r="H193" s="22"/>
      <c r="I193" s="22"/>
      <c r="J193" s="22"/>
      <c r="K193" s="22"/>
      <c r="L193" s="22"/>
      <c r="M193" s="22"/>
      <c r="N193" s="18"/>
      <c r="O193" s="18"/>
      <c r="P193" s="22"/>
      <c r="Q193" s="22"/>
      <c r="R193" s="22"/>
      <c r="S193" s="22"/>
      <c r="T193" s="22"/>
      <c r="U193" s="22"/>
      <c r="V193" s="23"/>
      <c r="W193" s="23"/>
      <c r="X193" s="19"/>
      <c r="Y193" s="23"/>
      <c r="Z193" s="23"/>
      <c r="AA193" s="6"/>
      <c r="AB193" s="6"/>
      <c r="AC193" s="6"/>
      <c r="AD193" s="21"/>
      <c r="AE193" s="6"/>
      <c r="AF193" s="18"/>
      <c r="AG193" s="18"/>
      <c r="AH193" s="18"/>
      <c r="AI193" s="18"/>
      <c r="AK193" s="18"/>
      <c r="AL193" s="18"/>
      <c r="AM193" s="40" t="s">
        <v>118</v>
      </c>
      <c r="AN193" s="18"/>
      <c r="AO193" s="6"/>
      <c r="AP193" s="32"/>
      <c r="AQ193" s="32">
        <v>1.17E-2</v>
      </c>
      <c r="AR193" s="32"/>
      <c r="AS193" s="32"/>
      <c r="AT193" s="32"/>
      <c r="AU193" s="32"/>
      <c r="AV193" s="32"/>
      <c r="AW193" s="32"/>
      <c r="AX193" s="32"/>
      <c r="AY193" s="32"/>
      <c r="AZ193" s="32"/>
      <c r="BA193" s="32">
        <v>9.0330903000000013</v>
      </c>
      <c r="BB193" s="32"/>
      <c r="BC193" s="32"/>
      <c r="BD193" s="32"/>
      <c r="BE193" s="32"/>
      <c r="BF193" s="32"/>
      <c r="BG193" s="32"/>
      <c r="BH193" s="32"/>
      <c r="BI193" s="32">
        <f>BJ193/10</f>
        <v>8.5</v>
      </c>
      <c r="BJ193" s="6">
        <v>85</v>
      </c>
      <c r="BK193" s="6"/>
      <c r="BL193" s="21" t="s">
        <v>53</v>
      </c>
      <c r="BO193" s="15"/>
    </row>
    <row r="194" spans="1:67" ht="14.5" customHeight="1">
      <c r="A194" s="6" t="s">
        <v>134</v>
      </c>
      <c r="B194" s="6" t="s">
        <v>141</v>
      </c>
      <c r="C194" s="17">
        <v>31012.413502000039</v>
      </c>
      <c r="D194" s="18">
        <v>11.451068638837569</v>
      </c>
      <c r="E194" s="23"/>
      <c r="F194" s="22"/>
      <c r="G194" s="22"/>
      <c r="H194" s="22"/>
      <c r="I194" s="22"/>
      <c r="J194" s="22"/>
      <c r="K194" s="22"/>
      <c r="L194" s="22"/>
      <c r="M194" s="22"/>
      <c r="N194" s="18"/>
      <c r="O194" s="18"/>
      <c r="P194" s="22"/>
      <c r="Q194" s="22"/>
      <c r="R194" s="22"/>
      <c r="S194" s="22"/>
      <c r="T194" s="22"/>
      <c r="U194" s="22"/>
      <c r="V194" s="23"/>
      <c r="W194" s="23"/>
      <c r="X194" s="19"/>
      <c r="Y194" s="23"/>
      <c r="Z194" s="23"/>
      <c r="AA194" s="6"/>
      <c r="AB194" s="6"/>
      <c r="AC194" s="6"/>
      <c r="AD194" s="21"/>
      <c r="AE194" s="6"/>
      <c r="AF194" s="18"/>
      <c r="AG194" s="18"/>
      <c r="AH194" s="18"/>
      <c r="AI194" s="18"/>
      <c r="AK194" s="18"/>
      <c r="AL194" s="18"/>
      <c r="AM194" s="40" t="s">
        <v>118</v>
      </c>
      <c r="AN194" s="18"/>
      <c r="AO194" s="6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6"/>
      <c r="BK194" s="6"/>
      <c r="BL194" s="21" t="s">
        <v>53</v>
      </c>
      <c r="BO194" s="15"/>
    </row>
    <row r="195" spans="1:67" ht="14.5" customHeight="1">
      <c r="A195" s="6" t="s">
        <v>134</v>
      </c>
      <c r="B195" s="6" t="s">
        <v>141</v>
      </c>
      <c r="C195" s="17">
        <v>31103.724052000041</v>
      </c>
      <c r="D195" s="18">
        <v>11.701068638837569</v>
      </c>
      <c r="E195" s="23"/>
      <c r="F195" s="22"/>
      <c r="G195" s="22"/>
      <c r="H195" s="22"/>
      <c r="I195" s="22"/>
      <c r="J195" s="22"/>
      <c r="K195" s="22"/>
      <c r="L195" s="22"/>
      <c r="M195" s="22"/>
      <c r="N195" s="18"/>
      <c r="O195" s="18"/>
      <c r="P195" s="22"/>
      <c r="Q195" s="22"/>
      <c r="R195" s="22"/>
      <c r="S195" s="22"/>
      <c r="T195" s="22"/>
      <c r="U195" s="22"/>
      <c r="V195" s="23"/>
      <c r="W195" s="23"/>
      <c r="X195" s="19"/>
      <c r="Y195" s="23"/>
      <c r="Z195" s="23"/>
      <c r="AA195" s="6"/>
      <c r="AB195" s="6"/>
      <c r="AC195" s="6"/>
      <c r="AD195" s="21"/>
      <c r="AE195" s="6"/>
      <c r="AF195" s="18"/>
      <c r="AG195" s="18"/>
      <c r="AH195" s="18"/>
      <c r="AI195" s="18"/>
      <c r="AK195" s="18"/>
      <c r="AL195" s="18"/>
      <c r="AM195" s="40" t="s">
        <v>118</v>
      </c>
      <c r="AN195" s="18"/>
      <c r="AO195" s="6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6"/>
      <c r="BK195" s="6"/>
      <c r="BL195" s="21" t="s">
        <v>53</v>
      </c>
      <c r="BO195" s="15"/>
    </row>
    <row r="196" spans="1:67">
      <c r="A196" s="6" t="s">
        <v>134</v>
      </c>
      <c r="B196" s="6" t="s">
        <v>141</v>
      </c>
      <c r="C196" s="17">
        <v>31195.03460200004</v>
      </c>
      <c r="D196" s="18">
        <v>11.951068638837569</v>
      </c>
      <c r="E196" s="23"/>
      <c r="F196" s="22"/>
      <c r="G196" s="22"/>
      <c r="H196" s="22"/>
      <c r="I196" s="22"/>
      <c r="J196" s="22"/>
      <c r="K196" s="22"/>
      <c r="L196" s="22"/>
      <c r="M196" s="22"/>
      <c r="N196" s="18"/>
      <c r="O196" s="18"/>
      <c r="P196" s="22"/>
      <c r="Q196" s="22"/>
      <c r="R196" s="22"/>
      <c r="S196" s="22"/>
      <c r="T196" s="22"/>
      <c r="U196" s="22"/>
      <c r="V196" s="23"/>
      <c r="W196" s="23"/>
      <c r="X196" s="19"/>
      <c r="Y196" s="23"/>
      <c r="Z196" s="23"/>
      <c r="AA196" s="6"/>
      <c r="AB196" s="6"/>
      <c r="AC196" s="6"/>
      <c r="AD196" s="21"/>
      <c r="AE196" s="6"/>
      <c r="AF196" s="18"/>
      <c r="AG196" s="18"/>
      <c r="AH196" s="18"/>
      <c r="AI196" s="18"/>
      <c r="AK196" s="18"/>
      <c r="AL196" s="18"/>
      <c r="AM196" s="40" t="s">
        <v>118</v>
      </c>
      <c r="AN196" s="18"/>
      <c r="AO196" s="6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6"/>
      <c r="BK196" s="6"/>
      <c r="BL196" s="21" t="s">
        <v>53</v>
      </c>
      <c r="BO196" s="15"/>
    </row>
    <row r="197" spans="1:67" ht="14.5" customHeight="1">
      <c r="A197" s="6" t="s">
        <v>134</v>
      </c>
      <c r="B197" s="6" t="s">
        <v>141</v>
      </c>
      <c r="C197" s="17">
        <v>31286.345152000038</v>
      </c>
      <c r="D197" s="18">
        <v>12.201068638837569</v>
      </c>
      <c r="E197" s="23"/>
      <c r="F197" s="22"/>
      <c r="G197" s="22"/>
      <c r="H197" s="22"/>
      <c r="I197" s="22"/>
      <c r="J197" s="22"/>
      <c r="K197" s="22"/>
      <c r="L197" s="22"/>
      <c r="M197" s="22"/>
      <c r="N197" s="18"/>
      <c r="O197" s="18"/>
      <c r="P197" s="22"/>
      <c r="Q197" s="22"/>
      <c r="R197" s="22"/>
      <c r="S197" s="22"/>
      <c r="T197" s="22"/>
      <c r="U197" s="22"/>
      <c r="V197" s="23"/>
      <c r="W197" s="23"/>
      <c r="X197" s="19"/>
      <c r="Y197" s="23"/>
      <c r="Z197" s="23"/>
      <c r="AA197" s="6"/>
      <c r="AB197" s="6"/>
      <c r="AC197" s="6"/>
      <c r="AD197" s="21"/>
      <c r="AE197" s="6"/>
      <c r="AF197" s="18"/>
      <c r="AG197" s="18"/>
      <c r="AH197" s="18"/>
      <c r="AI197" s="18"/>
      <c r="AK197" s="18"/>
      <c r="AL197" s="18"/>
      <c r="AM197" s="40" t="s">
        <v>118</v>
      </c>
      <c r="AN197" s="18"/>
      <c r="AO197" s="6"/>
      <c r="AP197" s="32"/>
      <c r="AQ197" s="32">
        <v>1.52E-2</v>
      </c>
      <c r="AR197" s="32"/>
      <c r="AS197" s="32"/>
      <c r="AT197" s="32"/>
      <c r="AU197" s="32"/>
      <c r="AV197" s="32"/>
      <c r="AW197" s="32"/>
      <c r="AX197" s="32"/>
      <c r="AY197" s="32"/>
      <c r="AZ197" s="32"/>
      <c r="BA197" s="32">
        <v>17.100000000000001</v>
      </c>
      <c r="BB197" s="32"/>
      <c r="BC197" s="32"/>
      <c r="BD197" s="32"/>
      <c r="BE197" s="32"/>
      <c r="BF197" s="32"/>
      <c r="BG197" s="32"/>
      <c r="BH197" s="32"/>
      <c r="BI197" s="32">
        <f>BJ197/10</f>
        <v>19</v>
      </c>
      <c r="BJ197" s="6">
        <v>190</v>
      </c>
      <c r="BK197" s="6"/>
      <c r="BL197" s="21" t="s">
        <v>53</v>
      </c>
      <c r="BO197" s="15"/>
    </row>
    <row r="198" spans="1:67" ht="14.5" customHeight="1">
      <c r="A198" s="6" t="s">
        <v>134</v>
      </c>
      <c r="B198" s="6" t="s">
        <v>141</v>
      </c>
      <c r="C198" s="17">
        <v>31377.65570200004</v>
      </c>
      <c r="D198" s="18">
        <v>12.451068638837569</v>
      </c>
      <c r="E198" s="23"/>
      <c r="F198" s="22"/>
      <c r="G198" s="22"/>
      <c r="H198" s="22"/>
      <c r="I198" s="22"/>
      <c r="J198" s="22"/>
      <c r="K198" s="22"/>
      <c r="L198" s="22"/>
      <c r="M198" s="22"/>
      <c r="N198" s="18"/>
      <c r="O198" s="18"/>
      <c r="P198" s="22"/>
      <c r="Q198" s="22"/>
      <c r="R198" s="22"/>
      <c r="S198" s="22"/>
      <c r="T198" s="22"/>
      <c r="U198" s="22"/>
      <c r="V198" s="23"/>
      <c r="W198" s="23"/>
      <c r="X198" s="19"/>
      <c r="Y198" s="23"/>
      <c r="Z198" s="23"/>
      <c r="AA198" s="6"/>
      <c r="AB198" s="6"/>
      <c r="AC198" s="6"/>
      <c r="AD198" s="21"/>
      <c r="AE198" s="6"/>
      <c r="AF198" s="18"/>
      <c r="AG198" s="18"/>
      <c r="AH198" s="18"/>
      <c r="AI198" s="18"/>
      <c r="AK198" s="18"/>
      <c r="AL198" s="18"/>
      <c r="AM198" s="40" t="s">
        <v>118</v>
      </c>
      <c r="AN198" s="18"/>
      <c r="AO198" s="6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6"/>
      <c r="BK198" s="6"/>
      <c r="BL198" s="21" t="s">
        <v>53</v>
      </c>
      <c r="BO198" s="15"/>
    </row>
    <row r="199" spans="1:67">
      <c r="A199" s="6" t="s">
        <v>134</v>
      </c>
      <c r="B199" s="6" t="s">
        <v>141</v>
      </c>
      <c r="C199" s="17">
        <v>31468.966252000038</v>
      </c>
      <c r="D199" s="18">
        <v>12.701068638837569</v>
      </c>
      <c r="E199" s="23"/>
      <c r="F199" s="22"/>
      <c r="G199" s="22"/>
      <c r="H199" s="22"/>
      <c r="I199" s="22"/>
      <c r="J199" s="22"/>
      <c r="K199" s="22"/>
      <c r="L199" s="22"/>
      <c r="M199" s="22"/>
      <c r="N199" s="18"/>
      <c r="O199" s="18"/>
      <c r="P199" s="22"/>
      <c r="Q199" s="22"/>
      <c r="R199" s="22"/>
      <c r="S199" s="22"/>
      <c r="T199" s="22"/>
      <c r="U199" s="22"/>
      <c r="V199" s="23"/>
      <c r="W199" s="23"/>
      <c r="X199" s="19"/>
      <c r="Y199" s="23"/>
      <c r="Z199" s="23"/>
      <c r="AA199" s="6"/>
      <c r="AB199" s="6"/>
      <c r="AC199" s="6"/>
      <c r="AD199" s="21"/>
      <c r="AE199" s="6"/>
      <c r="AF199" s="18"/>
      <c r="AG199" s="18"/>
      <c r="AH199" s="18"/>
      <c r="AI199" s="18"/>
      <c r="AK199" s="18"/>
      <c r="AL199" s="18"/>
      <c r="AM199" s="40" t="s">
        <v>118</v>
      </c>
      <c r="AN199" s="18"/>
      <c r="AO199" s="6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6"/>
      <c r="BK199" s="6"/>
      <c r="BL199" s="21" t="s">
        <v>53</v>
      </c>
      <c r="BO199" s="15"/>
    </row>
    <row r="200" spans="1:67" ht="14.5" customHeight="1">
      <c r="A200" s="6" t="s">
        <v>134</v>
      </c>
      <c r="B200" s="6" t="s">
        <v>141</v>
      </c>
      <c r="C200" s="17">
        <v>31560.27680200004</v>
      </c>
      <c r="D200" s="18">
        <v>12.951068638837569</v>
      </c>
      <c r="E200" s="23"/>
      <c r="F200" s="22"/>
      <c r="G200" s="22"/>
      <c r="H200" s="22"/>
      <c r="I200" s="22"/>
      <c r="J200" s="22"/>
      <c r="K200" s="22"/>
      <c r="L200" s="22"/>
      <c r="M200" s="22"/>
      <c r="N200" s="18"/>
      <c r="O200" s="18"/>
      <c r="P200" s="22"/>
      <c r="Q200" s="22"/>
      <c r="R200" s="22"/>
      <c r="S200" s="22"/>
      <c r="T200" s="22"/>
      <c r="U200" s="22"/>
      <c r="V200" s="23"/>
      <c r="W200" s="23"/>
      <c r="X200" s="19"/>
      <c r="Y200" s="23"/>
      <c r="Z200" s="23"/>
      <c r="AA200" s="6"/>
      <c r="AB200" s="6"/>
      <c r="AC200" s="6"/>
      <c r="AD200" s="21"/>
      <c r="AE200" s="6"/>
      <c r="AF200" s="18"/>
      <c r="AG200" s="18"/>
      <c r="AH200" s="18"/>
      <c r="AI200" s="18"/>
      <c r="AK200" s="18"/>
      <c r="AL200" s="18"/>
      <c r="AM200" s="40" t="s">
        <v>118</v>
      </c>
      <c r="AN200" s="18"/>
      <c r="AO200" s="6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6"/>
      <c r="BK200" s="6"/>
      <c r="BL200" s="21" t="s">
        <v>53</v>
      </c>
      <c r="BO200" s="15"/>
    </row>
    <row r="201" spans="1:67">
      <c r="A201" s="6" t="s">
        <v>134</v>
      </c>
      <c r="B201" s="6" t="s">
        <v>141</v>
      </c>
      <c r="C201" s="17">
        <v>31651.587352000039</v>
      </c>
      <c r="D201" s="18">
        <v>13.201068638837569</v>
      </c>
      <c r="E201" s="23"/>
      <c r="F201" s="22"/>
      <c r="G201" s="22"/>
      <c r="H201" s="22"/>
      <c r="I201" s="22"/>
      <c r="J201" s="22"/>
      <c r="K201" s="22"/>
      <c r="L201" s="22"/>
      <c r="M201" s="22"/>
      <c r="N201" s="18"/>
      <c r="O201" s="18"/>
      <c r="P201" s="22"/>
      <c r="Q201" s="22"/>
      <c r="R201" s="22"/>
      <c r="S201" s="22"/>
      <c r="T201" s="22"/>
      <c r="U201" s="22"/>
      <c r="V201" s="23"/>
      <c r="W201" s="23"/>
      <c r="X201" s="19"/>
      <c r="Y201" s="23"/>
      <c r="Z201" s="23"/>
      <c r="AA201" s="6"/>
      <c r="AB201" s="6"/>
      <c r="AC201" s="6"/>
      <c r="AD201" s="21"/>
      <c r="AE201" s="6"/>
      <c r="AF201" s="18"/>
      <c r="AG201" s="18"/>
      <c r="AH201" s="18"/>
      <c r="AI201" s="18"/>
      <c r="AK201" s="18"/>
      <c r="AL201" s="18"/>
      <c r="AM201" s="40" t="s">
        <v>118</v>
      </c>
      <c r="AN201" s="18"/>
      <c r="AO201" s="6"/>
      <c r="AP201" s="32"/>
      <c r="AQ201" s="32">
        <v>1.46E-2</v>
      </c>
      <c r="AR201" s="32"/>
      <c r="AS201" s="32"/>
      <c r="AT201" s="32"/>
      <c r="AU201" s="32"/>
      <c r="AV201" s="32"/>
      <c r="AW201" s="32"/>
      <c r="AX201" s="32"/>
      <c r="AY201" s="32"/>
      <c r="AZ201" s="32"/>
      <c r="BA201" s="32">
        <v>19.323538000000003</v>
      </c>
      <c r="BB201" s="32"/>
      <c r="BC201" s="32"/>
      <c r="BD201" s="32"/>
      <c r="BE201" s="32"/>
      <c r="BF201" s="32"/>
      <c r="BG201" s="32"/>
      <c r="BH201" s="32"/>
      <c r="BI201" s="32">
        <f>BJ201/10</f>
        <v>23.5</v>
      </c>
      <c r="BJ201" s="6">
        <v>235</v>
      </c>
      <c r="BK201" s="6"/>
      <c r="BL201" s="21" t="s">
        <v>53</v>
      </c>
      <c r="BO201" s="15"/>
    </row>
    <row r="202" spans="1:67" ht="14.5" customHeight="1">
      <c r="A202" s="6" t="s">
        <v>134</v>
      </c>
      <c r="B202" s="6" t="s">
        <v>141</v>
      </c>
      <c r="C202" s="17">
        <v>31742.897902000041</v>
      </c>
      <c r="D202" s="18">
        <v>13.451068638837569</v>
      </c>
      <c r="E202" s="23"/>
      <c r="F202" s="22"/>
      <c r="G202" s="22"/>
      <c r="H202" s="22"/>
      <c r="I202" s="22"/>
      <c r="J202" s="22"/>
      <c r="K202" s="22"/>
      <c r="L202" s="22"/>
      <c r="M202" s="22"/>
      <c r="N202" s="18"/>
      <c r="O202" s="18"/>
      <c r="P202" s="22"/>
      <c r="Q202" s="22"/>
      <c r="R202" s="22"/>
      <c r="S202" s="22"/>
      <c r="T202" s="22"/>
      <c r="U202" s="22"/>
      <c r="V202" s="23"/>
      <c r="W202" s="23"/>
      <c r="X202" s="19"/>
      <c r="Y202" s="23"/>
      <c r="Z202" s="23"/>
      <c r="AA202" s="6"/>
      <c r="AB202" s="6"/>
      <c r="AC202" s="6"/>
      <c r="AD202" s="21"/>
      <c r="AE202" s="6"/>
      <c r="AF202" s="18"/>
      <c r="AG202" s="18"/>
      <c r="AH202" s="18"/>
      <c r="AI202" s="18"/>
      <c r="AK202" s="18"/>
      <c r="AL202" s="18"/>
      <c r="AM202" s="40" t="s">
        <v>118</v>
      </c>
      <c r="AN202" s="18"/>
      <c r="AO202" s="6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6"/>
      <c r="BK202" s="6"/>
      <c r="BL202" s="21" t="s">
        <v>53</v>
      </c>
      <c r="BO202" s="15"/>
    </row>
    <row r="203" spans="1:67">
      <c r="A203" s="6" t="s">
        <v>134</v>
      </c>
      <c r="B203" s="6" t="s">
        <v>141</v>
      </c>
      <c r="C203" s="17">
        <v>31834.208452000039</v>
      </c>
      <c r="D203" s="18">
        <v>13.701068638837569</v>
      </c>
      <c r="E203" s="23"/>
      <c r="F203" s="22"/>
      <c r="G203" s="22"/>
      <c r="H203" s="22"/>
      <c r="I203" s="22"/>
      <c r="J203" s="22"/>
      <c r="K203" s="22"/>
      <c r="L203" s="22"/>
      <c r="M203" s="22"/>
      <c r="N203" s="18"/>
      <c r="O203" s="18"/>
      <c r="P203" s="22"/>
      <c r="Q203" s="22"/>
      <c r="R203" s="22"/>
      <c r="S203" s="22"/>
      <c r="T203" s="22"/>
      <c r="U203" s="22"/>
      <c r="V203" s="23"/>
      <c r="W203" s="23"/>
      <c r="X203" s="19"/>
      <c r="Y203" s="23"/>
      <c r="Z203" s="23"/>
      <c r="AA203" s="6"/>
      <c r="AB203" s="6"/>
      <c r="AC203" s="6"/>
      <c r="AD203" s="21"/>
      <c r="AE203" s="6"/>
      <c r="AF203" s="18"/>
      <c r="AG203" s="18"/>
      <c r="AH203" s="18"/>
      <c r="AI203" s="18"/>
      <c r="AK203" s="18"/>
      <c r="AL203" s="18"/>
      <c r="AM203" s="40" t="s">
        <v>118</v>
      </c>
      <c r="AN203" s="18"/>
      <c r="AO203" s="6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6"/>
      <c r="BK203" s="6"/>
      <c r="BL203" s="21" t="s">
        <v>53</v>
      </c>
      <c r="BO203" s="15"/>
    </row>
    <row r="204" spans="1:67" ht="14.5" customHeight="1">
      <c r="A204" s="6" t="s">
        <v>134</v>
      </c>
      <c r="B204" s="6" t="s">
        <v>141</v>
      </c>
      <c r="C204" s="17">
        <v>31925.519002000037</v>
      </c>
      <c r="D204" s="18">
        <v>13.951068638837569</v>
      </c>
      <c r="E204" s="22">
        <v>73.821464393179539</v>
      </c>
      <c r="F204" s="22">
        <v>736</v>
      </c>
      <c r="G204" s="22"/>
      <c r="H204" s="22"/>
      <c r="I204" s="22"/>
      <c r="J204" s="22"/>
      <c r="K204" s="22"/>
      <c r="L204" s="22"/>
      <c r="M204" s="22"/>
      <c r="N204" s="18"/>
      <c r="O204" s="18"/>
      <c r="P204" s="22"/>
      <c r="Q204" s="22"/>
      <c r="R204" s="22"/>
      <c r="S204" s="22"/>
      <c r="T204" s="22"/>
      <c r="U204" s="22"/>
      <c r="V204" s="23"/>
      <c r="W204" s="23"/>
      <c r="X204" s="19"/>
      <c r="Y204" s="23"/>
      <c r="Z204" s="23"/>
      <c r="AA204" s="6"/>
      <c r="AB204" s="6"/>
      <c r="AC204" s="6"/>
      <c r="AD204" s="21"/>
      <c r="AE204" s="6"/>
      <c r="AF204" s="18"/>
      <c r="AG204" s="18"/>
      <c r="AH204" s="18"/>
      <c r="AI204" s="18"/>
      <c r="AK204" s="18"/>
      <c r="AL204" s="18"/>
      <c r="AM204" s="40" t="s">
        <v>118</v>
      </c>
      <c r="AN204" s="18"/>
      <c r="AO204" s="6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6"/>
      <c r="BK204" s="6"/>
      <c r="BL204" s="21" t="s">
        <v>53</v>
      </c>
      <c r="BO204" s="15"/>
    </row>
    <row r="205" spans="1:67">
      <c r="A205" s="6" t="s">
        <v>134</v>
      </c>
      <c r="B205" s="6" t="s">
        <v>141</v>
      </c>
      <c r="C205" s="17">
        <v>32016.829552000039</v>
      </c>
      <c r="D205" s="18">
        <v>14.201068638837569</v>
      </c>
      <c r="E205" s="23"/>
      <c r="F205" s="22"/>
      <c r="G205" s="22"/>
      <c r="H205" s="22"/>
      <c r="I205" s="22"/>
      <c r="J205" s="22"/>
      <c r="K205" s="22"/>
      <c r="L205" s="22"/>
      <c r="M205" s="22"/>
      <c r="N205" s="18"/>
      <c r="O205" s="18"/>
      <c r="P205" s="22"/>
      <c r="Q205" s="22"/>
      <c r="R205" s="22"/>
      <c r="S205" s="22"/>
      <c r="T205" s="22"/>
      <c r="U205" s="22"/>
      <c r="V205" s="23"/>
      <c r="W205" s="23"/>
      <c r="X205" s="19"/>
      <c r="Y205" s="23"/>
      <c r="Z205" s="23"/>
      <c r="AA205" s="6"/>
      <c r="AB205" s="6"/>
      <c r="AC205" s="6"/>
      <c r="AD205" s="21"/>
      <c r="AE205" s="6"/>
      <c r="AF205" s="18"/>
      <c r="AG205" s="18"/>
      <c r="AH205" s="18"/>
      <c r="AI205" s="18"/>
      <c r="AK205" s="18"/>
      <c r="AL205" s="18"/>
      <c r="AM205" s="40" t="s">
        <v>118</v>
      </c>
      <c r="AN205" s="18"/>
      <c r="AO205" s="6"/>
      <c r="AP205" s="32"/>
      <c r="AQ205" s="32">
        <v>1.41E-2</v>
      </c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>
        <f>BJ205/10</f>
        <v>25.5</v>
      </c>
      <c r="BJ205" s="6">
        <v>255</v>
      </c>
      <c r="BK205" s="6"/>
      <c r="BL205" s="21" t="s">
        <v>53</v>
      </c>
      <c r="BO205" s="15"/>
    </row>
    <row r="206" spans="1:67" ht="14.5" customHeight="1">
      <c r="A206" s="6" t="s">
        <v>129</v>
      </c>
      <c r="B206" s="6" t="s">
        <v>136</v>
      </c>
      <c r="C206" s="17">
        <v>30482.42</v>
      </c>
      <c r="D206" s="18">
        <v>10</v>
      </c>
      <c r="E206" s="22">
        <v>62.688064192577727</v>
      </c>
      <c r="F206" s="22">
        <v>625</v>
      </c>
      <c r="G206" s="22"/>
      <c r="H206" s="22"/>
      <c r="I206" s="22"/>
      <c r="J206" s="22"/>
      <c r="K206" s="22"/>
      <c r="L206" s="22"/>
      <c r="M206" s="22"/>
      <c r="N206" s="57"/>
      <c r="O206" s="57"/>
      <c r="P206" s="58"/>
      <c r="Q206" s="58"/>
      <c r="R206" s="58"/>
      <c r="S206" s="58"/>
      <c r="T206" s="58"/>
      <c r="U206" s="58"/>
      <c r="V206" s="59"/>
      <c r="W206" s="59"/>
      <c r="X206" s="60"/>
      <c r="Y206" s="59"/>
      <c r="Z206" s="59"/>
      <c r="AA206" s="61"/>
      <c r="AB206" s="61"/>
      <c r="AC206" s="61"/>
      <c r="AD206" s="62"/>
      <c r="AE206" s="61"/>
      <c r="AF206" s="57"/>
      <c r="AG206" s="57"/>
      <c r="AH206" s="57"/>
      <c r="AI206" s="57"/>
      <c r="AJ206" s="63"/>
      <c r="AK206" s="57"/>
      <c r="AL206" s="57"/>
      <c r="AM206" s="64"/>
      <c r="AN206" s="57"/>
      <c r="AO206" s="61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1"/>
      <c r="BK206" s="61"/>
      <c r="BL206" s="21" t="s">
        <v>54</v>
      </c>
      <c r="BO206" s="15"/>
    </row>
    <row r="207" spans="1:67">
      <c r="A207" s="6" t="s">
        <v>129</v>
      </c>
      <c r="B207" s="6" t="s">
        <v>136</v>
      </c>
      <c r="C207" s="17">
        <v>32382.68144</v>
      </c>
      <c r="D207" s="18">
        <v>15.2</v>
      </c>
      <c r="E207" s="22">
        <v>62.688064192577727</v>
      </c>
      <c r="F207" s="22">
        <v>625</v>
      </c>
      <c r="G207" s="22"/>
      <c r="H207" s="22"/>
      <c r="I207" s="22"/>
      <c r="J207" s="22"/>
      <c r="K207" s="22"/>
      <c r="L207" s="22"/>
      <c r="M207" s="22"/>
      <c r="N207" s="57"/>
      <c r="O207" s="57"/>
      <c r="P207" s="58"/>
      <c r="Q207" s="58"/>
      <c r="R207" s="58"/>
      <c r="S207" s="58"/>
      <c r="T207" s="58"/>
      <c r="U207" s="58"/>
      <c r="V207" s="59"/>
      <c r="W207" s="59"/>
      <c r="X207" s="60"/>
      <c r="Y207" s="59"/>
      <c r="Z207" s="59"/>
      <c r="AA207" s="61"/>
      <c r="AB207" s="61"/>
      <c r="AC207" s="61"/>
      <c r="AD207" s="62"/>
      <c r="AE207" s="61"/>
      <c r="AF207" s="57"/>
      <c r="AG207" s="57"/>
      <c r="AH207" s="57"/>
      <c r="AI207" s="57"/>
      <c r="AJ207" s="63"/>
      <c r="AK207" s="57"/>
      <c r="AL207" s="57"/>
      <c r="AM207" s="64"/>
      <c r="AN207" s="57"/>
      <c r="AO207" s="61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1"/>
      <c r="BK207" s="61"/>
      <c r="BL207" s="21" t="s">
        <v>54</v>
      </c>
      <c r="BO207" s="15"/>
    </row>
    <row r="208" spans="1:67">
      <c r="A208" s="6" t="s">
        <v>129</v>
      </c>
      <c r="B208" s="6" t="s">
        <v>136</v>
      </c>
      <c r="C208" s="17">
        <v>32601.82676</v>
      </c>
      <c r="D208" s="18">
        <v>15.8</v>
      </c>
      <c r="E208" s="22">
        <v>27.582748244734201</v>
      </c>
      <c r="F208" s="22">
        <v>275</v>
      </c>
      <c r="G208" s="22"/>
      <c r="H208" s="22"/>
      <c r="I208" s="22"/>
      <c r="J208" s="22"/>
      <c r="K208" s="22"/>
      <c r="L208" s="22"/>
      <c r="M208" s="22"/>
      <c r="N208" s="57"/>
      <c r="O208" s="57"/>
      <c r="P208" s="58"/>
      <c r="Q208" s="58"/>
      <c r="R208" s="58"/>
      <c r="S208" s="58"/>
      <c r="T208" s="58"/>
      <c r="U208" s="58"/>
      <c r="V208" s="59"/>
      <c r="W208" s="59"/>
      <c r="X208" s="60"/>
      <c r="Y208" s="59"/>
      <c r="Z208" s="59"/>
      <c r="AA208" s="61"/>
      <c r="AB208" s="61"/>
      <c r="AC208" s="61"/>
      <c r="AD208" s="62"/>
      <c r="AE208" s="61"/>
      <c r="AF208" s="57"/>
      <c r="AG208" s="57"/>
      <c r="AH208" s="57"/>
      <c r="AI208" s="57"/>
      <c r="AJ208" s="63"/>
      <c r="AK208" s="57"/>
      <c r="AL208" s="57"/>
      <c r="AM208" s="64"/>
      <c r="AN208" s="57"/>
      <c r="AO208" s="61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1"/>
      <c r="BK208" s="61"/>
      <c r="BL208" s="21" t="s">
        <v>54</v>
      </c>
      <c r="BO208" s="15"/>
    </row>
    <row r="209" spans="1:67" ht="14.5" customHeight="1">
      <c r="A209" s="6" t="s">
        <v>129</v>
      </c>
      <c r="B209" s="6" t="s">
        <v>136</v>
      </c>
      <c r="C209" s="17">
        <v>34135.843999999997</v>
      </c>
      <c r="D209" s="18">
        <v>20</v>
      </c>
      <c r="E209" s="22">
        <v>27.582748244734201</v>
      </c>
      <c r="F209" s="22">
        <v>275</v>
      </c>
      <c r="G209" s="22"/>
      <c r="H209" s="22"/>
      <c r="I209" s="22"/>
      <c r="J209" s="22"/>
      <c r="K209" s="22"/>
      <c r="L209" s="22"/>
      <c r="M209" s="22"/>
      <c r="N209" s="57"/>
      <c r="O209" s="57"/>
      <c r="P209" s="58"/>
      <c r="Q209" s="58"/>
      <c r="R209" s="58"/>
      <c r="S209" s="58"/>
      <c r="T209" s="58"/>
      <c r="U209" s="58"/>
      <c r="V209" s="59"/>
      <c r="W209" s="59"/>
      <c r="X209" s="60"/>
      <c r="Y209" s="59"/>
      <c r="Z209" s="59"/>
      <c r="AA209" s="61"/>
      <c r="AB209" s="61"/>
      <c r="AC209" s="61"/>
      <c r="AD209" s="62"/>
      <c r="AE209" s="61"/>
      <c r="AF209" s="57"/>
      <c r="AG209" s="57"/>
      <c r="AH209" s="57"/>
      <c r="AI209" s="57"/>
      <c r="AJ209" s="63"/>
      <c r="AK209" s="57"/>
      <c r="AL209" s="57"/>
      <c r="AM209" s="64"/>
      <c r="AN209" s="57"/>
      <c r="AO209" s="61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1"/>
      <c r="BK209" s="61"/>
      <c r="BL209" s="21" t="s">
        <v>54</v>
      </c>
      <c r="BO209" s="15"/>
    </row>
    <row r="210" spans="1:67" ht="14.5" customHeight="1">
      <c r="A210" s="6" t="s">
        <v>129</v>
      </c>
      <c r="B210" s="6" t="s">
        <v>136</v>
      </c>
      <c r="C210" s="17">
        <v>37057.781600000002</v>
      </c>
      <c r="D210" s="18">
        <v>28</v>
      </c>
      <c r="E210" s="22">
        <v>27.582748244734201</v>
      </c>
      <c r="F210" s="22">
        <v>275</v>
      </c>
      <c r="G210" s="22"/>
      <c r="H210" s="22"/>
      <c r="I210" s="22"/>
      <c r="J210" s="22"/>
      <c r="K210" s="22"/>
      <c r="L210" s="22"/>
      <c r="M210" s="22"/>
      <c r="N210" s="57"/>
      <c r="O210" s="57"/>
      <c r="P210" s="58"/>
      <c r="Q210" s="58"/>
      <c r="R210" s="58"/>
      <c r="S210" s="58"/>
      <c r="T210" s="58"/>
      <c r="U210" s="58"/>
      <c r="V210" s="59"/>
      <c r="W210" s="59"/>
      <c r="X210" s="60"/>
      <c r="Y210" s="59"/>
      <c r="Z210" s="59"/>
      <c r="AA210" s="61"/>
      <c r="AB210" s="61"/>
      <c r="AC210" s="61"/>
      <c r="AD210" s="62"/>
      <c r="AE210" s="61"/>
      <c r="AF210" s="57"/>
      <c r="AG210" s="57"/>
      <c r="AH210" s="57"/>
      <c r="AI210" s="57"/>
      <c r="AJ210" s="63"/>
      <c r="AK210" s="57"/>
      <c r="AL210" s="57"/>
      <c r="AM210" s="64"/>
      <c r="AN210" s="57"/>
      <c r="AO210" s="61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1"/>
      <c r="BK210" s="61"/>
      <c r="BL210" s="21" t="s">
        <v>54</v>
      </c>
      <c r="BO210" s="15"/>
    </row>
    <row r="211" spans="1:67">
      <c r="A211" s="6" t="s">
        <v>130</v>
      </c>
      <c r="B211" s="6" t="s">
        <v>137</v>
      </c>
      <c r="C211" s="17">
        <v>30482.42</v>
      </c>
      <c r="D211" s="18">
        <v>10</v>
      </c>
      <c r="E211" s="22">
        <v>60.080240722166501</v>
      </c>
      <c r="F211" s="22">
        <v>599</v>
      </c>
      <c r="G211" s="22"/>
      <c r="H211" s="22"/>
      <c r="I211" s="22"/>
      <c r="J211" s="22"/>
      <c r="K211" s="22"/>
      <c r="L211" s="22"/>
      <c r="M211" s="22"/>
      <c r="N211" s="57"/>
      <c r="O211" s="57"/>
      <c r="P211" s="58"/>
      <c r="Q211" s="58"/>
      <c r="R211" s="58"/>
      <c r="S211" s="58"/>
      <c r="T211" s="58"/>
      <c r="U211" s="58"/>
      <c r="V211" s="59"/>
      <c r="W211" s="59"/>
      <c r="X211" s="60"/>
      <c r="Y211" s="59"/>
      <c r="Z211" s="59"/>
      <c r="AA211" s="61"/>
      <c r="AB211" s="61"/>
      <c r="AC211" s="61"/>
      <c r="AD211" s="62"/>
      <c r="AE211" s="61"/>
      <c r="AF211" s="57"/>
      <c r="AG211" s="57"/>
      <c r="AH211" s="57"/>
      <c r="AI211" s="57"/>
      <c r="AJ211" s="63"/>
      <c r="AK211" s="57"/>
      <c r="AL211" s="57"/>
      <c r="AM211" s="64"/>
      <c r="AN211" s="57"/>
      <c r="AO211" s="61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1"/>
      <c r="BK211" s="61"/>
      <c r="BL211" s="21" t="s">
        <v>54</v>
      </c>
      <c r="BO211" s="15"/>
    </row>
    <row r="212" spans="1:67" ht="14.5" customHeight="1">
      <c r="A212" s="6" t="s">
        <v>130</v>
      </c>
      <c r="B212" s="6" t="s">
        <v>137</v>
      </c>
      <c r="C212" s="17">
        <v>32382.68144</v>
      </c>
      <c r="D212" s="18">
        <v>15.2</v>
      </c>
      <c r="E212" s="22">
        <v>51.855566700100297</v>
      </c>
      <c r="F212" s="22">
        <v>517</v>
      </c>
      <c r="G212" s="22"/>
      <c r="H212" s="22"/>
      <c r="I212" s="22"/>
      <c r="J212" s="22"/>
      <c r="K212" s="22"/>
      <c r="L212" s="22"/>
      <c r="M212" s="22"/>
      <c r="N212" s="57"/>
      <c r="O212" s="57"/>
      <c r="P212" s="58"/>
      <c r="Q212" s="58"/>
      <c r="R212" s="58"/>
      <c r="S212" s="58"/>
      <c r="T212" s="58"/>
      <c r="U212" s="58"/>
      <c r="V212" s="59"/>
      <c r="W212" s="59"/>
      <c r="X212" s="60"/>
      <c r="Y212" s="59"/>
      <c r="Z212" s="59"/>
      <c r="AA212" s="61"/>
      <c r="AB212" s="61"/>
      <c r="AC212" s="61"/>
      <c r="AD212" s="62"/>
      <c r="AE212" s="61"/>
      <c r="AF212" s="57"/>
      <c r="AG212" s="57"/>
      <c r="AH212" s="57"/>
      <c r="AI212" s="57"/>
      <c r="AJ212" s="63"/>
      <c r="AK212" s="57"/>
      <c r="AL212" s="57"/>
      <c r="AM212" s="64"/>
      <c r="AN212" s="57"/>
      <c r="AO212" s="61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1"/>
      <c r="BK212" s="61"/>
      <c r="BL212" s="21" t="s">
        <v>54</v>
      </c>
      <c r="BO212" s="15"/>
    </row>
    <row r="213" spans="1:67" ht="14.5" customHeight="1">
      <c r="A213" s="6" t="s">
        <v>130</v>
      </c>
      <c r="B213" s="6" t="s">
        <v>137</v>
      </c>
      <c r="C213" s="17">
        <v>32601.82676</v>
      </c>
      <c r="D213" s="18">
        <v>15.8</v>
      </c>
      <c r="E213" s="22">
        <v>27.983951855566701</v>
      </c>
      <c r="F213" s="22">
        <v>279</v>
      </c>
      <c r="G213" s="22"/>
      <c r="H213" s="22"/>
      <c r="I213" s="22"/>
      <c r="J213" s="22"/>
      <c r="K213" s="22"/>
      <c r="L213" s="22"/>
      <c r="M213" s="22"/>
      <c r="N213" s="57"/>
      <c r="O213" s="57"/>
      <c r="P213" s="58"/>
      <c r="Q213" s="58"/>
      <c r="R213" s="58"/>
      <c r="S213" s="58"/>
      <c r="T213" s="58"/>
      <c r="U213" s="58"/>
      <c r="V213" s="59"/>
      <c r="W213" s="59"/>
      <c r="X213" s="60"/>
      <c r="Y213" s="59"/>
      <c r="Z213" s="59"/>
      <c r="AA213" s="61"/>
      <c r="AB213" s="61"/>
      <c r="AC213" s="61"/>
      <c r="AD213" s="62"/>
      <c r="AE213" s="61"/>
      <c r="AF213" s="57"/>
      <c r="AG213" s="57"/>
      <c r="AH213" s="57"/>
      <c r="AI213" s="57"/>
      <c r="AJ213" s="63"/>
      <c r="AK213" s="57"/>
      <c r="AL213" s="57"/>
      <c r="AM213" s="64"/>
      <c r="AN213" s="57"/>
      <c r="AO213" s="61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1"/>
      <c r="BK213" s="61"/>
      <c r="BL213" s="21" t="s">
        <v>54</v>
      </c>
      <c r="BO213" s="15"/>
    </row>
    <row r="214" spans="1:67">
      <c r="A214" s="6" t="s">
        <v>130</v>
      </c>
      <c r="B214" s="6" t="s">
        <v>137</v>
      </c>
      <c r="C214" s="17">
        <v>34135.843999999997</v>
      </c>
      <c r="D214" s="18">
        <v>20</v>
      </c>
      <c r="E214" s="22">
        <v>27.983951855566701</v>
      </c>
      <c r="F214" s="22">
        <v>279</v>
      </c>
      <c r="G214" s="22"/>
      <c r="H214" s="22"/>
      <c r="I214" s="22"/>
      <c r="J214" s="22"/>
      <c r="K214" s="22"/>
      <c r="L214" s="22"/>
      <c r="M214" s="22"/>
      <c r="N214" s="57"/>
      <c r="O214" s="57"/>
      <c r="P214" s="58"/>
      <c r="Q214" s="58"/>
      <c r="R214" s="58"/>
      <c r="S214" s="58"/>
      <c r="T214" s="58"/>
      <c r="U214" s="58"/>
      <c r="V214" s="59"/>
      <c r="W214" s="59"/>
      <c r="X214" s="60"/>
      <c r="Y214" s="59"/>
      <c r="Z214" s="59"/>
      <c r="AA214" s="61"/>
      <c r="AB214" s="61"/>
      <c r="AC214" s="61"/>
      <c r="AD214" s="62"/>
      <c r="AE214" s="61"/>
      <c r="AF214" s="57"/>
      <c r="AG214" s="57"/>
      <c r="AH214" s="57"/>
      <c r="AI214" s="57"/>
      <c r="AJ214" s="63"/>
      <c r="AK214" s="57"/>
      <c r="AL214" s="57"/>
      <c r="AM214" s="64"/>
      <c r="AN214" s="57"/>
      <c r="AO214" s="61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1"/>
      <c r="BK214" s="61"/>
      <c r="BL214" s="21" t="s">
        <v>54</v>
      </c>
      <c r="BO214" s="15"/>
    </row>
    <row r="215" spans="1:67">
      <c r="A215" s="6" t="s">
        <v>130</v>
      </c>
      <c r="B215" s="6" t="s">
        <v>137</v>
      </c>
      <c r="C215" s="17">
        <v>37057.781600000002</v>
      </c>
      <c r="D215" s="18">
        <v>28</v>
      </c>
      <c r="E215" s="22">
        <v>27.983951855566701</v>
      </c>
      <c r="F215" s="22">
        <v>279</v>
      </c>
      <c r="G215" s="22"/>
      <c r="H215" s="22"/>
      <c r="I215" s="22"/>
      <c r="J215" s="22"/>
      <c r="K215" s="22"/>
      <c r="L215" s="22"/>
      <c r="M215" s="22"/>
      <c r="N215" s="57"/>
      <c r="O215" s="57"/>
      <c r="P215" s="58"/>
      <c r="Q215" s="58"/>
      <c r="R215" s="58"/>
      <c r="S215" s="58"/>
      <c r="T215" s="58"/>
      <c r="U215" s="58"/>
      <c r="V215" s="59"/>
      <c r="W215" s="59"/>
      <c r="X215" s="60"/>
      <c r="Y215" s="59"/>
      <c r="Z215" s="59"/>
      <c r="AA215" s="61"/>
      <c r="AB215" s="61"/>
      <c r="AC215" s="61"/>
      <c r="AD215" s="62"/>
      <c r="AE215" s="61"/>
      <c r="AF215" s="57"/>
      <c r="AG215" s="57"/>
      <c r="AH215" s="57"/>
      <c r="AI215" s="57"/>
      <c r="AJ215" s="63"/>
      <c r="AK215" s="57"/>
      <c r="AL215" s="57"/>
      <c r="AM215" s="64"/>
      <c r="AN215" s="57"/>
      <c r="AO215" s="61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1"/>
      <c r="BK215" s="61"/>
      <c r="BL215" s="21" t="s">
        <v>54</v>
      </c>
      <c r="BO215" s="15"/>
    </row>
    <row r="216" spans="1:67">
      <c r="A216" s="6" t="s">
        <v>131</v>
      </c>
      <c r="B216" s="6" t="s">
        <v>138</v>
      </c>
      <c r="C216" s="17">
        <v>30482.42</v>
      </c>
      <c r="D216" s="18">
        <v>10</v>
      </c>
      <c r="E216" s="22">
        <v>70.511534603811427</v>
      </c>
      <c r="F216" s="22">
        <v>703</v>
      </c>
      <c r="G216" s="22"/>
      <c r="H216" s="22"/>
      <c r="I216" s="22"/>
      <c r="J216" s="22"/>
      <c r="K216" s="22"/>
      <c r="L216" s="22"/>
      <c r="M216" s="22"/>
      <c r="N216" s="57"/>
      <c r="O216" s="57"/>
      <c r="P216" s="58"/>
      <c r="Q216" s="58"/>
      <c r="R216" s="58"/>
      <c r="S216" s="58"/>
      <c r="T216" s="58"/>
      <c r="U216" s="58"/>
      <c r="V216" s="59"/>
      <c r="W216" s="59"/>
      <c r="X216" s="60"/>
      <c r="Y216" s="59"/>
      <c r="Z216" s="59"/>
      <c r="AA216" s="61"/>
      <c r="AB216" s="61"/>
      <c r="AC216" s="61"/>
      <c r="AD216" s="62"/>
      <c r="AE216" s="61"/>
      <c r="AF216" s="57"/>
      <c r="AG216" s="57"/>
      <c r="AH216" s="57"/>
      <c r="AI216" s="57"/>
      <c r="AJ216" s="63"/>
      <c r="AK216" s="57"/>
      <c r="AL216" s="57"/>
      <c r="AM216" s="64"/>
      <c r="AN216" s="57"/>
      <c r="AO216" s="61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1"/>
      <c r="BK216" s="61"/>
      <c r="BL216" s="21" t="s">
        <v>54</v>
      </c>
      <c r="BO216" s="15"/>
    </row>
    <row r="217" spans="1:67" ht="14.5" customHeight="1">
      <c r="A217" s="6" t="s">
        <v>131</v>
      </c>
      <c r="B217" s="6" t="s">
        <v>138</v>
      </c>
      <c r="C217" s="17">
        <v>32382.68144</v>
      </c>
      <c r="D217" s="18">
        <v>15.2</v>
      </c>
      <c r="E217" s="22">
        <v>68.505516549648945</v>
      </c>
      <c r="F217" s="22">
        <v>683</v>
      </c>
      <c r="G217" s="22"/>
      <c r="H217" s="22"/>
      <c r="I217" s="22"/>
      <c r="J217" s="22"/>
      <c r="K217" s="22"/>
      <c r="L217" s="22"/>
      <c r="M217" s="22"/>
      <c r="N217" s="57"/>
      <c r="O217" s="57"/>
      <c r="P217" s="58"/>
      <c r="Q217" s="58"/>
      <c r="R217" s="58"/>
      <c r="S217" s="58"/>
      <c r="T217" s="58"/>
      <c r="U217" s="58"/>
      <c r="V217" s="59"/>
      <c r="W217" s="59"/>
      <c r="X217" s="60"/>
      <c r="Y217" s="59"/>
      <c r="Z217" s="59"/>
      <c r="AA217" s="61"/>
      <c r="AB217" s="61"/>
      <c r="AC217" s="61"/>
      <c r="AD217" s="62"/>
      <c r="AE217" s="61"/>
      <c r="AF217" s="57"/>
      <c r="AG217" s="57"/>
      <c r="AH217" s="57"/>
      <c r="AI217" s="57"/>
      <c r="AJ217" s="63"/>
      <c r="AK217" s="57"/>
      <c r="AL217" s="57"/>
      <c r="AM217" s="64"/>
      <c r="AN217" s="57"/>
      <c r="AO217" s="61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1"/>
      <c r="BK217" s="61"/>
      <c r="BL217" s="21" t="s">
        <v>54</v>
      </c>
      <c r="BO217" s="15"/>
    </row>
    <row r="218" spans="1:67">
      <c r="A218" s="6" t="s">
        <v>131</v>
      </c>
      <c r="B218" s="6" t="s">
        <v>138</v>
      </c>
      <c r="C218" s="17">
        <v>32601.82676</v>
      </c>
      <c r="D218" s="18">
        <v>15.8</v>
      </c>
      <c r="E218" s="22">
        <v>30.491474423269811</v>
      </c>
      <c r="F218" s="22">
        <v>304</v>
      </c>
      <c r="G218" s="22"/>
      <c r="H218" s="22"/>
      <c r="I218" s="22"/>
      <c r="J218" s="22"/>
      <c r="K218" s="22"/>
      <c r="L218" s="22"/>
      <c r="M218" s="22"/>
      <c r="N218" s="57"/>
      <c r="O218" s="57"/>
      <c r="P218" s="58"/>
      <c r="Q218" s="58"/>
      <c r="R218" s="58"/>
      <c r="S218" s="58"/>
      <c r="T218" s="58"/>
      <c r="U218" s="58"/>
      <c r="V218" s="59"/>
      <c r="W218" s="59"/>
      <c r="X218" s="60"/>
      <c r="Y218" s="59"/>
      <c r="Z218" s="59"/>
      <c r="AA218" s="61"/>
      <c r="AB218" s="61"/>
      <c r="AC218" s="61"/>
      <c r="AD218" s="62"/>
      <c r="AE218" s="61"/>
      <c r="AF218" s="57"/>
      <c r="AG218" s="57"/>
      <c r="AH218" s="57"/>
      <c r="AI218" s="57"/>
      <c r="AJ218" s="63"/>
      <c r="AK218" s="57"/>
      <c r="AL218" s="57"/>
      <c r="AM218" s="64"/>
      <c r="AN218" s="57"/>
      <c r="AO218" s="61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1"/>
      <c r="BK218" s="61"/>
      <c r="BL218" s="21" t="s">
        <v>54</v>
      </c>
      <c r="BO218" s="15"/>
    </row>
    <row r="219" spans="1:67" ht="14.5" customHeight="1">
      <c r="A219" s="6" t="s">
        <v>131</v>
      </c>
      <c r="B219" s="6" t="s">
        <v>138</v>
      </c>
      <c r="C219" s="17">
        <v>34135.843999999997</v>
      </c>
      <c r="D219" s="18">
        <v>20</v>
      </c>
      <c r="E219" s="22">
        <v>30.491474423269811</v>
      </c>
      <c r="F219" s="22">
        <v>304</v>
      </c>
      <c r="G219" s="22"/>
      <c r="H219" s="22"/>
      <c r="I219" s="22"/>
      <c r="J219" s="22"/>
      <c r="K219" s="22"/>
      <c r="L219" s="22"/>
      <c r="M219" s="22"/>
      <c r="N219" s="57"/>
      <c r="O219" s="57"/>
      <c r="P219" s="58"/>
      <c r="Q219" s="58"/>
      <c r="R219" s="58"/>
      <c r="S219" s="58"/>
      <c r="T219" s="58"/>
      <c r="U219" s="58"/>
      <c r="V219" s="59"/>
      <c r="W219" s="59"/>
      <c r="X219" s="60"/>
      <c r="Y219" s="59"/>
      <c r="Z219" s="59"/>
      <c r="AA219" s="61"/>
      <c r="AB219" s="61"/>
      <c r="AC219" s="61"/>
      <c r="AD219" s="62"/>
      <c r="AE219" s="61"/>
      <c r="AF219" s="57"/>
      <c r="AG219" s="57"/>
      <c r="AH219" s="57"/>
      <c r="AI219" s="57"/>
      <c r="AJ219" s="63"/>
      <c r="AK219" s="57"/>
      <c r="AL219" s="57"/>
      <c r="AM219" s="64"/>
      <c r="AN219" s="57"/>
      <c r="AO219" s="61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1"/>
      <c r="BK219" s="61"/>
      <c r="BL219" s="21" t="s">
        <v>54</v>
      </c>
      <c r="BO219" s="15"/>
    </row>
    <row r="220" spans="1:67">
      <c r="A220" s="6" t="s">
        <v>131</v>
      </c>
      <c r="B220" s="6" t="s">
        <v>138</v>
      </c>
      <c r="C220" s="17">
        <v>37057.781600000002</v>
      </c>
      <c r="D220" s="18">
        <v>28</v>
      </c>
      <c r="E220" s="22">
        <v>30.491474423269811</v>
      </c>
      <c r="F220" s="22">
        <v>304</v>
      </c>
      <c r="G220" s="22"/>
      <c r="H220" s="22"/>
      <c r="I220" s="22"/>
      <c r="J220" s="22"/>
      <c r="K220" s="22"/>
      <c r="L220" s="22"/>
      <c r="M220" s="22"/>
      <c r="N220" s="57"/>
      <c r="O220" s="57"/>
      <c r="P220" s="58"/>
      <c r="Q220" s="58"/>
      <c r="R220" s="58"/>
      <c r="S220" s="58"/>
      <c r="T220" s="58"/>
      <c r="U220" s="58"/>
      <c r="V220" s="59"/>
      <c r="W220" s="59"/>
      <c r="X220" s="60"/>
      <c r="Y220" s="59"/>
      <c r="Z220" s="59"/>
      <c r="AA220" s="61"/>
      <c r="AB220" s="61"/>
      <c r="AC220" s="61"/>
      <c r="AD220" s="62"/>
      <c r="AE220" s="61"/>
      <c r="AF220" s="57"/>
      <c r="AG220" s="57"/>
      <c r="AH220" s="57"/>
      <c r="AI220" s="57"/>
      <c r="AJ220" s="63"/>
      <c r="AK220" s="57"/>
      <c r="AL220" s="57"/>
      <c r="AM220" s="64"/>
      <c r="AN220" s="57"/>
      <c r="AO220" s="61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1"/>
      <c r="BK220" s="61"/>
      <c r="BL220" s="21" t="s">
        <v>54</v>
      </c>
      <c r="BO220" s="15"/>
    </row>
    <row r="221" spans="1:67" s="1" customFormat="1">
      <c r="A221" s="6" t="s">
        <v>132</v>
      </c>
      <c r="B221" s="6" t="s">
        <v>143</v>
      </c>
      <c r="C221" s="17">
        <v>30482.42</v>
      </c>
      <c r="D221" s="18">
        <v>10</v>
      </c>
      <c r="E221" s="22">
        <v>73.420260782347043</v>
      </c>
      <c r="F221" s="22">
        <v>732</v>
      </c>
      <c r="G221" s="22"/>
      <c r="H221" s="22"/>
      <c r="I221" s="22"/>
      <c r="J221" s="22"/>
      <c r="K221" s="22"/>
      <c r="L221" s="22"/>
      <c r="M221" s="22"/>
      <c r="N221" s="57"/>
      <c r="O221" s="57"/>
      <c r="P221" s="58"/>
      <c r="Q221" s="58"/>
      <c r="R221" s="58"/>
      <c r="S221" s="58"/>
      <c r="T221" s="58"/>
      <c r="U221" s="58"/>
      <c r="V221" s="59"/>
      <c r="W221" s="59"/>
      <c r="X221" s="60"/>
      <c r="Y221" s="59"/>
      <c r="Z221" s="59"/>
      <c r="AA221" s="61"/>
      <c r="AB221" s="61"/>
      <c r="AC221" s="61"/>
      <c r="AD221" s="62"/>
      <c r="AE221" s="61"/>
      <c r="AF221" s="57"/>
      <c r="AG221" s="57"/>
      <c r="AH221" s="57"/>
      <c r="AI221" s="57"/>
      <c r="AJ221" s="63"/>
      <c r="AK221" s="57"/>
      <c r="AL221" s="57"/>
      <c r="AM221" s="64"/>
      <c r="AN221" s="57"/>
      <c r="AO221" s="61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1"/>
      <c r="BK221" s="61"/>
      <c r="BL221" s="21" t="s">
        <v>54</v>
      </c>
      <c r="BO221" s="7"/>
    </row>
    <row r="222" spans="1:67" s="1" customFormat="1" ht="14.5" customHeight="1">
      <c r="A222" s="6" t="s">
        <v>132</v>
      </c>
      <c r="B222" s="6" t="s">
        <v>143</v>
      </c>
      <c r="C222" s="17">
        <v>32382.68144</v>
      </c>
      <c r="D222" s="18">
        <v>15.2</v>
      </c>
      <c r="E222" s="22">
        <v>73.420260782347043</v>
      </c>
      <c r="F222" s="22">
        <v>732</v>
      </c>
      <c r="G222" s="22"/>
      <c r="H222" s="22"/>
      <c r="I222" s="22"/>
      <c r="J222" s="22"/>
      <c r="K222" s="22"/>
      <c r="L222" s="22"/>
      <c r="M222" s="22"/>
      <c r="N222" s="57"/>
      <c r="O222" s="57"/>
      <c r="P222" s="58"/>
      <c r="Q222" s="58"/>
      <c r="R222" s="58"/>
      <c r="S222" s="58"/>
      <c r="T222" s="58"/>
      <c r="U222" s="58"/>
      <c r="V222" s="59"/>
      <c r="W222" s="59"/>
      <c r="X222" s="60"/>
      <c r="Y222" s="59"/>
      <c r="Z222" s="59"/>
      <c r="AA222" s="61"/>
      <c r="AB222" s="61"/>
      <c r="AC222" s="61"/>
      <c r="AD222" s="62"/>
      <c r="AE222" s="61"/>
      <c r="AF222" s="57"/>
      <c r="AG222" s="57"/>
      <c r="AH222" s="57"/>
      <c r="AI222" s="57"/>
      <c r="AJ222" s="63"/>
      <c r="AK222" s="57"/>
      <c r="AL222" s="57"/>
      <c r="AM222" s="64"/>
      <c r="AN222" s="57"/>
      <c r="AO222" s="61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1"/>
      <c r="BK222" s="61"/>
      <c r="BL222" s="21" t="s">
        <v>54</v>
      </c>
      <c r="BO222" s="7"/>
    </row>
    <row r="223" spans="1:67" s="1" customFormat="1">
      <c r="A223" s="6" t="s">
        <v>132</v>
      </c>
      <c r="B223" s="6" t="s">
        <v>143</v>
      </c>
      <c r="C223" s="17">
        <v>32601.82676</v>
      </c>
      <c r="D223" s="18">
        <v>15.8</v>
      </c>
      <c r="E223" s="22">
        <v>39.518555667001003</v>
      </c>
      <c r="F223" s="22">
        <v>394</v>
      </c>
      <c r="G223" s="22"/>
      <c r="H223" s="22"/>
      <c r="I223" s="22"/>
      <c r="J223" s="22"/>
      <c r="K223" s="22"/>
      <c r="L223" s="22"/>
      <c r="M223" s="22"/>
      <c r="N223" s="57"/>
      <c r="O223" s="57"/>
      <c r="P223" s="58"/>
      <c r="Q223" s="58"/>
      <c r="R223" s="58"/>
      <c r="S223" s="58"/>
      <c r="T223" s="58"/>
      <c r="U223" s="58"/>
      <c r="V223" s="59"/>
      <c r="W223" s="59"/>
      <c r="X223" s="60"/>
      <c r="Y223" s="59"/>
      <c r="Z223" s="59"/>
      <c r="AA223" s="61"/>
      <c r="AB223" s="61"/>
      <c r="AC223" s="61"/>
      <c r="AD223" s="62"/>
      <c r="AE223" s="61"/>
      <c r="AF223" s="57"/>
      <c r="AG223" s="57"/>
      <c r="AH223" s="57"/>
      <c r="AI223" s="57"/>
      <c r="AJ223" s="63"/>
      <c r="AK223" s="57"/>
      <c r="AL223" s="57"/>
      <c r="AM223" s="64"/>
      <c r="AN223" s="57"/>
      <c r="AO223" s="61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1"/>
      <c r="BK223" s="61"/>
      <c r="BL223" s="21" t="s">
        <v>54</v>
      </c>
      <c r="BO223" s="7"/>
    </row>
    <row r="224" spans="1:67" s="1" customFormat="1" ht="14.5" customHeight="1">
      <c r="A224" s="6" t="s">
        <v>132</v>
      </c>
      <c r="B224" s="6" t="s">
        <v>143</v>
      </c>
      <c r="C224" s="17">
        <v>34135.843999999997</v>
      </c>
      <c r="D224" s="18">
        <v>20</v>
      </c>
      <c r="E224" s="22">
        <v>39.518555667001003</v>
      </c>
      <c r="F224" s="22">
        <v>394</v>
      </c>
      <c r="G224" s="22"/>
      <c r="H224" s="22"/>
      <c r="I224" s="22"/>
      <c r="J224" s="22"/>
      <c r="K224" s="22"/>
      <c r="L224" s="22"/>
      <c r="M224" s="22"/>
      <c r="N224" s="57"/>
      <c r="O224" s="57"/>
      <c r="P224" s="58"/>
      <c r="Q224" s="58"/>
      <c r="R224" s="58"/>
      <c r="S224" s="58"/>
      <c r="T224" s="58"/>
      <c r="U224" s="58"/>
      <c r="V224" s="59"/>
      <c r="W224" s="59"/>
      <c r="X224" s="60"/>
      <c r="Y224" s="59"/>
      <c r="Z224" s="59"/>
      <c r="AA224" s="61"/>
      <c r="AB224" s="61"/>
      <c r="AC224" s="61"/>
      <c r="AD224" s="62"/>
      <c r="AE224" s="61"/>
      <c r="AF224" s="57"/>
      <c r="AG224" s="57"/>
      <c r="AH224" s="57"/>
      <c r="AI224" s="57"/>
      <c r="AJ224" s="63"/>
      <c r="AK224" s="57"/>
      <c r="AL224" s="57"/>
      <c r="AM224" s="64"/>
      <c r="AN224" s="57"/>
      <c r="AO224" s="61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1"/>
      <c r="BK224" s="61"/>
      <c r="BL224" s="21" t="s">
        <v>54</v>
      </c>
      <c r="BO224" s="7"/>
    </row>
    <row r="225" spans="1:67" s="1" customFormat="1">
      <c r="A225" s="6" t="s">
        <v>132</v>
      </c>
      <c r="B225" s="6" t="s">
        <v>143</v>
      </c>
      <c r="C225" s="17">
        <v>37057.781600000002</v>
      </c>
      <c r="D225" s="18">
        <v>28</v>
      </c>
      <c r="E225" s="22">
        <v>39.518555667001003</v>
      </c>
      <c r="F225" s="22">
        <v>394</v>
      </c>
      <c r="G225" s="22"/>
      <c r="H225" s="22"/>
      <c r="I225" s="22"/>
      <c r="J225" s="22"/>
      <c r="K225" s="22"/>
      <c r="L225" s="22"/>
      <c r="M225" s="22"/>
      <c r="N225" s="57"/>
      <c r="O225" s="57"/>
      <c r="P225" s="58"/>
      <c r="Q225" s="58"/>
      <c r="R225" s="58"/>
      <c r="S225" s="58"/>
      <c r="T225" s="58"/>
      <c r="U225" s="58"/>
      <c r="V225" s="59"/>
      <c r="W225" s="59"/>
      <c r="X225" s="60"/>
      <c r="Y225" s="59"/>
      <c r="Z225" s="59"/>
      <c r="AA225" s="61"/>
      <c r="AB225" s="61"/>
      <c r="AC225" s="61"/>
      <c r="AD225" s="62"/>
      <c r="AE225" s="61"/>
      <c r="AF225" s="57"/>
      <c r="AG225" s="57"/>
      <c r="AH225" s="57"/>
      <c r="AI225" s="57"/>
      <c r="AJ225" s="63"/>
      <c r="AK225" s="57"/>
      <c r="AL225" s="57"/>
      <c r="AM225" s="64"/>
      <c r="AN225" s="57"/>
      <c r="AO225" s="61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1"/>
      <c r="BK225" s="61"/>
      <c r="BL225" s="21" t="s">
        <v>54</v>
      </c>
      <c r="BO225" s="7"/>
    </row>
    <row r="226" spans="1:67" s="1" customFormat="1">
      <c r="A226" s="6" t="s">
        <v>132</v>
      </c>
      <c r="B226" s="6" t="s">
        <v>139</v>
      </c>
      <c r="C226" s="17">
        <v>30482.42</v>
      </c>
      <c r="D226" s="25">
        <v>10</v>
      </c>
      <c r="E226" s="22">
        <v>73.420260782347043</v>
      </c>
      <c r="F226" s="22">
        <v>732</v>
      </c>
      <c r="G226" s="22"/>
      <c r="H226" s="22"/>
      <c r="I226" s="22"/>
      <c r="J226" s="22"/>
      <c r="K226" s="22"/>
      <c r="L226" s="22"/>
      <c r="M226" s="22"/>
      <c r="N226" s="57"/>
      <c r="O226" s="57"/>
      <c r="P226" s="58"/>
      <c r="Q226" s="58"/>
      <c r="R226" s="58"/>
      <c r="S226" s="58"/>
      <c r="T226" s="58"/>
      <c r="U226" s="58"/>
      <c r="V226" s="59"/>
      <c r="W226" s="59"/>
      <c r="X226" s="60"/>
      <c r="Y226" s="59"/>
      <c r="Z226" s="59"/>
      <c r="AA226" s="61"/>
      <c r="AB226" s="61"/>
      <c r="AC226" s="61"/>
      <c r="AD226" s="62"/>
      <c r="AE226" s="61"/>
      <c r="AF226" s="57"/>
      <c r="AG226" s="57"/>
      <c r="AH226" s="57"/>
      <c r="AI226" s="57"/>
      <c r="AJ226" s="63"/>
      <c r="AK226" s="57"/>
      <c r="AL226" s="57"/>
      <c r="AM226" s="64"/>
      <c r="AN226" s="57"/>
      <c r="AO226" s="61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1"/>
      <c r="BK226" s="61"/>
      <c r="BL226" s="21" t="s">
        <v>54</v>
      </c>
      <c r="BO226" s="7"/>
    </row>
    <row r="227" spans="1:67" s="1" customFormat="1" ht="14.5" customHeight="1">
      <c r="A227" s="6" t="s">
        <v>132</v>
      </c>
      <c r="B227" s="6" t="s">
        <v>139</v>
      </c>
      <c r="C227" s="17">
        <v>32382.68144</v>
      </c>
      <c r="D227" s="25">
        <v>15.2</v>
      </c>
      <c r="E227" s="22">
        <v>73.420260782347043</v>
      </c>
      <c r="F227" s="22">
        <v>732</v>
      </c>
      <c r="G227" s="22"/>
      <c r="H227" s="22"/>
      <c r="I227" s="22"/>
      <c r="J227" s="22"/>
      <c r="K227" s="22"/>
      <c r="L227" s="22"/>
      <c r="M227" s="22"/>
      <c r="N227" s="57"/>
      <c r="O227" s="57"/>
      <c r="P227" s="58"/>
      <c r="Q227" s="58"/>
      <c r="R227" s="58"/>
      <c r="S227" s="58"/>
      <c r="T227" s="58"/>
      <c r="U227" s="58"/>
      <c r="V227" s="59"/>
      <c r="W227" s="59"/>
      <c r="X227" s="60"/>
      <c r="Y227" s="59"/>
      <c r="Z227" s="59"/>
      <c r="AA227" s="61"/>
      <c r="AB227" s="61"/>
      <c r="AC227" s="61"/>
      <c r="AD227" s="62"/>
      <c r="AE227" s="61"/>
      <c r="AF227" s="57"/>
      <c r="AG227" s="57"/>
      <c r="AH227" s="57"/>
      <c r="AI227" s="57"/>
      <c r="AJ227" s="63"/>
      <c r="AK227" s="57"/>
      <c r="AL227" s="57"/>
      <c r="AM227" s="64"/>
      <c r="AN227" s="57"/>
      <c r="AO227" s="61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1"/>
      <c r="BK227" s="61"/>
      <c r="BL227" s="21" t="s">
        <v>54</v>
      </c>
      <c r="BO227" s="7"/>
    </row>
    <row r="228" spans="1:67" s="1" customFormat="1" ht="14.5" customHeight="1">
      <c r="A228" s="6" t="s">
        <v>132</v>
      </c>
      <c r="B228" s="6" t="s">
        <v>139</v>
      </c>
      <c r="C228" s="17">
        <v>32601.82676</v>
      </c>
      <c r="D228" s="26">
        <v>15.8</v>
      </c>
      <c r="E228" s="22">
        <v>39.518555667001003</v>
      </c>
      <c r="F228" s="27">
        <v>394</v>
      </c>
      <c r="G228" s="22"/>
      <c r="H228" s="22"/>
      <c r="I228" s="27"/>
      <c r="J228" s="42"/>
      <c r="K228" s="42"/>
      <c r="L228" s="27"/>
      <c r="M228" s="22"/>
      <c r="N228" s="57"/>
      <c r="O228" s="57"/>
      <c r="P228" s="58"/>
      <c r="Q228" s="58"/>
      <c r="R228" s="58"/>
      <c r="S228" s="58"/>
      <c r="T228" s="58"/>
      <c r="U228" s="66"/>
      <c r="V228" s="67"/>
      <c r="W228" s="67"/>
      <c r="X228" s="60"/>
      <c r="Y228" s="67"/>
      <c r="Z228" s="67"/>
      <c r="AA228" s="61"/>
      <c r="AB228" s="61"/>
      <c r="AC228" s="61"/>
      <c r="AD228" s="62"/>
      <c r="AE228" s="61"/>
      <c r="AF228" s="68"/>
      <c r="AG228" s="68"/>
      <c r="AH228" s="68"/>
      <c r="AI228" s="57"/>
      <c r="AJ228" s="63"/>
      <c r="AK228" s="57"/>
      <c r="AL228" s="57"/>
      <c r="AM228" s="64"/>
      <c r="AN228" s="57"/>
      <c r="AO228" s="61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1"/>
      <c r="BK228" s="61"/>
      <c r="BL228" s="21" t="s">
        <v>54</v>
      </c>
      <c r="BO228" s="7"/>
    </row>
    <row r="229" spans="1:67" s="1" customFormat="1" ht="14.5" customHeight="1">
      <c r="A229" s="6" t="s">
        <v>132</v>
      </c>
      <c r="B229" s="6" t="s">
        <v>139</v>
      </c>
      <c r="C229" s="17">
        <v>34135.843999999997</v>
      </c>
      <c r="D229" s="26">
        <v>20</v>
      </c>
      <c r="E229" s="22">
        <v>39.518555667001003</v>
      </c>
      <c r="F229" s="27">
        <v>394</v>
      </c>
      <c r="G229" s="22"/>
      <c r="H229" s="22"/>
      <c r="I229" s="27"/>
      <c r="J229" s="42"/>
      <c r="K229" s="42"/>
      <c r="L229" s="27"/>
      <c r="M229" s="22"/>
      <c r="N229" s="57"/>
      <c r="O229" s="57"/>
      <c r="P229" s="58"/>
      <c r="Q229" s="58"/>
      <c r="R229" s="58"/>
      <c r="S229" s="58"/>
      <c r="T229" s="58"/>
      <c r="U229" s="66"/>
      <c r="V229" s="67"/>
      <c r="W229" s="67"/>
      <c r="X229" s="60"/>
      <c r="Y229" s="67"/>
      <c r="Z229" s="67"/>
      <c r="AA229" s="61"/>
      <c r="AB229" s="61"/>
      <c r="AC229" s="61"/>
      <c r="AD229" s="62"/>
      <c r="AE229" s="61"/>
      <c r="AF229" s="68"/>
      <c r="AG229" s="68"/>
      <c r="AH229" s="68"/>
      <c r="AI229" s="57"/>
      <c r="AJ229" s="63"/>
      <c r="AK229" s="57"/>
      <c r="AL229" s="57"/>
      <c r="AM229" s="64"/>
      <c r="AN229" s="57"/>
      <c r="AO229" s="61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1"/>
      <c r="BK229" s="61"/>
      <c r="BL229" s="21" t="s">
        <v>54</v>
      </c>
      <c r="BO229" s="7"/>
    </row>
    <row r="230" spans="1:67" s="1" customFormat="1">
      <c r="A230" s="6" t="s">
        <v>132</v>
      </c>
      <c r="B230" s="6" t="s">
        <v>139</v>
      </c>
      <c r="C230" s="17">
        <v>37057.781600000002</v>
      </c>
      <c r="D230" s="26">
        <v>28</v>
      </c>
      <c r="E230" s="22">
        <v>39.518555667001003</v>
      </c>
      <c r="F230" s="29">
        <v>394</v>
      </c>
      <c r="G230" s="22"/>
      <c r="H230" s="22"/>
      <c r="I230" s="29"/>
      <c r="J230" s="42"/>
      <c r="K230" s="42"/>
      <c r="L230" s="29"/>
      <c r="M230" s="22"/>
      <c r="N230" s="57"/>
      <c r="O230" s="57"/>
      <c r="P230" s="58"/>
      <c r="Q230" s="58"/>
      <c r="R230" s="58"/>
      <c r="S230" s="58"/>
      <c r="T230" s="58"/>
      <c r="U230" s="69"/>
      <c r="V230" s="70"/>
      <c r="W230" s="70"/>
      <c r="X230" s="60"/>
      <c r="Y230" s="70"/>
      <c r="Z230" s="70"/>
      <c r="AA230" s="61"/>
      <c r="AB230" s="61"/>
      <c r="AC230" s="61"/>
      <c r="AD230" s="62"/>
      <c r="AE230" s="61"/>
      <c r="AF230" s="71"/>
      <c r="AG230" s="71"/>
      <c r="AH230" s="71"/>
      <c r="AI230" s="57"/>
      <c r="AJ230" s="63"/>
      <c r="AK230" s="57"/>
      <c r="AL230" s="57"/>
      <c r="AM230" s="64"/>
      <c r="AN230" s="57"/>
      <c r="AO230" s="61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1"/>
      <c r="BK230" s="61"/>
      <c r="BL230" s="21" t="s">
        <v>54</v>
      </c>
      <c r="BO230" s="7"/>
    </row>
    <row r="231" spans="1:67" ht="14.5" customHeight="1">
      <c r="A231" s="6" t="s">
        <v>134</v>
      </c>
      <c r="B231" s="6" t="s">
        <v>141</v>
      </c>
      <c r="C231" s="17">
        <v>30482.42</v>
      </c>
      <c r="D231" s="26">
        <v>10</v>
      </c>
      <c r="E231" s="22">
        <v>69.508525576730193</v>
      </c>
      <c r="F231" s="27">
        <v>693</v>
      </c>
      <c r="G231" s="22"/>
      <c r="H231" s="22"/>
      <c r="I231" s="27"/>
      <c r="J231" s="42"/>
      <c r="K231" s="42"/>
      <c r="L231" s="27"/>
      <c r="M231" s="22"/>
      <c r="N231" s="57"/>
      <c r="O231" s="57"/>
      <c r="P231" s="58"/>
      <c r="Q231" s="58"/>
      <c r="R231" s="58"/>
      <c r="S231" s="58"/>
      <c r="T231" s="58"/>
      <c r="U231" s="66"/>
      <c r="V231" s="67"/>
      <c r="W231" s="67"/>
      <c r="X231" s="60"/>
      <c r="Y231" s="67"/>
      <c r="Z231" s="67"/>
      <c r="AA231" s="61"/>
      <c r="AB231" s="61"/>
      <c r="AC231" s="61"/>
      <c r="AD231" s="62"/>
      <c r="AE231" s="61"/>
      <c r="AF231" s="68"/>
      <c r="AG231" s="68"/>
      <c r="AH231" s="68"/>
      <c r="AI231" s="57"/>
      <c r="AJ231" s="63"/>
      <c r="AK231" s="57"/>
      <c r="AL231" s="57"/>
      <c r="AM231" s="64"/>
      <c r="AN231" s="57"/>
      <c r="AO231" s="61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1"/>
      <c r="BK231" s="61"/>
      <c r="BL231" s="21" t="s">
        <v>54</v>
      </c>
      <c r="BO231" s="15"/>
    </row>
    <row r="232" spans="1:67">
      <c r="A232" s="6" t="s">
        <v>134</v>
      </c>
      <c r="B232" s="6" t="s">
        <v>141</v>
      </c>
      <c r="C232" s="17">
        <v>32382.68144</v>
      </c>
      <c r="D232" s="26">
        <v>15.2</v>
      </c>
      <c r="E232" s="22">
        <v>69.508525576730193</v>
      </c>
      <c r="F232" s="27">
        <v>693</v>
      </c>
      <c r="G232" s="22"/>
      <c r="H232" s="22"/>
      <c r="I232" s="27"/>
      <c r="J232" s="42"/>
      <c r="K232" s="42"/>
      <c r="L232" s="27"/>
      <c r="M232" s="22"/>
      <c r="N232" s="57"/>
      <c r="O232" s="57"/>
      <c r="P232" s="58"/>
      <c r="Q232" s="58"/>
      <c r="R232" s="58"/>
      <c r="S232" s="58"/>
      <c r="T232" s="58"/>
      <c r="U232" s="66"/>
      <c r="V232" s="67"/>
      <c r="W232" s="67"/>
      <c r="X232" s="60"/>
      <c r="Y232" s="67"/>
      <c r="Z232" s="67"/>
      <c r="AA232" s="61"/>
      <c r="AB232" s="61"/>
      <c r="AC232" s="61"/>
      <c r="AD232" s="62"/>
      <c r="AE232" s="61"/>
      <c r="AF232" s="68"/>
      <c r="AG232" s="68"/>
      <c r="AH232" s="68"/>
      <c r="AI232" s="57"/>
      <c r="AJ232" s="63"/>
      <c r="AK232" s="57"/>
      <c r="AL232" s="57"/>
      <c r="AM232" s="64"/>
      <c r="AN232" s="57"/>
      <c r="AO232" s="61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1"/>
      <c r="BK232" s="61"/>
      <c r="BL232" s="21" t="s">
        <v>54</v>
      </c>
      <c r="BO232" s="15"/>
    </row>
    <row r="233" spans="1:67" ht="14.5" customHeight="1">
      <c r="A233" s="6" t="s">
        <v>134</v>
      </c>
      <c r="B233" s="6" t="s">
        <v>141</v>
      </c>
      <c r="C233" s="17">
        <v>32601.82676</v>
      </c>
      <c r="D233" s="26">
        <v>15.8</v>
      </c>
      <c r="E233" s="22">
        <v>39.819458375125379</v>
      </c>
      <c r="F233" s="27">
        <v>397</v>
      </c>
      <c r="G233" s="22"/>
      <c r="H233" s="22"/>
      <c r="I233" s="27"/>
      <c r="J233" s="42"/>
      <c r="K233" s="42"/>
      <c r="L233" s="27"/>
      <c r="M233" s="22"/>
      <c r="N233" s="57"/>
      <c r="O233" s="57"/>
      <c r="P233" s="58"/>
      <c r="Q233" s="58"/>
      <c r="R233" s="58"/>
      <c r="S233" s="58"/>
      <c r="T233" s="58"/>
      <c r="U233" s="66"/>
      <c r="V233" s="67"/>
      <c r="W233" s="67"/>
      <c r="X233" s="60"/>
      <c r="Y233" s="67"/>
      <c r="Z233" s="67"/>
      <c r="AA233" s="61"/>
      <c r="AB233" s="61"/>
      <c r="AC233" s="61"/>
      <c r="AD233" s="62"/>
      <c r="AE233" s="61"/>
      <c r="AF233" s="68"/>
      <c r="AG233" s="68"/>
      <c r="AH233" s="68"/>
      <c r="AI233" s="57"/>
      <c r="AJ233" s="63"/>
      <c r="AK233" s="57"/>
      <c r="AL233" s="57"/>
      <c r="AM233" s="64"/>
      <c r="AN233" s="57"/>
      <c r="AO233" s="61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1"/>
      <c r="BK233" s="61"/>
      <c r="BL233" s="21" t="s">
        <v>54</v>
      </c>
      <c r="BO233" s="15"/>
    </row>
    <row r="234" spans="1:67">
      <c r="A234" s="6" t="s">
        <v>134</v>
      </c>
      <c r="B234" s="6" t="s">
        <v>141</v>
      </c>
      <c r="C234" s="30">
        <v>34135.843999999997</v>
      </c>
      <c r="D234" s="26">
        <v>20</v>
      </c>
      <c r="E234" s="22">
        <v>38.114343029087259</v>
      </c>
      <c r="F234" s="27">
        <v>380</v>
      </c>
      <c r="G234" s="22"/>
      <c r="H234" s="22"/>
      <c r="I234" s="27"/>
      <c r="J234" s="42"/>
      <c r="K234" s="42"/>
      <c r="L234" s="27"/>
      <c r="M234" s="22"/>
      <c r="N234" s="57"/>
      <c r="O234" s="57"/>
      <c r="P234" s="58"/>
      <c r="Q234" s="58"/>
      <c r="R234" s="58"/>
      <c r="S234" s="66"/>
      <c r="T234" s="66"/>
      <c r="U234" s="66"/>
      <c r="V234" s="67"/>
      <c r="W234" s="67"/>
      <c r="X234" s="60"/>
      <c r="Y234" s="67"/>
      <c r="Z234" s="67"/>
      <c r="AA234" s="61"/>
      <c r="AB234" s="61"/>
      <c r="AC234" s="61"/>
      <c r="AD234" s="62"/>
      <c r="AE234" s="61"/>
      <c r="AF234" s="68"/>
      <c r="AG234" s="68"/>
      <c r="AH234" s="68"/>
      <c r="AI234" s="57"/>
      <c r="AJ234" s="63"/>
      <c r="AK234" s="57"/>
      <c r="AL234" s="57"/>
      <c r="AM234" s="64"/>
      <c r="AN234" s="57"/>
      <c r="AO234" s="61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1"/>
      <c r="BK234" s="61"/>
      <c r="BL234" s="21" t="s">
        <v>54</v>
      </c>
      <c r="BO234" s="15"/>
    </row>
    <row r="235" spans="1:67" ht="14.5" customHeight="1">
      <c r="A235" s="6" t="s">
        <v>134</v>
      </c>
      <c r="B235" s="6" t="s">
        <v>141</v>
      </c>
      <c r="C235" s="30">
        <v>37057.781600000002</v>
      </c>
      <c r="D235" s="26">
        <v>28</v>
      </c>
      <c r="E235" s="22">
        <v>37.211634904714138</v>
      </c>
      <c r="F235" s="27">
        <v>371</v>
      </c>
      <c r="G235" s="22"/>
      <c r="H235" s="22"/>
      <c r="I235" s="27"/>
      <c r="J235" s="42"/>
      <c r="K235" s="42"/>
      <c r="L235" s="27"/>
      <c r="M235" s="22"/>
      <c r="N235" s="57"/>
      <c r="O235" s="57"/>
      <c r="P235" s="58"/>
      <c r="Q235" s="58"/>
      <c r="R235" s="58"/>
      <c r="S235" s="66"/>
      <c r="T235" s="66"/>
      <c r="U235" s="66"/>
      <c r="V235" s="67"/>
      <c r="W235" s="67"/>
      <c r="X235" s="60"/>
      <c r="Y235" s="67"/>
      <c r="Z235" s="67"/>
      <c r="AA235" s="61"/>
      <c r="AB235" s="61"/>
      <c r="AC235" s="61"/>
      <c r="AD235" s="62"/>
      <c r="AE235" s="61"/>
      <c r="AF235" s="68"/>
      <c r="AG235" s="68"/>
      <c r="AH235" s="68"/>
      <c r="AI235" s="57"/>
      <c r="AJ235" s="63"/>
      <c r="AK235" s="57"/>
      <c r="AL235" s="57"/>
      <c r="AM235" s="64"/>
      <c r="AN235" s="57"/>
      <c r="AO235" s="61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1"/>
      <c r="BK235" s="61"/>
      <c r="BL235" s="21" t="s">
        <v>54</v>
      </c>
      <c r="BO235" s="15"/>
    </row>
    <row r="236" spans="1:67">
      <c r="A236" s="6" t="s">
        <v>133</v>
      </c>
      <c r="B236" s="6" t="s">
        <v>140</v>
      </c>
      <c r="C236" s="30">
        <v>30482.42</v>
      </c>
      <c r="D236" s="26">
        <v>10</v>
      </c>
      <c r="E236" s="22">
        <v>79.739217652958871</v>
      </c>
      <c r="F236" s="27">
        <v>795</v>
      </c>
      <c r="G236" s="22"/>
      <c r="H236" s="22"/>
      <c r="I236" s="27"/>
      <c r="J236" s="42"/>
      <c r="K236" s="42"/>
      <c r="L236" s="27"/>
      <c r="M236" s="22"/>
      <c r="N236" s="57"/>
      <c r="O236" s="57"/>
      <c r="P236" s="58"/>
      <c r="Q236" s="58"/>
      <c r="R236" s="58"/>
      <c r="S236" s="66"/>
      <c r="T236" s="66"/>
      <c r="U236" s="66"/>
      <c r="V236" s="67"/>
      <c r="W236" s="67"/>
      <c r="X236" s="60"/>
      <c r="Y236" s="67"/>
      <c r="Z236" s="67"/>
      <c r="AA236" s="61"/>
      <c r="AB236" s="61"/>
      <c r="AC236" s="61"/>
      <c r="AD236" s="62"/>
      <c r="AE236" s="61"/>
      <c r="AF236" s="68"/>
      <c r="AG236" s="68"/>
      <c r="AH236" s="68"/>
      <c r="AI236" s="57"/>
      <c r="AJ236" s="63"/>
      <c r="AK236" s="57"/>
      <c r="AL236" s="57"/>
      <c r="AM236" s="64"/>
      <c r="AN236" s="57"/>
      <c r="AO236" s="61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1"/>
      <c r="BK236" s="61"/>
      <c r="BL236" s="21" t="s">
        <v>54</v>
      </c>
      <c r="BO236" s="15"/>
    </row>
    <row r="237" spans="1:67" ht="14.5" customHeight="1">
      <c r="A237" s="6" t="s">
        <v>133</v>
      </c>
      <c r="B237" s="6" t="s">
        <v>140</v>
      </c>
      <c r="C237" s="30">
        <v>32382.68144</v>
      </c>
      <c r="D237" s="26">
        <v>15.2</v>
      </c>
      <c r="E237" s="22">
        <v>77.733199598796389</v>
      </c>
      <c r="F237" s="27">
        <v>775</v>
      </c>
      <c r="G237" s="22"/>
      <c r="H237" s="22"/>
      <c r="I237" s="27"/>
      <c r="J237" s="42"/>
      <c r="K237" s="42"/>
      <c r="L237" s="27"/>
      <c r="M237" s="22"/>
      <c r="N237" s="57"/>
      <c r="O237" s="57"/>
      <c r="P237" s="58"/>
      <c r="Q237" s="58"/>
      <c r="R237" s="58"/>
      <c r="S237" s="66"/>
      <c r="T237" s="66"/>
      <c r="U237" s="66"/>
      <c r="V237" s="67"/>
      <c r="W237" s="67"/>
      <c r="X237" s="60"/>
      <c r="Y237" s="67"/>
      <c r="Z237" s="67"/>
      <c r="AA237" s="61"/>
      <c r="AB237" s="61"/>
      <c r="AC237" s="61"/>
      <c r="AD237" s="62"/>
      <c r="AE237" s="61"/>
      <c r="AF237" s="68"/>
      <c r="AG237" s="68"/>
      <c r="AH237" s="68"/>
      <c r="AI237" s="57"/>
      <c r="AJ237" s="63"/>
      <c r="AK237" s="57"/>
      <c r="AL237" s="57"/>
      <c r="AM237" s="64"/>
      <c r="AN237" s="57"/>
      <c r="AO237" s="61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1"/>
      <c r="BK237" s="61"/>
      <c r="BL237" s="21" t="s">
        <v>54</v>
      </c>
      <c r="BO237" s="15"/>
    </row>
    <row r="238" spans="1:67">
      <c r="A238" s="6" t="s">
        <v>133</v>
      </c>
      <c r="B238" s="6" t="s">
        <v>140</v>
      </c>
      <c r="C238" s="30">
        <v>32601.82676</v>
      </c>
      <c r="D238" s="26">
        <v>15.8</v>
      </c>
      <c r="E238" s="22">
        <v>42.226680040120364</v>
      </c>
      <c r="F238" s="27">
        <v>421</v>
      </c>
      <c r="G238" s="22"/>
      <c r="H238" s="22"/>
      <c r="I238" s="27"/>
      <c r="J238" s="42"/>
      <c r="K238" s="42"/>
      <c r="L238" s="27"/>
      <c r="M238" s="22"/>
      <c r="N238" s="57"/>
      <c r="O238" s="57"/>
      <c r="P238" s="58"/>
      <c r="Q238" s="58"/>
      <c r="R238" s="58"/>
      <c r="S238" s="66"/>
      <c r="T238" s="66"/>
      <c r="U238" s="66"/>
      <c r="V238" s="67"/>
      <c r="W238" s="67"/>
      <c r="X238" s="60"/>
      <c r="Y238" s="67"/>
      <c r="Z238" s="67"/>
      <c r="AA238" s="61"/>
      <c r="AB238" s="61"/>
      <c r="AC238" s="61"/>
      <c r="AD238" s="62"/>
      <c r="AE238" s="61"/>
      <c r="AF238" s="68"/>
      <c r="AG238" s="68"/>
      <c r="AH238" s="68"/>
      <c r="AI238" s="57"/>
      <c r="AJ238" s="63"/>
      <c r="AK238" s="57"/>
      <c r="AL238" s="57"/>
      <c r="AM238" s="64"/>
      <c r="AN238" s="57"/>
      <c r="AO238" s="61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1"/>
      <c r="BK238" s="61"/>
      <c r="BL238" s="21" t="s">
        <v>54</v>
      </c>
      <c r="BO238" s="15"/>
    </row>
    <row r="239" spans="1:67" ht="14.5" customHeight="1">
      <c r="A239" s="6" t="s">
        <v>133</v>
      </c>
      <c r="B239" s="6" t="s">
        <v>140</v>
      </c>
      <c r="C239" s="30">
        <v>34135.843999999997</v>
      </c>
      <c r="D239" s="26">
        <v>20</v>
      </c>
      <c r="E239" s="22">
        <v>41.223671013039116</v>
      </c>
      <c r="F239" s="27">
        <v>411</v>
      </c>
      <c r="G239" s="22"/>
      <c r="H239" s="22"/>
      <c r="I239" s="27"/>
      <c r="J239" s="42"/>
      <c r="K239" s="42"/>
      <c r="L239" s="27"/>
      <c r="M239" s="22"/>
      <c r="N239" s="57"/>
      <c r="O239" s="57"/>
      <c r="P239" s="58"/>
      <c r="Q239" s="58"/>
      <c r="R239" s="58"/>
      <c r="S239" s="66"/>
      <c r="T239" s="66"/>
      <c r="U239" s="66"/>
      <c r="V239" s="67"/>
      <c r="W239" s="67"/>
      <c r="X239" s="60"/>
      <c r="Y239" s="67"/>
      <c r="Z239" s="67"/>
      <c r="AA239" s="61"/>
      <c r="AB239" s="61"/>
      <c r="AC239" s="61"/>
      <c r="AD239" s="62"/>
      <c r="AE239" s="61"/>
      <c r="AF239" s="68"/>
      <c r="AG239" s="68"/>
      <c r="AH239" s="68"/>
      <c r="AI239" s="57"/>
      <c r="AJ239" s="63"/>
      <c r="AK239" s="57"/>
      <c r="AL239" s="57"/>
      <c r="AM239" s="64"/>
      <c r="AN239" s="57"/>
      <c r="AO239" s="61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1"/>
      <c r="BK239" s="61"/>
      <c r="BL239" s="21" t="s">
        <v>54</v>
      </c>
      <c r="BO239" s="15"/>
    </row>
    <row r="240" spans="1:67">
      <c r="A240" s="6" t="s">
        <v>133</v>
      </c>
      <c r="B240" s="6" t="s">
        <v>140</v>
      </c>
      <c r="C240" s="30">
        <v>37057.781600000002</v>
      </c>
      <c r="D240" s="26">
        <v>28</v>
      </c>
      <c r="E240" s="22">
        <v>41.223671013039116</v>
      </c>
      <c r="F240" s="27">
        <v>411</v>
      </c>
      <c r="G240" s="22"/>
      <c r="H240" s="22"/>
      <c r="I240" s="27"/>
      <c r="J240" s="42"/>
      <c r="K240" s="42"/>
      <c r="L240" s="27"/>
      <c r="M240" s="22"/>
      <c r="N240" s="57"/>
      <c r="O240" s="57"/>
      <c r="P240" s="58"/>
      <c r="Q240" s="58"/>
      <c r="R240" s="58"/>
      <c r="S240" s="66"/>
      <c r="T240" s="66"/>
      <c r="U240" s="66"/>
      <c r="V240" s="67"/>
      <c r="W240" s="67"/>
      <c r="X240" s="60"/>
      <c r="Y240" s="67"/>
      <c r="Z240" s="67"/>
      <c r="AA240" s="61"/>
      <c r="AB240" s="61"/>
      <c r="AC240" s="61"/>
      <c r="AD240" s="62"/>
      <c r="AE240" s="61"/>
      <c r="AF240" s="68"/>
      <c r="AG240" s="68"/>
      <c r="AH240" s="68"/>
      <c r="AI240" s="57"/>
      <c r="AJ240" s="63"/>
      <c r="AK240" s="57"/>
      <c r="AL240" s="57"/>
      <c r="AM240" s="64"/>
      <c r="AN240" s="57"/>
      <c r="AO240" s="61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1"/>
      <c r="BK240" s="61"/>
      <c r="BL240" s="21" t="s">
        <v>54</v>
      </c>
      <c r="BO240" s="15"/>
    </row>
    <row r="241" spans="1:67" ht="14.5" customHeight="1">
      <c r="A241" s="6" t="s">
        <v>129</v>
      </c>
      <c r="B241" s="6" t="s">
        <v>136</v>
      </c>
      <c r="C241" s="17">
        <v>30512</v>
      </c>
      <c r="D241" s="18">
        <v>10.080981879968963</v>
      </c>
      <c r="E241" s="22"/>
      <c r="F241" s="31">
        <v>625</v>
      </c>
      <c r="G241" s="22"/>
      <c r="H241" s="43"/>
      <c r="I241" s="27"/>
      <c r="J241" s="43">
        <v>626.1</v>
      </c>
      <c r="K241" s="43"/>
      <c r="L241" s="27">
        <v>274.60000000000002</v>
      </c>
      <c r="M241" s="22">
        <v>1716.1000000000001</v>
      </c>
      <c r="N241" s="18"/>
      <c r="O241" s="18"/>
      <c r="P241" s="22">
        <v>1990.7000000000003</v>
      </c>
      <c r="Q241" s="22"/>
      <c r="R241" s="22"/>
      <c r="S241" s="27"/>
      <c r="T241" s="27">
        <v>3114.3999999999996</v>
      </c>
      <c r="U241" s="27"/>
      <c r="V241" s="28"/>
      <c r="W241" s="28"/>
      <c r="X241" s="19"/>
      <c r="Y241" s="28"/>
      <c r="Z241" s="28"/>
      <c r="AA241" s="6"/>
      <c r="AB241" s="6"/>
      <c r="AC241" s="6"/>
      <c r="AD241" s="21"/>
      <c r="AE241" s="6"/>
      <c r="AF241" s="41"/>
      <c r="AG241" s="41"/>
      <c r="AH241" s="41"/>
      <c r="AI241" s="18"/>
      <c r="AK241" s="18"/>
      <c r="AL241" s="18"/>
      <c r="AM241" s="40" t="s">
        <v>118</v>
      </c>
      <c r="AN241" s="18"/>
      <c r="AO241" s="6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6"/>
      <c r="BK241" s="6"/>
      <c r="BL241" s="21" t="s">
        <v>55</v>
      </c>
      <c r="BO241" s="15"/>
    </row>
    <row r="242" spans="1:67">
      <c r="A242" s="6" t="s">
        <v>129</v>
      </c>
      <c r="B242" s="6" t="s">
        <v>136</v>
      </c>
      <c r="C242" s="17">
        <v>30878</v>
      </c>
      <c r="D242" s="18">
        <v>11.083056667603032</v>
      </c>
      <c r="E242" s="22"/>
      <c r="F242" s="31">
        <v>625</v>
      </c>
      <c r="G242" s="22"/>
      <c r="H242" s="43"/>
      <c r="I242" s="27"/>
      <c r="J242" s="43">
        <v>1075.9000000000001</v>
      </c>
      <c r="K242" s="43"/>
      <c r="L242" s="27">
        <v>382.1</v>
      </c>
      <c r="M242" s="22">
        <v>2470.9</v>
      </c>
      <c r="N242" s="18"/>
      <c r="O242" s="18"/>
      <c r="P242" s="22">
        <v>2853</v>
      </c>
      <c r="Q242" s="22"/>
      <c r="R242" s="22"/>
      <c r="S242" s="27"/>
      <c r="T242" s="27">
        <v>4654.3999999999996</v>
      </c>
      <c r="U242" s="27"/>
      <c r="V242" s="28"/>
      <c r="W242" s="28"/>
      <c r="X242" s="19"/>
      <c r="Y242" s="28"/>
      <c r="Z242" s="28"/>
      <c r="AA242" s="6"/>
      <c r="AB242" s="6"/>
      <c r="AC242" s="6"/>
      <c r="AD242" s="21"/>
      <c r="AE242" s="6"/>
      <c r="AF242" s="41"/>
      <c r="AG242" s="41"/>
      <c r="AH242" s="41"/>
      <c r="AI242" s="18"/>
      <c r="AK242" s="18"/>
      <c r="AL242" s="18"/>
      <c r="AM242" s="40" t="s">
        <v>118</v>
      </c>
      <c r="AN242" s="18"/>
      <c r="AO242" s="6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6"/>
      <c r="BK242" s="6"/>
      <c r="BL242" s="21" t="s">
        <v>55</v>
      </c>
      <c r="BO242" s="15"/>
    </row>
    <row r="243" spans="1:67" ht="14.5" customHeight="1">
      <c r="A243" s="6" t="s">
        <v>129</v>
      </c>
      <c r="B243" s="6" t="s">
        <v>136</v>
      </c>
      <c r="C243" s="17">
        <v>31243</v>
      </c>
      <c r="D243" s="18">
        <v>12.082393545981269</v>
      </c>
      <c r="E243" s="22"/>
      <c r="F243" s="31">
        <v>625</v>
      </c>
      <c r="G243" s="22"/>
      <c r="H243" s="43"/>
      <c r="I243" s="27"/>
      <c r="J243" s="43">
        <v>1401</v>
      </c>
      <c r="K243" s="43"/>
      <c r="L243" s="27">
        <v>489.59999999999997</v>
      </c>
      <c r="M243" s="22">
        <v>3278.3</v>
      </c>
      <c r="N243" s="18"/>
      <c r="O243" s="18"/>
      <c r="P243" s="22">
        <v>3767.9</v>
      </c>
      <c r="Q243" s="22"/>
      <c r="R243" s="22"/>
      <c r="S243" s="27"/>
      <c r="T243" s="27">
        <v>6052.3</v>
      </c>
      <c r="U243" s="27"/>
      <c r="V243" s="28"/>
      <c r="W243" s="28"/>
      <c r="X243" s="19"/>
      <c r="Y243" s="28"/>
      <c r="Z243" s="28"/>
      <c r="AA243" s="6"/>
      <c r="AB243" s="6"/>
      <c r="AC243" s="6"/>
      <c r="AD243" s="21"/>
      <c r="AE243" s="6"/>
      <c r="AF243" s="41"/>
      <c r="AG243" s="41"/>
      <c r="AH243" s="41"/>
      <c r="AI243" s="18"/>
      <c r="AK243" s="18"/>
      <c r="AL243" s="18"/>
      <c r="AM243" s="40" t="s">
        <v>118</v>
      </c>
      <c r="AN243" s="18"/>
      <c r="AO243" s="6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6"/>
      <c r="BK243" s="6"/>
      <c r="BL243" s="21" t="s">
        <v>55</v>
      </c>
      <c r="BO243" s="15"/>
    </row>
    <row r="244" spans="1:67" ht="14.5" customHeight="1">
      <c r="A244" s="6" t="s">
        <v>129</v>
      </c>
      <c r="B244" s="6" t="s">
        <v>136</v>
      </c>
      <c r="C244" s="17">
        <v>31608</v>
      </c>
      <c r="D244" s="18">
        <v>13.081730424359506</v>
      </c>
      <c r="E244" s="22"/>
      <c r="F244" s="31">
        <v>625</v>
      </c>
      <c r="G244" s="22"/>
      <c r="H244" s="43"/>
      <c r="I244" s="27"/>
      <c r="J244" s="43">
        <v>1691.4</v>
      </c>
      <c r="K244" s="43"/>
      <c r="L244" s="27">
        <v>584.4</v>
      </c>
      <c r="M244" s="22">
        <v>4011.2000000000003</v>
      </c>
      <c r="N244" s="18"/>
      <c r="O244" s="18"/>
      <c r="P244" s="22">
        <v>4595.6000000000004</v>
      </c>
      <c r="Q244" s="22"/>
      <c r="R244" s="22"/>
      <c r="S244" s="27"/>
      <c r="T244" s="27">
        <v>7328.7999999999993</v>
      </c>
      <c r="U244" s="27"/>
      <c r="V244" s="28"/>
      <c r="W244" s="28"/>
      <c r="X244" s="19"/>
      <c r="Y244" s="28"/>
      <c r="Z244" s="28"/>
      <c r="AA244" s="6"/>
      <c r="AB244" s="6"/>
      <c r="AC244" s="6"/>
      <c r="AD244" s="21"/>
      <c r="AE244" s="6"/>
      <c r="AF244" s="41"/>
      <c r="AG244" s="41"/>
      <c r="AH244" s="41"/>
      <c r="AI244" s="18"/>
      <c r="AK244" s="18"/>
      <c r="AL244" s="18"/>
      <c r="AM244" s="40" t="s">
        <v>118</v>
      </c>
      <c r="AN244" s="18"/>
      <c r="AO244" s="6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6"/>
      <c r="BK244" s="6"/>
      <c r="BL244" s="21" t="s">
        <v>55</v>
      </c>
      <c r="BO244" s="15"/>
    </row>
    <row r="245" spans="1:67">
      <c r="A245" s="6" t="s">
        <v>129</v>
      </c>
      <c r="B245" s="6" t="s">
        <v>136</v>
      </c>
      <c r="C245" s="17">
        <v>31973</v>
      </c>
      <c r="D245" s="18">
        <v>14.081067302737743</v>
      </c>
      <c r="E245" s="22"/>
      <c r="F245" s="31">
        <v>625</v>
      </c>
      <c r="G245" s="22"/>
      <c r="H245" s="43"/>
      <c r="I245" s="27"/>
      <c r="J245" s="43">
        <v>2002.9</v>
      </c>
      <c r="K245" s="43"/>
      <c r="L245" s="27">
        <v>689.3</v>
      </c>
      <c r="M245" s="22">
        <v>4840.5999999999995</v>
      </c>
      <c r="N245" s="18"/>
      <c r="O245" s="18"/>
      <c r="P245" s="22">
        <v>5529.9</v>
      </c>
      <c r="Q245" s="22"/>
      <c r="R245" s="22"/>
      <c r="S245" s="27"/>
      <c r="T245" s="27">
        <v>8756.5</v>
      </c>
      <c r="U245" s="27"/>
      <c r="V245" s="28"/>
      <c r="W245" s="28"/>
      <c r="X245" s="19"/>
      <c r="Y245" s="28"/>
      <c r="Z245" s="28"/>
      <c r="AA245" s="6"/>
      <c r="AB245" s="6"/>
      <c r="AC245" s="6"/>
      <c r="AD245" s="21"/>
      <c r="AE245" s="6"/>
      <c r="AF245" s="41"/>
      <c r="AG245" s="41"/>
      <c r="AH245" s="41"/>
      <c r="AI245" s="18"/>
      <c r="AK245" s="18"/>
      <c r="AL245" s="18"/>
      <c r="AM245" s="40" t="s">
        <v>118</v>
      </c>
      <c r="AN245" s="18"/>
      <c r="AO245" s="6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6"/>
      <c r="BK245" s="6"/>
      <c r="BL245" s="21" t="s">
        <v>55</v>
      </c>
      <c r="BO245" s="15"/>
    </row>
    <row r="246" spans="1:67" ht="14.5" customHeight="1">
      <c r="A246" s="6" t="s">
        <v>129</v>
      </c>
      <c r="B246" s="6" t="s">
        <v>136</v>
      </c>
      <c r="C246" s="17">
        <v>33465</v>
      </c>
      <c r="D246" s="18">
        <v>18.166027912437279</v>
      </c>
      <c r="E246" s="22"/>
      <c r="F246" s="31">
        <v>275</v>
      </c>
      <c r="G246" s="22"/>
      <c r="H246" s="44"/>
      <c r="I246" s="27"/>
      <c r="J246" s="44"/>
      <c r="K246" s="44"/>
      <c r="L246" s="27">
        <v>651.1186235732373</v>
      </c>
      <c r="M246" s="22">
        <v>4958.3072573577119</v>
      </c>
      <c r="N246" s="18"/>
      <c r="O246" s="18"/>
      <c r="P246" s="22">
        <v>5609.4258809309495</v>
      </c>
      <c r="Q246" s="22"/>
      <c r="R246" s="22"/>
      <c r="S246" s="27"/>
      <c r="T246" s="27"/>
      <c r="U246" s="27"/>
      <c r="V246" s="28"/>
      <c r="W246" s="28"/>
      <c r="X246" s="19"/>
      <c r="Y246" s="28"/>
      <c r="Z246" s="28"/>
      <c r="AA246" s="6"/>
      <c r="AB246" s="6"/>
      <c r="AC246" s="6"/>
      <c r="AD246" s="21"/>
      <c r="AE246" s="6"/>
      <c r="AF246" s="41"/>
      <c r="AG246" s="41"/>
      <c r="AH246" s="41"/>
      <c r="AI246" s="18"/>
      <c r="AK246" s="18"/>
      <c r="AL246" s="18"/>
      <c r="AM246" s="40" t="s">
        <v>118</v>
      </c>
      <c r="AN246" s="18"/>
      <c r="AO246" s="6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6"/>
      <c r="BK246" s="6"/>
      <c r="BL246" s="21" t="s">
        <v>55</v>
      </c>
      <c r="BO246" s="15"/>
    </row>
    <row r="247" spans="1:67">
      <c r="A247" s="6" t="s">
        <v>129</v>
      </c>
      <c r="B247" s="6" t="s">
        <v>136</v>
      </c>
      <c r="C247" s="17">
        <v>33831</v>
      </c>
      <c r="D247" s="18">
        <v>19.168102700071348</v>
      </c>
      <c r="E247" s="22"/>
      <c r="F247" s="31">
        <v>275</v>
      </c>
      <c r="G247" s="22"/>
      <c r="H247" s="44"/>
      <c r="I247" s="27"/>
      <c r="J247" s="44"/>
      <c r="K247" s="44"/>
      <c r="L247" s="27">
        <v>728.25628536761269</v>
      </c>
      <c r="M247" s="22">
        <v>5613.12978844792</v>
      </c>
      <c r="N247" s="18"/>
      <c r="O247" s="18"/>
      <c r="P247" s="22">
        <v>6341.3860738155327</v>
      </c>
      <c r="Q247" s="22"/>
      <c r="R247" s="22"/>
      <c r="S247" s="27">
        <v>349.35</v>
      </c>
      <c r="T247" s="27"/>
      <c r="U247" s="27"/>
      <c r="V247" s="28"/>
      <c r="W247" s="28"/>
      <c r="X247" s="19"/>
      <c r="Y247" s="28"/>
      <c r="Z247" s="28"/>
      <c r="AA247" s="6"/>
      <c r="AB247" s="6"/>
      <c r="AC247" s="6"/>
      <c r="AD247" s="21"/>
      <c r="AE247" s="6"/>
      <c r="AF247" s="41"/>
      <c r="AG247" s="41"/>
      <c r="AH247" s="41"/>
      <c r="AI247" s="18"/>
      <c r="AK247" s="18"/>
      <c r="AL247" s="18"/>
      <c r="AM247" s="40" t="s">
        <v>118</v>
      </c>
      <c r="AN247" s="18"/>
      <c r="AO247" s="6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6"/>
      <c r="BK247" s="6"/>
      <c r="BL247" s="21" t="s">
        <v>55</v>
      </c>
      <c r="BO247" s="15"/>
    </row>
    <row r="248" spans="1:67">
      <c r="A248" s="6" t="s">
        <v>129</v>
      </c>
      <c r="B248" s="6" t="s">
        <v>136</v>
      </c>
      <c r="C248" s="17">
        <v>34135</v>
      </c>
      <c r="D248" s="18">
        <v>20.000427113843909</v>
      </c>
      <c r="E248" s="22"/>
      <c r="F248" s="31">
        <v>275</v>
      </c>
      <c r="G248" s="22"/>
      <c r="H248" s="43">
        <v>930.00000000000011</v>
      </c>
      <c r="I248" s="27"/>
      <c r="J248" s="43">
        <v>1889.9999999999998</v>
      </c>
      <c r="K248" s="43"/>
      <c r="L248" s="27">
        <v>810</v>
      </c>
      <c r="M248" s="22">
        <v>8390</v>
      </c>
      <c r="N248" s="18"/>
      <c r="O248">
        <v>543.41405788541044</v>
      </c>
      <c r="P248" s="22">
        <v>9200</v>
      </c>
      <c r="Q248" s="22"/>
      <c r="R248" s="22"/>
      <c r="S248" s="27">
        <v>275.59999999999997</v>
      </c>
      <c r="T248" s="27">
        <v>12020</v>
      </c>
      <c r="U248" s="27"/>
      <c r="V248" s="28"/>
      <c r="W248" s="28"/>
      <c r="X248" s="19"/>
      <c r="Y248" s="28"/>
      <c r="Z248" s="28"/>
      <c r="AA248" s="6"/>
      <c r="AB248" s="6"/>
      <c r="AC248" s="6"/>
      <c r="AD248" s="21"/>
      <c r="AE248" s="6"/>
      <c r="AF248" s="41"/>
      <c r="AG248" s="41"/>
      <c r="AH248" s="41"/>
      <c r="AI248" s="18"/>
      <c r="AK248" s="18"/>
      <c r="AL248" s="18"/>
      <c r="AM248" s="40" t="s">
        <v>118</v>
      </c>
      <c r="AN248" s="18"/>
      <c r="AO248" s="6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6"/>
      <c r="BK248" s="6"/>
      <c r="BL248" s="21" t="s">
        <v>55</v>
      </c>
      <c r="BO248" s="15"/>
    </row>
    <row r="249" spans="1:67" ht="14.5" customHeight="1">
      <c r="A249" s="6" t="s">
        <v>129</v>
      </c>
      <c r="B249" s="6" t="s">
        <v>136</v>
      </c>
      <c r="C249" s="17">
        <v>34530</v>
      </c>
      <c r="D249" s="18">
        <v>21.08190126989707</v>
      </c>
      <c r="E249" s="22"/>
      <c r="F249" s="31">
        <v>275</v>
      </c>
      <c r="G249" s="22"/>
      <c r="H249" s="22"/>
      <c r="I249" s="27"/>
      <c r="J249" s="42"/>
      <c r="K249" s="42"/>
      <c r="L249" s="27"/>
      <c r="M249" s="22"/>
      <c r="N249" s="18"/>
      <c r="O249" s="18"/>
      <c r="P249" s="22"/>
      <c r="Q249" s="22"/>
      <c r="R249" s="22"/>
      <c r="S249" s="27"/>
      <c r="T249" s="27"/>
      <c r="U249" s="27"/>
      <c r="V249" s="28"/>
      <c r="W249" s="28"/>
      <c r="X249" s="19"/>
      <c r="Y249" s="28"/>
      <c r="Z249" s="28"/>
      <c r="AA249" s="6"/>
      <c r="AB249" s="6"/>
      <c r="AC249" s="6"/>
      <c r="AD249" s="21"/>
      <c r="AE249" s="6"/>
      <c r="AF249" s="41"/>
      <c r="AG249" s="41"/>
      <c r="AH249" s="41"/>
      <c r="AI249" s="18"/>
      <c r="AK249" s="18"/>
      <c r="AL249" s="18"/>
      <c r="AM249" s="40" t="s">
        <v>118</v>
      </c>
      <c r="AN249" s="18"/>
      <c r="AO249" s="6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6"/>
      <c r="BK249" s="6"/>
      <c r="BL249" s="21" t="s">
        <v>55</v>
      </c>
      <c r="BO249" s="15"/>
    </row>
    <row r="250" spans="1:67">
      <c r="A250" s="6" t="s">
        <v>129</v>
      </c>
      <c r="B250" s="6" t="s">
        <v>136</v>
      </c>
      <c r="C250" s="17">
        <v>34926</v>
      </c>
      <c r="D250" s="18">
        <v>22.166113335206063</v>
      </c>
      <c r="E250" s="22"/>
      <c r="F250" s="31">
        <v>275</v>
      </c>
      <c r="G250" s="22"/>
      <c r="H250" s="22"/>
      <c r="I250" s="27"/>
      <c r="J250" s="42"/>
      <c r="K250" s="42"/>
      <c r="L250" s="27"/>
      <c r="M250" s="22"/>
      <c r="N250" s="18"/>
      <c r="O250" s="18"/>
      <c r="P250" s="22"/>
      <c r="Q250" s="22"/>
      <c r="R250" s="22"/>
      <c r="S250" s="27"/>
      <c r="T250" s="27"/>
      <c r="U250" s="27"/>
      <c r="V250" s="28"/>
      <c r="W250" s="28"/>
      <c r="X250" s="19"/>
      <c r="Y250" s="28"/>
      <c r="Z250" s="28"/>
      <c r="AA250" s="6"/>
      <c r="AB250" s="6"/>
      <c r="AC250" s="6"/>
      <c r="AD250" s="21"/>
      <c r="AE250" s="6"/>
      <c r="AF250" s="41"/>
      <c r="AG250" s="41"/>
      <c r="AH250" s="41"/>
      <c r="AI250" s="18"/>
      <c r="AK250" s="18"/>
      <c r="AL250" s="18"/>
      <c r="AM250" s="40" t="s">
        <v>118</v>
      </c>
      <c r="AN250" s="18"/>
      <c r="AO250" s="6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6"/>
      <c r="BK250" s="6"/>
      <c r="BL250" s="21" t="s">
        <v>55</v>
      </c>
      <c r="BO250" s="15"/>
    </row>
    <row r="251" spans="1:67" ht="14.5" customHeight="1">
      <c r="A251" s="6" t="s">
        <v>129</v>
      </c>
      <c r="B251" s="6" t="s">
        <v>136</v>
      </c>
      <c r="C251" s="17">
        <v>35292</v>
      </c>
      <c r="D251" s="18">
        <v>23.168188122840132</v>
      </c>
      <c r="E251" s="22"/>
      <c r="F251" s="31">
        <v>275</v>
      </c>
      <c r="G251" s="22"/>
      <c r="H251" s="22"/>
      <c r="I251" s="27"/>
      <c r="J251" s="42"/>
      <c r="K251" s="42"/>
      <c r="L251" s="27"/>
      <c r="M251" s="22"/>
      <c r="N251" s="18"/>
      <c r="O251" s="18"/>
      <c r="P251" s="22"/>
      <c r="Q251" s="22"/>
      <c r="R251" s="22"/>
      <c r="S251" s="27"/>
      <c r="T251" s="27"/>
      <c r="U251" s="27"/>
      <c r="V251" s="28"/>
      <c r="W251" s="28"/>
      <c r="X251" s="19"/>
      <c r="Y251" s="28"/>
      <c r="Z251" s="28"/>
      <c r="AA251" s="6"/>
      <c r="AB251" s="6"/>
      <c r="AC251" s="6"/>
      <c r="AD251" s="21"/>
      <c r="AE251" s="6"/>
      <c r="AF251" s="26"/>
      <c r="AG251" s="41"/>
      <c r="AH251" s="41"/>
      <c r="AI251" s="18"/>
      <c r="AK251" s="18"/>
      <c r="AL251" s="18"/>
      <c r="AM251" s="40" t="s">
        <v>118</v>
      </c>
      <c r="AN251" s="18"/>
      <c r="AO251" s="6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6"/>
      <c r="BK251" s="6"/>
      <c r="BL251" s="21" t="s">
        <v>55</v>
      </c>
      <c r="BO251" s="15"/>
    </row>
    <row r="252" spans="1:67">
      <c r="A252" s="6" t="s">
        <v>129</v>
      </c>
      <c r="B252" s="6" t="s">
        <v>136</v>
      </c>
      <c r="C252" s="17">
        <v>35688</v>
      </c>
      <c r="D252" s="18">
        <v>24.252400188149121</v>
      </c>
      <c r="E252" s="22"/>
      <c r="F252" s="31">
        <v>275</v>
      </c>
      <c r="G252" s="22"/>
      <c r="H252" s="22"/>
      <c r="I252" s="27"/>
      <c r="J252" s="42"/>
      <c r="K252" s="42"/>
      <c r="L252" s="27"/>
      <c r="M252" s="22"/>
      <c r="N252" s="18"/>
      <c r="O252" s="18"/>
      <c r="P252" s="22"/>
      <c r="Q252" s="22"/>
      <c r="R252" s="22"/>
      <c r="S252" s="27"/>
      <c r="T252" s="27"/>
      <c r="U252" s="27"/>
      <c r="V252" s="28"/>
      <c r="W252" s="28"/>
      <c r="X252" s="19"/>
      <c r="Y252" s="28"/>
      <c r="Z252" s="28"/>
      <c r="AA252" s="6"/>
      <c r="AB252" s="6"/>
      <c r="AC252" s="6"/>
      <c r="AD252" s="21"/>
      <c r="AE252" s="6"/>
      <c r="AF252" s="26"/>
      <c r="AG252" s="41"/>
      <c r="AH252" s="41"/>
      <c r="AI252" s="18"/>
      <c r="AK252" s="18"/>
      <c r="AL252" s="18"/>
      <c r="AM252" s="40" t="s">
        <v>118</v>
      </c>
      <c r="AN252" s="18"/>
      <c r="AO252" s="6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6"/>
      <c r="BK252" s="6"/>
      <c r="BL252" s="21" t="s">
        <v>55</v>
      </c>
      <c r="BO252" s="15"/>
    </row>
    <row r="253" spans="1:67" ht="14.5" customHeight="1">
      <c r="A253" s="6" t="s">
        <v>129</v>
      </c>
      <c r="B253" s="6" t="s">
        <v>136</v>
      </c>
      <c r="C253" s="17">
        <v>36022</v>
      </c>
      <c r="D253" s="18">
        <v>25.166861879596606</v>
      </c>
      <c r="E253" s="22"/>
      <c r="F253" s="31">
        <v>275</v>
      </c>
      <c r="G253" s="22"/>
      <c r="H253" s="22"/>
      <c r="I253" s="27"/>
      <c r="J253" s="42"/>
      <c r="K253" s="42"/>
      <c r="L253" s="27"/>
      <c r="M253" s="22"/>
      <c r="N253" s="18"/>
      <c r="O253" s="18"/>
      <c r="P253" s="22"/>
      <c r="Q253" s="22"/>
      <c r="R253" s="22"/>
      <c r="S253" s="27"/>
      <c r="T253" s="27"/>
      <c r="U253" s="27"/>
      <c r="V253" s="28"/>
      <c r="W253" s="28"/>
      <c r="X253" s="19"/>
      <c r="Y253" s="28"/>
      <c r="Z253" s="28"/>
      <c r="AA253" s="6"/>
      <c r="AB253" s="6"/>
      <c r="AC253" s="6"/>
      <c r="AD253" s="21"/>
      <c r="AE253" s="6"/>
      <c r="AF253" s="26"/>
      <c r="AG253" s="41"/>
      <c r="AH253" s="41"/>
      <c r="AI253" s="18"/>
      <c r="AK253" s="18"/>
      <c r="AL253" s="18"/>
      <c r="AM253" s="40" t="s">
        <v>118</v>
      </c>
      <c r="AN253" s="18"/>
      <c r="AO253" s="6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6"/>
      <c r="BK253" s="6"/>
      <c r="BL253" s="21" t="s">
        <v>55</v>
      </c>
      <c r="BO253" s="15"/>
    </row>
    <row r="254" spans="1:67">
      <c r="A254" s="6" t="s">
        <v>129</v>
      </c>
      <c r="B254" s="6" t="s">
        <v>136</v>
      </c>
      <c r="C254" s="17">
        <v>36418</v>
      </c>
      <c r="D254" s="18">
        <v>26.251073944905599</v>
      </c>
      <c r="E254" s="22"/>
      <c r="F254" s="31">
        <v>275</v>
      </c>
      <c r="G254" s="22"/>
      <c r="H254" s="22"/>
      <c r="I254" s="27"/>
      <c r="J254" s="42"/>
      <c r="K254" s="42"/>
      <c r="L254" s="27"/>
      <c r="M254" s="22"/>
      <c r="N254" s="18"/>
      <c r="O254" s="18"/>
      <c r="P254" s="22"/>
      <c r="Q254" s="22"/>
      <c r="R254" s="22"/>
      <c r="S254" s="27"/>
      <c r="T254" s="27"/>
      <c r="U254" s="27"/>
      <c r="V254" s="28"/>
      <c r="W254" s="28"/>
      <c r="X254" s="19"/>
      <c r="Y254" s="28"/>
      <c r="Z254" s="28"/>
      <c r="AA254" s="6"/>
      <c r="AB254" s="6"/>
      <c r="AC254" s="6"/>
      <c r="AD254" s="21"/>
      <c r="AE254" s="6"/>
      <c r="AF254" s="26"/>
      <c r="AG254" s="41"/>
      <c r="AH254" s="41"/>
      <c r="AI254" s="18"/>
      <c r="AK254" s="18"/>
      <c r="AL254" s="18"/>
      <c r="AM254" s="40" t="s">
        <v>118</v>
      </c>
      <c r="AN254" s="18"/>
      <c r="AO254" s="6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6"/>
      <c r="BK254" s="6"/>
      <c r="BL254" s="21" t="s">
        <v>55</v>
      </c>
      <c r="BO254" s="15"/>
    </row>
    <row r="255" spans="1:67" ht="14.5" customHeight="1">
      <c r="A255" s="6" t="s">
        <v>129</v>
      </c>
      <c r="B255" s="6" t="s">
        <v>136</v>
      </c>
      <c r="C255" s="17">
        <v>36784</v>
      </c>
      <c r="D255" s="18">
        <v>27.253148732539668</v>
      </c>
      <c r="E255" s="22"/>
      <c r="F255" s="31">
        <v>275</v>
      </c>
      <c r="G255" s="22"/>
      <c r="H255" s="22"/>
      <c r="I255" s="27"/>
      <c r="J255" s="42"/>
      <c r="K255" s="42"/>
      <c r="L255" s="27"/>
      <c r="M255" s="22"/>
      <c r="N255" s="18"/>
      <c r="O255" s="18"/>
      <c r="P255" s="22"/>
      <c r="Q255" s="22"/>
      <c r="R255" s="22"/>
      <c r="S255" s="27"/>
      <c r="T255" s="27"/>
      <c r="U255" s="27"/>
      <c r="V255" s="28"/>
      <c r="W255" s="28"/>
      <c r="X255" s="19"/>
      <c r="Y255" s="28"/>
      <c r="Z255" s="28"/>
      <c r="AA255" s="6"/>
      <c r="AB255" s="6"/>
      <c r="AC255" s="6"/>
      <c r="AD255" s="21"/>
      <c r="AE255" s="6"/>
      <c r="AF255" s="26"/>
      <c r="AG255" s="41"/>
      <c r="AH255" s="41"/>
      <c r="AI255" s="18"/>
      <c r="AK255" s="18"/>
      <c r="AL255" s="18"/>
      <c r="AM255" s="40" t="s">
        <v>118</v>
      </c>
      <c r="AN255" s="18"/>
      <c r="AO255" s="6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6"/>
      <c r="BK255" s="6"/>
      <c r="BL255" s="21" t="s">
        <v>55</v>
      </c>
      <c r="BO255" s="15"/>
    </row>
    <row r="256" spans="1:67">
      <c r="A256" s="6" t="s">
        <v>130</v>
      </c>
      <c r="B256" s="6" t="s">
        <v>137</v>
      </c>
      <c r="C256" s="17">
        <v>30512</v>
      </c>
      <c r="D256" s="18">
        <v>10.080981879968963</v>
      </c>
      <c r="E256" s="22"/>
      <c r="F256" s="31">
        <v>599</v>
      </c>
      <c r="G256" s="22"/>
      <c r="H256" s="43"/>
      <c r="I256" s="27"/>
      <c r="J256" s="43">
        <v>623.70000000000005</v>
      </c>
      <c r="K256" s="43"/>
      <c r="L256" s="27">
        <v>267.5</v>
      </c>
      <c r="M256" s="22">
        <v>1673.4</v>
      </c>
      <c r="N256" s="18"/>
      <c r="O256" s="18"/>
      <c r="P256" s="22">
        <v>1940.9</v>
      </c>
      <c r="Q256" s="22"/>
      <c r="R256" s="22"/>
      <c r="S256" s="27"/>
      <c r="T256" s="27">
        <v>3053.3</v>
      </c>
      <c r="U256" s="27"/>
      <c r="V256" s="28"/>
      <c r="W256" s="28"/>
      <c r="X256" s="19"/>
      <c r="Y256" s="28"/>
      <c r="Z256" s="28"/>
      <c r="AA256" s="6"/>
      <c r="AB256" s="6"/>
      <c r="AC256" s="6"/>
      <c r="AD256" s="21"/>
      <c r="AE256" s="6"/>
      <c r="AF256" s="41"/>
      <c r="AG256" s="41"/>
      <c r="AH256" s="41"/>
      <c r="AI256" s="18"/>
      <c r="AK256" s="18"/>
      <c r="AL256" s="18"/>
      <c r="AM256" s="40" t="s">
        <v>118</v>
      </c>
      <c r="AN256" s="18"/>
      <c r="AO256" s="6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6"/>
      <c r="BK256" s="6"/>
      <c r="BL256" s="21" t="s">
        <v>55</v>
      </c>
      <c r="BO256" s="15"/>
    </row>
    <row r="257" spans="1:67" ht="14.5" customHeight="1">
      <c r="A257" s="6" t="s">
        <v>130</v>
      </c>
      <c r="B257" s="6" t="s">
        <v>137</v>
      </c>
      <c r="C257" s="17">
        <v>30878</v>
      </c>
      <c r="D257" s="18">
        <v>11.083056667603032</v>
      </c>
      <c r="E257" s="22"/>
      <c r="F257" s="31">
        <v>599</v>
      </c>
      <c r="G257" s="22"/>
      <c r="H257" s="43"/>
      <c r="I257" s="27"/>
      <c r="J257" s="43">
        <v>1321.4</v>
      </c>
      <c r="K257" s="43"/>
      <c r="L257" s="27">
        <v>401</v>
      </c>
      <c r="M257" s="22">
        <v>2608</v>
      </c>
      <c r="N257" s="18"/>
      <c r="O257" s="18"/>
      <c r="P257" s="22">
        <v>3009</v>
      </c>
      <c r="Q257" s="22"/>
      <c r="R257" s="22"/>
      <c r="S257" s="27"/>
      <c r="T257" s="27">
        <v>5119.8</v>
      </c>
      <c r="U257" s="27"/>
      <c r="V257" s="28"/>
      <c r="W257" s="28"/>
      <c r="X257" s="19"/>
      <c r="Y257" s="28"/>
      <c r="Z257" s="28"/>
      <c r="AA257" s="6"/>
      <c r="AB257" s="6"/>
      <c r="AC257" s="6"/>
      <c r="AD257" s="21"/>
      <c r="AE257" s="6"/>
      <c r="AF257" s="41"/>
      <c r="AG257" s="41"/>
      <c r="AH257" s="41"/>
      <c r="AI257" s="18"/>
      <c r="AK257" s="18"/>
      <c r="AL257" s="18"/>
      <c r="AM257" s="40" t="s">
        <v>118</v>
      </c>
      <c r="AN257" s="18"/>
      <c r="AO257" s="6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6"/>
      <c r="BK257" s="6"/>
      <c r="BL257" s="21" t="s">
        <v>55</v>
      </c>
      <c r="BO257" s="15"/>
    </row>
    <row r="258" spans="1:67" ht="14.5" customHeight="1">
      <c r="A258" s="6" t="s">
        <v>130</v>
      </c>
      <c r="B258" s="6" t="s">
        <v>137</v>
      </c>
      <c r="C258" s="17">
        <v>31243</v>
      </c>
      <c r="D258" s="18">
        <v>12.082393545981269</v>
      </c>
      <c r="E258" s="22"/>
      <c r="F258" s="31">
        <v>558</v>
      </c>
      <c r="G258" s="22"/>
      <c r="H258" s="43"/>
      <c r="I258" s="27"/>
      <c r="J258" s="43">
        <v>1647.8999999999999</v>
      </c>
      <c r="K258" s="43"/>
      <c r="L258" s="27">
        <v>472.79999999999995</v>
      </c>
      <c r="M258" s="22">
        <v>3166.2</v>
      </c>
      <c r="N258" s="18"/>
      <c r="O258" s="18"/>
      <c r="P258" s="22">
        <v>3639</v>
      </c>
      <c r="Q258" s="22"/>
      <c r="R258" s="22"/>
      <c r="S258" s="27"/>
      <c r="T258" s="27">
        <v>6193.5</v>
      </c>
      <c r="U258" s="27"/>
      <c r="V258" s="28"/>
      <c r="W258" s="28"/>
      <c r="X258" s="19"/>
      <c r="Y258" s="28"/>
      <c r="Z258" s="28"/>
      <c r="AA258" s="6"/>
      <c r="AB258" s="6"/>
      <c r="AC258" s="6"/>
      <c r="AD258" s="21"/>
      <c r="AE258" s="6"/>
      <c r="AF258" s="41"/>
      <c r="AG258" s="41"/>
      <c r="AH258" s="41"/>
      <c r="AI258" s="18"/>
      <c r="AK258" s="18"/>
      <c r="AL258" s="18"/>
      <c r="AM258" s="40" t="s">
        <v>118</v>
      </c>
      <c r="AN258" s="18"/>
      <c r="AO258" s="6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6"/>
      <c r="BK258" s="6"/>
      <c r="BL258" s="21" t="s">
        <v>55</v>
      </c>
      <c r="BO258" s="15"/>
    </row>
    <row r="259" spans="1:67">
      <c r="A259" s="6" t="s">
        <v>130</v>
      </c>
      <c r="B259" s="6" t="s">
        <v>137</v>
      </c>
      <c r="C259" s="17">
        <v>31608</v>
      </c>
      <c r="D259" s="18">
        <v>13.081730424359506</v>
      </c>
      <c r="E259" s="22"/>
      <c r="F259" s="31">
        <v>542</v>
      </c>
      <c r="G259" s="22"/>
      <c r="H259" s="43"/>
      <c r="I259" s="27"/>
      <c r="J259" s="43">
        <v>2077.1</v>
      </c>
      <c r="K259" s="43"/>
      <c r="L259" s="27">
        <v>566.09999999999991</v>
      </c>
      <c r="M259" s="22">
        <v>3887.1000000000004</v>
      </c>
      <c r="N259" s="18"/>
      <c r="O259" s="18"/>
      <c r="P259" s="22">
        <v>4453.2000000000007</v>
      </c>
      <c r="Q259" s="22"/>
      <c r="R259" s="22"/>
      <c r="S259" s="27"/>
      <c r="T259" s="27">
        <v>7634.9000000000005</v>
      </c>
      <c r="U259" s="27"/>
      <c r="V259" s="28"/>
      <c r="W259" s="28"/>
      <c r="X259" s="19"/>
      <c r="Y259" s="28"/>
      <c r="Z259" s="28"/>
      <c r="AA259" s="6"/>
      <c r="AB259" s="6"/>
      <c r="AC259" s="6"/>
      <c r="AD259" s="21"/>
      <c r="AE259" s="6"/>
      <c r="AF259" s="41"/>
      <c r="AG259" s="41"/>
      <c r="AH259" s="41"/>
      <c r="AI259" s="18"/>
      <c r="AK259" s="18"/>
      <c r="AL259" s="18"/>
      <c r="AM259" s="40" t="s">
        <v>118</v>
      </c>
      <c r="AN259" s="18"/>
      <c r="AO259" s="6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6"/>
      <c r="BK259" s="6"/>
      <c r="BL259" s="21" t="s">
        <v>55</v>
      </c>
      <c r="BO259" s="15"/>
    </row>
    <row r="260" spans="1:67" ht="14.5" customHeight="1">
      <c r="A260" s="6" t="s">
        <v>130</v>
      </c>
      <c r="B260" s="6" t="s">
        <v>137</v>
      </c>
      <c r="C260" s="17">
        <v>31973</v>
      </c>
      <c r="D260" s="18">
        <v>14.081067302737743</v>
      </c>
      <c r="E260" s="22"/>
      <c r="F260" s="31">
        <v>534</v>
      </c>
      <c r="G260" s="22"/>
      <c r="H260" s="43"/>
      <c r="I260" s="27"/>
      <c r="J260" s="43">
        <v>2539</v>
      </c>
      <c r="K260" s="43"/>
      <c r="L260" s="27">
        <v>661.1</v>
      </c>
      <c r="M260" s="22">
        <v>4630.2</v>
      </c>
      <c r="N260" s="18"/>
      <c r="O260" s="18"/>
      <c r="P260" s="22">
        <v>5291.3</v>
      </c>
      <c r="Q260" s="22"/>
      <c r="R260" s="22"/>
      <c r="S260" s="27"/>
      <c r="T260" s="27">
        <v>9433.5</v>
      </c>
      <c r="U260" s="27"/>
      <c r="V260" s="28"/>
      <c r="W260" s="28"/>
      <c r="X260" s="19"/>
      <c r="Y260" s="28"/>
      <c r="Z260" s="28"/>
      <c r="AA260" s="6"/>
      <c r="AB260" s="6"/>
      <c r="AC260" s="6"/>
      <c r="AD260" s="21"/>
      <c r="AE260" s="6"/>
      <c r="AF260" s="41"/>
      <c r="AG260" s="41"/>
      <c r="AH260" s="41"/>
      <c r="AI260" s="18"/>
      <c r="AK260" s="18"/>
      <c r="AL260" s="18"/>
      <c r="AM260" s="40" t="s">
        <v>118</v>
      </c>
      <c r="AN260" s="18"/>
      <c r="AO260" s="6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6"/>
      <c r="BK260" s="6"/>
      <c r="BL260" s="21" t="s">
        <v>55</v>
      </c>
      <c r="BO260" s="15"/>
    </row>
    <row r="261" spans="1:67">
      <c r="A261" s="6" t="s">
        <v>130</v>
      </c>
      <c r="B261" s="6" t="s">
        <v>137</v>
      </c>
      <c r="C261" s="17">
        <v>33465</v>
      </c>
      <c r="D261" s="18">
        <v>18.166027912437279</v>
      </c>
      <c r="E261" s="22"/>
      <c r="F261" s="31">
        <v>279</v>
      </c>
      <c r="G261" s="22"/>
      <c r="H261" s="44"/>
      <c r="I261" s="27"/>
      <c r="J261" s="44"/>
      <c r="K261" s="44"/>
      <c r="L261" s="27">
        <v>656.57619873893691</v>
      </c>
      <c r="M261" s="22">
        <v>4954.6464651974002</v>
      </c>
      <c r="N261" s="18"/>
      <c r="O261" s="18"/>
      <c r="P261" s="22">
        <v>5611.2226639363371</v>
      </c>
      <c r="Q261" s="22"/>
      <c r="R261" s="22"/>
      <c r="S261" s="27"/>
      <c r="T261" s="27"/>
      <c r="U261" s="27"/>
      <c r="V261" s="28"/>
      <c r="W261" s="28"/>
      <c r="X261" s="19"/>
      <c r="Y261" s="28"/>
      <c r="Z261" s="28"/>
      <c r="AA261" s="6"/>
      <c r="AB261" s="6"/>
      <c r="AC261" s="6"/>
      <c r="AD261" s="21"/>
      <c r="AE261" s="6"/>
      <c r="AF261" s="41"/>
      <c r="AG261" s="41"/>
      <c r="AH261" s="41"/>
      <c r="AI261" s="18"/>
      <c r="AK261" s="18"/>
      <c r="AL261" s="18"/>
      <c r="AM261" s="40" t="s">
        <v>118</v>
      </c>
      <c r="AN261" s="18"/>
      <c r="AO261" s="6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6"/>
      <c r="BK261" s="6"/>
      <c r="BL261" s="21" t="s">
        <v>55</v>
      </c>
      <c r="BO261" s="15"/>
    </row>
    <row r="262" spans="1:67" ht="14.5" customHeight="1">
      <c r="A262" s="6" t="s">
        <v>130</v>
      </c>
      <c r="B262" s="6" t="s">
        <v>137</v>
      </c>
      <c r="C262" s="17">
        <v>33831</v>
      </c>
      <c r="D262" s="18">
        <v>19.168102700071348</v>
      </c>
      <c r="E262" s="22"/>
      <c r="F262" s="31">
        <v>279</v>
      </c>
      <c r="G262" s="22"/>
      <c r="H262" s="44"/>
      <c r="I262" s="27"/>
      <c r="J262" s="42"/>
      <c r="K262" s="42"/>
      <c r="L262" s="27">
        <v>735.91221201148528</v>
      </c>
      <c r="M262" s="22">
        <v>5620.2333534752424</v>
      </c>
      <c r="N262" s="18"/>
      <c r="O262" s="18"/>
      <c r="P262" s="22">
        <v>6356.1455654867277</v>
      </c>
      <c r="Q262" s="22"/>
      <c r="R262" s="22"/>
      <c r="S262" s="27"/>
      <c r="T262" s="27"/>
      <c r="U262" s="27"/>
      <c r="V262" s="28"/>
      <c r="W262" s="28"/>
      <c r="X262" s="19"/>
      <c r="Y262" s="28"/>
      <c r="Z262" s="28"/>
      <c r="AA262" s="6"/>
      <c r="AB262" s="6"/>
      <c r="AC262" s="6"/>
      <c r="AD262" s="21"/>
      <c r="AE262" s="6"/>
      <c r="AF262" s="41"/>
      <c r="AG262" s="41"/>
      <c r="AH262" s="41"/>
      <c r="AI262" s="18"/>
      <c r="AK262" s="18"/>
      <c r="AL262" s="18"/>
      <c r="AM262" s="40" t="s">
        <v>118</v>
      </c>
      <c r="AN262" s="18"/>
      <c r="AO262" s="6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6"/>
      <c r="BK262" s="6"/>
      <c r="BL262" s="21" t="s">
        <v>55</v>
      </c>
      <c r="BO262" s="15"/>
    </row>
    <row r="263" spans="1:67">
      <c r="A263" s="6" t="s">
        <v>130</v>
      </c>
      <c r="B263" s="6" t="s">
        <v>137</v>
      </c>
      <c r="C263" s="17">
        <v>34135</v>
      </c>
      <c r="D263" s="18">
        <v>20.000427113843909</v>
      </c>
      <c r="E263" s="22"/>
      <c r="F263" s="31">
        <v>279</v>
      </c>
      <c r="G263" s="22"/>
      <c r="H263" s="44"/>
      <c r="I263" s="27"/>
      <c r="J263" s="42"/>
      <c r="K263" s="42"/>
      <c r="L263" s="27">
        <v>814.23965222103027</v>
      </c>
      <c r="M263" s="22">
        <v>6306.8648244320248</v>
      </c>
      <c r="N263" s="18"/>
      <c r="O263" s="18">
        <v>413.29683555734505</v>
      </c>
      <c r="P263" s="22">
        <v>7121.1044766530549</v>
      </c>
      <c r="Q263" s="22"/>
      <c r="R263" s="22"/>
      <c r="S263" s="27">
        <v>213.91</v>
      </c>
      <c r="T263" s="27"/>
      <c r="U263" s="27"/>
      <c r="V263" s="28"/>
      <c r="W263" s="28"/>
      <c r="X263" s="19"/>
      <c r="Y263" s="28"/>
      <c r="Z263" s="28"/>
      <c r="AA263" s="6"/>
      <c r="AB263" s="6"/>
      <c r="AC263" s="6"/>
      <c r="AD263" s="21"/>
      <c r="AE263" s="6"/>
      <c r="AF263" s="41"/>
      <c r="AG263" s="41"/>
      <c r="AH263" s="41"/>
      <c r="AI263" s="18"/>
      <c r="AK263" s="18"/>
      <c r="AL263" s="18"/>
      <c r="AM263" s="40" t="s">
        <v>118</v>
      </c>
      <c r="AN263" s="18"/>
      <c r="AO263" s="6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6"/>
      <c r="BK263" s="6"/>
      <c r="BL263" s="21" t="s">
        <v>55</v>
      </c>
      <c r="BO263" s="15"/>
    </row>
    <row r="264" spans="1:67" ht="14.5" customHeight="1">
      <c r="A264" s="6" t="s">
        <v>130</v>
      </c>
      <c r="B264" s="6" t="s">
        <v>137</v>
      </c>
      <c r="C264" s="17">
        <v>34530</v>
      </c>
      <c r="D264" s="18">
        <v>21.08190126989707</v>
      </c>
      <c r="E264" s="22"/>
      <c r="F264" s="31">
        <v>279</v>
      </c>
      <c r="G264" s="22"/>
      <c r="H264" s="22"/>
      <c r="I264" s="27"/>
      <c r="J264" s="42"/>
      <c r="K264" s="42"/>
      <c r="L264" s="27"/>
      <c r="M264" s="22"/>
      <c r="N264" s="18"/>
      <c r="O264" s="18"/>
      <c r="P264" s="22"/>
      <c r="Q264" s="22"/>
      <c r="R264" s="22"/>
      <c r="S264" s="27"/>
      <c r="T264" s="27"/>
      <c r="U264" s="27"/>
      <c r="V264" s="28"/>
      <c r="W264" s="28"/>
      <c r="X264" s="19"/>
      <c r="Y264" s="28"/>
      <c r="Z264" s="28"/>
      <c r="AA264" s="6"/>
      <c r="AB264" s="6"/>
      <c r="AC264" s="6"/>
      <c r="AD264" s="21"/>
      <c r="AE264" s="6"/>
      <c r="AF264" s="26"/>
      <c r="AG264" s="41"/>
      <c r="AH264" s="41"/>
      <c r="AI264" s="18"/>
      <c r="AK264" s="18"/>
      <c r="AL264" s="18"/>
      <c r="AM264" s="40" t="s">
        <v>118</v>
      </c>
      <c r="AN264" s="18"/>
      <c r="AO264" s="6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6"/>
      <c r="BK264" s="6"/>
      <c r="BL264" s="21" t="s">
        <v>55</v>
      </c>
      <c r="BO264" s="15"/>
    </row>
    <row r="265" spans="1:67">
      <c r="A265" s="6" t="s">
        <v>130</v>
      </c>
      <c r="B265" s="6" t="s">
        <v>137</v>
      </c>
      <c r="C265" s="17">
        <v>34926</v>
      </c>
      <c r="D265" s="18">
        <v>22.166113335206063</v>
      </c>
      <c r="E265" s="22"/>
      <c r="F265" s="31">
        <v>279</v>
      </c>
      <c r="G265" s="22"/>
      <c r="H265" s="22"/>
      <c r="I265" s="27"/>
      <c r="J265" s="42"/>
      <c r="K265" s="42"/>
      <c r="L265" s="27"/>
      <c r="M265" s="22"/>
      <c r="N265" s="18"/>
      <c r="O265" s="18"/>
      <c r="P265" s="22"/>
      <c r="Q265" s="22"/>
      <c r="R265" s="22"/>
      <c r="S265" s="27"/>
      <c r="T265" s="27"/>
      <c r="U265" s="27"/>
      <c r="V265" s="28"/>
      <c r="W265" s="28"/>
      <c r="X265" s="19"/>
      <c r="Y265" s="28"/>
      <c r="Z265" s="28"/>
      <c r="AA265" s="6"/>
      <c r="AB265" s="6"/>
      <c r="AC265" s="6"/>
      <c r="AD265" s="21"/>
      <c r="AE265" s="6"/>
      <c r="AF265" s="26"/>
      <c r="AG265" s="41"/>
      <c r="AH265" s="41"/>
      <c r="AI265" s="18"/>
      <c r="AK265" s="18"/>
      <c r="AL265" s="18"/>
      <c r="AM265" s="40" t="s">
        <v>118</v>
      </c>
      <c r="AN265" s="18"/>
      <c r="AO265" s="6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6"/>
      <c r="BK265" s="6"/>
      <c r="BL265" s="21" t="s">
        <v>55</v>
      </c>
      <c r="BO265" s="15"/>
    </row>
    <row r="266" spans="1:67" ht="14.5" customHeight="1">
      <c r="A266" s="6" t="s">
        <v>130</v>
      </c>
      <c r="B266" s="6" t="s">
        <v>137</v>
      </c>
      <c r="C266" s="17">
        <v>35292</v>
      </c>
      <c r="D266" s="18">
        <v>23.168188122840132</v>
      </c>
      <c r="E266" s="22"/>
      <c r="F266" s="31">
        <v>279</v>
      </c>
      <c r="G266" s="22"/>
      <c r="H266" s="22"/>
      <c r="I266" s="27"/>
      <c r="J266" s="42"/>
      <c r="K266" s="42"/>
      <c r="L266" s="27"/>
      <c r="M266" s="22"/>
      <c r="N266" s="18"/>
      <c r="O266" s="18"/>
      <c r="P266" s="22"/>
      <c r="Q266" s="22"/>
      <c r="R266" s="22"/>
      <c r="S266" s="27"/>
      <c r="T266" s="27"/>
      <c r="U266" s="27"/>
      <c r="V266" s="28"/>
      <c r="W266" s="28"/>
      <c r="X266" s="19"/>
      <c r="Y266" s="28"/>
      <c r="Z266" s="28"/>
      <c r="AA266" s="6"/>
      <c r="AB266" s="6"/>
      <c r="AC266" s="6"/>
      <c r="AD266" s="21"/>
      <c r="AE266" s="6"/>
      <c r="AF266" s="26"/>
      <c r="AG266" s="41"/>
      <c r="AH266" s="41"/>
      <c r="AI266" s="18"/>
      <c r="AK266" s="18"/>
      <c r="AL266" s="18"/>
      <c r="AM266" s="40" t="s">
        <v>118</v>
      </c>
      <c r="AN266" s="18"/>
      <c r="AO266" s="6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6"/>
      <c r="BK266" s="6"/>
      <c r="BL266" s="21" t="s">
        <v>55</v>
      </c>
      <c r="BO266" s="15"/>
    </row>
    <row r="267" spans="1:67">
      <c r="A267" s="6" t="s">
        <v>130</v>
      </c>
      <c r="B267" s="6" t="s">
        <v>137</v>
      </c>
      <c r="C267" s="17">
        <v>35688</v>
      </c>
      <c r="D267" s="18">
        <v>24.252400188149121</v>
      </c>
      <c r="E267" s="22"/>
      <c r="F267" s="31">
        <v>279</v>
      </c>
      <c r="G267" s="22"/>
      <c r="H267" s="22"/>
      <c r="I267" s="27"/>
      <c r="J267" s="42"/>
      <c r="K267" s="42"/>
      <c r="L267" s="27"/>
      <c r="M267" s="22"/>
      <c r="N267" s="18"/>
      <c r="O267" s="18"/>
      <c r="P267" s="22"/>
      <c r="Q267" s="22"/>
      <c r="R267" s="22"/>
      <c r="S267" s="27"/>
      <c r="T267" s="27"/>
      <c r="U267" s="27"/>
      <c r="V267" s="28"/>
      <c r="W267" s="28"/>
      <c r="X267" s="19"/>
      <c r="Y267" s="28"/>
      <c r="Z267" s="28"/>
      <c r="AA267" s="6"/>
      <c r="AB267" s="6"/>
      <c r="AC267" s="6"/>
      <c r="AD267" s="21"/>
      <c r="AE267" s="6"/>
      <c r="AF267" s="26"/>
      <c r="AG267" s="41"/>
      <c r="AH267" s="41"/>
      <c r="AI267" s="18"/>
      <c r="AK267" s="18"/>
      <c r="AL267" s="18"/>
      <c r="AM267" s="40" t="s">
        <v>118</v>
      </c>
      <c r="AN267" s="18"/>
      <c r="AO267" s="6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6"/>
      <c r="BK267" s="6"/>
      <c r="BL267" s="21" t="s">
        <v>55</v>
      </c>
      <c r="BO267" s="15"/>
    </row>
    <row r="268" spans="1:67">
      <c r="A268" s="6" t="s">
        <v>130</v>
      </c>
      <c r="B268" s="6" t="s">
        <v>137</v>
      </c>
      <c r="C268" s="17">
        <v>36022</v>
      </c>
      <c r="D268" s="18">
        <v>25.166861879596606</v>
      </c>
      <c r="E268" s="22"/>
      <c r="F268" s="31">
        <v>279</v>
      </c>
      <c r="G268" s="22"/>
      <c r="H268" s="22"/>
      <c r="I268" s="27"/>
      <c r="J268" s="42"/>
      <c r="K268" s="42"/>
      <c r="L268" s="27"/>
      <c r="M268" s="22"/>
      <c r="N268" s="18"/>
      <c r="O268" s="18"/>
      <c r="P268" s="22"/>
      <c r="Q268" s="22"/>
      <c r="R268" s="22"/>
      <c r="S268" s="27"/>
      <c r="T268" s="27"/>
      <c r="U268" s="27"/>
      <c r="V268" s="28"/>
      <c r="W268" s="28"/>
      <c r="X268" s="19"/>
      <c r="Y268" s="28"/>
      <c r="Z268" s="28"/>
      <c r="AA268" s="6"/>
      <c r="AB268" s="6"/>
      <c r="AC268" s="6"/>
      <c r="AD268" s="21"/>
      <c r="AE268" s="6"/>
      <c r="AF268" s="26"/>
      <c r="AG268" s="41"/>
      <c r="AH268" s="41"/>
      <c r="AI268" s="18"/>
      <c r="AK268" s="18"/>
      <c r="AL268" s="18"/>
      <c r="AM268" s="40" t="s">
        <v>118</v>
      </c>
      <c r="AN268" s="18"/>
      <c r="AO268" s="6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6"/>
      <c r="BK268" s="6"/>
      <c r="BL268" s="21" t="s">
        <v>55</v>
      </c>
      <c r="BO268" s="15"/>
    </row>
    <row r="269" spans="1:67" ht="14.5" customHeight="1">
      <c r="A269" s="6" t="s">
        <v>130</v>
      </c>
      <c r="B269" s="6" t="s">
        <v>137</v>
      </c>
      <c r="C269" s="17">
        <v>36418</v>
      </c>
      <c r="D269" s="18">
        <v>26.251073944905599</v>
      </c>
      <c r="E269" s="22"/>
      <c r="F269" s="31">
        <v>279</v>
      </c>
      <c r="G269" s="22"/>
      <c r="H269" s="22"/>
      <c r="I269" s="27"/>
      <c r="J269" s="42"/>
      <c r="K269" s="42"/>
      <c r="L269" s="27"/>
      <c r="M269" s="22"/>
      <c r="N269" s="18"/>
      <c r="O269" s="18"/>
      <c r="P269" s="22"/>
      <c r="Q269" s="22"/>
      <c r="R269" s="22"/>
      <c r="S269" s="27"/>
      <c r="T269" s="27"/>
      <c r="U269" s="27"/>
      <c r="V269" s="28"/>
      <c r="W269" s="28"/>
      <c r="X269" s="19"/>
      <c r="Y269" s="28"/>
      <c r="Z269" s="28"/>
      <c r="AA269" s="6"/>
      <c r="AB269" s="6"/>
      <c r="AC269" s="6"/>
      <c r="AD269" s="21"/>
      <c r="AE269" s="6"/>
      <c r="AF269" s="26"/>
      <c r="AG269" s="41"/>
      <c r="AH269" s="41"/>
      <c r="AI269" s="18"/>
      <c r="AK269" s="18"/>
      <c r="AL269" s="18"/>
      <c r="AM269" s="40" t="s">
        <v>118</v>
      </c>
      <c r="AN269" s="18"/>
      <c r="AO269" s="6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6"/>
      <c r="BK269" s="6"/>
      <c r="BL269" s="21" t="s">
        <v>55</v>
      </c>
      <c r="BO269" s="15"/>
    </row>
    <row r="270" spans="1:67">
      <c r="A270" s="6" t="s">
        <v>130</v>
      </c>
      <c r="B270" s="6" t="s">
        <v>137</v>
      </c>
      <c r="C270" s="17">
        <v>36784</v>
      </c>
      <c r="D270" s="18">
        <v>27.253148732539668</v>
      </c>
      <c r="E270" s="22"/>
      <c r="F270" s="31">
        <v>279</v>
      </c>
      <c r="G270" s="22"/>
      <c r="H270" s="22"/>
      <c r="I270" s="27"/>
      <c r="J270" s="42"/>
      <c r="K270" s="42"/>
      <c r="L270" s="27"/>
      <c r="M270" s="22"/>
      <c r="N270" s="18"/>
      <c r="O270" s="18"/>
      <c r="P270" s="22"/>
      <c r="Q270" s="22"/>
      <c r="R270" s="22"/>
      <c r="S270" s="27"/>
      <c r="T270" s="27"/>
      <c r="U270" s="27"/>
      <c r="V270" s="28"/>
      <c r="W270" s="28"/>
      <c r="X270" s="19"/>
      <c r="Y270" s="28"/>
      <c r="Z270" s="28"/>
      <c r="AA270" s="6"/>
      <c r="AB270" s="6"/>
      <c r="AC270" s="6"/>
      <c r="AD270" s="21"/>
      <c r="AE270" s="6"/>
      <c r="AF270" s="26"/>
      <c r="AG270" s="41"/>
      <c r="AH270" s="41"/>
      <c r="AI270" s="18"/>
      <c r="AK270" s="18"/>
      <c r="AL270" s="18"/>
      <c r="AM270" s="40" t="s">
        <v>118</v>
      </c>
      <c r="AN270" s="18"/>
      <c r="AO270" s="6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6"/>
      <c r="BK270" s="6"/>
      <c r="BL270" s="21" t="s">
        <v>55</v>
      </c>
      <c r="BO270" s="15"/>
    </row>
    <row r="271" spans="1:67">
      <c r="A271" s="6" t="s">
        <v>131</v>
      </c>
      <c r="B271" s="6" t="s">
        <v>138</v>
      </c>
      <c r="C271" s="17">
        <v>30512</v>
      </c>
      <c r="D271" s="18">
        <v>10.080981879968963</v>
      </c>
      <c r="E271" s="22"/>
      <c r="F271" s="31">
        <v>703</v>
      </c>
      <c r="G271" s="22"/>
      <c r="H271" s="43"/>
      <c r="I271" s="27"/>
      <c r="J271" s="43">
        <v>556.4</v>
      </c>
      <c r="K271" s="43"/>
      <c r="L271" s="27">
        <v>262.2</v>
      </c>
      <c r="M271" s="43">
        <v>1620.7999999999997</v>
      </c>
      <c r="N271" s="18"/>
      <c r="O271" s="18"/>
      <c r="P271" s="22">
        <v>1882.9999999999998</v>
      </c>
      <c r="Q271" s="22"/>
      <c r="R271" s="22"/>
      <c r="S271" s="27"/>
      <c r="T271" s="27">
        <v>2896.7</v>
      </c>
      <c r="U271" s="27"/>
      <c r="V271" s="28"/>
      <c r="W271" s="28"/>
      <c r="X271" s="19"/>
      <c r="Y271" s="28"/>
      <c r="Z271" s="28"/>
      <c r="AA271" s="6"/>
      <c r="AB271" s="6"/>
      <c r="AC271" s="6"/>
      <c r="AD271" s="21"/>
      <c r="AE271" s="6"/>
      <c r="AF271" s="41"/>
      <c r="AG271" s="41"/>
      <c r="AH271" s="41"/>
      <c r="AI271" s="18"/>
      <c r="AK271" s="18"/>
      <c r="AL271" s="18"/>
      <c r="AM271" s="40" t="s">
        <v>118</v>
      </c>
      <c r="AN271" s="18"/>
      <c r="AO271" s="6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6"/>
      <c r="BK271" s="6"/>
      <c r="BL271" s="21" t="s">
        <v>55</v>
      </c>
      <c r="BO271" s="15"/>
    </row>
    <row r="272" spans="1:67">
      <c r="A272" s="6" t="s">
        <v>131</v>
      </c>
      <c r="B272" s="6" t="s">
        <v>138</v>
      </c>
      <c r="C272" s="17">
        <v>30878</v>
      </c>
      <c r="D272" s="18">
        <v>11.083056667603032</v>
      </c>
      <c r="E272" s="22"/>
      <c r="F272" s="31">
        <v>703</v>
      </c>
      <c r="G272" s="22"/>
      <c r="H272" s="43"/>
      <c r="I272" s="27"/>
      <c r="J272" s="43">
        <v>935.9</v>
      </c>
      <c r="K272" s="43"/>
      <c r="L272" s="27">
        <v>369.5</v>
      </c>
      <c r="M272" s="43">
        <v>2371.9</v>
      </c>
      <c r="N272" s="18"/>
      <c r="O272" s="18"/>
      <c r="P272" s="22">
        <v>2741.4</v>
      </c>
      <c r="Q272" s="22"/>
      <c r="R272" s="22"/>
      <c r="S272" s="27"/>
      <c r="T272" s="27">
        <v>4345.2</v>
      </c>
      <c r="U272" s="27"/>
      <c r="V272" s="28"/>
      <c r="W272" s="28"/>
      <c r="X272" s="19"/>
      <c r="Y272" s="28"/>
      <c r="Z272" s="28"/>
      <c r="AA272" s="6"/>
      <c r="AB272" s="6"/>
      <c r="AC272" s="6"/>
      <c r="AD272" s="21"/>
      <c r="AE272" s="6"/>
      <c r="AF272" s="41"/>
      <c r="AG272" s="41"/>
      <c r="AH272" s="41"/>
      <c r="AI272" s="18"/>
      <c r="AK272" s="18"/>
      <c r="AL272" s="18"/>
      <c r="AM272" s="40" t="s">
        <v>118</v>
      </c>
      <c r="AN272" s="18"/>
      <c r="AO272" s="6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6"/>
      <c r="BK272" s="6"/>
      <c r="BL272" s="21" t="s">
        <v>55</v>
      </c>
      <c r="BO272" s="15"/>
    </row>
    <row r="273" spans="1:67" ht="14.5" customHeight="1">
      <c r="A273" s="6" t="s">
        <v>131</v>
      </c>
      <c r="B273" s="6" t="s">
        <v>138</v>
      </c>
      <c r="C273" s="17">
        <v>31243</v>
      </c>
      <c r="D273" s="18">
        <v>12.082393545981269</v>
      </c>
      <c r="E273" s="22"/>
      <c r="F273" s="31">
        <v>703</v>
      </c>
      <c r="G273" s="22"/>
      <c r="H273" s="43"/>
      <c r="I273" s="27"/>
      <c r="J273" s="43">
        <v>1035.5</v>
      </c>
      <c r="K273" s="43"/>
      <c r="L273" s="27">
        <v>527</v>
      </c>
      <c r="M273" s="43">
        <v>3542.7</v>
      </c>
      <c r="N273" s="18"/>
      <c r="O273" s="18"/>
      <c r="P273" s="22">
        <v>4069.7</v>
      </c>
      <c r="Q273" s="22"/>
      <c r="R273" s="22"/>
      <c r="S273" s="27"/>
      <c r="T273" s="27">
        <v>6014.4</v>
      </c>
      <c r="U273" s="27"/>
      <c r="V273" s="28"/>
      <c r="W273" s="28"/>
      <c r="X273" s="19"/>
      <c r="Y273" s="28"/>
      <c r="Z273" s="28"/>
      <c r="AA273" s="6"/>
      <c r="AB273" s="6"/>
      <c r="AC273" s="6"/>
      <c r="AD273" s="21"/>
      <c r="AE273" s="6"/>
      <c r="AF273" s="41"/>
      <c r="AG273" s="41"/>
      <c r="AH273" s="41"/>
      <c r="AI273" s="18"/>
      <c r="AK273" s="18"/>
      <c r="AL273" s="18"/>
      <c r="AM273" s="40" t="s">
        <v>118</v>
      </c>
      <c r="AN273" s="18"/>
      <c r="AO273" s="6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6"/>
      <c r="BK273" s="6"/>
      <c r="BL273" s="21" t="s">
        <v>55</v>
      </c>
      <c r="BO273" s="15"/>
    </row>
    <row r="274" spans="1:67" ht="14.5" customHeight="1">
      <c r="A274" s="6" t="s">
        <v>131</v>
      </c>
      <c r="B274" s="6" t="s">
        <v>138</v>
      </c>
      <c r="C274" s="17">
        <v>31608</v>
      </c>
      <c r="D274" s="18">
        <v>13.081730424359506</v>
      </c>
      <c r="E274" s="22"/>
      <c r="F274" s="31">
        <v>703</v>
      </c>
      <c r="G274" s="22"/>
      <c r="H274" s="43"/>
      <c r="I274" s="27"/>
      <c r="J274" s="43">
        <v>1376.1</v>
      </c>
      <c r="K274" s="43"/>
      <c r="L274" s="27">
        <v>686.2</v>
      </c>
      <c r="M274" s="43">
        <v>4781.9000000000005</v>
      </c>
      <c r="N274" s="18"/>
      <c r="O274" s="18"/>
      <c r="P274" s="22">
        <v>5468.1</v>
      </c>
      <c r="Q274" s="22"/>
      <c r="R274" s="22"/>
      <c r="S274" s="27"/>
      <c r="T274" s="27">
        <v>7990.0000000000009</v>
      </c>
      <c r="U274" s="27"/>
      <c r="V274" s="28"/>
      <c r="W274" s="28"/>
      <c r="X274" s="19"/>
      <c r="Y274" s="28"/>
      <c r="Z274" s="28"/>
      <c r="AA274" s="6"/>
      <c r="AB274" s="6"/>
      <c r="AC274" s="6"/>
      <c r="AD274" s="21"/>
      <c r="AE274" s="6"/>
      <c r="AF274" s="41"/>
      <c r="AG274" s="41"/>
      <c r="AH274" s="41"/>
      <c r="AI274" s="18"/>
      <c r="AK274" s="18"/>
      <c r="AL274" s="18"/>
      <c r="AM274" s="40" t="s">
        <v>118</v>
      </c>
      <c r="AN274" s="18"/>
      <c r="AO274" s="6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6"/>
      <c r="BK274" s="6"/>
      <c r="BL274" s="21" t="s">
        <v>55</v>
      </c>
      <c r="BO274" s="15"/>
    </row>
    <row r="275" spans="1:67" ht="14.5" customHeight="1">
      <c r="A275" s="6" t="s">
        <v>131</v>
      </c>
      <c r="B275" s="6" t="s">
        <v>138</v>
      </c>
      <c r="C275" s="17">
        <v>31973</v>
      </c>
      <c r="D275" s="18">
        <v>14.081067302737743</v>
      </c>
      <c r="E275" s="22"/>
      <c r="F275" s="31">
        <v>693</v>
      </c>
      <c r="G275" s="22"/>
      <c r="H275" s="43"/>
      <c r="I275" s="27"/>
      <c r="J275" s="43">
        <v>1709.5</v>
      </c>
      <c r="K275" s="43"/>
      <c r="L275" s="27">
        <v>851.9</v>
      </c>
      <c r="M275" s="43">
        <v>6117.4</v>
      </c>
      <c r="N275" s="18"/>
      <c r="O275" s="18"/>
      <c r="P275" s="22">
        <v>6969.2999999999993</v>
      </c>
      <c r="Q275" s="22"/>
      <c r="R275" s="22"/>
      <c r="S275" s="27"/>
      <c r="T275" s="27">
        <v>10027.9</v>
      </c>
      <c r="U275" s="27"/>
      <c r="V275" s="28"/>
      <c r="W275" s="28"/>
      <c r="X275" s="19"/>
      <c r="Y275" s="28"/>
      <c r="Z275" s="28"/>
      <c r="AA275" s="6"/>
      <c r="AB275" s="6"/>
      <c r="AC275" s="6"/>
      <c r="AD275" s="21"/>
      <c r="AE275" s="6"/>
      <c r="AF275" s="41"/>
      <c r="AG275" s="41"/>
      <c r="AH275" s="41"/>
      <c r="AI275" s="18"/>
      <c r="AK275" s="18"/>
      <c r="AL275" s="18"/>
      <c r="AM275" s="40" t="s">
        <v>118</v>
      </c>
      <c r="AN275" s="18"/>
      <c r="AO275" s="6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6"/>
      <c r="BK275" s="6"/>
      <c r="BL275" s="21" t="s">
        <v>55</v>
      </c>
      <c r="BO275" s="15"/>
    </row>
    <row r="276" spans="1:67">
      <c r="A276" s="6" t="s">
        <v>131</v>
      </c>
      <c r="B276" s="6" t="s">
        <v>138</v>
      </c>
      <c r="C276" s="17">
        <v>33465</v>
      </c>
      <c r="D276" s="18">
        <v>18.166027912437279</v>
      </c>
      <c r="E276" s="22"/>
      <c r="F276" s="31">
        <v>304</v>
      </c>
      <c r="G276" s="22"/>
      <c r="H276" s="44"/>
      <c r="I276" s="27"/>
      <c r="J276" s="44"/>
      <c r="K276" s="44"/>
      <c r="L276" s="27">
        <v>821.82198357893481</v>
      </c>
      <c r="M276" s="44">
        <v>6406.5119425906614</v>
      </c>
      <c r="N276" s="18"/>
      <c r="O276" s="18"/>
      <c r="P276" s="22">
        <v>7228.3339261695965</v>
      </c>
      <c r="Q276" s="22"/>
      <c r="R276" s="22"/>
      <c r="S276" s="27"/>
      <c r="T276" s="27"/>
      <c r="U276" s="27"/>
      <c r="V276" s="28"/>
      <c r="W276" s="28"/>
      <c r="X276" s="19"/>
      <c r="Y276" s="28"/>
      <c r="Z276" s="28"/>
      <c r="AA276" s="6"/>
      <c r="AB276" s="6"/>
      <c r="AC276" s="6"/>
      <c r="AD276" s="21"/>
      <c r="AE276" s="6"/>
      <c r="AF276" s="41"/>
      <c r="AG276" s="41"/>
      <c r="AH276" s="41"/>
      <c r="AI276" s="18"/>
      <c r="AK276" s="18"/>
      <c r="AL276" s="18"/>
      <c r="AM276" s="40" t="s">
        <v>118</v>
      </c>
      <c r="AN276" s="18"/>
      <c r="AO276" s="6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6"/>
      <c r="BK276" s="6"/>
      <c r="BL276" s="21" t="s">
        <v>55</v>
      </c>
      <c r="BO276" s="15"/>
    </row>
    <row r="277" spans="1:67" ht="14.5" customHeight="1">
      <c r="A277" s="6" t="s">
        <v>131</v>
      </c>
      <c r="B277" s="6" t="s">
        <v>138</v>
      </c>
      <c r="C277" s="17">
        <v>33831</v>
      </c>
      <c r="D277" s="18">
        <v>19.168102700071348</v>
      </c>
      <c r="E277" s="22"/>
      <c r="F277" s="31">
        <v>304</v>
      </c>
      <c r="G277" s="22"/>
      <c r="H277" s="44"/>
      <c r="I277" s="27"/>
      <c r="J277" s="44"/>
      <c r="K277" s="44"/>
      <c r="L277" s="27">
        <v>919.02721091558772</v>
      </c>
      <c r="M277" s="44">
        <v>7242.517160648953</v>
      </c>
      <c r="N277" s="18"/>
      <c r="O277" s="18"/>
      <c r="P277" s="22">
        <v>8161.5443715645406</v>
      </c>
      <c r="Q277" s="22"/>
      <c r="R277" s="22"/>
      <c r="S277" s="27">
        <v>394.48</v>
      </c>
      <c r="T277" s="27"/>
      <c r="U277" s="27"/>
      <c r="V277" s="28"/>
      <c r="W277" s="28"/>
      <c r="X277" s="19"/>
      <c r="Y277" s="28"/>
      <c r="Z277" s="28"/>
      <c r="AA277" s="6"/>
      <c r="AB277" s="6"/>
      <c r="AC277" s="6"/>
      <c r="AD277" s="21"/>
      <c r="AE277" s="6"/>
      <c r="AF277" s="41"/>
      <c r="AG277" s="41"/>
      <c r="AH277" s="41"/>
      <c r="AI277" s="18"/>
      <c r="AK277" s="18"/>
      <c r="AL277" s="18"/>
      <c r="AM277" s="40" t="s">
        <v>118</v>
      </c>
      <c r="AN277" s="18"/>
      <c r="AO277" s="6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6"/>
      <c r="BK277" s="6"/>
      <c r="BL277" s="21" t="s">
        <v>55</v>
      </c>
      <c r="BO277" s="15"/>
    </row>
    <row r="278" spans="1:67" ht="14.5" customHeight="1">
      <c r="A278" s="6" t="s">
        <v>131</v>
      </c>
      <c r="B278" s="6" t="s">
        <v>138</v>
      </c>
      <c r="C278" s="17">
        <v>34135</v>
      </c>
      <c r="D278" s="18">
        <v>20.000427113843909</v>
      </c>
      <c r="E278" s="22"/>
      <c r="F278" s="31">
        <v>304</v>
      </c>
      <c r="G278" s="22"/>
      <c r="H278" s="43">
        <v>780</v>
      </c>
      <c r="I278" s="27"/>
      <c r="J278" s="43">
        <v>1800</v>
      </c>
      <c r="K278" s="43"/>
      <c r="L278" s="27">
        <v>1040</v>
      </c>
      <c r="M278" s="43">
        <v>10700</v>
      </c>
      <c r="N278" s="18"/>
      <c r="O278" s="18">
        <v>532.90966863368135</v>
      </c>
      <c r="P278" s="22">
        <v>11740</v>
      </c>
      <c r="Q278" s="22"/>
      <c r="R278" s="22"/>
      <c r="S278" s="27">
        <v>354.96999999999997</v>
      </c>
      <c r="T278" s="27">
        <v>14319.999999999998</v>
      </c>
      <c r="U278" s="27"/>
      <c r="V278" s="28"/>
      <c r="W278" s="28"/>
      <c r="X278" s="19"/>
      <c r="Y278" s="28"/>
      <c r="Z278" s="28"/>
      <c r="AA278" s="6"/>
      <c r="AB278" s="6"/>
      <c r="AC278" s="6"/>
      <c r="AD278" s="21"/>
      <c r="AE278" s="6"/>
      <c r="AF278" s="41"/>
      <c r="AG278" s="41"/>
      <c r="AH278" s="41"/>
      <c r="AI278" s="18"/>
      <c r="AK278" s="18"/>
      <c r="AL278" s="18"/>
      <c r="AM278" s="40" t="s">
        <v>118</v>
      </c>
      <c r="AN278" s="18"/>
      <c r="AO278" s="6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6"/>
      <c r="BK278" s="6"/>
      <c r="BL278" s="21" t="s">
        <v>55</v>
      </c>
      <c r="BO278" s="15"/>
    </row>
    <row r="279" spans="1:67" ht="14.5" customHeight="1">
      <c r="A279" s="6" t="s">
        <v>131</v>
      </c>
      <c r="B279" s="6" t="s">
        <v>138</v>
      </c>
      <c r="C279" s="17">
        <v>34530</v>
      </c>
      <c r="D279" s="18">
        <v>21.08190126989707</v>
      </c>
      <c r="E279" s="22"/>
      <c r="F279" s="31">
        <v>304</v>
      </c>
      <c r="G279" s="22"/>
      <c r="H279" s="22"/>
      <c r="I279" s="27"/>
      <c r="J279" s="42"/>
      <c r="K279" s="42"/>
      <c r="L279" s="27"/>
      <c r="M279" s="22"/>
      <c r="N279" s="18"/>
      <c r="O279" s="18"/>
      <c r="P279" s="22"/>
      <c r="Q279" s="22"/>
      <c r="R279" s="22"/>
      <c r="S279" s="27"/>
      <c r="T279" s="27"/>
      <c r="U279" s="27"/>
      <c r="V279" s="28"/>
      <c r="W279" s="28"/>
      <c r="X279" s="19"/>
      <c r="Y279" s="28"/>
      <c r="Z279" s="28"/>
      <c r="AA279" s="6"/>
      <c r="AB279" s="6"/>
      <c r="AC279" s="6"/>
      <c r="AD279" s="21"/>
      <c r="AE279" s="6"/>
      <c r="AF279" s="26"/>
      <c r="AG279" s="41"/>
      <c r="AH279" s="41"/>
      <c r="AI279" s="18"/>
      <c r="AK279" s="18"/>
      <c r="AL279" s="18"/>
      <c r="AM279" s="40" t="s">
        <v>118</v>
      </c>
      <c r="AN279" s="18"/>
      <c r="AO279" s="6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6"/>
      <c r="BK279" s="6"/>
      <c r="BL279" s="21" t="s">
        <v>55</v>
      </c>
      <c r="BO279" s="15"/>
    </row>
    <row r="280" spans="1:67" ht="14.5" customHeight="1">
      <c r="A280" s="6" t="s">
        <v>131</v>
      </c>
      <c r="B280" s="6" t="s">
        <v>138</v>
      </c>
      <c r="C280" s="17">
        <v>34926</v>
      </c>
      <c r="D280" s="18">
        <v>22.166113335206063</v>
      </c>
      <c r="E280" s="22"/>
      <c r="F280" s="31">
        <v>304</v>
      </c>
      <c r="G280" s="22"/>
      <c r="H280" s="22"/>
      <c r="I280" s="27"/>
      <c r="J280" s="42"/>
      <c r="K280" s="42"/>
      <c r="L280" s="27"/>
      <c r="M280" s="22"/>
      <c r="N280" s="18"/>
      <c r="O280" s="18"/>
      <c r="P280" s="22"/>
      <c r="Q280" s="22"/>
      <c r="R280" s="22"/>
      <c r="S280" s="27"/>
      <c r="T280" s="27"/>
      <c r="U280" s="27"/>
      <c r="V280" s="28"/>
      <c r="W280" s="28"/>
      <c r="X280" s="19"/>
      <c r="Y280" s="28"/>
      <c r="Z280" s="28"/>
      <c r="AA280" s="6"/>
      <c r="AB280" s="6"/>
      <c r="AC280" s="6"/>
      <c r="AD280" s="21"/>
      <c r="AE280" s="6"/>
      <c r="AF280" s="26"/>
      <c r="AG280" s="41"/>
      <c r="AH280" s="41"/>
      <c r="AI280" s="18"/>
      <c r="AK280" s="18"/>
      <c r="AL280" s="18"/>
      <c r="AM280" s="40" t="s">
        <v>118</v>
      </c>
      <c r="AN280" s="18"/>
      <c r="AO280" s="6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6"/>
      <c r="BK280" s="6"/>
      <c r="BL280" s="21" t="s">
        <v>55</v>
      </c>
      <c r="BO280" s="15"/>
    </row>
    <row r="281" spans="1:67">
      <c r="A281" s="6" t="s">
        <v>131</v>
      </c>
      <c r="B281" s="6" t="s">
        <v>138</v>
      </c>
      <c r="C281" s="17">
        <v>35292</v>
      </c>
      <c r="D281" s="18">
        <v>23.168188122840132</v>
      </c>
      <c r="E281" s="22"/>
      <c r="F281" s="31">
        <v>304</v>
      </c>
      <c r="G281" s="22"/>
      <c r="H281" s="22"/>
      <c r="I281" s="27"/>
      <c r="J281" s="42"/>
      <c r="K281" s="42"/>
      <c r="L281" s="27"/>
      <c r="M281" s="22"/>
      <c r="N281" s="18"/>
      <c r="O281" s="18"/>
      <c r="P281" s="22"/>
      <c r="Q281" s="22"/>
      <c r="R281" s="22"/>
      <c r="S281" s="27"/>
      <c r="T281" s="27"/>
      <c r="U281" s="27"/>
      <c r="V281" s="28"/>
      <c r="W281" s="28"/>
      <c r="X281" s="19"/>
      <c r="Y281" s="28"/>
      <c r="Z281" s="28"/>
      <c r="AA281" s="6"/>
      <c r="AB281" s="6"/>
      <c r="AC281" s="6"/>
      <c r="AD281" s="21"/>
      <c r="AE281" s="6"/>
      <c r="AF281" s="26"/>
      <c r="AG281" s="41"/>
      <c r="AH281" s="41"/>
      <c r="AI281" s="18"/>
      <c r="AK281" s="18"/>
      <c r="AL281" s="18"/>
      <c r="AM281" s="40" t="s">
        <v>118</v>
      </c>
      <c r="AN281" s="18"/>
      <c r="AO281" s="6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6"/>
      <c r="BK281" s="6"/>
      <c r="BL281" s="21" t="s">
        <v>55</v>
      </c>
      <c r="BO281" s="15"/>
    </row>
    <row r="282" spans="1:67" ht="14.5" customHeight="1">
      <c r="A282" s="6" t="s">
        <v>131</v>
      </c>
      <c r="B282" s="6" t="s">
        <v>138</v>
      </c>
      <c r="C282" s="17">
        <v>35688</v>
      </c>
      <c r="D282" s="18">
        <v>24.252400188149121</v>
      </c>
      <c r="E282" s="22"/>
      <c r="F282" s="31">
        <v>304</v>
      </c>
      <c r="G282" s="22"/>
      <c r="H282" s="22"/>
      <c r="I282" s="27"/>
      <c r="J282" s="42"/>
      <c r="K282" s="42"/>
      <c r="L282" s="27"/>
      <c r="M282" s="22"/>
      <c r="N282" s="18"/>
      <c r="O282" s="18"/>
      <c r="P282" s="22"/>
      <c r="Q282" s="22"/>
      <c r="R282" s="22"/>
      <c r="S282" s="27"/>
      <c r="T282" s="27"/>
      <c r="U282" s="27"/>
      <c r="V282" s="28"/>
      <c r="W282" s="28"/>
      <c r="X282" s="19"/>
      <c r="Y282" s="28"/>
      <c r="Z282" s="28"/>
      <c r="AA282" s="6"/>
      <c r="AB282" s="6"/>
      <c r="AC282" s="6"/>
      <c r="AD282" s="21"/>
      <c r="AE282" s="6"/>
      <c r="AF282" s="26"/>
      <c r="AG282" s="41"/>
      <c r="AH282" s="41"/>
      <c r="AI282" s="18"/>
      <c r="AK282" s="18"/>
      <c r="AL282" s="18"/>
      <c r="AM282" s="40" t="s">
        <v>118</v>
      </c>
      <c r="AN282" s="18"/>
      <c r="AO282" s="6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6"/>
      <c r="BK282" s="6"/>
      <c r="BL282" s="21" t="s">
        <v>55</v>
      </c>
      <c r="BO282" s="15"/>
    </row>
    <row r="283" spans="1:67" ht="14.5" customHeight="1">
      <c r="A283" s="6" t="s">
        <v>131</v>
      </c>
      <c r="B283" s="6" t="s">
        <v>138</v>
      </c>
      <c r="C283" s="17">
        <v>36022</v>
      </c>
      <c r="D283" s="18">
        <v>25.166861879596606</v>
      </c>
      <c r="E283" s="22"/>
      <c r="F283" s="31">
        <v>304</v>
      </c>
      <c r="G283" s="22"/>
      <c r="H283" s="22"/>
      <c r="I283" s="27"/>
      <c r="J283" s="42"/>
      <c r="K283" s="42"/>
      <c r="L283" s="27"/>
      <c r="M283" s="22"/>
      <c r="N283" s="18"/>
      <c r="O283" s="18"/>
      <c r="P283" s="22"/>
      <c r="Q283" s="22"/>
      <c r="R283" s="22"/>
      <c r="S283" s="27"/>
      <c r="T283" s="27"/>
      <c r="U283" s="27"/>
      <c r="V283" s="28"/>
      <c r="W283" s="28"/>
      <c r="X283" s="19"/>
      <c r="Y283" s="28"/>
      <c r="Z283" s="28"/>
      <c r="AA283" s="6"/>
      <c r="AB283" s="6"/>
      <c r="AC283" s="6"/>
      <c r="AD283" s="21"/>
      <c r="AE283" s="6"/>
      <c r="AF283" s="26"/>
      <c r="AG283" s="41"/>
      <c r="AH283" s="41"/>
      <c r="AI283" s="18"/>
      <c r="AK283" s="18"/>
      <c r="AL283" s="18"/>
      <c r="AM283" s="40" t="s">
        <v>118</v>
      </c>
      <c r="AN283" s="18"/>
      <c r="AO283" s="6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6"/>
      <c r="BK283" s="6"/>
      <c r="BL283" s="21" t="s">
        <v>55</v>
      </c>
      <c r="BO283" s="15"/>
    </row>
    <row r="284" spans="1:67" ht="14.5" customHeight="1">
      <c r="A284" s="6" t="s">
        <v>131</v>
      </c>
      <c r="B284" s="6" t="s">
        <v>138</v>
      </c>
      <c r="C284" s="17">
        <v>36418</v>
      </c>
      <c r="D284" s="18">
        <v>26.251073944905599</v>
      </c>
      <c r="E284" s="22"/>
      <c r="F284" s="31">
        <v>304</v>
      </c>
      <c r="G284" s="22"/>
      <c r="H284" s="22"/>
      <c r="I284" s="27"/>
      <c r="J284" s="42"/>
      <c r="K284" s="42"/>
      <c r="L284" s="27"/>
      <c r="M284" s="22"/>
      <c r="N284" s="18"/>
      <c r="O284" s="18"/>
      <c r="P284" s="22"/>
      <c r="Q284" s="22"/>
      <c r="R284" s="22"/>
      <c r="S284" s="27"/>
      <c r="T284" s="27"/>
      <c r="U284" s="27"/>
      <c r="V284" s="28"/>
      <c r="W284" s="28"/>
      <c r="X284" s="19"/>
      <c r="Y284" s="28"/>
      <c r="Z284" s="28"/>
      <c r="AA284" s="6"/>
      <c r="AB284" s="6"/>
      <c r="AC284" s="6"/>
      <c r="AD284" s="21"/>
      <c r="AE284" s="6"/>
      <c r="AF284" s="26"/>
      <c r="AG284" s="41"/>
      <c r="AH284" s="41"/>
      <c r="AI284" s="18"/>
      <c r="AK284" s="18"/>
      <c r="AL284" s="18"/>
      <c r="AM284" s="40" t="s">
        <v>118</v>
      </c>
      <c r="AN284" s="18"/>
      <c r="AO284" s="6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6"/>
      <c r="BK284" s="6"/>
      <c r="BL284" s="21" t="s">
        <v>55</v>
      </c>
      <c r="BO284" s="15"/>
    </row>
    <row r="285" spans="1:67" ht="14.5" customHeight="1">
      <c r="A285" s="6" t="s">
        <v>131</v>
      </c>
      <c r="B285" s="6" t="s">
        <v>138</v>
      </c>
      <c r="C285" s="17">
        <v>36784</v>
      </c>
      <c r="D285" s="18">
        <v>27.253148732539668</v>
      </c>
      <c r="E285" s="22"/>
      <c r="F285" s="31">
        <v>304</v>
      </c>
      <c r="G285" s="22"/>
      <c r="H285" s="22"/>
      <c r="I285" s="27"/>
      <c r="J285" s="42"/>
      <c r="K285" s="42"/>
      <c r="L285" s="27"/>
      <c r="M285" s="22"/>
      <c r="N285" s="18"/>
      <c r="O285" s="18"/>
      <c r="P285" s="22"/>
      <c r="Q285" s="22"/>
      <c r="R285" s="22"/>
      <c r="S285" s="27"/>
      <c r="T285" s="27"/>
      <c r="U285" s="27"/>
      <c r="V285" s="28"/>
      <c r="W285" s="28"/>
      <c r="X285" s="19"/>
      <c r="Y285" s="28"/>
      <c r="Z285" s="28"/>
      <c r="AA285" s="6"/>
      <c r="AB285" s="6"/>
      <c r="AC285" s="6"/>
      <c r="AD285" s="21"/>
      <c r="AE285" s="6"/>
      <c r="AF285" s="26"/>
      <c r="AG285" s="41"/>
      <c r="AH285" s="41"/>
      <c r="AI285" s="18"/>
      <c r="AK285" s="18"/>
      <c r="AL285" s="18"/>
      <c r="AM285" s="40" t="s">
        <v>118</v>
      </c>
      <c r="AN285" s="18"/>
      <c r="AO285" s="6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6"/>
      <c r="BK285" s="6"/>
      <c r="BL285" s="21" t="s">
        <v>55</v>
      </c>
      <c r="BO285" s="15"/>
    </row>
    <row r="286" spans="1:67">
      <c r="A286" s="6" t="s">
        <v>132</v>
      </c>
      <c r="B286" s="6" t="s">
        <v>139</v>
      </c>
      <c r="C286" s="17">
        <v>30512</v>
      </c>
      <c r="D286" s="18">
        <v>10.080981879968963</v>
      </c>
      <c r="E286" s="22"/>
      <c r="F286" s="27"/>
      <c r="G286" s="22"/>
      <c r="H286" s="43"/>
      <c r="I286" s="27"/>
      <c r="J286" s="43">
        <v>627.1</v>
      </c>
      <c r="K286" s="43"/>
      <c r="L286" s="27">
        <v>294.5</v>
      </c>
      <c r="M286" s="22">
        <v>1838</v>
      </c>
      <c r="N286" s="18"/>
      <c r="O286" s="18"/>
      <c r="P286" s="22">
        <v>2132.5</v>
      </c>
      <c r="Q286" s="22"/>
      <c r="R286" s="22"/>
      <c r="S286" s="27"/>
      <c r="T286" s="27">
        <v>3264.5000000000005</v>
      </c>
      <c r="U286" s="27"/>
      <c r="V286" s="28"/>
      <c r="W286" s="28"/>
      <c r="X286" s="19"/>
      <c r="Y286" s="28"/>
      <c r="Z286" s="28"/>
      <c r="AA286" s="6"/>
      <c r="AB286" s="6"/>
      <c r="AC286" s="6"/>
      <c r="AD286" s="21"/>
      <c r="AE286" s="6"/>
      <c r="AF286" s="41"/>
      <c r="AG286" s="41"/>
      <c r="AH286" s="41"/>
      <c r="AI286" s="18"/>
      <c r="AK286" s="18"/>
      <c r="AL286" s="18"/>
      <c r="AM286" s="40" t="s">
        <v>118</v>
      </c>
      <c r="AN286" s="18"/>
      <c r="AO286" s="6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6"/>
      <c r="BK286" s="6"/>
      <c r="BL286" s="21" t="s">
        <v>55</v>
      </c>
      <c r="BO286" s="15"/>
    </row>
    <row r="287" spans="1:67" ht="14.5" customHeight="1">
      <c r="A287" s="6" t="s">
        <v>132</v>
      </c>
      <c r="B287" s="6" t="s">
        <v>139</v>
      </c>
      <c r="C287" s="17">
        <v>30878</v>
      </c>
      <c r="D287" s="18">
        <v>11.083056667603032</v>
      </c>
      <c r="E287" s="22"/>
      <c r="F287" s="27"/>
      <c r="G287" s="22"/>
      <c r="H287" s="43"/>
      <c r="I287" s="27"/>
      <c r="J287" s="43">
        <v>1352</v>
      </c>
      <c r="K287" s="43"/>
      <c r="L287" s="27">
        <v>443.79999999999995</v>
      </c>
      <c r="M287" s="22">
        <v>2886.1</v>
      </c>
      <c r="N287" s="18"/>
      <c r="O287" s="18"/>
      <c r="P287" s="22">
        <v>3329.8999999999996</v>
      </c>
      <c r="Q287" s="22"/>
      <c r="R287" s="22"/>
      <c r="S287" s="27"/>
      <c r="T287" s="27">
        <v>5489.9</v>
      </c>
      <c r="U287" s="27"/>
      <c r="V287" s="28"/>
      <c r="W287" s="28"/>
      <c r="X287" s="19"/>
      <c r="Y287" s="28"/>
      <c r="Z287" s="28"/>
      <c r="AA287" s="6"/>
      <c r="AB287" s="6"/>
      <c r="AC287" s="6"/>
      <c r="AD287" s="21"/>
      <c r="AE287" s="6"/>
      <c r="AF287" s="41"/>
      <c r="AG287" s="41"/>
      <c r="AH287" s="41"/>
      <c r="AI287" s="18"/>
      <c r="AK287" s="18"/>
      <c r="AL287" s="18"/>
      <c r="AM287" s="40" t="s">
        <v>118</v>
      </c>
      <c r="AN287" s="18"/>
      <c r="AO287" s="6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6"/>
      <c r="BK287" s="6"/>
      <c r="BL287" s="21" t="s">
        <v>55</v>
      </c>
      <c r="BO287" s="15"/>
    </row>
    <row r="288" spans="1:67">
      <c r="A288" s="6" t="s">
        <v>132</v>
      </c>
      <c r="B288" s="6" t="s">
        <v>139</v>
      </c>
      <c r="C288" s="17">
        <v>31243</v>
      </c>
      <c r="D288" s="18">
        <v>12.082393545981269</v>
      </c>
      <c r="E288" s="22"/>
      <c r="F288" s="27"/>
      <c r="G288" s="22"/>
      <c r="H288" s="43"/>
      <c r="I288" s="27"/>
      <c r="J288" s="43">
        <v>1756.8000000000002</v>
      </c>
      <c r="K288" s="43"/>
      <c r="L288" s="27">
        <v>633.79999999999995</v>
      </c>
      <c r="M288" s="22">
        <v>4281.2</v>
      </c>
      <c r="N288" s="18"/>
      <c r="O288" s="18"/>
      <c r="P288" s="22">
        <v>4915</v>
      </c>
      <c r="Q288" s="22"/>
      <c r="R288" s="22"/>
      <c r="S288" s="27"/>
      <c r="T288" s="27">
        <v>7805.7</v>
      </c>
      <c r="U288" s="27"/>
      <c r="V288" s="28"/>
      <c r="W288" s="28"/>
      <c r="X288" s="19"/>
      <c r="Y288" s="28"/>
      <c r="Z288" s="28"/>
      <c r="AA288" s="6"/>
      <c r="AB288" s="6"/>
      <c r="AC288" s="6"/>
      <c r="AD288" s="21"/>
      <c r="AE288" s="6"/>
      <c r="AF288" s="41"/>
      <c r="AG288" s="41"/>
      <c r="AH288" s="41"/>
      <c r="AI288" s="18"/>
      <c r="AK288" s="18"/>
      <c r="AL288" s="18"/>
      <c r="AM288" s="40" t="s">
        <v>118</v>
      </c>
      <c r="AN288" s="18"/>
      <c r="AO288" s="6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6"/>
      <c r="BK288" s="6"/>
      <c r="BL288" s="21" t="s">
        <v>55</v>
      </c>
      <c r="BO288" s="15"/>
    </row>
    <row r="289" spans="1:67" ht="14.5" customHeight="1">
      <c r="A289" s="6" t="s">
        <v>132</v>
      </c>
      <c r="B289" s="6" t="s">
        <v>139</v>
      </c>
      <c r="C289" s="17">
        <v>31608</v>
      </c>
      <c r="D289" s="18">
        <v>13.081730424359506</v>
      </c>
      <c r="E289" s="22"/>
      <c r="F289" s="27"/>
      <c r="G289" s="22"/>
      <c r="H289" s="43"/>
      <c r="I289" s="27"/>
      <c r="J289" s="43">
        <v>2296.9</v>
      </c>
      <c r="K289" s="43"/>
      <c r="L289" s="27">
        <v>845.7</v>
      </c>
      <c r="M289" s="22">
        <v>5927.8</v>
      </c>
      <c r="N289" s="18"/>
      <c r="O289" s="18"/>
      <c r="P289" s="22">
        <v>6773.5</v>
      </c>
      <c r="Q289" s="22"/>
      <c r="R289" s="22"/>
      <c r="S289" s="27"/>
      <c r="T289" s="27">
        <v>10481.5</v>
      </c>
      <c r="U289" s="27"/>
      <c r="V289" s="28"/>
      <c r="W289" s="28"/>
      <c r="X289" s="19"/>
      <c r="Y289" s="28"/>
      <c r="Z289" s="28"/>
      <c r="AA289" s="6"/>
      <c r="AB289" s="6"/>
      <c r="AC289" s="6"/>
      <c r="AD289" s="21"/>
      <c r="AE289" s="6"/>
      <c r="AF289" s="41"/>
      <c r="AG289" s="41"/>
      <c r="AH289" s="41"/>
      <c r="AI289" s="18"/>
      <c r="AK289" s="18"/>
      <c r="AL289" s="18"/>
      <c r="AM289" s="40" t="s">
        <v>118</v>
      </c>
      <c r="AN289" s="18"/>
      <c r="AO289" s="6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6"/>
      <c r="BK289" s="6"/>
      <c r="BL289" s="21" t="s">
        <v>55</v>
      </c>
      <c r="BO289" s="15"/>
    </row>
    <row r="290" spans="1:67" ht="14.5" customHeight="1">
      <c r="A290" s="6" t="s">
        <v>132</v>
      </c>
      <c r="B290" s="6" t="s">
        <v>139</v>
      </c>
      <c r="C290" s="17">
        <v>31973</v>
      </c>
      <c r="D290" s="18">
        <v>14.081067302737743</v>
      </c>
      <c r="E290" s="22"/>
      <c r="F290" s="27"/>
      <c r="G290" s="22"/>
      <c r="H290" s="43"/>
      <c r="I290" s="27"/>
      <c r="J290" s="43">
        <v>2609.5</v>
      </c>
      <c r="K290" s="43"/>
      <c r="L290" s="27">
        <v>1063</v>
      </c>
      <c r="M290" s="22">
        <v>7683.3</v>
      </c>
      <c r="N290" s="18"/>
      <c r="O290" s="18"/>
      <c r="P290" s="22">
        <v>8746.2999999999993</v>
      </c>
      <c r="Q290" s="22"/>
      <c r="R290" s="22"/>
      <c r="S290" s="27"/>
      <c r="T290" s="27">
        <v>13110.1</v>
      </c>
      <c r="U290" s="27"/>
      <c r="V290" s="28"/>
      <c r="W290" s="28"/>
      <c r="X290" s="19"/>
      <c r="Y290" s="28"/>
      <c r="Z290" s="28"/>
      <c r="AA290" s="6"/>
      <c r="AB290" s="6"/>
      <c r="AC290" s="6"/>
      <c r="AD290" s="21"/>
      <c r="AE290" s="6"/>
      <c r="AF290" s="41"/>
      <c r="AG290" s="41"/>
      <c r="AH290" s="41"/>
      <c r="AI290" s="18"/>
      <c r="AK290" s="18"/>
      <c r="AL290" s="18"/>
      <c r="AM290" s="40" t="s">
        <v>118</v>
      </c>
      <c r="AN290" s="18"/>
      <c r="AO290" s="6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6"/>
      <c r="BK290" s="6"/>
      <c r="BL290" s="21" t="s">
        <v>55</v>
      </c>
      <c r="BO290" s="15"/>
    </row>
    <row r="291" spans="1:67" ht="14.5" customHeight="1">
      <c r="A291" s="6" t="s">
        <v>132</v>
      </c>
      <c r="B291" s="6" t="s">
        <v>139</v>
      </c>
      <c r="C291" s="17">
        <v>33465</v>
      </c>
      <c r="D291" s="18">
        <v>18.166027912437279</v>
      </c>
      <c r="E291" s="22"/>
      <c r="F291" s="27"/>
      <c r="G291" s="22"/>
      <c r="H291" s="44"/>
      <c r="I291" s="27"/>
      <c r="J291" s="44"/>
      <c r="K291" s="44"/>
      <c r="L291" s="27">
        <v>1157.8477248632928</v>
      </c>
      <c r="M291" s="22">
        <v>9066.3475200437024</v>
      </c>
      <c r="N291" s="18"/>
      <c r="O291" s="18"/>
      <c r="P291" s="22">
        <v>10224.195244906996</v>
      </c>
      <c r="Q291" s="22"/>
      <c r="R291" s="22"/>
      <c r="S291" s="27"/>
      <c r="T291" s="27"/>
      <c r="U291" s="27"/>
      <c r="V291" s="28"/>
      <c r="W291" s="28"/>
      <c r="X291" s="19"/>
      <c r="Y291" s="28"/>
      <c r="Z291" s="28"/>
      <c r="AA291" s="6"/>
      <c r="AB291" s="6"/>
      <c r="AC291" s="6"/>
      <c r="AD291" s="21"/>
      <c r="AE291" s="6"/>
      <c r="AF291" s="41"/>
      <c r="AG291" s="41"/>
      <c r="AH291" s="41"/>
      <c r="AI291" s="18"/>
      <c r="AK291" s="18"/>
      <c r="AL291" s="18"/>
      <c r="AM291" s="40" t="s">
        <v>118</v>
      </c>
      <c r="AN291" s="18"/>
      <c r="AO291" s="6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6"/>
      <c r="BK291" s="6"/>
      <c r="BL291" s="21" t="s">
        <v>55</v>
      </c>
      <c r="BO291" s="15"/>
    </row>
    <row r="292" spans="1:67">
      <c r="A292" s="6" t="s">
        <v>132</v>
      </c>
      <c r="B292" s="6" t="s">
        <v>139</v>
      </c>
      <c r="C292" s="17">
        <v>33831</v>
      </c>
      <c r="D292" s="18">
        <v>19.168102700071348</v>
      </c>
      <c r="E292" s="22"/>
      <c r="F292" s="27"/>
      <c r="G292" s="22"/>
      <c r="H292" s="44"/>
      <c r="I292" s="27"/>
      <c r="J292" s="44"/>
      <c r="K292" s="44"/>
      <c r="L292" s="27">
        <v>1285.0726014642685</v>
      </c>
      <c r="M292" s="22">
        <v>10185.015277836776</v>
      </c>
      <c r="N292" s="18"/>
      <c r="O292" s="18"/>
      <c r="P292" s="22">
        <v>11470.087879301043</v>
      </c>
      <c r="Q292" s="22"/>
      <c r="R292" s="22"/>
      <c r="S292" s="27"/>
      <c r="T292" s="27"/>
      <c r="U292" s="27"/>
      <c r="V292" s="28"/>
      <c r="W292" s="28"/>
      <c r="X292" s="19"/>
      <c r="Y292" s="28"/>
      <c r="Z292" s="28"/>
      <c r="AA292" s="6"/>
      <c r="AB292" s="6"/>
      <c r="AC292" s="6"/>
      <c r="AD292" s="21"/>
      <c r="AE292" s="6"/>
      <c r="AF292" s="41"/>
      <c r="AG292" s="41"/>
      <c r="AH292" s="41"/>
      <c r="AI292" s="18"/>
      <c r="AK292" s="18"/>
      <c r="AL292" s="18"/>
      <c r="AM292" s="40" t="s">
        <v>118</v>
      </c>
      <c r="AN292" s="18"/>
      <c r="AO292" s="6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6"/>
      <c r="BK292" s="6"/>
      <c r="BL292" s="21" t="s">
        <v>55</v>
      </c>
      <c r="BO292" s="15"/>
    </row>
    <row r="293" spans="1:67" ht="14.5" customHeight="1">
      <c r="A293" s="6" t="s">
        <v>132</v>
      </c>
      <c r="B293" s="6" t="s">
        <v>139</v>
      </c>
      <c r="C293" s="17">
        <v>34135</v>
      </c>
      <c r="D293" s="18">
        <v>20.000427113843909</v>
      </c>
      <c r="E293" s="22"/>
      <c r="F293" s="27"/>
      <c r="G293" s="22"/>
      <c r="H293" s="43"/>
      <c r="I293" s="27"/>
      <c r="J293" s="42"/>
      <c r="K293" s="42"/>
      <c r="L293" s="27">
        <v>1413.8307679339041</v>
      </c>
      <c r="M293" s="22">
        <v>11348.55769618285</v>
      </c>
      <c r="N293" s="18"/>
      <c r="O293" s="18">
        <v>407.8453376917015</v>
      </c>
      <c r="P293" s="22">
        <v>12762.388464116753</v>
      </c>
      <c r="Q293" s="22"/>
      <c r="R293" s="22"/>
      <c r="S293" s="27">
        <v>234.64999999999998</v>
      </c>
      <c r="T293" s="27"/>
      <c r="U293" s="27"/>
      <c r="V293" s="28"/>
      <c r="W293" s="28"/>
      <c r="X293" s="19"/>
      <c r="Y293" s="28"/>
      <c r="Z293" s="28"/>
      <c r="AA293" s="6"/>
      <c r="AB293" s="6"/>
      <c r="AC293" s="6"/>
      <c r="AD293" s="21"/>
      <c r="AE293" s="6"/>
      <c r="AF293" s="41"/>
      <c r="AG293" s="41"/>
      <c r="AH293" s="41"/>
      <c r="AI293" s="18"/>
      <c r="AK293" s="18"/>
      <c r="AL293" s="18"/>
      <c r="AM293" s="40" t="s">
        <v>118</v>
      </c>
      <c r="AN293" s="18"/>
      <c r="AO293" s="6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6"/>
      <c r="BK293" s="6"/>
      <c r="BL293" s="21" t="s">
        <v>55</v>
      </c>
      <c r="BO293" s="15"/>
    </row>
    <row r="294" spans="1:67">
      <c r="A294" s="6" t="s">
        <v>132</v>
      </c>
      <c r="B294" s="6" t="s">
        <v>139</v>
      </c>
      <c r="C294" s="17">
        <v>34530</v>
      </c>
      <c r="D294" s="18">
        <v>21.08190126989707</v>
      </c>
      <c r="E294" s="22"/>
      <c r="F294" s="27"/>
      <c r="G294" s="22"/>
      <c r="H294" s="44"/>
      <c r="I294" s="27"/>
      <c r="J294" s="42"/>
      <c r="K294" s="42"/>
      <c r="L294" s="27"/>
      <c r="M294" s="22"/>
      <c r="N294" s="18"/>
      <c r="O294" s="18"/>
      <c r="P294" s="22"/>
      <c r="Q294" s="22"/>
      <c r="R294" s="22"/>
      <c r="S294" s="27"/>
      <c r="T294" s="27"/>
      <c r="U294" s="27"/>
      <c r="V294" s="28"/>
      <c r="W294" s="28"/>
      <c r="X294" s="19"/>
      <c r="Y294" s="28"/>
      <c r="Z294" s="28"/>
      <c r="AA294" s="6"/>
      <c r="AB294" s="6"/>
      <c r="AC294" s="6"/>
      <c r="AD294" s="21"/>
      <c r="AE294" s="6"/>
      <c r="AF294" s="26"/>
      <c r="AG294" s="41"/>
      <c r="AH294" s="41"/>
      <c r="AI294" s="18"/>
      <c r="AK294" s="18"/>
      <c r="AL294" s="18"/>
      <c r="AM294" s="40" t="s">
        <v>118</v>
      </c>
      <c r="AN294" s="18"/>
      <c r="AO294" s="6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6"/>
      <c r="BK294" s="6"/>
      <c r="BL294" s="21" t="s">
        <v>55</v>
      </c>
      <c r="BO294" s="15"/>
    </row>
    <row r="295" spans="1:67">
      <c r="A295" s="6" t="s">
        <v>132</v>
      </c>
      <c r="B295" s="6" t="s">
        <v>139</v>
      </c>
      <c r="C295" s="17">
        <v>34926</v>
      </c>
      <c r="D295" s="18">
        <v>22.166113335206063</v>
      </c>
      <c r="E295" s="22"/>
      <c r="F295" s="27"/>
      <c r="G295" s="22"/>
      <c r="H295" s="22"/>
      <c r="I295" s="27"/>
      <c r="J295" s="42"/>
      <c r="K295" s="42"/>
      <c r="L295" s="27"/>
      <c r="M295" s="22"/>
      <c r="N295" s="18"/>
      <c r="O295" s="18"/>
      <c r="P295" s="22"/>
      <c r="Q295" s="22"/>
      <c r="R295" s="22"/>
      <c r="S295" s="27"/>
      <c r="T295" s="27"/>
      <c r="U295" s="27"/>
      <c r="V295" s="28"/>
      <c r="W295" s="28"/>
      <c r="X295" s="19"/>
      <c r="Y295" s="28"/>
      <c r="Z295" s="28"/>
      <c r="AA295" s="6"/>
      <c r="AB295" s="6"/>
      <c r="AC295" s="6"/>
      <c r="AD295" s="21"/>
      <c r="AE295" s="6"/>
      <c r="AF295" s="26"/>
      <c r="AG295" s="41"/>
      <c r="AH295" s="41"/>
      <c r="AI295" s="18"/>
      <c r="AK295" s="18"/>
      <c r="AL295" s="18"/>
      <c r="AM295" s="40" t="s">
        <v>118</v>
      </c>
      <c r="AN295" s="18"/>
      <c r="AO295" s="6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6"/>
      <c r="BK295" s="6"/>
      <c r="BL295" s="21" t="s">
        <v>55</v>
      </c>
      <c r="BO295" s="15"/>
    </row>
    <row r="296" spans="1:67" ht="14.5" customHeight="1">
      <c r="A296" s="6" t="s">
        <v>132</v>
      </c>
      <c r="B296" s="6" t="s">
        <v>139</v>
      </c>
      <c r="C296" s="17">
        <v>35292</v>
      </c>
      <c r="D296" s="18">
        <v>23.168188122840132</v>
      </c>
      <c r="E296" s="22"/>
      <c r="F296" s="27"/>
      <c r="G296" s="22"/>
      <c r="H296" s="22"/>
      <c r="I296" s="27"/>
      <c r="J296" s="42"/>
      <c r="K296" s="42"/>
      <c r="L296" s="27"/>
      <c r="M296" s="22"/>
      <c r="N296" s="18"/>
      <c r="O296" s="18"/>
      <c r="P296" s="22"/>
      <c r="Q296" s="22"/>
      <c r="R296" s="22"/>
      <c r="S296" s="27"/>
      <c r="T296" s="27"/>
      <c r="U296" s="27"/>
      <c r="V296" s="28"/>
      <c r="W296" s="28"/>
      <c r="X296" s="19"/>
      <c r="Y296" s="28"/>
      <c r="Z296" s="28"/>
      <c r="AA296" s="6"/>
      <c r="AB296" s="6"/>
      <c r="AC296" s="6"/>
      <c r="AD296" s="21"/>
      <c r="AE296" s="6"/>
      <c r="AF296" s="26"/>
      <c r="AG296" s="41"/>
      <c r="AH296" s="41"/>
      <c r="AI296" s="18"/>
      <c r="AK296" s="18"/>
      <c r="AL296" s="18"/>
      <c r="AM296" s="40" t="s">
        <v>118</v>
      </c>
      <c r="AN296" s="18"/>
      <c r="AO296" s="6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6"/>
      <c r="BK296" s="6"/>
      <c r="BL296" s="21" t="s">
        <v>55</v>
      </c>
      <c r="BO296" s="15"/>
    </row>
    <row r="297" spans="1:67">
      <c r="A297" s="6" t="s">
        <v>132</v>
      </c>
      <c r="B297" s="6" t="s">
        <v>139</v>
      </c>
      <c r="C297" s="17">
        <v>35688</v>
      </c>
      <c r="D297" s="18">
        <v>24.252400188149121</v>
      </c>
      <c r="E297" s="22"/>
      <c r="F297" s="27"/>
      <c r="G297" s="22"/>
      <c r="H297" s="22"/>
      <c r="I297" s="27"/>
      <c r="J297" s="42"/>
      <c r="K297" s="42"/>
      <c r="L297" s="27"/>
      <c r="M297" s="22"/>
      <c r="N297" s="18"/>
      <c r="O297" s="18"/>
      <c r="P297" s="22"/>
      <c r="Q297" s="22"/>
      <c r="R297" s="22"/>
      <c r="S297" s="27"/>
      <c r="T297" s="27"/>
      <c r="U297" s="27"/>
      <c r="V297" s="28"/>
      <c r="W297" s="28"/>
      <c r="X297" s="19"/>
      <c r="Y297" s="28"/>
      <c r="Z297" s="28"/>
      <c r="AA297" s="6"/>
      <c r="AB297" s="6"/>
      <c r="AC297" s="6"/>
      <c r="AD297" s="21"/>
      <c r="AE297" s="6"/>
      <c r="AF297" s="26"/>
      <c r="AG297" s="41"/>
      <c r="AH297" s="41"/>
      <c r="AI297" s="18"/>
      <c r="AK297" s="18"/>
      <c r="AL297" s="18"/>
      <c r="AM297" s="40" t="s">
        <v>118</v>
      </c>
      <c r="AN297" s="18"/>
      <c r="AO297" s="6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6"/>
      <c r="BK297" s="6"/>
      <c r="BL297" s="21" t="s">
        <v>55</v>
      </c>
      <c r="BO297" s="15"/>
    </row>
    <row r="298" spans="1:67">
      <c r="A298" s="6" t="s">
        <v>132</v>
      </c>
      <c r="B298" s="6" t="s">
        <v>139</v>
      </c>
      <c r="C298" s="17">
        <v>36022</v>
      </c>
      <c r="D298" s="18">
        <v>25.166861879596606</v>
      </c>
      <c r="E298" s="22"/>
      <c r="F298" s="27"/>
      <c r="G298" s="22"/>
      <c r="H298" s="22"/>
      <c r="I298" s="27"/>
      <c r="J298" s="42"/>
      <c r="K298" s="42"/>
      <c r="L298" s="27"/>
      <c r="M298" s="22"/>
      <c r="N298" s="18"/>
      <c r="O298" s="18"/>
      <c r="P298" s="22"/>
      <c r="Q298" s="22"/>
      <c r="R298" s="22"/>
      <c r="S298" s="27"/>
      <c r="T298" s="27"/>
      <c r="U298" s="27"/>
      <c r="V298" s="28"/>
      <c r="W298" s="28"/>
      <c r="X298" s="19"/>
      <c r="Y298" s="28"/>
      <c r="Z298" s="28"/>
      <c r="AA298" s="6"/>
      <c r="AB298" s="6"/>
      <c r="AC298" s="6"/>
      <c r="AD298" s="21"/>
      <c r="AE298" s="6"/>
      <c r="AF298" s="26"/>
      <c r="AG298" s="41"/>
      <c r="AH298" s="41"/>
      <c r="AI298" s="18"/>
      <c r="AK298" s="18"/>
      <c r="AL298" s="18"/>
      <c r="AM298" s="40" t="s">
        <v>118</v>
      </c>
      <c r="AN298" s="18"/>
      <c r="AO298" s="6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6"/>
      <c r="BK298" s="6"/>
      <c r="BL298" s="21" t="s">
        <v>55</v>
      </c>
      <c r="BO298" s="15"/>
    </row>
    <row r="299" spans="1:67">
      <c r="A299" s="6" t="s">
        <v>132</v>
      </c>
      <c r="B299" s="6" t="s">
        <v>139</v>
      </c>
      <c r="C299" s="17">
        <v>36418</v>
      </c>
      <c r="D299" s="18">
        <v>26.251073944905599</v>
      </c>
      <c r="E299" s="22"/>
      <c r="F299" s="27"/>
      <c r="G299" s="22"/>
      <c r="H299" s="22"/>
      <c r="I299" s="27"/>
      <c r="J299" s="42"/>
      <c r="K299" s="42"/>
      <c r="L299" s="27"/>
      <c r="M299" s="22"/>
      <c r="N299" s="18"/>
      <c r="O299" s="18"/>
      <c r="P299" s="22"/>
      <c r="Q299" s="22"/>
      <c r="R299" s="22"/>
      <c r="S299" s="27"/>
      <c r="T299" s="27"/>
      <c r="U299" s="27"/>
      <c r="V299" s="28"/>
      <c r="W299" s="28"/>
      <c r="X299" s="19"/>
      <c r="Y299" s="28"/>
      <c r="Z299" s="28"/>
      <c r="AA299" s="6"/>
      <c r="AB299" s="6"/>
      <c r="AC299" s="6"/>
      <c r="AD299" s="21"/>
      <c r="AE299" s="6"/>
      <c r="AF299" s="26"/>
      <c r="AG299" s="41"/>
      <c r="AH299" s="41"/>
      <c r="AI299" s="18"/>
      <c r="AK299" s="18"/>
      <c r="AL299" s="18"/>
      <c r="AM299" s="40" t="s">
        <v>118</v>
      </c>
      <c r="AN299" s="18"/>
      <c r="AO299" s="6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6"/>
      <c r="BK299" s="6"/>
      <c r="BL299" s="21" t="s">
        <v>55</v>
      </c>
      <c r="BO299" s="15"/>
    </row>
    <row r="300" spans="1:67">
      <c r="A300" s="6" t="s">
        <v>132</v>
      </c>
      <c r="B300" s="6" t="s">
        <v>139</v>
      </c>
      <c r="C300" s="17">
        <v>36784</v>
      </c>
      <c r="D300" s="18">
        <v>27.253148732539668</v>
      </c>
      <c r="E300" s="22"/>
      <c r="F300" s="27"/>
      <c r="G300" s="22"/>
      <c r="H300" s="22"/>
      <c r="I300" s="27"/>
      <c r="J300" s="42"/>
      <c r="K300" s="42"/>
      <c r="L300" s="27"/>
      <c r="M300" s="22"/>
      <c r="N300" s="18"/>
      <c r="O300" s="18"/>
      <c r="P300" s="22"/>
      <c r="Q300" s="22"/>
      <c r="R300" s="22"/>
      <c r="S300" s="27"/>
      <c r="T300" s="27"/>
      <c r="U300" s="27"/>
      <c r="V300" s="28"/>
      <c r="W300" s="28"/>
      <c r="X300" s="19"/>
      <c r="Y300" s="28"/>
      <c r="Z300" s="28"/>
      <c r="AA300" s="6"/>
      <c r="AB300" s="6"/>
      <c r="AC300" s="6"/>
      <c r="AD300" s="21"/>
      <c r="AE300" s="6"/>
      <c r="AF300" s="26"/>
      <c r="AG300" s="41"/>
      <c r="AH300" s="41"/>
      <c r="AI300" s="18"/>
      <c r="AK300" s="18"/>
      <c r="AL300" s="18"/>
      <c r="AM300" s="40" t="s">
        <v>118</v>
      </c>
      <c r="AN300" s="18"/>
      <c r="AO300" s="6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6"/>
      <c r="BK300" s="6"/>
      <c r="BL300" s="21" t="s">
        <v>55</v>
      </c>
      <c r="BO300" s="15"/>
    </row>
    <row r="301" spans="1:67">
      <c r="A301" s="6" t="s">
        <v>132</v>
      </c>
      <c r="B301" s="6" t="s">
        <v>143</v>
      </c>
      <c r="C301" s="17">
        <v>30512</v>
      </c>
      <c r="D301" s="18">
        <v>10.080981879968963</v>
      </c>
      <c r="E301" s="22"/>
      <c r="F301" s="27"/>
      <c r="G301" s="22"/>
      <c r="H301" s="43"/>
      <c r="I301" s="27"/>
      <c r="J301" s="43">
        <v>694.80000000000007</v>
      </c>
      <c r="K301" s="43"/>
      <c r="L301" s="27">
        <v>295.60000000000002</v>
      </c>
      <c r="M301" s="22">
        <v>1845.4</v>
      </c>
      <c r="N301" s="18"/>
      <c r="O301" s="18"/>
      <c r="P301" s="22">
        <v>2141</v>
      </c>
      <c r="Q301" s="22"/>
      <c r="R301" s="22"/>
      <c r="S301" s="27"/>
      <c r="T301" s="27">
        <v>3376.4</v>
      </c>
      <c r="U301" s="27"/>
      <c r="V301" s="28"/>
      <c r="W301" s="28"/>
      <c r="X301" s="19"/>
      <c r="Y301" s="28"/>
      <c r="Z301" s="28"/>
      <c r="AA301" s="6"/>
      <c r="AB301" s="6"/>
      <c r="AC301" s="6"/>
      <c r="AD301" s="21"/>
      <c r="AE301" s="6"/>
      <c r="AF301" s="41"/>
      <c r="AG301" s="41"/>
      <c r="AH301" s="41"/>
      <c r="AI301" s="18"/>
      <c r="AK301" s="18"/>
      <c r="AL301" s="18"/>
      <c r="AM301" s="40" t="s">
        <v>118</v>
      </c>
      <c r="AN301" s="18"/>
      <c r="AO301" s="6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6"/>
      <c r="BK301" s="6"/>
      <c r="BL301" s="21" t="s">
        <v>55</v>
      </c>
      <c r="BO301" s="15"/>
    </row>
    <row r="302" spans="1:67">
      <c r="A302" s="6" t="s">
        <v>132</v>
      </c>
      <c r="B302" s="6" t="s">
        <v>143</v>
      </c>
      <c r="C302" s="17">
        <v>30878</v>
      </c>
      <c r="D302" s="18">
        <v>11.083056667603032</v>
      </c>
      <c r="E302" s="22"/>
      <c r="F302" s="27"/>
      <c r="G302" s="22"/>
      <c r="H302" s="43"/>
      <c r="I302" s="27"/>
      <c r="J302" s="43">
        <v>1508.3</v>
      </c>
      <c r="K302" s="43"/>
      <c r="L302" s="27">
        <v>446.1</v>
      </c>
      <c r="M302" s="22">
        <v>2898.5</v>
      </c>
      <c r="N302" s="18"/>
      <c r="O302" s="18"/>
      <c r="P302" s="22">
        <v>3344.6</v>
      </c>
      <c r="Q302" s="22"/>
      <c r="R302" s="22"/>
      <c r="S302" s="27"/>
      <c r="T302" s="27">
        <v>5720.7</v>
      </c>
      <c r="U302" s="27"/>
      <c r="V302" s="28"/>
      <c r="W302" s="28"/>
      <c r="X302" s="19"/>
      <c r="Y302" s="28"/>
      <c r="Z302" s="28"/>
      <c r="AA302" s="6"/>
      <c r="AB302" s="6"/>
      <c r="AC302" s="6"/>
      <c r="AD302" s="21"/>
      <c r="AE302" s="6"/>
      <c r="AF302" s="41"/>
      <c r="AG302" s="41"/>
      <c r="AH302" s="41"/>
      <c r="AI302" s="18"/>
      <c r="AK302" s="18"/>
      <c r="AL302" s="18"/>
      <c r="AM302" s="40" t="s">
        <v>118</v>
      </c>
      <c r="AN302" s="18"/>
      <c r="AO302" s="6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6"/>
      <c r="BK302" s="6"/>
      <c r="BL302" s="21" t="s">
        <v>55</v>
      </c>
      <c r="BO302" s="15"/>
    </row>
    <row r="303" spans="1:67">
      <c r="A303" s="6" t="s">
        <v>132</v>
      </c>
      <c r="B303" s="6" t="s">
        <v>143</v>
      </c>
      <c r="C303" s="17">
        <v>31243</v>
      </c>
      <c r="D303" s="18">
        <v>12.082393545981269</v>
      </c>
      <c r="E303" s="22"/>
      <c r="F303" s="27"/>
      <c r="G303" s="22"/>
      <c r="H303" s="43"/>
      <c r="I303" s="27"/>
      <c r="J303" s="43">
        <v>1933.5</v>
      </c>
      <c r="K303" s="43"/>
      <c r="L303" s="27">
        <v>651.70000000000005</v>
      </c>
      <c r="M303" s="22">
        <v>4419.5999999999995</v>
      </c>
      <c r="N303" s="18"/>
      <c r="O303" s="18"/>
      <c r="P303" s="22">
        <v>5071.2999999999993</v>
      </c>
      <c r="Q303" s="22"/>
      <c r="R303" s="22"/>
      <c r="S303" s="27"/>
      <c r="T303" s="27">
        <v>8204.6999999999989</v>
      </c>
      <c r="U303" s="27"/>
      <c r="V303" s="28"/>
      <c r="W303" s="28"/>
      <c r="X303" s="19"/>
      <c r="Y303" s="28"/>
      <c r="Z303" s="28"/>
      <c r="AA303" s="6"/>
      <c r="AB303" s="6"/>
      <c r="AC303" s="6"/>
      <c r="AD303" s="21"/>
      <c r="AE303" s="6"/>
      <c r="AF303" s="41"/>
      <c r="AG303" s="41"/>
      <c r="AH303" s="41"/>
      <c r="AI303" s="18"/>
      <c r="AK303" s="18"/>
      <c r="AL303" s="18"/>
      <c r="AM303" s="40" t="s">
        <v>118</v>
      </c>
      <c r="AN303" s="18"/>
      <c r="AO303" s="6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6"/>
      <c r="BK303" s="6"/>
      <c r="BL303" s="21" t="s">
        <v>55</v>
      </c>
      <c r="BO303" s="15"/>
    </row>
    <row r="304" spans="1:67">
      <c r="A304" s="6" t="s">
        <v>132</v>
      </c>
      <c r="B304" s="6" t="s">
        <v>143</v>
      </c>
      <c r="C304" s="17">
        <v>31608</v>
      </c>
      <c r="D304" s="18">
        <v>13.081730424359506</v>
      </c>
      <c r="E304" s="22"/>
      <c r="F304" s="27"/>
      <c r="G304" s="22"/>
      <c r="H304" s="43"/>
      <c r="I304" s="27"/>
      <c r="J304" s="43">
        <v>2439.5</v>
      </c>
      <c r="K304" s="43"/>
      <c r="L304" s="27">
        <v>860.69999999999993</v>
      </c>
      <c r="M304" s="22">
        <v>6055.2</v>
      </c>
      <c r="N304" s="18"/>
      <c r="O304" s="18"/>
      <c r="P304" s="22">
        <v>6915.9</v>
      </c>
      <c r="Q304" s="22"/>
      <c r="R304" s="22"/>
      <c r="S304" s="27"/>
      <c r="T304" s="27">
        <v>10810.5</v>
      </c>
      <c r="U304" s="27"/>
      <c r="V304" s="28"/>
      <c r="W304" s="28"/>
      <c r="X304" s="19"/>
      <c r="Y304" s="28"/>
      <c r="Z304" s="28"/>
      <c r="AA304" s="6"/>
      <c r="AB304" s="6"/>
      <c r="AC304" s="6"/>
      <c r="AD304" s="21"/>
      <c r="AE304" s="6"/>
      <c r="AF304" s="41"/>
      <c r="AG304" s="41"/>
      <c r="AH304" s="41"/>
      <c r="AI304" s="18"/>
      <c r="AK304" s="18"/>
      <c r="AL304" s="18"/>
      <c r="AM304" s="40" t="s">
        <v>118</v>
      </c>
      <c r="AN304" s="18"/>
      <c r="AO304" s="6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6"/>
      <c r="BK304" s="6"/>
      <c r="BL304" s="21" t="s">
        <v>55</v>
      </c>
      <c r="BO304" s="15"/>
    </row>
    <row r="305" spans="1:67">
      <c r="A305" s="6" t="s">
        <v>132</v>
      </c>
      <c r="B305" s="6" t="s">
        <v>143</v>
      </c>
      <c r="C305" s="17">
        <v>31973</v>
      </c>
      <c r="D305" s="18">
        <v>14.081067302737743</v>
      </c>
      <c r="E305" s="22"/>
      <c r="F305" s="27"/>
      <c r="G305" s="22"/>
      <c r="H305" s="43"/>
      <c r="I305" s="27"/>
      <c r="J305" s="43">
        <v>2720.4</v>
      </c>
      <c r="K305" s="43"/>
      <c r="L305" s="27">
        <v>1075.5</v>
      </c>
      <c r="M305" s="22">
        <v>7800</v>
      </c>
      <c r="N305" s="18"/>
      <c r="O305" s="18"/>
      <c r="P305" s="22">
        <v>8875.5</v>
      </c>
      <c r="Q305" s="22"/>
      <c r="R305" s="22"/>
      <c r="S305" s="27"/>
      <c r="T305" s="27">
        <v>13387.4</v>
      </c>
      <c r="U305" s="27"/>
      <c r="V305" s="28"/>
      <c r="W305" s="28"/>
      <c r="X305" s="19"/>
      <c r="Y305" s="28"/>
      <c r="Z305" s="28"/>
      <c r="AA305" s="6"/>
      <c r="AB305" s="6"/>
      <c r="AC305" s="6"/>
      <c r="AD305" s="21"/>
      <c r="AE305" s="6"/>
      <c r="AF305" s="41"/>
      <c r="AG305" s="41"/>
      <c r="AH305" s="41"/>
      <c r="AI305" s="18"/>
      <c r="AK305" s="18"/>
      <c r="AL305" s="18"/>
      <c r="AM305" s="40" t="s">
        <v>118</v>
      </c>
      <c r="AN305" s="18"/>
      <c r="AO305" s="6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6"/>
      <c r="BK305" s="6"/>
      <c r="BL305" s="21" t="s">
        <v>55</v>
      </c>
      <c r="BO305" s="15"/>
    </row>
    <row r="306" spans="1:67">
      <c r="A306" s="6" t="s">
        <v>132</v>
      </c>
      <c r="B306" s="6" t="s">
        <v>143</v>
      </c>
      <c r="C306" s="17">
        <v>33465</v>
      </c>
      <c r="D306" s="18">
        <v>18.166027912437279</v>
      </c>
      <c r="E306" s="22"/>
      <c r="F306" s="27"/>
      <c r="G306" s="22"/>
      <c r="H306" s="44"/>
      <c r="I306" s="27"/>
      <c r="J306" s="44"/>
      <c r="K306" s="44"/>
      <c r="L306" s="27">
        <v>1083.3731330009882</v>
      </c>
      <c r="M306" s="22">
        <v>8407.1644313167417</v>
      </c>
      <c r="N306" s="18"/>
      <c r="O306" s="18"/>
      <c r="P306" s="22">
        <v>9490.5375643177304</v>
      </c>
      <c r="Q306" s="22"/>
      <c r="R306" s="22"/>
      <c r="S306" s="27"/>
      <c r="T306" s="27"/>
      <c r="U306" s="27"/>
      <c r="V306" s="28"/>
      <c r="W306" s="28"/>
      <c r="X306" s="19"/>
      <c r="Y306" s="28"/>
      <c r="Z306" s="28"/>
      <c r="AA306" s="6"/>
      <c r="AB306" s="6"/>
      <c r="AC306" s="6"/>
      <c r="AD306" s="21"/>
      <c r="AE306" s="6"/>
      <c r="AF306" s="41"/>
      <c r="AG306" s="41"/>
      <c r="AH306" s="41"/>
      <c r="AI306" s="18"/>
      <c r="AK306" s="18"/>
      <c r="AL306" s="18"/>
      <c r="AM306" s="40" t="s">
        <v>118</v>
      </c>
      <c r="AN306" s="18"/>
      <c r="AO306" s="6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6"/>
      <c r="BK306" s="6"/>
      <c r="BL306" s="21" t="s">
        <v>55</v>
      </c>
      <c r="BO306" s="15"/>
    </row>
    <row r="307" spans="1:67">
      <c r="A307" s="6" t="s">
        <v>132</v>
      </c>
      <c r="B307" s="6" t="s">
        <v>143</v>
      </c>
      <c r="C307" s="17">
        <v>33831</v>
      </c>
      <c r="D307" s="18">
        <v>19.168102700071348</v>
      </c>
      <c r="E307" s="22"/>
      <c r="F307" s="27"/>
      <c r="G307" s="22"/>
      <c r="H307" s="44"/>
      <c r="I307" s="27"/>
      <c r="J307" s="42"/>
      <c r="K307" s="42"/>
      <c r="L307" s="27">
        <v>1167.0763229427068</v>
      </c>
      <c r="M307" s="22">
        <v>9139.5816284803859</v>
      </c>
      <c r="N307" s="18"/>
      <c r="O307" s="18"/>
      <c r="P307" s="22">
        <v>10306.657951423093</v>
      </c>
      <c r="Q307" s="22"/>
      <c r="R307" s="22"/>
      <c r="S307" s="27"/>
      <c r="T307" s="27"/>
      <c r="U307" s="27"/>
      <c r="V307" s="28"/>
      <c r="W307" s="28"/>
      <c r="X307" s="19"/>
      <c r="Y307" s="28"/>
      <c r="Z307" s="28"/>
      <c r="AA307" s="6"/>
      <c r="AB307" s="6"/>
      <c r="AC307" s="6"/>
      <c r="AD307" s="21"/>
      <c r="AE307" s="6"/>
      <c r="AF307" s="41"/>
      <c r="AG307" s="41"/>
      <c r="AH307" s="41"/>
      <c r="AI307" s="18"/>
      <c r="AK307" s="18"/>
      <c r="AL307" s="18"/>
      <c r="AM307" s="40" t="s">
        <v>118</v>
      </c>
      <c r="AN307" s="18"/>
      <c r="AO307" s="6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6"/>
      <c r="BK307" s="6"/>
      <c r="BL307" s="21" t="s">
        <v>55</v>
      </c>
      <c r="BO307" s="15"/>
    </row>
    <row r="308" spans="1:67" ht="14.5" customHeight="1">
      <c r="A308" s="6" t="s">
        <v>132</v>
      </c>
      <c r="B308" s="6" t="s">
        <v>143</v>
      </c>
      <c r="C308" s="17">
        <v>34135</v>
      </c>
      <c r="D308" s="18">
        <v>20.000427113843909</v>
      </c>
      <c r="E308" s="22"/>
      <c r="F308" s="27"/>
      <c r="G308" s="22"/>
      <c r="H308" s="44"/>
      <c r="I308" s="27"/>
      <c r="J308" s="42"/>
      <c r="K308" s="42"/>
      <c r="L308" s="27">
        <v>1257.088448817133</v>
      </c>
      <c r="M308" s="22">
        <v>9945.51512983049</v>
      </c>
      <c r="N308" s="18"/>
      <c r="O308" s="18">
        <v>407.8453376917015</v>
      </c>
      <c r="P308" s="22">
        <v>11202.603578647622</v>
      </c>
      <c r="Q308" s="22"/>
      <c r="R308" s="22"/>
      <c r="S308" s="27"/>
      <c r="T308" s="27"/>
      <c r="U308" s="27"/>
      <c r="V308" s="28"/>
      <c r="W308" s="28"/>
      <c r="X308" s="19"/>
      <c r="Y308" s="28"/>
      <c r="Z308" s="28"/>
      <c r="AA308" s="6"/>
      <c r="AB308" s="6"/>
      <c r="AC308" s="6"/>
      <c r="AD308" s="21"/>
      <c r="AE308" s="6"/>
      <c r="AF308" s="41"/>
      <c r="AG308" s="41"/>
      <c r="AH308" s="41"/>
      <c r="AI308" s="18"/>
      <c r="AK308" s="18"/>
      <c r="AL308" s="18"/>
      <c r="AM308" s="40" t="s">
        <v>118</v>
      </c>
      <c r="AN308" s="18"/>
      <c r="AO308" s="6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6"/>
      <c r="BK308" s="6"/>
      <c r="BL308" s="21" t="s">
        <v>55</v>
      </c>
      <c r="BO308" s="15"/>
    </row>
    <row r="309" spans="1:67">
      <c r="A309" s="6" t="s">
        <v>132</v>
      </c>
      <c r="B309" s="6" t="s">
        <v>139</v>
      </c>
      <c r="C309" s="17">
        <v>34530</v>
      </c>
      <c r="D309" s="18">
        <v>21.08190126989707</v>
      </c>
      <c r="E309" s="22"/>
      <c r="F309" s="27"/>
      <c r="G309" s="22"/>
      <c r="H309" s="22"/>
      <c r="I309" s="27"/>
      <c r="J309" s="42"/>
      <c r="K309" s="42"/>
      <c r="L309" s="27"/>
      <c r="M309" s="22"/>
      <c r="N309" s="18"/>
      <c r="O309" s="18"/>
      <c r="P309" s="22"/>
      <c r="Q309" s="22"/>
      <c r="R309" s="22"/>
      <c r="S309" s="27"/>
      <c r="T309" s="27"/>
      <c r="U309" s="27"/>
      <c r="V309" s="28"/>
      <c r="W309" s="28"/>
      <c r="X309" s="19"/>
      <c r="Y309" s="28"/>
      <c r="Z309" s="28"/>
      <c r="AA309" s="6"/>
      <c r="AB309" s="6"/>
      <c r="AC309" s="6"/>
      <c r="AD309" s="21"/>
      <c r="AE309" s="6"/>
      <c r="AF309" s="26"/>
      <c r="AG309" s="41"/>
      <c r="AH309" s="41"/>
      <c r="AI309" s="18"/>
      <c r="AK309" s="18"/>
      <c r="AL309" s="18"/>
      <c r="AM309" s="40" t="s">
        <v>118</v>
      </c>
      <c r="AN309" s="18"/>
      <c r="AO309" s="6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6"/>
      <c r="BK309" s="6"/>
      <c r="BL309" s="21" t="s">
        <v>55</v>
      </c>
      <c r="BO309" s="15"/>
    </row>
    <row r="310" spans="1:67">
      <c r="A310" s="6" t="s">
        <v>132</v>
      </c>
      <c r="B310" s="6" t="s">
        <v>139</v>
      </c>
      <c r="C310" s="17">
        <v>34926</v>
      </c>
      <c r="D310" s="18">
        <v>22.166113335206063</v>
      </c>
      <c r="E310" s="22"/>
      <c r="F310" s="27"/>
      <c r="G310" s="22"/>
      <c r="H310" s="22"/>
      <c r="I310" s="27"/>
      <c r="J310" s="42"/>
      <c r="K310" s="42"/>
      <c r="L310" s="27"/>
      <c r="M310" s="22"/>
      <c r="N310" s="18"/>
      <c r="O310" s="18"/>
      <c r="P310" s="22"/>
      <c r="Q310" s="22"/>
      <c r="R310" s="22"/>
      <c r="S310" s="27"/>
      <c r="T310" s="27"/>
      <c r="U310" s="27"/>
      <c r="V310" s="28"/>
      <c r="W310" s="28"/>
      <c r="X310" s="19"/>
      <c r="Y310" s="28"/>
      <c r="Z310" s="28"/>
      <c r="AA310" s="6"/>
      <c r="AB310" s="6"/>
      <c r="AC310" s="6"/>
      <c r="AD310" s="21"/>
      <c r="AE310" s="6"/>
      <c r="AF310" s="26"/>
      <c r="AG310" s="41"/>
      <c r="AH310" s="41"/>
      <c r="AI310" s="18"/>
      <c r="AK310" s="18"/>
      <c r="AL310" s="18"/>
      <c r="AM310" s="40" t="s">
        <v>118</v>
      </c>
      <c r="AN310" s="18"/>
      <c r="AO310" s="6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6"/>
      <c r="BK310" s="6"/>
      <c r="BL310" s="21" t="s">
        <v>55</v>
      </c>
      <c r="BO310" s="15"/>
    </row>
    <row r="311" spans="1:67">
      <c r="A311" s="6" t="s">
        <v>132</v>
      </c>
      <c r="B311" s="6" t="s">
        <v>139</v>
      </c>
      <c r="C311" s="17">
        <v>35292</v>
      </c>
      <c r="D311" s="18">
        <v>23.168188122840132</v>
      </c>
      <c r="E311" s="22"/>
      <c r="F311" s="27"/>
      <c r="G311" s="22"/>
      <c r="H311" s="22"/>
      <c r="I311" s="27"/>
      <c r="J311" s="42"/>
      <c r="K311" s="42"/>
      <c r="L311" s="27"/>
      <c r="M311" s="22"/>
      <c r="N311" s="18"/>
      <c r="O311" s="18"/>
      <c r="P311" s="22"/>
      <c r="Q311" s="22"/>
      <c r="R311" s="22"/>
      <c r="S311" s="27"/>
      <c r="T311" s="27"/>
      <c r="U311" s="27"/>
      <c r="V311" s="28"/>
      <c r="W311" s="28"/>
      <c r="X311" s="19"/>
      <c r="Y311" s="28"/>
      <c r="Z311" s="28"/>
      <c r="AA311" s="6"/>
      <c r="AB311" s="6"/>
      <c r="AC311" s="6"/>
      <c r="AD311" s="21"/>
      <c r="AE311" s="6"/>
      <c r="AF311" s="26"/>
      <c r="AG311" s="41"/>
      <c r="AH311" s="41"/>
      <c r="AI311" s="18"/>
      <c r="AK311" s="18"/>
      <c r="AL311" s="18"/>
      <c r="AM311" s="40" t="s">
        <v>118</v>
      </c>
      <c r="AN311" s="18"/>
      <c r="AO311" s="6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6"/>
      <c r="BK311" s="6"/>
      <c r="BL311" s="21" t="s">
        <v>55</v>
      </c>
      <c r="BO311" s="15"/>
    </row>
    <row r="312" spans="1:67" ht="14.5" customHeight="1">
      <c r="A312" s="6" t="s">
        <v>132</v>
      </c>
      <c r="B312" s="6" t="s">
        <v>139</v>
      </c>
      <c r="C312" s="17">
        <v>35688</v>
      </c>
      <c r="D312" s="18">
        <v>24.252400188149121</v>
      </c>
      <c r="E312" s="22"/>
      <c r="F312" s="27"/>
      <c r="G312" s="22"/>
      <c r="H312" s="22"/>
      <c r="I312" s="27"/>
      <c r="J312" s="42"/>
      <c r="K312" s="42"/>
      <c r="L312" s="27"/>
      <c r="M312" s="22"/>
      <c r="N312" s="18"/>
      <c r="O312" s="18"/>
      <c r="P312" s="22"/>
      <c r="Q312" s="22"/>
      <c r="R312" s="22"/>
      <c r="S312" s="27"/>
      <c r="T312" s="27"/>
      <c r="U312" s="27"/>
      <c r="V312" s="28"/>
      <c r="W312" s="28"/>
      <c r="X312" s="19"/>
      <c r="Y312" s="28"/>
      <c r="Z312" s="28"/>
      <c r="AA312" s="6"/>
      <c r="AB312" s="6"/>
      <c r="AC312" s="6"/>
      <c r="AD312" s="21"/>
      <c r="AE312" s="6"/>
      <c r="AF312" s="26"/>
      <c r="AG312" s="41"/>
      <c r="AH312" s="41"/>
      <c r="AI312" s="18"/>
      <c r="AK312" s="18"/>
      <c r="AL312" s="18"/>
      <c r="AM312" s="40" t="s">
        <v>118</v>
      </c>
      <c r="AN312" s="18"/>
      <c r="AO312" s="6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6"/>
      <c r="BK312" s="6"/>
      <c r="BL312" s="21" t="s">
        <v>55</v>
      </c>
      <c r="BO312" s="15"/>
    </row>
    <row r="313" spans="1:67" ht="14.5" customHeight="1">
      <c r="A313" s="6" t="s">
        <v>132</v>
      </c>
      <c r="B313" s="6" t="s">
        <v>139</v>
      </c>
      <c r="C313" s="17">
        <v>36022</v>
      </c>
      <c r="D313" s="18">
        <v>25.166861879596606</v>
      </c>
      <c r="E313" s="22"/>
      <c r="F313" s="27"/>
      <c r="G313" s="22"/>
      <c r="H313" s="22"/>
      <c r="I313" s="27"/>
      <c r="J313" s="42"/>
      <c r="K313" s="42"/>
      <c r="L313" s="27"/>
      <c r="M313" s="22"/>
      <c r="N313" s="18"/>
      <c r="O313" s="18"/>
      <c r="P313" s="22"/>
      <c r="Q313" s="22"/>
      <c r="R313" s="22"/>
      <c r="S313" s="27"/>
      <c r="T313" s="27"/>
      <c r="U313" s="27"/>
      <c r="V313" s="28"/>
      <c r="W313" s="28"/>
      <c r="X313" s="19"/>
      <c r="Y313" s="28"/>
      <c r="Z313" s="28"/>
      <c r="AA313" s="6"/>
      <c r="AB313" s="6"/>
      <c r="AC313" s="6"/>
      <c r="AD313" s="21"/>
      <c r="AE313" s="6"/>
      <c r="AF313" s="26"/>
      <c r="AG313" s="41"/>
      <c r="AH313" s="41"/>
      <c r="AI313" s="18"/>
      <c r="AK313" s="18"/>
      <c r="AL313" s="18"/>
      <c r="AM313" s="40" t="s">
        <v>118</v>
      </c>
      <c r="AN313" s="18"/>
      <c r="AO313" s="6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6"/>
      <c r="BK313" s="6"/>
      <c r="BL313" s="21" t="s">
        <v>55</v>
      </c>
      <c r="BO313" s="15"/>
    </row>
    <row r="314" spans="1:67" ht="14.5" customHeight="1">
      <c r="A314" s="6" t="s">
        <v>132</v>
      </c>
      <c r="B314" s="6" t="s">
        <v>139</v>
      </c>
      <c r="C314" s="17">
        <v>36418</v>
      </c>
      <c r="D314" s="18">
        <v>26.251073944905599</v>
      </c>
      <c r="E314" s="22"/>
      <c r="F314" s="27"/>
      <c r="G314" s="22"/>
      <c r="H314" s="22"/>
      <c r="I314" s="27"/>
      <c r="J314" s="42"/>
      <c r="K314" s="42"/>
      <c r="L314" s="27"/>
      <c r="M314" s="22"/>
      <c r="N314" s="18"/>
      <c r="O314" s="18"/>
      <c r="P314" s="22"/>
      <c r="Q314" s="22"/>
      <c r="R314" s="22"/>
      <c r="S314" s="27"/>
      <c r="T314" s="27"/>
      <c r="U314" s="27"/>
      <c r="V314" s="28"/>
      <c r="W314" s="28"/>
      <c r="X314" s="19"/>
      <c r="Y314" s="28"/>
      <c r="Z314" s="28"/>
      <c r="AA314" s="6"/>
      <c r="AB314" s="6"/>
      <c r="AC314" s="6"/>
      <c r="AD314" s="21"/>
      <c r="AE314" s="6"/>
      <c r="AF314" s="26"/>
      <c r="AG314" s="41"/>
      <c r="AH314" s="41"/>
      <c r="AI314" s="18"/>
      <c r="AK314" s="18"/>
      <c r="AL314" s="18"/>
      <c r="AM314" s="40" t="s">
        <v>118</v>
      </c>
      <c r="AN314" s="18"/>
      <c r="AO314" s="6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6"/>
      <c r="BK314" s="6"/>
      <c r="BL314" s="21" t="s">
        <v>55</v>
      </c>
      <c r="BO314" s="15"/>
    </row>
    <row r="315" spans="1:67">
      <c r="A315" s="6" t="s">
        <v>132</v>
      </c>
      <c r="B315" s="6" t="s">
        <v>139</v>
      </c>
      <c r="C315" s="17">
        <v>36784</v>
      </c>
      <c r="D315" s="18">
        <v>27.253148732539668</v>
      </c>
      <c r="E315" s="22"/>
      <c r="F315" s="27"/>
      <c r="G315" s="22"/>
      <c r="H315" s="22"/>
      <c r="I315" s="27"/>
      <c r="J315" s="42"/>
      <c r="K315" s="42"/>
      <c r="L315" s="27"/>
      <c r="M315" s="22"/>
      <c r="N315" s="18"/>
      <c r="O315" s="18"/>
      <c r="P315" s="22"/>
      <c r="Q315" s="22"/>
      <c r="R315" s="22"/>
      <c r="S315" s="27"/>
      <c r="T315" s="27"/>
      <c r="U315" s="27"/>
      <c r="V315" s="28"/>
      <c r="W315" s="28"/>
      <c r="X315" s="19"/>
      <c r="Y315" s="28"/>
      <c r="Z315" s="28"/>
      <c r="AA315" s="6"/>
      <c r="AB315" s="6"/>
      <c r="AC315" s="6"/>
      <c r="AD315" s="21"/>
      <c r="AE315" s="6"/>
      <c r="AF315" s="26"/>
      <c r="AG315" s="41"/>
      <c r="AH315" s="41"/>
      <c r="AI315" s="18"/>
      <c r="AK315" s="18"/>
      <c r="AL315" s="18"/>
      <c r="AM315" s="40" t="s">
        <v>118</v>
      </c>
      <c r="AN315" s="18"/>
      <c r="AO315" s="6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6"/>
      <c r="BK315" s="6"/>
      <c r="BL315" s="21" t="s">
        <v>55</v>
      </c>
      <c r="BO315" s="15"/>
    </row>
    <row r="316" spans="1:67">
      <c r="A316" s="6" t="s">
        <v>133</v>
      </c>
      <c r="B316" s="6" t="s">
        <v>140</v>
      </c>
      <c r="C316" s="17">
        <v>30512</v>
      </c>
      <c r="D316" s="18">
        <v>10.080981879968963</v>
      </c>
      <c r="E316" s="22"/>
      <c r="F316" s="31">
        <v>795</v>
      </c>
      <c r="G316" s="22"/>
      <c r="H316" s="43"/>
      <c r="I316" s="27"/>
      <c r="J316" s="43">
        <v>595.9</v>
      </c>
      <c r="K316" s="43"/>
      <c r="L316" s="43">
        <v>293.60000000000002</v>
      </c>
      <c r="M316" s="22">
        <v>1821.8</v>
      </c>
      <c r="N316" s="18"/>
      <c r="O316" s="18"/>
      <c r="P316" s="22">
        <v>2115.4</v>
      </c>
      <c r="Q316" s="22"/>
      <c r="R316" s="22"/>
      <c r="S316" s="27"/>
      <c r="T316" s="27">
        <v>3201.5</v>
      </c>
      <c r="U316" s="27"/>
      <c r="V316" s="28"/>
      <c r="W316" s="28"/>
      <c r="X316" s="19"/>
      <c r="Y316" s="28"/>
      <c r="Z316" s="28"/>
      <c r="AA316" s="6"/>
      <c r="AB316" s="6"/>
      <c r="AC316" s="6"/>
      <c r="AD316" s="21"/>
      <c r="AE316" s="6"/>
      <c r="AF316" s="41"/>
      <c r="AG316" s="41"/>
      <c r="AH316" s="41"/>
      <c r="AI316" s="18"/>
      <c r="AK316" s="18"/>
      <c r="AL316" s="18"/>
      <c r="AM316" s="40" t="s">
        <v>118</v>
      </c>
      <c r="AN316" s="18"/>
      <c r="AO316" s="6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6"/>
      <c r="BK316" s="6"/>
      <c r="BL316" s="21" t="s">
        <v>55</v>
      </c>
      <c r="BO316" s="15"/>
    </row>
    <row r="317" spans="1:67">
      <c r="A317" s="6" t="s">
        <v>133</v>
      </c>
      <c r="B317" s="6" t="s">
        <v>140</v>
      </c>
      <c r="C317" s="17">
        <v>30878</v>
      </c>
      <c r="D317" s="18">
        <v>11.083056667603032</v>
      </c>
      <c r="E317" s="22"/>
      <c r="F317" s="31">
        <v>795</v>
      </c>
      <c r="G317" s="22"/>
      <c r="H317" s="43"/>
      <c r="I317" s="27"/>
      <c r="J317" s="43">
        <v>1037.3</v>
      </c>
      <c r="K317" s="43"/>
      <c r="L317" s="43">
        <v>413.6</v>
      </c>
      <c r="M317" s="22">
        <v>2653.5</v>
      </c>
      <c r="N317" s="18"/>
      <c r="O317" s="18"/>
      <c r="P317" s="22">
        <v>3067.1</v>
      </c>
      <c r="Q317" s="22"/>
      <c r="R317" s="22"/>
      <c r="S317" s="27"/>
      <c r="T317" s="27">
        <v>4836.6000000000004</v>
      </c>
      <c r="U317" s="27"/>
      <c r="V317" s="28"/>
      <c r="W317" s="28"/>
      <c r="X317" s="19"/>
      <c r="Y317" s="28"/>
      <c r="Z317" s="28"/>
      <c r="AA317" s="6"/>
      <c r="AB317" s="6"/>
      <c r="AC317" s="6"/>
      <c r="AD317" s="21"/>
      <c r="AE317" s="6"/>
      <c r="AF317" s="41"/>
      <c r="AG317" s="41"/>
      <c r="AH317" s="41"/>
      <c r="AI317" s="18"/>
      <c r="AK317" s="18"/>
      <c r="AL317" s="18"/>
      <c r="AM317" s="40" t="s">
        <v>118</v>
      </c>
      <c r="AN317" s="18"/>
      <c r="AO317" s="6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6"/>
      <c r="BK317" s="6"/>
      <c r="BL317" s="21" t="s">
        <v>55</v>
      </c>
      <c r="BO317" s="15"/>
    </row>
    <row r="318" spans="1:67">
      <c r="A318" s="6" t="s">
        <v>133</v>
      </c>
      <c r="B318" s="6" t="s">
        <v>140</v>
      </c>
      <c r="C318" s="17">
        <v>31243</v>
      </c>
      <c r="D318" s="18">
        <v>12.082393545981269</v>
      </c>
      <c r="E318" s="22"/>
      <c r="F318" s="31">
        <v>795</v>
      </c>
      <c r="G318" s="22"/>
      <c r="H318" s="43"/>
      <c r="I318" s="27"/>
      <c r="J318" s="43">
        <v>1343.3</v>
      </c>
      <c r="K318" s="43"/>
      <c r="L318" s="43">
        <v>645.6</v>
      </c>
      <c r="M318" s="22">
        <v>4369.1000000000004</v>
      </c>
      <c r="N318" s="18"/>
      <c r="O318" s="18"/>
      <c r="P318" s="22">
        <v>5014.7000000000007</v>
      </c>
      <c r="Q318" s="22"/>
      <c r="R318" s="22"/>
      <c r="S318" s="27"/>
      <c r="T318" s="27">
        <v>7432.4</v>
      </c>
      <c r="U318" s="27"/>
      <c r="V318" s="28"/>
      <c r="W318" s="28"/>
      <c r="X318" s="19"/>
      <c r="Y318" s="28"/>
      <c r="Z318" s="28"/>
      <c r="AA318" s="6"/>
      <c r="AB318" s="6"/>
      <c r="AC318" s="6"/>
      <c r="AD318" s="21"/>
      <c r="AE318" s="6"/>
      <c r="AF318" s="41"/>
      <c r="AG318" s="41"/>
      <c r="AH318" s="41"/>
      <c r="AI318" s="18"/>
      <c r="AK318" s="18"/>
      <c r="AL318" s="18"/>
      <c r="AM318" s="40" t="s">
        <v>118</v>
      </c>
      <c r="AN318" s="18"/>
      <c r="AO318" s="6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6"/>
      <c r="BK318" s="6"/>
      <c r="BL318" s="21" t="s">
        <v>55</v>
      </c>
      <c r="BO318" s="15"/>
    </row>
    <row r="319" spans="1:67">
      <c r="A319" s="6" t="s">
        <v>133</v>
      </c>
      <c r="B319" s="6" t="s">
        <v>140</v>
      </c>
      <c r="C319" s="17">
        <v>31608</v>
      </c>
      <c r="D319" s="18">
        <v>13.081730424359506</v>
      </c>
      <c r="E319" s="22"/>
      <c r="F319" s="31">
        <v>795</v>
      </c>
      <c r="G319" s="22"/>
      <c r="H319" s="43"/>
      <c r="I319" s="27"/>
      <c r="J319" s="43">
        <v>1843.4999999999998</v>
      </c>
      <c r="K319" s="43"/>
      <c r="L319" s="43">
        <v>869.3</v>
      </c>
      <c r="M319" s="22">
        <v>6087</v>
      </c>
      <c r="N319" s="18"/>
      <c r="O319" s="18"/>
      <c r="P319" s="22">
        <v>6956.3</v>
      </c>
      <c r="Q319" s="22"/>
      <c r="R319" s="22"/>
      <c r="S319" s="27"/>
      <c r="T319" s="27">
        <v>10181.1</v>
      </c>
      <c r="U319" s="27"/>
      <c r="V319" s="28"/>
      <c r="W319" s="28"/>
      <c r="X319" s="19"/>
      <c r="Y319" s="28"/>
      <c r="Z319" s="28"/>
      <c r="AA319" s="6"/>
      <c r="AB319" s="6"/>
      <c r="AC319" s="6"/>
      <c r="AD319" s="21"/>
      <c r="AE319" s="6"/>
      <c r="AF319" s="41"/>
      <c r="AG319" s="41"/>
      <c r="AH319" s="41"/>
      <c r="AI319" s="18"/>
      <c r="AK319" s="18"/>
      <c r="AL319" s="18"/>
      <c r="AM319" s="40" t="s">
        <v>118</v>
      </c>
      <c r="AN319" s="18"/>
      <c r="AO319" s="6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6"/>
      <c r="BK319" s="6"/>
      <c r="BL319" s="21" t="s">
        <v>55</v>
      </c>
      <c r="BO319" s="15"/>
    </row>
    <row r="320" spans="1:67" ht="14.5" customHeight="1">
      <c r="A320" s="6" t="s">
        <v>133</v>
      </c>
      <c r="B320" s="6" t="s">
        <v>140</v>
      </c>
      <c r="C320" s="17">
        <v>31973</v>
      </c>
      <c r="D320" s="18">
        <v>14.081067302737743</v>
      </c>
      <c r="E320" s="22"/>
      <c r="F320" s="31">
        <v>775</v>
      </c>
      <c r="G320" s="22"/>
      <c r="H320" s="43"/>
      <c r="I320" s="27"/>
      <c r="J320" s="43">
        <v>2173.5</v>
      </c>
      <c r="K320" s="43"/>
      <c r="L320" s="43">
        <v>1126.5</v>
      </c>
      <c r="M320" s="22">
        <v>8138.2999999999993</v>
      </c>
      <c r="N320" s="18"/>
      <c r="O320" s="18"/>
      <c r="P320" s="22">
        <v>9264.7999999999993</v>
      </c>
      <c r="Q320" s="22"/>
      <c r="R320" s="22"/>
      <c r="S320" s="27"/>
      <c r="T320" s="27">
        <v>13194.999999999998</v>
      </c>
      <c r="U320" s="27"/>
      <c r="V320" s="28"/>
      <c r="W320" s="28"/>
      <c r="X320" s="19"/>
      <c r="Y320" s="28"/>
      <c r="Z320" s="28"/>
      <c r="AA320" s="6"/>
      <c r="AB320" s="6"/>
      <c r="AC320" s="6"/>
      <c r="AD320" s="21"/>
      <c r="AE320" s="6"/>
      <c r="AF320" s="41"/>
      <c r="AG320" s="41"/>
      <c r="AH320" s="41"/>
      <c r="AI320" s="18"/>
      <c r="AK320" s="18"/>
      <c r="AL320" s="18"/>
      <c r="AM320" s="40" t="s">
        <v>118</v>
      </c>
      <c r="AN320" s="18"/>
      <c r="AO320" s="6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6"/>
      <c r="BK320" s="6"/>
      <c r="BL320" s="21" t="s">
        <v>55</v>
      </c>
      <c r="BO320" s="15"/>
    </row>
    <row r="321" spans="1:67">
      <c r="A321" s="6" t="s">
        <v>133</v>
      </c>
      <c r="B321" s="6" t="s">
        <v>140</v>
      </c>
      <c r="C321" s="17">
        <v>33465</v>
      </c>
      <c r="D321" s="18">
        <v>18.166027912437279</v>
      </c>
      <c r="E321" s="22"/>
      <c r="F321" s="31">
        <v>412</v>
      </c>
      <c r="G321" s="22"/>
      <c r="H321" s="44"/>
      <c r="I321" s="27"/>
      <c r="J321" s="44"/>
      <c r="K321" s="44"/>
      <c r="L321" s="44">
        <v>1428.5234557963718</v>
      </c>
      <c r="M321" s="22">
        <v>11292.189033277353</v>
      </c>
      <c r="N321" s="18"/>
      <c r="O321" s="18"/>
      <c r="P321" s="22">
        <v>12720.712489073725</v>
      </c>
      <c r="Q321" s="22"/>
      <c r="R321" s="22"/>
      <c r="S321" s="27"/>
      <c r="T321" s="27"/>
      <c r="U321" s="27"/>
      <c r="V321" s="28"/>
      <c r="W321" s="28"/>
      <c r="X321" s="19"/>
      <c r="Y321" s="28"/>
      <c r="Z321" s="28"/>
      <c r="AA321" s="6"/>
      <c r="AB321" s="6"/>
      <c r="AC321" s="6"/>
      <c r="AD321" s="21"/>
      <c r="AE321" s="6"/>
      <c r="AF321" s="41"/>
      <c r="AG321" s="41"/>
      <c r="AH321" s="41"/>
      <c r="AI321" s="18"/>
      <c r="AK321" s="18"/>
      <c r="AL321" s="18"/>
      <c r="AM321" s="40" t="s">
        <v>118</v>
      </c>
      <c r="AN321" s="18"/>
      <c r="AO321" s="6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6"/>
      <c r="BK321" s="6"/>
      <c r="BL321" s="21" t="s">
        <v>55</v>
      </c>
      <c r="BO321" s="15"/>
    </row>
    <row r="322" spans="1:67">
      <c r="A322" s="6" t="s">
        <v>133</v>
      </c>
      <c r="B322" s="6" t="s">
        <v>140</v>
      </c>
      <c r="C322" s="17">
        <v>33831</v>
      </c>
      <c r="D322" s="18">
        <v>19.168102700071348</v>
      </c>
      <c r="E322" s="22"/>
      <c r="F322" s="31">
        <v>412</v>
      </c>
      <c r="G322" s="22"/>
      <c r="H322" s="44"/>
      <c r="I322" s="27"/>
      <c r="J322" s="44"/>
      <c r="K322" s="44"/>
      <c r="L322" s="44">
        <v>1608.7842019230475</v>
      </c>
      <c r="M322" s="22">
        <v>12880.975609051899</v>
      </c>
      <c r="N322" s="18"/>
      <c r="O322" s="18"/>
      <c r="P322" s="22">
        <v>14489.759810974945</v>
      </c>
      <c r="Q322" s="22"/>
      <c r="R322" s="22"/>
      <c r="S322" s="27">
        <v>214.88</v>
      </c>
      <c r="T322" s="27"/>
      <c r="U322" s="27"/>
      <c r="V322" s="28"/>
      <c r="W322" s="28"/>
      <c r="X322" s="19"/>
      <c r="Y322" s="28"/>
      <c r="Z322" s="28"/>
      <c r="AA322" s="6"/>
      <c r="AB322" s="6"/>
      <c r="AC322" s="6"/>
      <c r="AD322" s="21"/>
      <c r="AE322" s="6"/>
      <c r="AF322" s="41"/>
      <c r="AG322" s="41"/>
      <c r="AH322" s="41"/>
      <c r="AI322" s="18"/>
      <c r="AK322" s="18"/>
      <c r="AL322" s="18"/>
      <c r="AM322" s="40" t="s">
        <v>118</v>
      </c>
      <c r="AN322" s="18"/>
      <c r="AO322" s="6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6"/>
      <c r="BK322" s="6"/>
      <c r="BL322" s="21" t="s">
        <v>55</v>
      </c>
      <c r="BO322" s="15"/>
    </row>
    <row r="323" spans="1:67">
      <c r="A323" s="6" t="s">
        <v>133</v>
      </c>
      <c r="B323" s="6" t="s">
        <v>140</v>
      </c>
      <c r="C323" s="17">
        <v>34135</v>
      </c>
      <c r="D323" s="18">
        <v>20.000427113843909</v>
      </c>
      <c r="E323" s="22"/>
      <c r="F323" s="31">
        <v>412</v>
      </c>
      <c r="G323" s="22"/>
      <c r="H323" s="43">
        <v>1330</v>
      </c>
      <c r="I323" s="27"/>
      <c r="J323" s="43">
        <v>2470</v>
      </c>
      <c r="K323" s="43"/>
      <c r="L323" s="43">
        <v>1820</v>
      </c>
      <c r="M323" s="22">
        <v>17000</v>
      </c>
      <c r="N323" s="18"/>
      <c r="O323" s="18">
        <v>469.32668329177056</v>
      </c>
      <c r="P323" s="22">
        <v>18820</v>
      </c>
      <c r="Q323" s="22"/>
      <c r="R323" s="22"/>
      <c r="S323" s="27">
        <v>210.24000000000004</v>
      </c>
      <c r="T323" s="27">
        <v>10810.5</v>
      </c>
      <c r="U323" s="27"/>
      <c r="V323" s="28"/>
      <c r="W323" s="28"/>
      <c r="X323" s="19"/>
      <c r="Y323" s="28"/>
      <c r="Z323" s="28"/>
      <c r="AA323" s="6"/>
      <c r="AB323" s="6"/>
      <c r="AC323" s="6"/>
      <c r="AD323" s="21"/>
      <c r="AE323" s="6"/>
      <c r="AF323" s="41"/>
      <c r="AG323" s="41"/>
      <c r="AH323" s="41"/>
      <c r="AI323" s="18"/>
      <c r="AK323" s="18"/>
      <c r="AL323" s="18"/>
      <c r="AM323" s="40" t="s">
        <v>118</v>
      </c>
      <c r="AN323" s="18"/>
      <c r="AO323" s="6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6"/>
      <c r="BK323" s="6"/>
      <c r="BL323" s="21" t="s">
        <v>55</v>
      </c>
      <c r="BO323" s="15"/>
    </row>
    <row r="324" spans="1:67" ht="14.5" customHeight="1">
      <c r="A324" s="6" t="s">
        <v>133</v>
      </c>
      <c r="B324" s="6" t="s">
        <v>140</v>
      </c>
      <c r="C324" s="17">
        <v>34530</v>
      </c>
      <c r="D324" s="18">
        <v>21.08190126989707</v>
      </c>
      <c r="E324" s="22"/>
      <c r="F324" s="31">
        <v>412</v>
      </c>
      <c r="G324" s="22"/>
      <c r="H324" s="44"/>
      <c r="I324" s="27"/>
      <c r="J324" s="42"/>
      <c r="K324" s="42"/>
      <c r="L324" s="27"/>
      <c r="M324" s="22"/>
      <c r="N324" s="18"/>
      <c r="O324" s="18"/>
      <c r="P324" s="22"/>
      <c r="Q324" s="22"/>
      <c r="R324" s="22"/>
      <c r="S324" s="27"/>
      <c r="T324" s="27"/>
      <c r="U324" s="27"/>
      <c r="V324" s="28"/>
      <c r="W324" s="28"/>
      <c r="X324" s="19"/>
      <c r="Y324" s="28"/>
      <c r="Z324" s="28"/>
      <c r="AA324" s="6"/>
      <c r="AB324" s="6"/>
      <c r="AC324" s="6"/>
      <c r="AD324" s="21"/>
      <c r="AE324" s="6"/>
      <c r="AF324" s="41"/>
      <c r="AG324" s="41"/>
      <c r="AH324" s="41"/>
      <c r="AI324" s="18"/>
      <c r="AK324" s="18"/>
      <c r="AL324" s="18"/>
      <c r="AM324" s="40" t="s">
        <v>118</v>
      </c>
      <c r="AN324" s="18"/>
      <c r="AO324" s="6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6"/>
      <c r="BK324" s="6"/>
      <c r="BL324" s="21" t="s">
        <v>55</v>
      </c>
      <c r="BO324" s="15"/>
    </row>
    <row r="325" spans="1:67">
      <c r="A325" s="6" t="s">
        <v>133</v>
      </c>
      <c r="B325" s="6" t="s">
        <v>140</v>
      </c>
      <c r="C325" s="17">
        <v>34926</v>
      </c>
      <c r="D325" s="18">
        <v>22.166113335206063</v>
      </c>
      <c r="E325" s="22"/>
      <c r="F325" s="31">
        <v>412</v>
      </c>
      <c r="G325" s="22"/>
      <c r="H325" s="22"/>
      <c r="I325" s="27"/>
      <c r="J325" s="42"/>
      <c r="K325" s="42"/>
      <c r="L325" s="27"/>
      <c r="M325" s="22"/>
      <c r="N325" s="18"/>
      <c r="O325" s="18"/>
      <c r="P325" s="22"/>
      <c r="Q325" s="22"/>
      <c r="R325" s="22"/>
      <c r="S325" s="27"/>
      <c r="T325" s="27"/>
      <c r="U325" s="27"/>
      <c r="V325" s="28"/>
      <c r="W325" s="28"/>
      <c r="X325" s="19"/>
      <c r="Y325" s="28"/>
      <c r="Z325" s="28"/>
      <c r="AA325" s="6"/>
      <c r="AB325" s="6"/>
      <c r="AC325" s="6"/>
      <c r="AD325" s="21"/>
      <c r="AE325" s="6"/>
      <c r="AF325" s="41"/>
      <c r="AG325" s="41"/>
      <c r="AH325" s="41"/>
      <c r="AI325" s="18"/>
      <c r="AK325" s="18"/>
      <c r="AL325" s="18"/>
      <c r="AM325" s="40" t="s">
        <v>118</v>
      </c>
      <c r="AN325" s="18"/>
      <c r="AO325" s="6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6"/>
      <c r="BK325" s="6"/>
      <c r="BL325" s="21" t="s">
        <v>55</v>
      </c>
      <c r="BO325" s="15"/>
    </row>
    <row r="326" spans="1:67">
      <c r="A326" s="6" t="s">
        <v>133</v>
      </c>
      <c r="B326" s="6" t="s">
        <v>140</v>
      </c>
      <c r="C326" s="17">
        <v>35292</v>
      </c>
      <c r="D326" s="18">
        <v>23.168188122840132</v>
      </c>
      <c r="E326" s="22"/>
      <c r="F326" s="31">
        <v>412</v>
      </c>
      <c r="G326" s="22"/>
      <c r="H326" s="22"/>
      <c r="I326" s="27"/>
      <c r="J326" s="42"/>
      <c r="K326" s="42"/>
      <c r="L326" s="27"/>
      <c r="M326" s="22"/>
      <c r="N326" s="18"/>
      <c r="O326" s="18"/>
      <c r="P326" s="22"/>
      <c r="Q326" s="22"/>
      <c r="R326" s="22"/>
      <c r="S326" s="27"/>
      <c r="T326" s="27"/>
      <c r="U326" s="27"/>
      <c r="V326" s="28"/>
      <c r="W326" s="28"/>
      <c r="X326" s="19"/>
      <c r="Y326" s="28"/>
      <c r="Z326" s="28"/>
      <c r="AA326" s="6"/>
      <c r="AB326" s="6"/>
      <c r="AC326" s="6"/>
      <c r="AD326" s="21"/>
      <c r="AE326" s="6"/>
      <c r="AF326" s="26"/>
      <c r="AG326" s="41"/>
      <c r="AH326" s="41"/>
      <c r="AI326" s="18"/>
      <c r="AK326" s="18"/>
      <c r="AL326" s="18"/>
      <c r="AM326" s="40" t="s">
        <v>118</v>
      </c>
      <c r="AN326" s="18"/>
      <c r="AO326" s="6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6"/>
      <c r="BK326" s="6"/>
      <c r="BL326" s="21" t="s">
        <v>55</v>
      </c>
      <c r="BO326" s="15"/>
    </row>
    <row r="327" spans="1:67" ht="14.5" customHeight="1">
      <c r="A327" s="6" t="s">
        <v>133</v>
      </c>
      <c r="B327" s="6" t="s">
        <v>140</v>
      </c>
      <c r="C327" s="17">
        <v>35688</v>
      </c>
      <c r="D327" s="18">
        <v>24.252400188149121</v>
      </c>
      <c r="E327" s="22"/>
      <c r="F327" s="31">
        <v>412</v>
      </c>
      <c r="G327" s="22"/>
      <c r="H327" s="22"/>
      <c r="I327" s="27"/>
      <c r="J327" s="42"/>
      <c r="K327" s="42"/>
      <c r="L327" s="27"/>
      <c r="M327" s="22"/>
      <c r="N327" s="18"/>
      <c r="O327" s="18"/>
      <c r="P327" s="22"/>
      <c r="Q327" s="22"/>
      <c r="R327" s="22"/>
      <c r="S327" s="27"/>
      <c r="T327" s="27"/>
      <c r="U327" s="27"/>
      <c r="V327" s="28"/>
      <c r="W327" s="28"/>
      <c r="X327" s="19"/>
      <c r="Y327" s="28"/>
      <c r="Z327" s="28"/>
      <c r="AA327" s="6"/>
      <c r="AB327" s="6"/>
      <c r="AC327" s="6"/>
      <c r="AD327" s="21"/>
      <c r="AE327" s="6"/>
      <c r="AF327" s="26"/>
      <c r="AG327" s="41"/>
      <c r="AH327" s="41"/>
      <c r="AI327" s="18"/>
      <c r="AK327" s="18"/>
      <c r="AL327" s="18"/>
      <c r="AM327" s="40" t="s">
        <v>118</v>
      </c>
      <c r="AN327" s="18"/>
      <c r="AO327" s="6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6"/>
      <c r="BK327" s="6"/>
      <c r="BL327" s="21" t="s">
        <v>55</v>
      </c>
      <c r="BO327" s="15"/>
    </row>
    <row r="328" spans="1:67">
      <c r="A328" s="6" t="s">
        <v>133</v>
      </c>
      <c r="B328" s="6" t="s">
        <v>140</v>
      </c>
      <c r="C328" s="17">
        <v>36022</v>
      </c>
      <c r="D328" s="18">
        <v>25.166861879596606</v>
      </c>
      <c r="E328" s="22"/>
      <c r="F328" s="31">
        <v>412</v>
      </c>
      <c r="G328" s="22"/>
      <c r="H328" s="22"/>
      <c r="I328" s="27"/>
      <c r="J328" s="42"/>
      <c r="K328" s="42"/>
      <c r="L328" s="27"/>
      <c r="M328" s="22"/>
      <c r="N328" s="18"/>
      <c r="O328" s="18"/>
      <c r="P328" s="22"/>
      <c r="Q328" s="22"/>
      <c r="R328" s="22"/>
      <c r="S328" s="27"/>
      <c r="T328" s="27"/>
      <c r="U328" s="27"/>
      <c r="V328" s="28"/>
      <c r="W328" s="28"/>
      <c r="X328" s="19"/>
      <c r="Y328" s="28"/>
      <c r="Z328" s="28"/>
      <c r="AA328" s="6"/>
      <c r="AB328" s="6"/>
      <c r="AC328" s="6"/>
      <c r="AD328" s="21"/>
      <c r="AE328" s="6"/>
      <c r="AF328" s="26"/>
      <c r="AG328" s="41"/>
      <c r="AH328" s="41"/>
      <c r="AI328" s="18"/>
      <c r="AK328" s="18"/>
      <c r="AL328" s="18"/>
      <c r="AM328" s="40" t="s">
        <v>118</v>
      </c>
      <c r="AN328" s="18"/>
      <c r="AO328" s="6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6"/>
      <c r="BK328" s="6"/>
      <c r="BL328" s="21" t="s">
        <v>55</v>
      </c>
      <c r="BO328" s="15"/>
    </row>
    <row r="329" spans="1:67">
      <c r="A329" s="6" t="s">
        <v>133</v>
      </c>
      <c r="B329" s="6" t="s">
        <v>140</v>
      </c>
      <c r="C329" s="17">
        <v>36418</v>
      </c>
      <c r="D329" s="18">
        <v>26.251073944905599</v>
      </c>
      <c r="E329" s="22"/>
      <c r="F329" s="31">
        <v>412</v>
      </c>
      <c r="G329" s="22"/>
      <c r="H329" s="22"/>
      <c r="I329" s="27"/>
      <c r="J329" s="42"/>
      <c r="K329" s="42"/>
      <c r="L329" s="27"/>
      <c r="M329" s="22"/>
      <c r="N329" s="18"/>
      <c r="O329" s="18"/>
      <c r="P329" s="22"/>
      <c r="Q329" s="22"/>
      <c r="R329" s="22"/>
      <c r="S329" s="27"/>
      <c r="T329" s="27"/>
      <c r="U329" s="27"/>
      <c r="V329" s="28"/>
      <c r="W329" s="28"/>
      <c r="X329" s="19"/>
      <c r="Y329" s="28"/>
      <c r="Z329" s="28"/>
      <c r="AA329" s="6"/>
      <c r="AB329" s="6"/>
      <c r="AC329" s="6"/>
      <c r="AD329" s="21"/>
      <c r="AE329" s="6"/>
      <c r="AF329" s="26"/>
      <c r="AG329" s="41"/>
      <c r="AH329" s="41"/>
      <c r="AI329" s="18"/>
      <c r="AK329" s="18"/>
      <c r="AL329" s="18"/>
      <c r="AM329" s="40" t="s">
        <v>118</v>
      </c>
      <c r="AN329" s="18"/>
      <c r="AO329" s="6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6"/>
      <c r="BK329" s="6"/>
      <c r="BL329" s="21" t="s">
        <v>55</v>
      </c>
      <c r="BO329" s="15"/>
    </row>
    <row r="330" spans="1:67">
      <c r="A330" s="6" t="s">
        <v>133</v>
      </c>
      <c r="B330" s="6" t="s">
        <v>140</v>
      </c>
      <c r="C330" s="17">
        <v>36784</v>
      </c>
      <c r="D330" s="18">
        <v>27.253148732539668</v>
      </c>
      <c r="E330" s="22"/>
      <c r="F330" s="31">
        <v>412</v>
      </c>
      <c r="G330" s="22"/>
      <c r="H330" s="22"/>
      <c r="I330" s="27"/>
      <c r="J330" s="42"/>
      <c r="K330" s="42"/>
      <c r="L330" s="27"/>
      <c r="M330" s="22"/>
      <c r="N330" s="18"/>
      <c r="O330" s="18"/>
      <c r="P330" s="22"/>
      <c r="Q330" s="22"/>
      <c r="R330" s="22"/>
      <c r="S330" s="27"/>
      <c r="T330" s="27"/>
      <c r="U330" s="27"/>
      <c r="V330" s="28"/>
      <c r="W330" s="28"/>
      <c r="X330" s="19"/>
      <c r="Y330" s="28"/>
      <c r="Z330" s="28"/>
      <c r="AA330" s="6"/>
      <c r="AB330" s="6"/>
      <c r="AC330" s="6"/>
      <c r="AD330" s="21"/>
      <c r="AE330" s="6"/>
      <c r="AF330" s="26"/>
      <c r="AG330" s="41"/>
      <c r="AH330" s="41"/>
      <c r="AI330" s="18"/>
      <c r="AK330" s="18"/>
      <c r="AL330" s="18"/>
      <c r="AM330" s="40" t="s">
        <v>118</v>
      </c>
      <c r="AN330" s="18"/>
      <c r="AO330" s="6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6"/>
      <c r="BK330" s="6"/>
      <c r="BL330" s="21" t="s">
        <v>55</v>
      </c>
      <c r="BO330" s="15"/>
    </row>
    <row r="331" spans="1:67" ht="14.5" customHeight="1">
      <c r="A331" s="6" t="s">
        <v>134</v>
      </c>
      <c r="B331" s="6" t="s">
        <v>141</v>
      </c>
      <c r="C331" s="17">
        <v>30512</v>
      </c>
      <c r="D331" s="18">
        <v>10.080981879968963</v>
      </c>
      <c r="E331" s="22"/>
      <c r="F331" s="27"/>
      <c r="G331" s="22"/>
      <c r="H331" s="43"/>
      <c r="I331" s="27"/>
      <c r="J331" s="43">
        <v>637.4</v>
      </c>
      <c r="K331" s="43"/>
      <c r="L331" s="27">
        <v>285.70000000000005</v>
      </c>
      <c r="M331" s="22">
        <v>1781.8999999999999</v>
      </c>
      <c r="N331" s="18"/>
      <c r="O331" s="18"/>
      <c r="P331" s="22">
        <v>2067.6</v>
      </c>
      <c r="Q331" s="22"/>
      <c r="R331" s="22"/>
      <c r="S331" s="27"/>
      <c r="T331" s="27">
        <v>3211</v>
      </c>
      <c r="U331" s="27"/>
      <c r="V331" s="28"/>
      <c r="W331" s="28"/>
      <c r="X331" s="19"/>
      <c r="Y331" s="28"/>
      <c r="Z331" s="28"/>
      <c r="AA331" s="6"/>
      <c r="AB331" s="6"/>
      <c r="AC331" s="6"/>
      <c r="AD331" s="21"/>
      <c r="AE331" s="6"/>
      <c r="AF331" s="41"/>
      <c r="AG331" s="41"/>
      <c r="AH331" s="41"/>
      <c r="AI331" s="18"/>
      <c r="AK331" s="18"/>
      <c r="AL331" s="18"/>
      <c r="AM331" s="40" t="s">
        <v>118</v>
      </c>
      <c r="AN331" s="18"/>
      <c r="AO331" s="6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6"/>
      <c r="BK331" s="6"/>
      <c r="BL331" s="21" t="s">
        <v>55</v>
      </c>
      <c r="BO331" s="15"/>
    </row>
    <row r="332" spans="1:67" ht="14.5" customHeight="1">
      <c r="A332" s="6" t="s">
        <v>134</v>
      </c>
      <c r="B332" s="6" t="s">
        <v>141</v>
      </c>
      <c r="C332" s="17">
        <v>30878</v>
      </c>
      <c r="D332" s="18">
        <v>11.083056667603032</v>
      </c>
      <c r="E332" s="22"/>
      <c r="F332" s="27"/>
      <c r="G332" s="22"/>
      <c r="H332" s="43"/>
      <c r="I332" s="27"/>
      <c r="J332" s="43">
        <v>1142.5999999999999</v>
      </c>
      <c r="K332" s="43"/>
      <c r="L332" s="27">
        <v>416.7</v>
      </c>
      <c r="M332" s="22">
        <v>2701.8</v>
      </c>
      <c r="N332" s="18"/>
      <c r="O332" s="18"/>
      <c r="P332" s="22">
        <v>3118.5</v>
      </c>
      <c r="Q332" s="22"/>
      <c r="R332" s="22"/>
      <c r="S332" s="27"/>
      <c r="T332" s="27">
        <v>5033.5</v>
      </c>
      <c r="U332" s="27"/>
      <c r="V332" s="28"/>
      <c r="W332" s="28"/>
      <c r="X332" s="19"/>
      <c r="Y332" s="28"/>
      <c r="Z332" s="28"/>
      <c r="AA332" s="6"/>
      <c r="AB332" s="6"/>
      <c r="AC332" s="6"/>
      <c r="AD332" s="21"/>
      <c r="AE332" s="6"/>
      <c r="AF332" s="41"/>
      <c r="AG332" s="41"/>
      <c r="AH332" s="41"/>
      <c r="AI332" s="18"/>
      <c r="AK332" s="18"/>
      <c r="AL332" s="18"/>
      <c r="AM332" s="40" t="s">
        <v>118</v>
      </c>
      <c r="AN332" s="18"/>
      <c r="AO332" s="6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6"/>
      <c r="BK332" s="6"/>
      <c r="BL332" s="21" t="s">
        <v>55</v>
      </c>
      <c r="BO332" s="15"/>
    </row>
    <row r="333" spans="1:67">
      <c r="A333" s="6" t="s">
        <v>134</v>
      </c>
      <c r="B333" s="6" t="s">
        <v>141</v>
      </c>
      <c r="C333" s="17">
        <v>31243</v>
      </c>
      <c r="D333" s="18">
        <v>12.082393545981269</v>
      </c>
      <c r="E333" s="22"/>
      <c r="F333" s="27"/>
      <c r="G333" s="22"/>
      <c r="H333" s="43"/>
      <c r="I333" s="27"/>
      <c r="J333" s="43">
        <v>1462.1000000000001</v>
      </c>
      <c r="K333" s="43"/>
      <c r="L333" s="27">
        <v>633.79999999999995</v>
      </c>
      <c r="M333" s="22">
        <v>4313.3999999999996</v>
      </c>
      <c r="N333" s="18"/>
      <c r="O333" s="18"/>
      <c r="P333" s="22">
        <v>4947.2</v>
      </c>
      <c r="Q333" s="22"/>
      <c r="R333" s="22"/>
      <c r="S333" s="27"/>
      <c r="T333" s="27">
        <v>7532.5999999999995</v>
      </c>
      <c r="U333" s="27"/>
      <c r="V333" s="28"/>
      <c r="W333" s="28"/>
      <c r="X333" s="19"/>
      <c r="Y333" s="28"/>
      <c r="Z333" s="28"/>
      <c r="AA333" s="6"/>
      <c r="AB333" s="6"/>
      <c r="AC333" s="6"/>
      <c r="AD333" s="21"/>
      <c r="AE333" s="6"/>
      <c r="AF333" s="41"/>
      <c r="AG333" s="41"/>
      <c r="AH333" s="41"/>
      <c r="AI333" s="18"/>
      <c r="AK333" s="18"/>
      <c r="AL333" s="18"/>
      <c r="AM333" s="40" t="s">
        <v>118</v>
      </c>
      <c r="AN333" s="18"/>
      <c r="AO333" s="6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6"/>
      <c r="BK333" s="6"/>
      <c r="BL333" s="21" t="s">
        <v>55</v>
      </c>
      <c r="BO333" s="15"/>
    </row>
    <row r="334" spans="1:67">
      <c r="A334" s="6" t="s">
        <v>134</v>
      </c>
      <c r="B334" s="6" t="s">
        <v>141</v>
      </c>
      <c r="C334" s="17">
        <v>31608</v>
      </c>
      <c r="D334" s="18">
        <v>13.081730424359506</v>
      </c>
      <c r="E334" s="22"/>
      <c r="F334" s="27"/>
      <c r="G334" s="22"/>
      <c r="H334" s="43"/>
      <c r="I334" s="27"/>
      <c r="J334" s="43">
        <v>1969.2</v>
      </c>
      <c r="K334" s="43"/>
      <c r="L334" s="27">
        <v>854.40000000000009</v>
      </c>
      <c r="M334" s="22">
        <v>6026.5</v>
      </c>
      <c r="N334" s="18"/>
      <c r="O334" s="18"/>
      <c r="P334" s="22">
        <v>6880.9</v>
      </c>
      <c r="Q334" s="22"/>
      <c r="R334" s="22"/>
      <c r="S334" s="27"/>
      <c r="T334" s="27">
        <v>10274.4</v>
      </c>
      <c r="U334" s="27"/>
      <c r="V334" s="28"/>
      <c r="W334" s="28"/>
      <c r="X334" s="19"/>
      <c r="Y334" s="28"/>
      <c r="Z334" s="28"/>
      <c r="AA334" s="6"/>
      <c r="AB334" s="6"/>
      <c r="AC334" s="6"/>
      <c r="AD334" s="21"/>
      <c r="AE334" s="6"/>
      <c r="AF334" s="41"/>
      <c r="AG334" s="41"/>
      <c r="AH334" s="41"/>
      <c r="AI334" s="18"/>
      <c r="AK334" s="18"/>
      <c r="AL334" s="18"/>
      <c r="AM334" s="40" t="s">
        <v>118</v>
      </c>
      <c r="AN334" s="18"/>
      <c r="AO334" s="6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6"/>
      <c r="BK334" s="6"/>
      <c r="BL334" s="21" t="s">
        <v>55</v>
      </c>
      <c r="BO334" s="15"/>
    </row>
    <row r="335" spans="1:67">
      <c r="A335" s="6" t="s">
        <v>134</v>
      </c>
      <c r="B335" s="6" t="s">
        <v>141</v>
      </c>
      <c r="C335" s="17">
        <v>31973</v>
      </c>
      <c r="D335" s="18">
        <v>14.081067302737743</v>
      </c>
      <c r="E335" s="22"/>
      <c r="F335" s="27"/>
      <c r="G335" s="22"/>
      <c r="H335" s="43"/>
      <c r="I335" s="27"/>
      <c r="J335" s="43">
        <v>2300.9</v>
      </c>
      <c r="K335" s="43"/>
      <c r="L335" s="27">
        <v>1127.3999999999999</v>
      </c>
      <c r="M335" s="22">
        <v>8224.4</v>
      </c>
      <c r="N335" s="18"/>
      <c r="O335" s="18"/>
      <c r="P335" s="22">
        <v>9351.7999999999993</v>
      </c>
      <c r="Q335" s="22"/>
      <c r="R335" s="22"/>
      <c r="S335" s="27"/>
      <c r="T335" s="27">
        <v>13454.400000000001</v>
      </c>
      <c r="U335" s="27"/>
      <c r="V335" s="28"/>
      <c r="W335" s="28"/>
      <c r="X335" s="19"/>
      <c r="Y335" s="28"/>
      <c r="Z335" s="28"/>
      <c r="AA335" s="6"/>
      <c r="AB335" s="6"/>
      <c r="AC335" s="6"/>
      <c r="AD335" s="21"/>
      <c r="AE335" s="6"/>
      <c r="AF335" s="41"/>
      <c r="AG335" s="41"/>
      <c r="AH335" s="41"/>
      <c r="AI335" s="18"/>
      <c r="AK335" s="18"/>
      <c r="AL335" s="18"/>
      <c r="AM335" s="40" t="s">
        <v>118</v>
      </c>
      <c r="AN335" s="18"/>
      <c r="AO335" s="6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6"/>
      <c r="BK335" s="6"/>
      <c r="BL335" s="21" t="s">
        <v>55</v>
      </c>
      <c r="BO335" s="15"/>
    </row>
    <row r="336" spans="1:67">
      <c r="A336" s="6" t="s">
        <v>134</v>
      </c>
      <c r="B336" s="6" t="s">
        <v>141</v>
      </c>
      <c r="C336" s="17">
        <v>33465</v>
      </c>
      <c r="D336" s="18">
        <v>18.166027912437279</v>
      </c>
      <c r="E336" s="22"/>
      <c r="F336" s="27"/>
      <c r="G336" s="22"/>
      <c r="H336" s="44"/>
      <c r="I336" s="27"/>
      <c r="J336" s="44"/>
      <c r="K336" s="44"/>
      <c r="L336" s="27">
        <v>1360.3329596792098</v>
      </c>
      <c r="M336" s="22">
        <v>10700.320610236038</v>
      </c>
      <c r="N336" s="18"/>
      <c r="O336" s="18"/>
      <c r="P336" s="22">
        <v>12060.653569915248</v>
      </c>
      <c r="Q336" s="22"/>
      <c r="R336" s="22"/>
      <c r="S336" s="27"/>
      <c r="T336" s="27"/>
      <c r="U336" s="27"/>
      <c r="V336" s="28"/>
      <c r="W336" s="28"/>
      <c r="X336" s="19"/>
      <c r="Y336" s="28"/>
      <c r="Z336" s="28"/>
      <c r="AA336" s="6"/>
      <c r="AB336" s="6"/>
      <c r="AC336" s="6"/>
      <c r="AD336" s="21"/>
      <c r="AE336" s="6"/>
      <c r="AF336" s="41"/>
      <c r="AG336" s="41"/>
      <c r="AH336" s="41"/>
      <c r="AI336" s="18"/>
      <c r="AK336" s="18"/>
      <c r="AL336" s="18"/>
      <c r="AM336" s="40" t="s">
        <v>118</v>
      </c>
      <c r="AN336" s="18"/>
      <c r="AO336" s="6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6"/>
      <c r="BK336" s="6"/>
      <c r="BL336" s="21" t="s">
        <v>55</v>
      </c>
      <c r="BO336" s="15"/>
    </row>
    <row r="337" spans="1:67">
      <c r="A337" s="6" t="s">
        <v>134</v>
      </c>
      <c r="B337" s="6" t="s">
        <v>141</v>
      </c>
      <c r="C337" s="17">
        <v>33831</v>
      </c>
      <c r="D337" s="18">
        <v>19.168102700071348</v>
      </c>
      <c r="E337" s="22"/>
      <c r="F337" s="27"/>
      <c r="G337" s="22"/>
      <c r="H337" s="44"/>
      <c r="I337" s="27"/>
      <c r="J337" s="42"/>
      <c r="K337" s="42"/>
      <c r="L337" s="27">
        <v>1466.8626783913801</v>
      </c>
      <c r="M337" s="22">
        <v>11621.362694203035</v>
      </c>
      <c r="N337" s="18"/>
      <c r="O337" s="18"/>
      <c r="P337" s="22">
        <v>13088.225372594416</v>
      </c>
      <c r="Q337" s="22"/>
      <c r="R337" s="22"/>
      <c r="S337" s="27"/>
      <c r="T337" s="27"/>
      <c r="U337" s="27"/>
      <c r="V337" s="28"/>
      <c r="W337" s="28"/>
      <c r="X337" s="19"/>
      <c r="Y337" s="28"/>
      <c r="Z337" s="28"/>
      <c r="AA337" s="6"/>
      <c r="AB337" s="6"/>
      <c r="AC337" s="6"/>
      <c r="AD337" s="21"/>
      <c r="AE337" s="6"/>
      <c r="AF337" s="41"/>
      <c r="AG337" s="41"/>
      <c r="AH337" s="41"/>
      <c r="AI337" s="18"/>
      <c r="AK337" s="18"/>
      <c r="AL337" s="18"/>
      <c r="AM337" s="40" t="s">
        <v>118</v>
      </c>
      <c r="AN337" s="18"/>
      <c r="AO337" s="6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6"/>
      <c r="BK337" s="6"/>
      <c r="BL337" s="21" t="s">
        <v>55</v>
      </c>
      <c r="BO337" s="15"/>
    </row>
    <row r="338" spans="1:67" ht="14.5" customHeight="1">
      <c r="A338" s="6" t="s">
        <v>134</v>
      </c>
      <c r="B338" s="6" t="s">
        <v>141</v>
      </c>
      <c r="C338" s="17">
        <v>34135</v>
      </c>
      <c r="D338" s="18">
        <v>20.000427113843909</v>
      </c>
      <c r="E338" s="22"/>
      <c r="F338" s="27"/>
      <c r="G338" s="22"/>
      <c r="H338" s="22"/>
      <c r="I338" s="27"/>
      <c r="J338" s="42"/>
      <c r="K338" s="42"/>
      <c r="L338" s="27">
        <v>1596.1085809502633</v>
      </c>
      <c r="M338" s="22">
        <v>12760.782207864599</v>
      </c>
      <c r="N338" s="18"/>
      <c r="O338" s="18">
        <v>463.27495284978585</v>
      </c>
      <c r="P338" s="22">
        <v>14356.890788814862</v>
      </c>
      <c r="Q338" s="22"/>
      <c r="R338" s="22"/>
      <c r="S338" s="27"/>
      <c r="T338" s="27"/>
      <c r="U338" s="27"/>
      <c r="V338" s="28"/>
      <c r="W338" s="28"/>
      <c r="X338" s="19"/>
      <c r="Y338" s="28"/>
      <c r="Z338" s="28"/>
      <c r="AA338" s="6"/>
      <c r="AB338" s="6"/>
      <c r="AC338" s="6"/>
      <c r="AD338" s="21"/>
      <c r="AE338" s="6"/>
      <c r="AF338" s="41"/>
      <c r="AG338" s="41"/>
      <c r="AH338" s="41"/>
      <c r="AI338" s="18"/>
      <c r="AK338" s="18"/>
      <c r="AL338" s="18"/>
      <c r="AM338" s="40" t="s">
        <v>118</v>
      </c>
      <c r="AN338" s="18"/>
      <c r="AO338" s="6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6"/>
      <c r="BK338" s="6"/>
      <c r="BL338" s="21" t="s">
        <v>55</v>
      </c>
      <c r="BO338" s="15"/>
    </row>
    <row r="339" spans="1:67">
      <c r="A339" s="6" t="s">
        <v>134</v>
      </c>
      <c r="B339" s="6" t="s">
        <v>141</v>
      </c>
      <c r="C339" s="17">
        <v>34530</v>
      </c>
      <c r="D339" s="18">
        <v>21.08190126989707</v>
      </c>
      <c r="E339" s="22"/>
      <c r="F339" s="27"/>
      <c r="G339" s="22"/>
      <c r="H339" s="22"/>
      <c r="I339" s="27"/>
      <c r="J339" s="42"/>
      <c r="K339" s="42"/>
      <c r="L339" s="27"/>
      <c r="M339" s="22"/>
      <c r="N339" s="18"/>
      <c r="O339" s="18"/>
      <c r="P339" s="22"/>
      <c r="Q339" s="22"/>
      <c r="R339" s="22"/>
      <c r="S339" s="27"/>
      <c r="T339" s="27"/>
      <c r="U339" s="27"/>
      <c r="V339" s="28"/>
      <c r="W339" s="28"/>
      <c r="X339" s="19"/>
      <c r="Y339" s="28"/>
      <c r="Z339" s="28"/>
      <c r="AA339" s="6"/>
      <c r="AB339" s="6"/>
      <c r="AC339" s="6"/>
      <c r="AD339" s="21"/>
      <c r="AE339" s="6"/>
      <c r="AF339" s="26"/>
      <c r="AG339" s="41"/>
      <c r="AH339" s="41"/>
      <c r="AI339" s="18"/>
      <c r="AK339" s="18"/>
      <c r="AL339" s="18"/>
      <c r="AM339" s="40" t="s">
        <v>118</v>
      </c>
      <c r="AN339" s="18"/>
      <c r="AO339" s="6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6"/>
      <c r="BK339" s="6"/>
      <c r="BL339" s="21" t="s">
        <v>55</v>
      </c>
      <c r="BO339" s="15"/>
    </row>
    <row r="340" spans="1:67" ht="14.5" customHeight="1">
      <c r="A340" s="6" t="s">
        <v>134</v>
      </c>
      <c r="B340" s="6" t="s">
        <v>141</v>
      </c>
      <c r="C340" s="17">
        <v>34926</v>
      </c>
      <c r="D340" s="18">
        <v>22.166113335206063</v>
      </c>
      <c r="E340" s="22"/>
      <c r="F340" s="27"/>
      <c r="G340" s="22"/>
      <c r="H340" s="22"/>
      <c r="I340" s="27"/>
      <c r="J340" s="42"/>
      <c r="K340" s="42"/>
      <c r="L340" s="27"/>
      <c r="M340" s="22"/>
      <c r="N340" s="18"/>
      <c r="O340" s="18"/>
      <c r="P340" s="22"/>
      <c r="Q340" s="22"/>
      <c r="R340" s="22"/>
      <c r="S340" s="27"/>
      <c r="T340" s="27"/>
      <c r="U340" s="27"/>
      <c r="V340" s="28"/>
      <c r="W340" s="28"/>
      <c r="X340" s="19"/>
      <c r="Y340" s="28"/>
      <c r="Z340" s="28"/>
      <c r="AA340" s="6"/>
      <c r="AB340" s="6"/>
      <c r="AC340" s="6"/>
      <c r="AD340" s="21"/>
      <c r="AE340" s="6"/>
      <c r="AF340" s="26"/>
      <c r="AG340" s="41"/>
      <c r="AH340" s="41"/>
      <c r="AI340" s="18"/>
      <c r="AK340" s="18"/>
      <c r="AL340" s="18"/>
      <c r="AM340" s="40" t="s">
        <v>118</v>
      </c>
      <c r="AN340" s="18"/>
      <c r="AO340" s="6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6"/>
      <c r="BK340" s="6"/>
      <c r="BL340" s="21" t="s">
        <v>55</v>
      </c>
      <c r="BO340" s="15"/>
    </row>
    <row r="341" spans="1:67">
      <c r="A341" s="6" t="s">
        <v>134</v>
      </c>
      <c r="B341" s="6" t="s">
        <v>141</v>
      </c>
      <c r="C341" s="17">
        <v>35292</v>
      </c>
      <c r="D341" s="18">
        <v>23.168188122840132</v>
      </c>
      <c r="E341" s="22"/>
      <c r="F341" s="27"/>
      <c r="G341" s="22"/>
      <c r="H341" s="22"/>
      <c r="I341" s="27"/>
      <c r="J341" s="42"/>
      <c r="K341" s="42"/>
      <c r="L341" s="27"/>
      <c r="M341" s="22"/>
      <c r="N341" s="18"/>
      <c r="O341" s="18"/>
      <c r="P341" s="22"/>
      <c r="Q341" s="22"/>
      <c r="R341" s="22"/>
      <c r="S341" s="27"/>
      <c r="T341" s="27"/>
      <c r="U341" s="27"/>
      <c r="V341" s="28"/>
      <c r="W341" s="28"/>
      <c r="X341" s="19"/>
      <c r="Y341" s="28"/>
      <c r="Z341" s="28"/>
      <c r="AA341" s="6"/>
      <c r="AB341" s="6"/>
      <c r="AC341" s="6"/>
      <c r="AD341" s="21"/>
      <c r="AE341" s="6"/>
      <c r="AF341" s="26"/>
      <c r="AG341" s="41"/>
      <c r="AH341" s="41"/>
      <c r="AI341" s="18"/>
      <c r="AK341" s="18"/>
      <c r="AL341" s="18"/>
      <c r="AM341" s="40" t="s">
        <v>118</v>
      </c>
      <c r="AN341" s="18"/>
      <c r="AO341" s="6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6"/>
      <c r="BK341" s="6"/>
      <c r="BL341" s="21" t="s">
        <v>55</v>
      </c>
      <c r="BO341" s="15"/>
    </row>
    <row r="342" spans="1:67">
      <c r="A342" s="6" t="s">
        <v>134</v>
      </c>
      <c r="B342" s="6" t="s">
        <v>141</v>
      </c>
      <c r="C342" s="17">
        <v>35688</v>
      </c>
      <c r="D342" s="18">
        <v>24.252400188149121</v>
      </c>
      <c r="E342" s="22"/>
      <c r="F342" s="27"/>
      <c r="G342" s="22"/>
      <c r="H342" s="22"/>
      <c r="I342" s="27"/>
      <c r="J342" s="42"/>
      <c r="K342" s="42"/>
      <c r="L342" s="27"/>
      <c r="M342" s="22"/>
      <c r="N342" s="18"/>
      <c r="O342" s="18"/>
      <c r="P342" s="22"/>
      <c r="Q342" s="22"/>
      <c r="R342" s="22"/>
      <c r="S342" s="27"/>
      <c r="T342" s="27"/>
      <c r="U342" s="27"/>
      <c r="V342" s="28"/>
      <c r="W342" s="28"/>
      <c r="X342" s="19"/>
      <c r="Y342" s="28"/>
      <c r="Z342" s="28"/>
      <c r="AA342" s="6"/>
      <c r="AB342" s="6"/>
      <c r="AC342" s="6"/>
      <c r="AD342" s="21"/>
      <c r="AE342" s="6"/>
      <c r="AF342" s="26"/>
      <c r="AG342" s="41"/>
      <c r="AH342" s="41"/>
      <c r="AI342" s="18"/>
      <c r="AK342" s="18"/>
      <c r="AL342" s="18"/>
      <c r="AM342" s="40" t="s">
        <v>118</v>
      </c>
      <c r="AN342" s="18"/>
      <c r="AO342" s="6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6"/>
      <c r="BK342" s="6"/>
      <c r="BL342" s="21" t="s">
        <v>55</v>
      </c>
      <c r="BO342" s="15"/>
    </row>
    <row r="343" spans="1:67">
      <c r="A343" s="6" t="s">
        <v>134</v>
      </c>
      <c r="B343" s="6" t="s">
        <v>141</v>
      </c>
      <c r="C343" s="17">
        <v>36022</v>
      </c>
      <c r="D343" s="18">
        <v>25.166861879596606</v>
      </c>
      <c r="E343" s="22"/>
      <c r="F343" s="27"/>
      <c r="G343" s="22"/>
      <c r="H343" s="22"/>
      <c r="I343" s="27"/>
      <c r="J343" s="42"/>
      <c r="K343" s="42"/>
      <c r="L343" s="27"/>
      <c r="M343" s="22"/>
      <c r="N343" s="18"/>
      <c r="O343" s="18"/>
      <c r="P343" s="22"/>
      <c r="Q343" s="22"/>
      <c r="R343" s="22"/>
      <c r="S343" s="27"/>
      <c r="T343" s="27"/>
      <c r="U343" s="27"/>
      <c r="V343" s="28"/>
      <c r="W343" s="28"/>
      <c r="X343" s="19"/>
      <c r="Y343" s="28"/>
      <c r="Z343" s="28"/>
      <c r="AA343" s="6"/>
      <c r="AB343" s="6"/>
      <c r="AC343" s="6"/>
      <c r="AD343" s="21"/>
      <c r="AE343" s="6"/>
      <c r="AF343" s="26"/>
      <c r="AG343" s="41"/>
      <c r="AH343" s="41"/>
      <c r="AI343" s="18"/>
      <c r="AK343" s="18"/>
      <c r="AL343" s="18"/>
      <c r="AM343" s="40" t="s">
        <v>118</v>
      </c>
      <c r="AN343" s="18"/>
      <c r="AO343" s="6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6"/>
      <c r="BK343" s="6"/>
      <c r="BL343" s="21" t="s">
        <v>55</v>
      </c>
      <c r="BO343" s="15"/>
    </row>
    <row r="344" spans="1:67">
      <c r="A344" s="6" t="s">
        <v>134</v>
      </c>
      <c r="B344" s="6" t="s">
        <v>141</v>
      </c>
      <c r="C344" s="17">
        <v>36418</v>
      </c>
      <c r="D344" s="18">
        <v>26.251073944905599</v>
      </c>
      <c r="E344" s="22"/>
      <c r="F344" s="27"/>
      <c r="G344" s="22"/>
      <c r="H344" s="22"/>
      <c r="I344" s="27"/>
      <c r="J344" s="42"/>
      <c r="K344" s="42"/>
      <c r="L344" s="27"/>
      <c r="M344" s="22"/>
      <c r="N344" s="18"/>
      <c r="O344" s="18"/>
      <c r="P344" s="22"/>
      <c r="Q344" s="22"/>
      <c r="R344" s="22"/>
      <c r="S344" s="27"/>
      <c r="T344" s="27"/>
      <c r="U344" s="27"/>
      <c r="V344" s="28"/>
      <c r="W344" s="28"/>
      <c r="X344" s="19"/>
      <c r="Y344" s="28"/>
      <c r="Z344" s="28"/>
      <c r="AA344" s="6"/>
      <c r="AB344" s="6"/>
      <c r="AC344" s="6"/>
      <c r="AD344" s="21"/>
      <c r="AE344" s="6"/>
      <c r="AF344" s="26"/>
      <c r="AG344" s="41"/>
      <c r="AH344" s="41"/>
      <c r="AI344" s="18"/>
      <c r="AK344" s="18"/>
      <c r="AL344" s="18"/>
      <c r="AM344" s="40" t="s">
        <v>118</v>
      </c>
      <c r="AN344" s="18"/>
      <c r="AO344" s="6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6"/>
      <c r="BK344" s="6"/>
      <c r="BL344" s="21" t="s">
        <v>55</v>
      </c>
      <c r="BO344" s="15"/>
    </row>
    <row r="345" spans="1:67" ht="14.5" customHeight="1">
      <c r="A345" s="6" t="s">
        <v>134</v>
      </c>
      <c r="B345" s="6" t="s">
        <v>141</v>
      </c>
      <c r="C345" s="17">
        <v>36784</v>
      </c>
      <c r="D345" s="18">
        <v>27.253148732539668</v>
      </c>
      <c r="E345" s="22"/>
      <c r="F345" s="27"/>
      <c r="G345" s="22"/>
      <c r="H345" s="22"/>
      <c r="I345" s="27"/>
      <c r="J345" s="42"/>
      <c r="K345" s="42"/>
      <c r="L345" s="27"/>
      <c r="M345" s="22"/>
      <c r="N345" s="18"/>
      <c r="O345" s="18"/>
      <c r="P345" s="22"/>
      <c r="Q345" s="22"/>
      <c r="R345" s="22"/>
      <c r="S345" s="27"/>
      <c r="T345" s="27"/>
      <c r="U345" s="27"/>
      <c r="V345" s="28"/>
      <c r="W345" s="28"/>
      <c r="X345" s="19"/>
      <c r="Y345" s="28"/>
      <c r="Z345" s="28"/>
      <c r="AA345" s="6"/>
      <c r="AB345" s="6"/>
      <c r="AC345" s="6"/>
      <c r="AD345" s="21"/>
      <c r="AE345" s="6"/>
      <c r="AF345" s="26"/>
      <c r="AG345" s="41"/>
      <c r="AH345" s="41"/>
      <c r="AI345" s="18"/>
      <c r="AK345" s="18"/>
      <c r="AL345" s="18"/>
      <c r="AM345" s="40" t="s">
        <v>118</v>
      </c>
      <c r="AN345" s="18"/>
      <c r="AO345" s="6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6"/>
      <c r="BK345" s="6"/>
      <c r="BL345" s="21" t="s">
        <v>55</v>
      </c>
      <c r="BO345" s="15"/>
    </row>
    <row r="346" spans="1:67">
      <c r="A346" s="6" t="s">
        <v>56</v>
      </c>
      <c r="B346" s="6" t="s">
        <v>142</v>
      </c>
      <c r="C346" s="17">
        <v>30512</v>
      </c>
      <c r="D346" s="18">
        <v>10.080981879968963</v>
      </c>
      <c r="E346" s="22"/>
      <c r="F346" s="27"/>
      <c r="G346" s="22"/>
      <c r="H346" s="22">
        <v>488.69999999999993</v>
      </c>
      <c r="I346" s="27"/>
      <c r="J346" s="42">
        <v>623.70000000000005</v>
      </c>
      <c r="K346" s="42"/>
      <c r="L346" s="45">
        <v>267.5</v>
      </c>
      <c r="M346" s="22">
        <v>1673.4</v>
      </c>
      <c r="N346" s="18"/>
      <c r="O346" s="18"/>
      <c r="P346" s="22">
        <v>1940.9</v>
      </c>
      <c r="Q346" s="22"/>
      <c r="R346" s="22"/>
      <c r="S346" s="27"/>
      <c r="T346" s="27">
        <v>3053.3</v>
      </c>
      <c r="U346" s="27"/>
      <c r="V346" s="28"/>
      <c r="W346" s="28"/>
      <c r="X346" s="19"/>
      <c r="Y346" s="28"/>
      <c r="Z346" s="28"/>
      <c r="AA346" s="6"/>
      <c r="AB346" s="6"/>
      <c r="AC346" s="6"/>
      <c r="AD346" s="21"/>
      <c r="AE346" s="6"/>
      <c r="AF346" s="41"/>
      <c r="AG346" s="41"/>
      <c r="AH346" s="41"/>
      <c r="AI346" s="18"/>
      <c r="AK346" s="18"/>
      <c r="AL346" s="18"/>
      <c r="AM346" s="40" t="s">
        <v>118</v>
      </c>
      <c r="AN346" s="18"/>
      <c r="AO346" s="6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6"/>
      <c r="BK346" s="6"/>
      <c r="BL346" s="21" t="s">
        <v>55</v>
      </c>
      <c r="BO346" s="15"/>
    </row>
    <row r="347" spans="1:67">
      <c r="A347" s="6" t="s">
        <v>56</v>
      </c>
      <c r="B347" s="6" t="s">
        <v>142</v>
      </c>
      <c r="C347" s="17">
        <v>30878</v>
      </c>
      <c r="D347" s="18">
        <v>11.083056667603032</v>
      </c>
      <c r="E347" s="22"/>
      <c r="F347" s="27"/>
      <c r="G347" s="22"/>
      <c r="H347" s="22">
        <v>789.4</v>
      </c>
      <c r="I347" s="27"/>
      <c r="J347" s="42">
        <v>1321.4</v>
      </c>
      <c r="K347" s="42"/>
      <c r="L347" s="45">
        <v>401</v>
      </c>
      <c r="M347" s="22">
        <v>2608</v>
      </c>
      <c r="N347" s="18"/>
      <c r="O347" s="18"/>
      <c r="P347" s="22">
        <v>3009</v>
      </c>
      <c r="Q347" s="22"/>
      <c r="R347" s="22"/>
      <c r="S347" s="27"/>
      <c r="T347" s="27">
        <v>5119.8</v>
      </c>
      <c r="U347" s="27"/>
      <c r="V347" s="28"/>
      <c r="W347" s="28"/>
      <c r="X347" s="19"/>
      <c r="Y347" s="28"/>
      <c r="Z347" s="28"/>
      <c r="AA347" s="6"/>
      <c r="AB347" s="6"/>
      <c r="AC347" s="6"/>
      <c r="AD347" s="21"/>
      <c r="AE347" s="6"/>
      <c r="AF347" s="41"/>
      <c r="AG347" s="41"/>
      <c r="AH347" s="41"/>
      <c r="AI347" s="18"/>
      <c r="AK347" s="18"/>
      <c r="AL347" s="18"/>
      <c r="AM347" s="40" t="s">
        <v>118</v>
      </c>
      <c r="AN347" s="18"/>
      <c r="AO347" s="6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6"/>
      <c r="BK347" s="6"/>
      <c r="BL347" s="21" t="s">
        <v>55</v>
      </c>
      <c r="BO347" s="15"/>
    </row>
    <row r="348" spans="1:67" ht="14.5" customHeight="1">
      <c r="A348" s="6" t="s">
        <v>56</v>
      </c>
      <c r="B348" s="6" t="s">
        <v>142</v>
      </c>
      <c r="C348" s="17">
        <v>31243</v>
      </c>
      <c r="D348" s="18">
        <v>12.082393545981269</v>
      </c>
      <c r="E348" s="22"/>
      <c r="F348" s="27"/>
      <c r="G348" s="22"/>
      <c r="H348" s="22">
        <v>905.59999999999991</v>
      </c>
      <c r="I348" s="27"/>
      <c r="J348" s="42">
        <v>1647.8999999999999</v>
      </c>
      <c r="K348" s="42"/>
      <c r="L348" s="45">
        <v>472.79999999999995</v>
      </c>
      <c r="M348" s="22">
        <v>3166.2</v>
      </c>
      <c r="N348" s="18"/>
      <c r="O348" s="18"/>
      <c r="P348" s="22">
        <v>3639</v>
      </c>
      <c r="Q348" s="22"/>
      <c r="R348" s="22"/>
      <c r="S348" s="27"/>
      <c r="T348" s="27">
        <v>6193.5</v>
      </c>
      <c r="U348" s="27"/>
      <c r="V348" s="28"/>
      <c r="W348" s="28"/>
      <c r="X348" s="19"/>
      <c r="Y348" s="28"/>
      <c r="Z348" s="28"/>
      <c r="AA348" s="6"/>
      <c r="AB348" s="6"/>
      <c r="AC348" s="6"/>
      <c r="AD348" s="21"/>
      <c r="AE348" s="6"/>
      <c r="AF348" s="41"/>
      <c r="AG348" s="41"/>
      <c r="AH348" s="41"/>
      <c r="AI348" s="18"/>
      <c r="AK348" s="18"/>
      <c r="AL348" s="18"/>
      <c r="AM348" s="40" t="s">
        <v>118</v>
      </c>
      <c r="AN348" s="18"/>
      <c r="AO348" s="6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6"/>
      <c r="BK348" s="6"/>
      <c r="BL348" s="21" t="s">
        <v>55</v>
      </c>
      <c r="BO348" s="15"/>
    </row>
    <row r="349" spans="1:67" ht="14.5" customHeight="1">
      <c r="A349" s="6" t="s">
        <v>56</v>
      </c>
      <c r="B349" s="6" t="s">
        <v>142</v>
      </c>
      <c r="C349" s="17">
        <v>31608</v>
      </c>
      <c r="D349" s="18">
        <v>13.081730424359506</v>
      </c>
      <c r="E349" s="22"/>
      <c r="F349" s="27"/>
      <c r="G349" s="22"/>
      <c r="H349" s="22">
        <v>1062.5</v>
      </c>
      <c r="I349" s="27"/>
      <c r="J349" s="42">
        <v>2077.1</v>
      </c>
      <c r="K349" s="42"/>
      <c r="L349" s="45">
        <v>566.09999999999991</v>
      </c>
      <c r="M349" s="22">
        <v>3887.1000000000004</v>
      </c>
      <c r="N349" s="18"/>
      <c r="O349" s="18"/>
      <c r="P349" s="22">
        <v>4453.2000000000007</v>
      </c>
      <c r="Q349" s="22"/>
      <c r="R349" s="22"/>
      <c r="S349" s="27"/>
      <c r="T349" s="27">
        <v>7634.9000000000005</v>
      </c>
      <c r="U349" s="27"/>
      <c r="V349" s="28"/>
      <c r="W349" s="28"/>
      <c r="X349" s="19"/>
      <c r="Y349" s="28"/>
      <c r="Z349" s="28"/>
      <c r="AA349" s="6"/>
      <c r="AB349" s="6"/>
      <c r="AC349" s="6"/>
      <c r="AD349" s="21"/>
      <c r="AE349" s="6"/>
      <c r="AF349" s="41"/>
      <c r="AG349" s="41"/>
      <c r="AH349" s="41"/>
      <c r="AI349" s="18"/>
      <c r="AK349" s="18"/>
      <c r="AL349" s="18"/>
      <c r="AM349" s="40" t="s">
        <v>118</v>
      </c>
      <c r="AN349" s="18"/>
      <c r="AO349" s="6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6"/>
      <c r="BK349" s="6"/>
      <c r="BL349" s="21" t="s">
        <v>55</v>
      </c>
      <c r="BO349" s="15"/>
    </row>
    <row r="350" spans="1:67" ht="14.5" customHeight="1">
      <c r="A350" s="6" t="s">
        <v>56</v>
      </c>
      <c r="B350" s="6" t="s">
        <v>142</v>
      </c>
      <c r="C350" s="17">
        <v>31973</v>
      </c>
      <c r="D350" s="18">
        <v>14.081067302737743</v>
      </c>
      <c r="E350" s="22"/>
      <c r="F350" s="27"/>
      <c r="G350" s="22"/>
      <c r="H350" s="22">
        <v>1215</v>
      </c>
      <c r="I350" s="27"/>
      <c r="J350" s="42">
        <v>2539</v>
      </c>
      <c r="K350" s="42"/>
      <c r="L350" s="45">
        <v>661.1</v>
      </c>
      <c r="M350" s="22">
        <v>4630.2</v>
      </c>
      <c r="N350" s="18"/>
      <c r="O350" s="18"/>
      <c r="P350" s="22">
        <v>5291.3</v>
      </c>
      <c r="Q350" s="22"/>
      <c r="R350" s="22"/>
      <c r="S350" s="27"/>
      <c r="T350" s="27">
        <v>9433.5</v>
      </c>
      <c r="U350" s="27"/>
      <c r="V350" s="28"/>
      <c r="W350" s="28"/>
      <c r="X350" s="19"/>
      <c r="Y350" s="28"/>
      <c r="Z350" s="28"/>
      <c r="AA350" s="6"/>
      <c r="AB350" s="6"/>
      <c r="AC350" s="6"/>
      <c r="AD350" s="21"/>
      <c r="AE350" s="6"/>
      <c r="AF350" s="41"/>
      <c r="AG350" s="41"/>
      <c r="AH350" s="41"/>
      <c r="AI350" s="18"/>
      <c r="AK350" s="18"/>
      <c r="AL350" s="18"/>
      <c r="AM350" s="40" t="s">
        <v>118</v>
      </c>
      <c r="AN350" s="18"/>
      <c r="AO350" s="6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6"/>
      <c r="BK350" s="6"/>
      <c r="BL350" s="21" t="s">
        <v>55</v>
      </c>
      <c r="BO350" s="15"/>
    </row>
    <row r="351" spans="1:67" ht="14.5" customHeight="1">
      <c r="A351" s="6" t="s">
        <v>56</v>
      </c>
      <c r="B351" s="6" t="s">
        <v>142</v>
      </c>
      <c r="C351" s="17">
        <v>33465</v>
      </c>
      <c r="D351" s="18">
        <v>18.166027912437279</v>
      </c>
      <c r="E351" s="22"/>
      <c r="F351" s="27"/>
      <c r="G351" s="22"/>
      <c r="H351" s="22"/>
      <c r="I351" s="27"/>
      <c r="J351" s="42"/>
      <c r="K351" s="42"/>
      <c r="L351" s="44">
        <v>1069.6448091640918</v>
      </c>
      <c r="M351" s="22">
        <v>7941.5055811663069</v>
      </c>
      <c r="N351" s="18"/>
      <c r="O351" s="18"/>
      <c r="P351" s="22">
        <v>9011.1503903303983</v>
      </c>
      <c r="Q351" s="22"/>
      <c r="R351" s="22"/>
      <c r="S351" s="27"/>
      <c r="T351" s="27"/>
      <c r="U351" s="27"/>
      <c r="V351" s="28"/>
      <c r="W351" s="28"/>
      <c r="X351" s="19"/>
      <c r="Y351" s="28"/>
      <c r="Z351" s="28"/>
      <c r="AA351" s="6"/>
      <c r="AB351" s="6"/>
      <c r="AC351" s="6"/>
      <c r="AD351" s="21"/>
      <c r="AE351" s="6"/>
      <c r="AF351" s="41"/>
      <c r="AG351" s="41"/>
      <c r="AH351" s="41"/>
      <c r="AI351" s="18"/>
      <c r="AK351" s="18"/>
      <c r="AL351" s="18"/>
      <c r="AM351" s="40" t="s">
        <v>118</v>
      </c>
      <c r="AN351" s="18"/>
      <c r="AO351" s="6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6"/>
      <c r="BK351" s="6"/>
      <c r="BL351" s="21" t="s">
        <v>55</v>
      </c>
      <c r="BO351" s="15"/>
    </row>
    <row r="352" spans="1:67">
      <c r="A352" s="6" t="s">
        <v>56</v>
      </c>
      <c r="B352" s="6" t="s">
        <v>142</v>
      </c>
      <c r="C352" s="17">
        <v>33831</v>
      </c>
      <c r="D352" s="18">
        <v>19.168102700071348</v>
      </c>
      <c r="E352" s="22"/>
      <c r="F352" s="27"/>
      <c r="G352" s="22"/>
      <c r="H352" s="22"/>
      <c r="I352" s="27"/>
      <c r="J352" s="42"/>
      <c r="K352" s="42"/>
      <c r="L352" s="44">
        <v>1148.452815096997</v>
      </c>
      <c r="M352" s="22">
        <v>8609.2553511843471</v>
      </c>
      <c r="N352" s="18"/>
      <c r="O352" s="18"/>
      <c r="P352" s="22">
        <v>9757.7081662813434</v>
      </c>
      <c r="Q352" s="22"/>
      <c r="R352" s="22"/>
      <c r="S352" s="27"/>
      <c r="T352" s="27"/>
      <c r="U352" s="27"/>
      <c r="V352" s="28"/>
      <c r="W352" s="28"/>
      <c r="X352" s="19"/>
      <c r="Y352" s="28"/>
      <c r="Z352" s="28"/>
      <c r="AA352" s="6"/>
      <c r="AB352" s="6"/>
      <c r="AC352" s="6"/>
      <c r="AD352" s="21"/>
      <c r="AE352" s="6"/>
      <c r="AF352" s="41"/>
      <c r="AG352" s="41"/>
      <c r="AH352" s="41"/>
      <c r="AI352" s="18"/>
      <c r="AK352" s="18"/>
      <c r="AL352" s="18"/>
      <c r="AM352" s="40" t="s">
        <v>118</v>
      </c>
      <c r="AN352" s="18"/>
      <c r="AO352" s="6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6"/>
      <c r="BK352" s="6"/>
      <c r="BL352" s="21" t="s">
        <v>55</v>
      </c>
      <c r="BO352" s="15"/>
    </row>
    <row r="353" spans="1:67">
      <c r="A353" s="6" t="s">
        <v>56</v>
      </c>
      <c r="B353" s="6" t="s">
        <v>142</v>
      </c>
      <c r="C353" s="17">
        <v>34135</v>
      </c>
      <c r="D353" s="18">
        <v>20.000427113843909</v>
      </c>
      <c r="E353" s="22"/>
      <c r="F353" s="27"/>
      <c r="G353" s="22"/>
      <c r="H353" s="22"/>
      <c r="I353" s="27"/>
      <c r="J353" s="42"/>
      <c r="K353" s="42"/>
      <c r="L353" s="44">
        <v>1244.6582802841876</v>
      </c>
      <c r="M353" s="22">
        <v>9431.3780200794426</v>
      </c>
      <c r="N353" s="18"/>
      <c r="O353" s="18"/>
      <c r="P353" s="22">
        <v>10676.03630036363</v>
      </c>
      <c r="Q353" s="22"/>
      <c r="R353" s="22"/>
      <c r="S353" s="27">
        <v>311.23</v>
      </c>
      <c r="T353" s="27"/>
      <c r="U353" s="27"/>
      <c r="V353" s="28"/>
      <c r="W353" s="28"/>
      <c r="X353" s="19"/>
      <c r="Y353" s="28"/>
      <c r="Z353" s="28"/>
      <c r="AA353" s="6"/>
      <c r="AB353" s="6"/>
      <c r="AC353" s="6"/>
      <c r="AD353" s="21"/>
      <c r="AE353" s="6"/>
      <c r="AF353" s="41"/>
      <c r="AG353" s="41"/>
      <c r="AH353" s="41"/>
      <c r="AI353" s="18"/>
      <c r="AK353" s="18"/>
      <c r="AL353" s="18"/>
      <c r="AM353" s="40" t="s">
        <v>118</v>
      </c>
      <c r="AN353" s="18"/>
      <c r="AO353" s="6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6"/>
      <c r="BK353" s="6"/>
      <c r="BL353" s="21" t="s">
        <v>55</v>
      </c>
      <c r="BO353" s="15"/>
    </row>
    <row r="354" spans="1:67">
      <c r="A354" s="6" t="s">
        <v>56</v>
      </c>
      <c r="B354" s="6" t="s">
        <v>142</v>
      </c>
      <c r="C354" s="17">
        <v>34530</v>
      </c>
      <c r="D354" s="18">
        <v>21.08190126989707</v>
      </c>
      <c r="E354" s="22"/>
      <c r="F354" s="27"/>
      <c r="G354" s="22"/>
      <c r="H354" s="22"/>
      <c r="I354" s="27"/>
      <c r="J354" s="42"/>
      <c r="K354" s="42"/>
      <c r="L354" s="27"/>
      <c r="M354" s="22"/>
      <c r="N354" s="18"/>
      <c r="O354" s="18"/>
      <c r="P354" s="22"/>
      <c r="Q354" s="22"/>
      <c r="R354" s="22"/>
      <c r="S354" s="27"/>
      <c r="T354" s="27"/>
      <c r="U354" s="27"/>
      <c r="V354" s="28"/>
      <c r="W354" s="28"/>
      <c r="X354" s="19"/>
      <c r="Y354" s="28"/>
      <c r="Z354" s="28"/>
      <c r="AA354" s="6"/>
      <c r="AB354" s="6"/>
      <c r="AC354" s="6"/>
      <c r="AD354" s="21"/>
      <c r="AE354" s="6"/>
      <c r="AF354" s="26"/>
      <c r="AG354" s="41"/>
      <c r="AH354" s="41"/>
      <c r="AI354" s="18"/>
      <c r="AK354" s="18"/>
      <c r="AL354" s="18"/>
      <c r="AM354" s="40" t="s">
        <v>118</v>
      </c>
      <c r="AN354" s="18"/>
      <c r="AO354" s="6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6"/>
      <c r="BK354" s="6"/>
      <c r="BL354" s="21" t="s">
        <v>55</v>
      </c>
      <c r="BO354" s="15"/>
    </row>
    <row r="355" spans="1:67" ht="14.5" customHeight="1">
      <c r="A355" s="6" t="s">
        <v>56</v>
      </c>
      <c r="B355" s="6" t="s">
        <v>142</v>
      </c>
      <c r="C355" s="17">
        <v>34926</v>
      </c>
      <c r="D355" s="18">
        <v>22.166113335206063</v>
      </c>
      <c r="E355" s="22"/>
      <c r="F355" s="27"/>
      <c r="G355" s="22"/>
      <c r="H355" s="22"/>
      <c r="I355" s="27"/>
      <c r="J355" s="42"/>
      <c r="K355" s="42"/>
      <c r="L355" s="27"/>
      <c r="M355" s="22"/>
      <c r="N355" s="18"/>
      <c r="O355" s="18"/>
      <c r="P355" s="22"/>
      <c r="Q355" s="22"/>
      <c r="R355" s="22"/>
      <c r="S355" s="27"/>
      <c r="T355" s="27"/>
      <c r="U355" s="27"/>
      <c r="V355" s="28"/>
      <c r="W355" s="28"/>
      <c r="X355" s="19"/>
      <c r="Y355" s="28"/>
      <c r="Z355" s="28"/>
      <c r="AA355" s="6"/>
      <c r="AB355" s="6"/>
      <c r="AC355" s="6"/>
      <c r="AD355" s="21"/>
      <c r="AE355" s="6"/>
      <c r="AF355" s="26"/>
      <c r="AG355" s="41"/>
      <c r="AH355" s="41"/>
      <c r="AI355" s="18"/>
      <c r="AK355" s="18"/>
      <c r="AL355" s="18"/>
      <c r="AM355" s="40" t="s">
        <v>118</v>
      </c>
      <c r="AN355" s="18"/>
      <c r="AO355" s="6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6"/>
      <c r="BK355" s="6"/>
      <c r="BL355" s="21" t="s">
        <v>55</v>
      </c>
      <c r="BO355" s="15"/>
    </row>
    <row r="356" spans="1:67" ht="14.5" customHeight="1">
      <c r="A356" s="6" t="s">
        <v>56</v>
      </c>
      <c r="B356" s="6" t="s">
        <v>142</v>
      </c>
      <c r="C356" s="17">
        <v>35292</v>
      </c>
      <c r="D356" s="18">
        <v>23.168188122840132</v>
      </c>
      <c r="E356" s="22"/>
      <c r="F356" s="27"/>
      <c r="G356" s="22"/>
      <c r="H356" s="22"/>
      <c r="I356" s="27"/>
      <c r="J356" s="42"/>
      <c r="K356" s="42"/>
      <c r="L356" s="27"/>
      <c r="M356" s="22"/>
      <c r="N356" s="18"/>
      <c r="O356" s="18"/>
      <c r="P356" s="22"/>
      <c r="Q356" s="22"/>
      <c r="R356" s="22"/>
      <c r="S356" s="27"/>
      <c r="T356" s="27"/>
      <c r="U356" s="27"/>
      <c r="V356" s="28"/>
      <c r="W356" s="28"/>
      <c r="X356" s="19"/>
      <c r="Y356" s="28"/>
      <c r="Z356" s="28"/>
      <c r="AA356" s="6"/>
      <c r="AB356" s="6"/>
      <c r="AC356" s="6"/>
      <c r="AD356" s="21"/>
      <c r="AE356" s="6"/>
      <c r="AF356" s="26"/>
      <c r="AG356" s="41"/>
      <c r="AH356" s="41"/>
      <c r="AI356" s="18"/>
      <c r="AK356" s="18"/>
      <c r="AL356" s="18"/>
      <c r="AM356" s="40" t="s">
        <v>118</v>
      </c>
      <c r="AN356" s="18"/>
      <c r="AO356" s="6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6"/>
      <c r="BK356" s="6"/>
      <c r="BL356" s="21" t="s">
        <v>55</v>
      </c>
      <c r="BO356" s="15"/>
    </row>
    <row r="357" spans="1:67">
      <c r="A357" s="6" t="s">
        <v>56</v>
      </c>
      <c r="B357" s="6" t="s">
        <v>142</v>
      </c>
      <c r="C357" s="17">
        <v>35688</v>
      </c>
      <c r="D357" s="18">
        <v>24.252400188149121</v>
      </c>
      <c r="E357" s="22"/>
      <c r="F357" s="27"/>
      <c r="G357" s="22"/>
      <c r="H357" s="22"/>
      <c r="I357" s="27"/>
      <c r="J357" s="42"/>
      <c r="K357" s="42"/>
      <c r="L357" s="27"/>
      <c r="M357" s="22"/>
      <c r="N357" s="18"/>
      <c r="O357" s="18"/>
      <c r="P357" s="22"/>
      <c r="Q357" s="22"/>
      <c r="R357" s="22"/>
      <c r="S357" s="27"/>
      <c r="T357" s="27"/>
      <c r="U357" s="27"/>
      <c r="V357" s="28"/>
      <c r="W357" s="28"/>
      <c r="X357" s="19"/>
      <c r="Y357" s="28"/>
      <c r="Z357" s="28"/>
      <c r="AA357" s="6"/>
      <c r="AB357" s="6"/>
      <c r="AC357" s="6"/>
      <c r="AD357" s="21"/>
      <c r="AE357" s="6"/>
      <c r="AF357" s="26"/>
      <c r="AG357" s="41"/>
      <c r="AH357" s="41"/>
      <c r="AI357" s="18"/>
      <c r="AK357" s="18"/>
      <c r="AL357" s="18"/>
      <c r="AM357" s="40" t="s">
        <v>118</v>
      </c>
      <c r="AN357" s="18"/>
      <c r="AO357" s="6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6"/>
      <c r="BK357" s="6"/>
      <c r="BL357" s="21" t="s">
        <v>55</v>
      </c>
      <c r="BO357" s="15"/>
    </row>
    <row r="358" spans="1:67" ht="14.5" customHeight="1">
      <c r="A358" s="6" t="s">
        <v>56</v>
      </c>
      <c r="B358" s="6" t="s">
        <v>142</v>
      </c>
      <c r="C358" s="17">
        <v>36022</v>
      </c>
      <c r="D358" s="18">
        <v>25.166861879596606</v>
      </c>
      <c r="E358" s="22"/>
      <c r="F358" s="27"/>
      <c r="G358" s="22"/>
      <c r="H358" s="22"/>
      <c r="I358" s="27"/>
      <c r="J358" s="42"/>
      <c r="K358" s="42"/>
      <c r="L358" s="27"/>
      <c r="M358" s="22"/>
      <c r="N358" s="18"/>
      <c r="O358" s="18"/>
      <c r="P358" s="22"/>
      <c r="Q358" s="22"/>
      <c r="R358" s="22"/>
      <c r="S358" s="27"/>
      <c r="T358" s="27"/>
      <c r="U358" s="27"/>
      <c r="V358" s="28"/>
      <c r="W358" s="28"/>
      <c r="X358" s="19"/>
      <c r="Y358" s="28"/>
      <c r="Z358" s="28"/>
      <c r="AA358" s="6"/>
      <c r="AB358" s="6"/>
      <c r="AC358" s="6"/>
      <c r="AD358" s="21"/>
      <c r="AE358" s="6"/>
      <c r="AF358" s="26"/>
      <c r="AG358" s="41"/>
      <c r="AH358" s="41"/>
      <c r="AI358" s="18"/>
      <c r="AK358" s="18"/>
      <c r="AL358" s="18"/>
      <c r="AM358" s="40" t="s">
        <v>118</v>
      </c>
      <c r="AN358" s="18"/>
      <c r="AO358" s="6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6"/>
      <c r="BK358" s="6"/>
      <c r="BL358" s="21" t="s">
        <v>55</v>
      </c>
      <c r="BO358" s="15"/>
    </row>
    <row r="359" spans="1:67">
      <c r="A359" s="6" t="s">
        <v>56</v>
      </c>
      <c r="B359" s="6" t="s">
        <v>142</v>
      </c>
      <c r="C359" s="17">
        <v>36418</v>
      </c>
      <c r="D359" s="18">
        <v>26.251073944905599</v>
      </c>
      <c r="E359" s="22"/>
      <c r="F359" s="27"/>
      <c r="G359" s="22"/>
      <c r="H359" s="22"/>
      <c r="I359" s="27"/>
      <c r="J359" s="42"/>
      <c r="K359" s="42"/>
      <c r="L359" s="27"/>
      <c r="M359" s="22"/>
      <c r="N359" s="18"/>
      <c r="O359" s="18"/>
      <c r="P359" s="22"/>
      <c r="Q359" s="22"/>
      <c r="R359" s="22"/>
      <c r="S359" s="27"/>
      <c r="T359" s="27"/>
      <c r="U359" s="27"/>
      <c r="V359" s="28"/>
      <c r="W359" s="28"/>
      <c r="X359" s="19"/>
      <c r="Y359" s="28"/>
      <c r="Z359" s="28"/>
      <c r="AA359" s="6"/>
      <c r="AB359" s="6"/>
      <c r="AC359" s="6"/>
      <c r="AD359" s="21"/>
      <c r="AE359" s="6"/>
      <c r="AF359" s="26"/>
      <c r="AG359" s="41"/>
      <c r="AH359" s="41"/>
      <c r="AI359" s="18"/>
      <c r="AK359" s="18"/>
      <c r="AL359" s="18"/>
      <c r="AM359" s="40" t="s">
        <v>118</v>
      </c>
      <c r="AN359" s="18"/>
      <c r="AO359" s="6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6"/>
      <c r="BK359" s="6"/>
      <c r="BL359" s="21" t="s">
        <v>55</v>
      </c>
      <c r="BO359" s="15"/>
    </row>
    <row r="360" spans="1:67" ht="14.5" customHeight="1">
      <c r="A360" s="6" t="s">
        <v>56</v>
      </c>
      <c r="B360" s="6" t="s">
        <v>142</v>
      </c>
      <c r="C360" s="17">
        <v>36784</v>
      </c>
      <c r="D360" s="18">
        <v>27.253148732539668</v>
      </c>
      <c r="E360" s="22"/>
      <c r="F360" s="27"/>
      <c r="G360" s="22"/>
      <c r="H360" s="22"/>
      <c r="I360" s="27"/>
      <c r="J360" s="42"/>
      <c r="K360" s="42"/>
      <c r="L360" s="27"/>
      <c r="M360" s="22"/>
      <c r="N360" s="18"/>
      <c r="O360" s="18"/>
      <c r="P360" s="22"/>
      <c r="Q360" s="22"/>
      <c r="R360" s="22"/>
      <c r="S360" s="27"/>
      <c r="T360" s="27"/>
      <c r="U360" s="27"/>
      <c r="V360" s="28"/>
      <c r="W360" s="28"/>
      <c r="X360" s="19"/>
      <c r="Y360" s="28"/>
      <c r="Z360" s="28"/>
      <c r="AA360" s="6"/>
      <c r="AB360" s="6"/>
      <c r="AC360" s="6"/>
      <c r="AD360" s="21"/>
      <c r="AE360" s="6"/>
      <c r="AF360" s="26"/>
      <c r="AG360" s="41"/>
      <c r="AH360" s="41"/>
      <c r="AI360" s="18"/>
      <c r="AK360" s="18"/>
      <c r="AL360" s="18"/>
      <c r="AM360" s="40" t="s">
        <v>118</v>
      </c>
      <c r="AN360" s="18"/>
      <c r="AO360" s="6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6"/>
      <c r="BK360" s="6"/>
      <c r="BL360" s="21" t="s">
        <v>55</v>
      </c>
      <c r="BO360" s="15"/>
    </row>
    <row r="361" spans="1:67" ht="14.5" customHeight="1">
      <c r="A361" s="6" t="s">
        <v>129</v>
      </c>
      <c r="B361" s="6" t="s">
        <v>136</v>
      </c>
      <c r="C361" s="17">
        <v>33039.117400000003</v>
      </c>
      <c r="D361" s="6">
        <v>17</v>
      </c>
      <c r="E361" s="28"/>
      <c r="F361" s="27"/>
      <c r="G361" s="22"/>
      <c r="H361" s="27"/>
      <c r="I361" s="27"/>
      <c r="J361" s="27"/>
      <c r="K361" s="27"/>
      <c r="L361" s="27"/>
      <c r="M361" s="27"/>
      <c r="N361" s="18"/>
      <c r="O361" s="18"/>
      <c r="P361" s="27"/>
      <c r="Q361" s="27"/>
      <c r="R361" s="27"/>
      <c r="S361" s="27"/>
      <c r="T361" s="27"/>
      <c r="U361" s="27"/>
      <c r="V361" s="28"/>
      <c r="W361" s="28"/>
      <c r="X361" s="19"/>
      <c r="Y361" s="28"/>
      <c r="Z361" s="28"/>
      <c r="AA361" s="6"/>
      <c r="AB361" s="6"/>
      <c r="AC361" s="6"/>
      <c r="AD361" s="21"/>
      <c r="AE361" s="6"/>
      <c r="AF361" s="18"/>
      <c r="AG361" s="18"/>
      <c r="AH361" s="18"/>
      <c r="AI361" s="18"/>
      <c r="AK361" s="18"/>
      <c r="AL361" s="18"/>
      <c r="AM361" s="40" t="s">
        <v>118</v>
      </c>
      <c r="AN361" s="18"/>
      <c r="AO361" s="6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6"/>
      <c r="BK361" s="6">
        <v>6.0999999999999995E-3</v>
      </c>
      <c r="BL361" s="21" t="s">
        <v>57</v>
      </c>
      <c r="BO361" s="15"/>
    </row>
    <row r="362" spans="1:67" ht="14.5" customHeight="1">
      <c r="A362" s="6" t="s">
        <v>129</v>
      </c>
      <c r="B362" s="6" t="s">
        <v>136</v>
      </c>
      <c r="C362" s="17">
        <v>33404.359600000003</v>
      </c>
      <c r="D362" s="6">
        <v>18</v>
      </c>
      <c r="E362" s="28"/>
      <c r="F362" s="27"/>
      <c r="G362" s="27"/>
      <c r="H362" s="27"/>
      <c r="I362" s="27"/>
      <c r="J362" s="27"/>
      <c r="K362" s="27"/>
      <c r="L362" s="27"/>
      <c r="M362" s="27"/>
      <c r="N362" s="18"/>
      <c r="O362" s="18"/>
      <c r="P362" s="27"/>
      <c r="Q362" s="27"/>
      <c r="R362" s="27"/>
      <c r="S362" s="27"/>
      <c r="T362" s="27"/>
      <c r="U362" s="27"/>
      <c r="V362" s="28"/>
      <c r="W362" s="28"/>
      <c r="X362" s="19"/>
      <c r="Y362" s="28"/>
      <c r="Z362" s="28"/>
      <c r="AA362" s="6"/>
      <c r="AB362" s="6"/>
      <c r="AC362" s="6"/>
      <c r="AD362" s="21"/>
      <c r="AE362" s="6"/>
      <c r="AF362" s="18"/>
      <c r="AG362" s="18"/>
      <c r="AH362" s="18"/>
      <c r="AI362" s="18"/>
      <c r="AK362" s="18"/>
      <c r="AL362" s="18"/>
      <c r="AM362" s="40" t="s">
        <v>118</v>
      </c>
      <c r="AN362" s="18"/>
      <c r="AO362" s="6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6"/>
      <c r="BK362" s="6">
        <v>4.1999999999999997E-3</v>
      </c>
      <c r="BL362" s="21" t="s">
        <v>57</v>
      </c>
      <c r="BO362" s="15"/>
    </row>
    <row r="363" spans="1:67">
      <c r="A363" s="6" t="s">
        <v>129</v>
      </c>
      <c r="B363" s="6" t="s">
        <v>136</v>
      </c>
      <c r="C363" s="17">
        <v>33769.601800000004</v>
      </c>
      <c r="D363" s="6">
        <v>19</v>
      </c>
      <c r="E363" s="28"/>
      <c r="F363" s="27"/>
      <c r="G363" s="27"/>
      <c r="H363" s="27"/>
      <c r="I363" s="27"/>
      <c r="J363" s="27"/>
      <c r="K363" s="27"/>
      <c r="L363" s="27"/>
      <c r="M363" s="27"/>
      <c r="N363" s="18"/>
      <c r="O363" s="18"/>
      <c r="P363" s="27"/>
      <c r="Q363" s="27"/>
      <c r="R363" s="27"/>
      <c r="S363" s="27"/>
      <c r="T363" s="27"/>
      <c r="U363" s="27"/>
      <c r="V363" s="28"/>
      <c r="W363" s="28"/>
      <c r="X363" s="19"/>
      <c r="Y363" s="28"/>
      <c r="Z363" s="28"/>
      <c r="AA363" s="6"/>
      <c r="AB363" s="6"/>
      <c r="AC363" s="6"/>
      <c r="AD363" s="21"/>
      <c r="AE363" s="6"/>
      <c r="AF363" s="18"/>
      <c r="AG363" s="18"/>
      <c r="AH363" s="18"/>
      <c r="AI363" s="18"/>
      <c r="AK363" s="18"/>
      <c r="AL363" s="18"/>
      <c r="AM363" s="40" t="s">
        <v>118</v>
      </c>
      <c r="AN363" s="18"/>
      <c r="AO363" s="6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6"/>
      <c r="BK363" s="6">
        <v>4.1999999999999997E-3</v>
      </c>
      <c r="BL363" s="21" t="s">
        <v>57</v>
      </c>
      <c r="BO363" s="15"/>
    </row>
    <row r="364" spans="1:67">
      <c r="A364" s="6" t="s">
        <v>129</v>
      </c>
      <c r="B364" s="6" t="s">
        <v>136</v>
      </c>
      <c r="C364" s="17">
        <v>34134.843999999997</v>
      </c>
      <c r="D364" s="6">
        <v>20</v>
      </c>
      <c r="E364" s="28"/>
      <c r="F364" s="27"/>
      <c r="G364" s="27"/>
      <c r="H364" s="27"/>
      <c r="I364" s="27"/>
      <c r="J364" s="27"/>
      <c r="K364" s="27"/>
      <c r="L364" s="27"/>
      <c r="M364" s="27"/>
      <c r="N364" s="18"/>
      <c r="O364" s="18"/>
      <c r="P364" s="27"/>
      <c r="Q364" s="27"/>
      <c r="R364" s="27"/>
      <c r="S364" s="27"/>
      <c r="T364" s="27"/>
      <c r="U364" s="27"/>
      <c r="V364" s="28"/>
      <c r="W364" s="28"/>
      <c r="X364" s="19"/>
      <c r="Y364" s="28"/>
      <c r="Z364" s="28"/>
      <c r="AA364" s="6"/>
      <c r="AB364" s="6"/>
      <c r="AC364" s="6"/>
      <c r="AD364" s="21"/>
      <c r="AE364" s="6"/>
      <c r="AF364" s="18"/>
      <c r="AG364" s="18"/>
      <c r="AH364" s="18"/>
      <c r="AI364" s="18"/>
      <c r="AK364" s="18"/>
      <c r="AL364" s="18"/>
      <c r="AM364" s="40" t="s">
        <v>118</v>
      </c>
      <c r="AN364" s="18"/>
      <c r="AO364" s="6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6"/>
      <c r="BK364" s="6">
        <v>4.4000000000000003E-3</v>
      </c>
      <c r="BL364" s="21" t="s">
        <v>57</v>
      </c>
      <c r="BO364" s="15"/>
    </row>
    <row r="365" spans="1:67">
      <c r="A365" s="6" t="s">
        <v>130</v>
      </c>
      <c r="B365" s="6" t="s">
        <v>137</v>
      </c>
      <c r="C365" s="17">
        <v>33039.117400000003</v>
      </c>
      <c r="D365" s="6">
        <v>17</v>
      </c>
      <c r="E365" s="28"/>
      <c r="F365" s="27"/>
      <c r="G365" s="27"/>
      <c r="H365" s="27"/>
      <c r="I365" s="27"/>
      <c r="J365" s="27"/>
      <c r="K365" s="27"/>
      <c r="L365" s="27"/>
      <c r="M365" s="27"/>
      <c r="N365" s="18"/>
      <c r="O365" s="18"/>
      <c r="P365" s="27"/>
      <c r="Q365" s="27"/>
      <c r="R365" s="27"/>
      <c r="S365" s="27"/>
      <c r="T365" s="27"/>
      <c r="U365" s="27"/>
      <c r="V365" s="28"/>
      <c r="W365" s="28"/>
      <c r="X365" s="19"/>
      <c r="Y365" s="28"/>
      <c r="Z365" s="28"/>
      <c r="AA365" s="6"/>
      <c r="AB365" s="6"/>
      <c r="AC365" s="6"/>
      <c r="AD365" s="21"/>
      <c r="AE365" s="6"/>
      <c r="AF365" s="18"/>
      <c r="AG365" s="18"/>
      <c r="AH365" s="18"/>
      <c r="AI365" s="18"/>
      <c r="AK365" s="18"/>
      <c r="AL365" s="18"/>
      <c r="AM365" s="40" t="s">
        <v>118</v>
      </c>
      <c r="AN365" s="18"/>
      <c r="AO365" s="6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6"/>
      <c r="BK365" s="6">
        <v>6.5000000000000006E-3</v>
      </c>
      <c r="BL365" s="21" t="s">
        <v>57</v>
      </c>
      <c r="BO365" s="15"/>
    </row>
    <row r="366" spans="1:67" ht="14.5" customHeight="1">
      <c r="A366" s="6" t="s">
        <v>130</v>
      </c>
      <c r="B366" s="6" t="s">
        <v>137</v>
      </c>
      <c r="C366" s="17">
        <v>33404.359600000003</v>
      </c>
      <c r="D366" s="6">
        <v>18</v>
      </c>
      <c r="E366" s="28"/>
      <c r="F366" s="27"/>
      <c r="G366" s="27"/>
      <c r="H366" s="27"/>
      <c r="I366" s="27"/>
      <c r="J366" s="27"/>
      <c r="K366" s="27"/>
      <c r="L366" s="27"/>
      <c r="M366" s="27"/>
      <c r="N366" s="18"/>
      <c r="O366" s="18"/>
      <c r="P366" s="27"/>
      <c r="Q366" s="27"/>
      <c r="R366" s="27"/>
      <c r="S366" s="27"/>
      <c r="T366" s="27"/>
      <c r="U366" s="27"/>
      <c r="V366" s="28"/>
      <c r="W366" s="28"/>
      <c r="X366" s="19"/>
      <c r="Y366" s="28"/>
      <c r="Z366" s="28"/>
      <c r="AA366" s="6"/>
      <c r="AB366" s="6"/>
      <c r="AC366" s="6"/>
      <c r="AD366" s="21"/>
      <c r="AE366" s="6"/>
      <c r="AF366" s="18"/>
      <c r="AG366" s="18"/>
      <c r="AH366" s="18"/>
      <c r="AI366" s="18"/>
      <c r="AK366" s="18"/>
      <c r="AL366" s="18"/>
      <c r="AM366" s="40" t="s">
        <v>118</v>
      </c>
      <c r="AN366" s="18"/>
      <c r="AO366" s="6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6"/>
      <c r="BK366" s="6">
        <v>4.4000000000000003E-3</v>
      </c>
      <c r="BL366" s="21" t="s">
        <v>57</v>
      </c>
      <c r="BO366" s="15"/>
    </row>
    <row r="367" spans="1:67">
      <c r="A367" s="6" t="s">
        <v>130</v>
      </c>
      <c r="B367" s="6" t="s">
        <v>137</v>
      </c>
      <c r="C367" s="17">
        <v>33769.601800000004</v>
      </c>
      <c r="D367" s="6">
        <v>19</v>
      </c>
      <c r="E367" s="28"/>
      <c r="F367" s="27"/>
      <c r="G367" s="27"/>
      <c r="H367" s="27"/>
      <c r="I367" s="27"/>
      <c r="J367" s="27"/>
      <c r="K367" s="27"/>
      <c r="L367" s="27"/>
      <c r="M367" s="27"/>
      <c r="N367" s="18"/>
      <c r="O367" s="18"/>
      <c r="P367" s="27"/>
      <c r="Q367" s="27"/>
      <c r="R367" s="27"/>
      <c r="S367" s="27"/>
      <c r="T367" s="27"/>
      <c r="U367" s="27"/>
      <c r="V367" s="28"/>
      <c r="W367" s="28"/>
      <c r="X367" s="19"/>
      <c r="Y367" s="28"/>
      <c r="Z367" s="28"/>
      <c r="AA367" s="6"/>
      <c r="AB367" s="6"/>
      <c r="AC367" s="6"/>
      <c r="AD367" s="21"/>
      <c r="AE367" s="6"/>
      <c r="AF367" s="18"/>
      <c r="AG367" s="18"/>
      <c r="AH367" s="18"/>
      <c r="AI367" s="18"/>
      <c r="AK367" s="18"/>
      <c r="AL367" s="18"/>
      <c r="AM367" s="40" t="s">
        <v>118</v>
      </c>
      <c r="AN367" s="18"/>
      <c r="AO367" s="6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6"/>
      <c r="BK367" s="6">
        <v>4.4000000000000003E-3</v>
      </c>
      <c r="BL367" s="21" t="s">
        <v>57</v>
      </c>
      <c r="BO367" s="15"/>
    </row>
    <row r="368" spans="1:67" ht="14.5" customHeight="1">
      <c r="A368" s="6" t="s">
        <v>130</v>
      </c>
      <c r="B368" s="6" t="s">
        <v>137</v>
      </c>
      <c r="C368" s="17">
        <v>34134.843999999997</v>
      </c>
      <c r="D368" s="6">
        <v>20</v>
      </c>
      <c r="E368" s="28"/>
      <c r="F368" s="27"/>
      <c r="G368" s="27"/>
      <c r="H368" s="27"/>
      <c r="I368" s="27"/>
      <c r="J368" s="27"/>
      <c r="K368" s="27"/>
      <c r="L368" s="27"/>
      <c r="M368" s="27"/>
      <c r="N368" s="18"/>
      <c r="O368" s="18"/>
      <c r="P368" s="27"/>
      <c r="Q368" s="27"/>
      <c r="R368" s="27"/>
      <c r="S368" s="27"/>
      <c r="T368" s="27"/>
      <c r="U368" s="27"/>
      <c r="V368" s="28"/>
      <c r="W368" s="28"/>
      <c r="X368" s="19"/>
      <c r="Y368" s="28"/>
      <c r="Z368" s="28"/>
      <c r="AA368" s="6"/>
      <c r="AB368" s="6"/>
      <c r="AC368" s="6"/>
      <c r="AD368" s="21"/>
      <c r="AE368" s="6"/>
      <c r="AF368" s="18"/>
      <c r="AG368" s="18"/>
      <c r="AH368" s="18"/>
      <c r="AI368" s="18"/>
      <c r="AK368" s="18"/>
      <c r="AL368" s="18"/>
      <c r="AM368" s="40" t="s">
        <v>118</v>
      </c>
      <c r="AN368" s="18"/>
      <c r="AO368" s="6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6"/>
      <c r="BK368" s="6">
        <v>4.1999999999999997E-3</v>
      </c>
      <c r="BL368" s="21" t="s">
        <v>57</v>
      </c>
      <c r="BO368" s="15"/>
    </row>
    <row r="369" spans="1:67">
      <c r="A369" s="6" t="s">
        <v>131</v>
      </c>
      <c r="B369" s="6" t="s">
        <v>138</v>
      </c>
      <c r="C369" s="17">
        <v>33039.117400000003</v>
      </c>
      <c r="D369" s="6">
        <v>17</v>
      </c>
      <c r="E369" s="28"/>
      <c r="F369" s="27"/>
      <c r="G369" s="27"/>
      <c r="H369" s="27"/>
      <c r="I369" s="27"/>
      <c r="J369" s="27"/>
      <c r="K369" s="27"/>
      <c r="L369" s="27"/>
      <c r="M369" s="27"/>
      <c r="N369" s="18"/>
      <c r="O369" s="18"/>
      <c r="P369" s="27"/>
      <c r="Q369" s="27"/>
      <c r="R369" s="27"/>
      <c r="S369" s="27"/>
      <c r="T369" s="27"/>
      <c r="U369" s="27"/>
      <c r="V369" s="28"/>
      <c r="W369" s="28"/>
      <c r="X369" s="19"/>
      <c r="Y369" s="28"/>
      <c r="Z369" s="28"/>
      <c r="AA369" s="6"/>
      <c r="AB369" s="6"/>
      <c r="AC369" s="6"/>
      <c r="AD369" s="21"/>
      <c r="AE369" s="6"/>
      <c r="AF369" s="18"/>
      <c r="AG369" s="18"/>
      <c r="AH369" s="18"/>
      <c r="AI369" s="18"/>
      <c r="AK369" s="18"/>
      <c r="AL369" s="18"/>
      <c r="AM369" s="40" t="s">
        <v>118</v>
      </c>
      <c r="AN369" s="18"/>
      <c r="AO369" s="6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6"/>
      <c r="BK369" s="6">
        <v>5.6000000000000008E-3</v>
      </c>
      <c r="BL369" s="21" t="s">
        <v>57</v>
      </c>
      <c r="BO369" s="15"/>
    </row>
    <row r="370" spans="1:67" ht="14.5" customHeight="1">
      <c r="A370" s="6" t="s">
        <v>131</v>
      </c>
      <c r="B370" s="6" t="s">
        <v>138</v>
      </c>
      <c r="C370" s="17">
        <v>33404.359600000003</v>
      </c>
      <c r="D370" s="6">
        <v>18</v>
      </c>
      <c r="E370" s="28"/>
      <c r="F370" s="27"/>
      <c r="G370" s="27"/>
      <c r="H370" s="27"/>
      <c r="I370" s="27"/>
      <c r="J370" s="27"/>
      <c r="K370" s="27"/>
      <c r="L370" s="27"/>
      <c r="M370" s="27"/>
      <c r="N370" s="18"/>
      <c r="O370" s="18"/>
      <c r="P370" s="27"/>
      <c r="Q370" s="27"/>
      <c r="R370" s="27"/>
      <c r="S370" s="27"/>
      <c r="T370" s="27"/>
      <c r="U370" s="27"/>
      <c r="V370" s="28"/>
      <c r="W370" s="28"/>
      <c r="X370" s="19"/>
      <c r="Y370" s="28"/>
      <c r="Z370" s="28"/>
      <c r="AA370" s="6"/>
      <c r="AB370" s="6"/>
      <c r="AC370" s="6"/>
      <c r="AD370" s="21"/>
      <c r="AE370" s="6"/>
      <c r="AF370" s="18"/>
      <c r="AG370" s="18"/>
      <c r="AH370" s="18"/>
      <c r="AI370" s="18"/>
      <c r="AK370" s="18"/>
      <c r="AL370" s="18"/>
      <c r="AM370" s="40" t="s">
        <v>118</v>
      </c>
      <c r="AN370" s="18"/>
      <c r="AO370" s="6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6"/>
      <c r="BK370" s="6">
        <v>4.1999999999999997E-3</v>
      </c>
      <c r="BL370" s="21" t="s">
        <v>57</v>
      </c>
      <c r="BO370" s="15"/>
    </row>
    <row r="371" spans="1:67" ht="14.5" customHeight="1">
      <c r="A371" s="6" t="s">
        <v>131</v>
      </c>
      <c r="B371" s="6" t="s">
        <v>138</v>
      </c>
      <c r="C371" s="17">
        <v>33769.601800000004</v>
      </c>
      <c r="D371" s="6">
        <v>19</v>
      </c>
      <c r="E371" s="28"/>
      <c r="F371" s="27"/>
      <c r="G371" s="27"/>
      <c r="H371" s="27"/>
      <c r="I371" s="27"/>
      <c r="J371" s="27"/>
      <c r="K371" s="27"/>
      <c r="L371" s="27"/>
      <c r="M371" s="27"/>
      <c r="N371" s="18"/>
      <c r="O371" s="18"/>
      <c r="P371" s="27"/>
      <c r="Q371" s="27"/>
      <c r="R371" s="27"/>
      <c r="S371" s="27"/>
      <c r="T371" s="27"/>
      <c r="U371" s="27"/>
      <c r="V371" s="28"/>
      <c r="W371" s="28"/>
      <c r="X371" s="19"/>
      <c r="Y371" s="28"/>
      <c r="Z371" s="28"/>
      <c r="AA371" s="6"/>
      <c r="AB371" s="6"/>
      <c r="AC371" s="6"/>
      <c r="AD371" s="21"/>
      <c r="AE371" s="6"/>
      <c r="AF371" s="18"/>
      <c r="AG371" s="18"/>
      <c r="AH371" s="18"/>
      <c r="AI371" s="18"/>
      <c r="AK371" s="18"/>
      <c r="AL371" s="18"/>
      <c r="AM371" s="40" t="s">
        <v>118</v>
      </c>
      <c r="AN371" s="18"/>
      <c r="AO371" s="6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6"/>
      <c r="BK371" s="6">
        <v>3.9000000000000003E-3</v>
      </c>
      <c r="BL371" s="21" t="s">
        <v>57</v>
      </c>
      <c r="BO371" s="15"/>
    </row>
    <row r="372" spans="1:67" ht="14.5" customHeight="1">
      <c r="A372" s="6" t="s">
        <v>131</v>
      </c>
      <c r="B372" s="6" t="s">
        <v>138</v>
      </c>
      <c r="C372" s="17">
        <v>34134.843999999997</v>
      </c>
      <c r="D372" s="6">
        <v>20</v>
      </c>
      <c r="E372" s="28"/>
      <c r="F372" s="27"/>
      <c r="G372" s="27"/>
      <c r="H372" s="27"/>
      <c r="I372" s="27"/>
      <c r="J372" s="27"/>
      <c r="K372" s="27"/>
      <c r="L372" s="27"/>
      <c r="M372" s="27"/>
      <c r="N372" s="18"/>
      <c r="O372" s="18"/>
      <c r="P372" s="27"/>
      <c r="Q372" s="27"/>
      <c r="R372" s="27"/>
      <c r="S372" s="27"/>
      <c r="T372" s="27"/>
      <c r="U372" s="27"/>
      <c r="V372" s="28"/>
      <c r="W372" s="28"/>
      <c r="X372" s="19"/>
      <c r="Y372" s="28"/>
      <c r="Z372" s="28"/>
      <c r="AA372" s="6"/>
      <c r="AB372" s="6"/>
      <c r="AC372" s="6"/>
      <c r="AD372" s="21"/>
      <c r="AE372" s="6"/>
      <c r="AF372" s="18"/>
      <c r="AG372" s="18"/>
      <c r="AH372" s="18"/>
      <c r="AI372" s="18"/>
      <c r="AK372" s="18"/>
      <c r="AL372" s="18"/>
      <c r="AM372" s="40" t="s">
        <v>118</v>
      </c>
      <c r="AN372" s="18"/>
      <c r="AO372" s="6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6"/>
      <c r="BK372" s="6">
        <v>4.3E-3</v>
      </c>
      <c r="BL372" s="21" t="s">
        <v>57</v>
      </c>
      <c r="BO372" s="15"/>
    </row>
    <row r="373" spans="1:67">
      <c r="A373" s="6" t="s">
        <v>132</v>
      </c>
      <c r="B373" s="6" t="s">
        <v>139</v>
      </c>
      <c r="C373" s="17">
        <v>33039.117400000003</v>
      </c>
      <c r="D373" s="6">
        <v>17</v>
      </c>
      <c r="E373" s="28"/>
      <c r="F373" s="27"/>
      <c r="G373" s="27"/>
      <c r="H373" s="27"/>
      <c r="I373" s="27"/>
      <c r="J373" s="27"/>
      <c r="K373" s="27"/>
      <c r="L373" s="27"/>
      <c r="M373" s="27"/>
      <c r="N373" s="18"/>
      <c r="O373" s="18"/>
      <c r="P373" s="27"/>
      <c r="Q373" s="27"/>
      <c r="R373" s="27"/>
      <c r="S373" s="27"/>
      <c r="T373" s="27"/>
      <c r="U373" s="27"/>
      <c r="V373" s="28"/>
      <c r="W373" s="28"/>
      <c r="X373" s="19"/>
      <c r="Y373" s="28"/>
      <c r="Z373" s="28"/>
      <c r="AA373" s="6"/>
      <c r="AB373" s="6"/>
      <c r="AC373" s="6"/>
      <c r="AD373" s="21"/>
      <c r="AE373" s="6"/>
      <c r="AF373" s="18"/>
      <c r="AG373" s="18"/>
      <c r="AH373" s="18"/>
      <c r="AI373" s="18"/>
      <c r="AK373" s="18"/>
      <c r="AL373" s="18"/>
      <c r="AM373" s="40" t="s">
        <v>118</v>
      </c>
      <c r="AN373" s="18"/>
      <c r="AO373" s="6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6"/>
      <c r="BK373" s="6"/>
      <c r="BL373" s="6"/>
      <c r="BO373" s="15"/>
    </row>
    <row r="374" spans="1:67" ht="14.5" customHeight="1">
      <c r="A374" s="6" t="s">
        <v>132</v>
      </c>
      <c r="B374" s="6" t="s">
        <v>139</v>
      </c>
      <c r="C374" s="17">
        <v>33404.359600000003</v>
      </c>
      <c r="D374" s="6">
        <v>18</v>
      </c>
      <c r="E374" s="28"/>
      <c r="F374" s="27"/>
      <c r="G374" s="27"/>
      <c r="H374" s="27"/>
      <c r="I374" s="27"/>
      <c r="J374" s="27"/>
      <c r="K374" s="27"/>
      <c r="L374" s="27"/>
      <c r="M374" s="27"/>
      <c r="N374" s="18"/>
      <c r="O374" s="18"/>
      <c r="P374" s="27"/>
      <c r="Q374" s="27"/>
      <c r="R374" s="27"/>
      <c r="S374" s="27"/>
      <c r="T374" s="27"/>
      <c r="U374" s="27"/>
      <c r="V374" s="28"/>
      <c r="W374" s="28"/>
      <c r="X374" s="19"/>
      <c r="Y374" s="28"/>
      <c r="Z374" s="28"/>
      <c r="AA374" s="6"/>
      <c r="AB374" s="6"/>
      <c r="AC374" s="6"/>
      <c r="AD374" s="21"/>
      <c r="AE374" s="6"/>
      <c r="AF374" s="18"/>
      <c r="AG374" s="18"/>
      <c r="AH374" s="18"/>
      <c r="AI374" s="18"/>
      <c r="AK374" s="18"/>
      <c r="AL374" s="18"/>
      <c r="AM374" s="40" t="s">
        <v>118</v>
      </c>
      <c r="AN374" s="18"/>
      <c r="AO374" s="6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6"/>
      <c r="BK374" s="6"/>
      <c r="BL374" s="6"/>
      <c r="BO374" s="15"/>
    </row>
    <row r="375" spans="1:67" ht="14.5" customHeight="1">
      <c r="A375" s="6" t="s">
        <v>132</v>
      </c>
      <c r="B375" s="6" t="s">
        <v>139</v>
      </c>
      <c r="C375" s="17">
        <v>33769.601800000004</v>
      </c>
      <c r="D375" s="6">
        <v>19</v>
      </c>
      <c r="E375" s="28"/>
      <c r="F375" s="27"/>
      <c r="G375" s="27"/>
      <c r="H375" s="27"/>
      <c r="I375" s="27"/>
      <c r="J375" s="27"/>
      <c r="K375" s="27"/>
      <c r="L375" s="27"/>
      <c r="M375" s="27"/>
      <c r="N375" s="18"/>
      <c r="O375" s="18"/>
      <c r="P375" s="27"/>
      <c r="Q375" s="27"/>
      <c r="R375" s="27"/>
      <c r="S375" s="27"/>
      <c r="T375" s="27"/>
      <c r="U375" s="27"/>
      <c r="V375" s="28"/>
      <c r="W375" s="28"/>
      <c r="X375" s="19"/>
      <c r="Y375" s="28"/>
      <c r="Z375" s="28"/>
      <c r="AA375" s="6"/>
      <c r="AB375" s="6"/>
      <c r="AC375" s="6"/>
      <c r="AD375" s="21"/>
      <c r="AE375" s="6"/>
      <c r="AF375" s="18"/>
      <c r="AG375" s="18"/>
      <c r="AH375" s="18"/>
      <c r="AI375" s="18"/>
      <c r="AK375" s="18"/>
      <c r="AL375" s="18"/>
      <c r="AM375" s="40" t="s">
        <v>118</v>
      </c>
      <c r="AN375" s="18"/>
      <c r="AO375" s="6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6"/>
      <c r="BK375" s="6"/>
      <c r="BL375" s="6"/>
      <c r="BO375" s="15"/>
    </row>
    <row r="376" spans="1:67" ht="14.5" customHeight="1">
      <c r="A376" s="6" t="s">
        <v>132</v>
      </c>
      <c r="B376" s="6" t="s">
        <v>139</v>
      </c>
      <c r="C376" s="17">
        <v>34134.843999999997</v>
      </c>
      <c r="D376" s="6">
        <v>20</v>
      </c>
      <c r="E376" s="28"/>
      <c r="F376" s="27"/>
      <c r="G376" s="27"/>
      <c r="H376" s="27"/>
      <c r="I376" s="27"/>
      <c r="J376" s="27"/>
      <c r="K376" s="27"/>
      <c r="L376" s="27"/>
      <c r="M376" s="27"/>
      <c r="N376" s="18"/>
      <c r="O376" s="18"/>
      <c r="P376" s="27"/>
      <c r="Q376" s="27"/>
      <c r="R376" s="27"/>
      <c r="S376" s="27"/>
      <c r="T376" s="27"/>
      <c r="U376" s="27"/>
      <c r="V376" s="28"/>
      <c r="W376" s="28"/>
      <c r="X376" s="19"/>
      <c r="Y376" s="28"/>
      <c r="Z376" s="28"/>
      <c r="AA376" s="6"/>
      <c r="AB376" s="6"/>
      <c r="AC376" s="6"/>
      <c r="AD376" s="21"/>
      <c r="AE376" s="6"/>
      <c r="AF376" s="18"/>
      <c r="AG376" s="18"/>
      <c r="AH376" s="18"/>
      <c r="AI376" s="18"/>
      <c r="AK376" s="18"/>
      <c r="AL376" s="18"/>
      <c r="AM376" s="40" t="s">
        <v>118</v>
      </c>
      <c r="AN376" s="18"/>
      <c r="AO376" s="6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6"/>
      <c r="BK376" s="6"/>
      <c r="BL376" s="6"/>
      <c r="BO376" s="15"/>
    </row>
    <row r="377" spans="1:67" ht="14.5" customHeight="1">
      <c r="A377" s="6" t="s">
        <v>132</v>
      </c>
      <c r="B377" s="6" t="s">
        <v>139</v>
      </c>
      <c r="C377" s="17">
        <v>33039.117400000003</v>
      </c>
      <c r="D377" s="6">
        <v>17</v>
      </c>
      <c r="E377" s="28"/>
      <c r="F377" s="27"/>
      <c r="G377" s="27"/>
      <c r="H377" s="27"/>
      <c r="I377" s="27"/>
      <c r="J377" s="27"/>
      <c r="K377" s="27"/>
      <c r="L377" s="27"/>
      <c r="M377" s="27"/>
      <c r="N377" s="18"/>
      <c r="O377" s="18"/>
      <c r="P377" s="27"/>
      <c r="Q377" s="27"/>
      <c r="R377" s="27"/>
      <c r="S377" s="27"/>
      <c r="T377" s="27"/>
      <c r="U377" s="27"/>
      <c r="V377" s="28"/>
      <c r="W377" s="28"/>
      <c r="X377" s="19"/>
      <c r="Y377" s="28"/>
      <c r="Z377" s="28"/>
      <c r="AA377" s="6"/>
      <c r="AB377" s="6"/>
      <c r="AC377" s="6"/>
      <c r="AD377" s="21"/>
      <c r="AE377" s="6"/>
      <c r="AF377" s="18"/>
      <c r="AG377" s="18"/>
      <c r="AH377" s="18"/>
      <c r="AI377" s="18"/>
      <c r="AK377" s="18"/>
      <c r="AL377" s="18"/>
      <c r="AM377" s="40" t="s">
        <v>118</v>
      </c>
      <c r="AN377" s="18"/>
      <c r="AO377" s="6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6"/>
      <c r="BK377" s="6"/>
      <c r="BL377" s="6"/>
      <c r="BO377" s="15"/>
    </row>
    <row r="378" spans="1:67">
      <c r="A378" s="6" t="s">
        <v>132</v>
      </c>
      <c r="B378" s="6" t="s">
        <v>139</v>
      </c>
      <c r="C378" s="17">
        <v>33404.359600000003</v>
      </c>
      <c r="D378" s="6">
        <v>18</v>
      </c>
      <c r="E378" s="28"/>
      <c r="F378" s="27"/>
      <c r="G378" s="27"/>
      <c r="H378" s="27"/>
      <c r="I378" s="27"/>
      <c r="J378" s="27"/>
      <c r="K378" s="27"/>
      <c r="L378" s="27"/>
      <c r="M378" s="27"/>
      <c r="N378" s="18"/>
      <c r="O378" s="18"/>
      <c r="P378" s="27"/>
      <c r="Q378" s="27"/>
      <c r="R378" s="27"/>
      <c r="S378" s="27"/>
      <c r="T378" s="27"/>
      <c r="U378" s="27"/>
      <c r="V378" s="28"/>
      <c r="W378" s="28"/>
      <c r="X378" s="19"/>
      <c r="Y378" s="28"/>
      <c r="Z378" s="28"/>
      <c r="AA378" s="6"/>
      <c r="AB378" s="6"/>
      <c r="AC378" s="6"/>
      <c r="AD378" s="21"/>
      <c r="AE378" s="6"/>
      <c r="AF378" s="18"/>
      <c r="AG378" s="18"/>
      <c r="AH378" s="18"/>
      <c r="AI378" s="18"/>
      <c r="AK378" s="18"/>
      <c r="AL378" s="18"/>
      <c r="AM378" s="40" t="s">
        <v>118</v>
      </c>
      <c r="AN378" s="18"/>
      <c r="AO378" s="6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6"/>
      <c r="BK378" s="6"/>
      <c r="BL378" s="6"/>
      <c r="BO378" s="15"/>
    </row>
    <row r="379" spans="1:67" ht="14.5" customHeight="1">
      <c r="A379" s="6" t="s">
        <v>132</v>
      </c>
      <c r="B379" s="6" t="s">
        <v>139</v>
      </c>
      <c r="C379" s="17">
        <v>33769.601800000004</v>
      </c>
      <c r="D379" s="6">
        <v>19</v>
      </c>
      <c r="E379" s="28"/>
      <c r="F379" s="27"/>
      <c r="G379" s="27"/>
      <c r="H379" s="27"/>
      <c r="I379" s="27"/>
      <c r="J379" s="27"/>
      <c r="K379" s="27"/>
      <c r="L379" s="27"/>
      <c r="M379" s="27"/>
      <c r="N379" s="18"/>
      <c r="O379" s="18"/>
      <c r="P379" s="27"/>
      <c r="Q379" s="27"/>
      <c r="R379" s="27"/>
      <c r="S379" s="27"/>
      <c r="T379" s="27"/>
      <c r="U379" s="27"/>
      <c r="V379" s="28"/>
      <c r="W379" s="28"/>
      <c r="X379" s="19"/>
      <c r="Y379" s="28"/>
      <c r="Z379" s="28"/>
      <c r="AA379" s="6"/>
      <c r="AB379" s="6"/>
      <c r="AC379" s="6"/>
      <c r="AD379" s="21"/>
      <c r="AE379" s="6"/>
      <c r="AF379" s="18"/>
      <c r="AG379" s="18"/>
      <c r="AH379" s="18"/>
      <c r="AI379" s="18"/>
      <c r="AK379" s="18"/>
      <c r="AL379" s="18"/>
      <c r="AM379" s="40" t="s">
        <v>118</v>
      </c>
      <c r="AN379" s="18"/>
      <c r="AO379" s="6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6"/>
      <c r="BK379" s="6"/>
      <c r="BL379" s="6"/>
      <c r="BO379" s="15"/>
    </row>
    <row r="380" spans="1:67">
      <c r="A380" s="6" t="s">
        <v>132</v>
      </c>
      <c r="B380" s="6" t="s">
        <v>139</v>
      </c>
      <c r="C380" s="17">
        <v>34134.843999999997</v>
      </c>
      <c r="D380" s="6">
        <v>20</v>
      </c>
      <c r="E380" s="28"/>
      <c r="F380" s="27"/>
      <c r="G380" s="27"/>
      <c r="H380" s="27"/>
      <c r="I380" s="27"/>
      <c r="J380" s="27"/>
      <c r="K380" s="27"/>
      <c r="L380" s="27"/>
      <c r="M380" s="27"/>
      <c r="N380" s="18"/>
      <c r="O380" s="18"/>
      <c r="P380" s="27"/>
      <c r="Q380" s="27"/>
      <c r="R380" s="27"/>
      <c r="S380" s="27"/>
      <c r="T380" s="27"/>
      <c r="U380" s="27"/>
      <c r="V380" s="28"/>
      <c r="W380" s="28"/>
      <c r="X380" s="19"/>
      <c r="Y380" s="28"/>
      <c r="Z380" s="28"/>
      <c r="AA380" s="6"/>
      <c r="AB380" s="6"/>
      <c r="AC380" s="6"/>
      <c r="AD380" s="21"/>
      <c r="AE380" s="6"/>
      <c r="AF380" s="18"/>
      <c r="AG380" s="18"/>
      <c r="AH380" s="18"/>
      <c r="AI380" s="18"/>
      <c r="AK380" s="18"/>
      <c r="AL380" s="18"/>
      <c r="AM380" s="40" t="s">
        <v>118</v>
      </c>
      <c r="AN380" s="18"/>
      <c r="AO380" s="6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6"/>
      <c r="BK380" s="6"/>
      <c r="BL380" s="6"/>
      <c r="BO380" s="15"/>
    </row>
    <row r="381" spans="1:67" ht="14.5" customHeight="1">
      <c r="A381" s="6" t="s">
        <v>133</v>
      </c>
      <c r="B381" s="6" t="s">
        <v>140</v>
      </c>
      <c r="C381" s="17">
        <v>33039.117400000003</v>
      </c>
      <c r="D381" s="6">
        <v>17</v>
      </c>
      <c r="E381" s="28"/>
      <c r="F381" s="27"/>
      <c r="G381" s="27"/>
      <c r="H381" s="27"/>
      <c r="I381" s="27"/>
      <c r="J381" s="27"/>
      <c r="K381" s="27"/>
      <c r="L381" s="27"/>
      <c r="M381" s="27"/>
      <c r="N381" s="18"/>
      <c r="O381" s="18"/>
      <c r="P381" s="27"/>
      <c r="Q381" s="27"/>
      <c r="R381" s="27"/>
      <c r="S381" s="27"/>
      <c r="T381" s="27"/>
      <c r="U381" s="27"/>
      <c r="V381" s="28"/>
      <c r="W381" s="28"/>
      <c r="X381" s="19"/>
      <c r="Y381" s="28"/>
      <c r="Z381" s="28"/>
      <c r="AA381" s="6"/>
      <c r="AB381" s="6"/>
      <c r="AC381" s="6"/>
      <c r="AD381" s="21"/>
      <c r="AE381" s="6"/>
      <c r="AF381" s="18"/>
      <c r="AG381" s="18"/>
      <c r="AH381" s="18"/>
      <c r="AI381" s="18"/>
      <c r="AK381" s="18"/>
      <c r="AL381" s="18"/>
      <c r="AM381" s="40" t="s">
        <v>118</v>
      </c>
      <c r="AN381" s="18"/>
      <c r="AO381" s="6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6"/>
      <c r="BK381" s="6">
        <v>9.7999999999999997E-3</v>
      </c>
      <c r="BL381" s="6" t="s">
        <v>57</v>
      </c>
      <c r="BO381" s="15"/>
    </row>
    <row r="382" spans="1:67" ht="14.5" customHeight="1">
      <c r="A382" s="6" t="s">
        <v>133</v>
      </c>
      <c r="B382" s="6" t="s">
        <v>140</v>
      </c>
      <c r="C382" s="17">
        <v>33404.359600000003</v>
      </c>
      <c r="D382" s="6">
        <v>18</v>
      </c>
      <c r="E382" s="28"/>
      <c r="F382" s="27"/>
      <c r="G382" s="27"/>
      <c r="H382" s="27"/>
      <c r="I382" s="27"/>
      <c r="J382" s="27"/>
      <c r="K382" s="27"/>
      <c r="L382" s="27"/>
      <c r="M382" s="27"/>
      <c r="N382" s="18"/>
      <c r="O382" s="18"/>
      <c r="P382" s="27"/>
      <c r="Q382" s="27"/>
      <c r="R382" s="27"/>
      <c r="S382" s="27"/>
      <c r="T382" s="27"/>
      <c r="U382" s="27"/>
      <c r="V382" s="28"/>
      <c r="W382" s="28"/>
      <c r="X382" s="19"/>
      <c r="Y382" s="28"/>
      <c r="Z382" s="28"/>
      <c r="AA382" s="6"/>
      <c r="AB382" s="6"/>
      <c r="AC382" s="6"/>
      <c r="AD382" s="21"/>
      <c r="AE382" s="6"/>
      <c r="AF382" s="18"/>
      <c r="AG382" s="18"/>
      <c r="AH382" s="18"/>
      <c r="AI382" s="18"/>
      <c r="AK382" s="18"/>
      <c r="AL382" s="18"/>
      <c r="AM382" s="40" t="s">
        <v>118</v>
      </c>
      <c r="AN382" s="18"/>
      <c r="AO382" s="6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6"/>
      <c r="BK382" s="6">
        <v>7.8000000000000005E-3</v>
      </c>
      <c r="BL382" s="6" t="s">
        <v>57</v>
      </c>
      <c r="BO382" s="15"/>
    </row>
    <row r="383" spans="1:67" ht="14.5" customHeight="1">
      <c r="A383" s="6" t="s">
        <v>133</v>
      </c>
      <c r="B383" s="6" t="s">
        <v>140</v>
      </c>
      <c r="C383" s="17">
        <v>33769.601800000004</v>
      </c>
      <c r="D383" s="6">
        <v>19</v>
      </c>
      <c r="E383" s="28"/>
      <c r="F383" s="27"/>
      <c r="G383" s="27"/>
      <c r="H383" s="27"/>
      <c r="I383" s="27"/>
      <c r="J383" s="27"/>
      <c r="K383" s="27"/>
      <c r="L383" s="27"/>
      <c r="M383" s="27"/>
      <c r="N383" s="18"/>
      <c r="O383" s="18"/>
      <c r="P383" s="27"/>
      <c r="Q383" s="27"/>
      <c r="R383" s="27"/>
      <c r="S383" s="27"/>
      <c r="T383" s="27"/>
      <c r="U383" s="27"/>
      <c r="V383" s="28"/>
      <c r="W383" s="28"/>
      <c r="X383" s="19"/>
      <c r="Y383" s="28"/>
      <c r="Z383" s="28"/>
      <c r="AA383" s="6"/>
      <c r="AB383" s="6"/>
      <c r="AC383" s="6"/>
      <c r="AD383" s="21"/>
      <c r="AE383" s="6"/>
      <c r="AF383" s="18"/>
      <c r="AG383" s="18"/>
      <c r="AH383" s="18"/>
      <c r="AI383" s="18"/>
      <c r="AK383" s="18"/>
      <c r="AL383" s="18"/>
      <c r="AM383" s="40" t="s">
        <v>118</v>
      </c>
      <c r="AN383" s="18"/>
      <c r="AO383" s="6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6"/>
      <c r="BK383" s="6">
        <v>6.8000000000000005E-3</v>
      </c>
      <c r="BL383" s="6" t="s">
        <v>57</v>
      </c>
      <c r="BO383" s="15"/>
    </row>
    <row r="384" spans="1:67">
      <c r="A384" s="6" t="s">
        <v>133</v>
      </c>
      <c r="B384" s="6" t="s">
        <v>140</v>
      </c>
      <c r="C384" s="17">
        <v>34134.843999999997</v>
      </c>
      <c r="D384" s="6">
        <v>20</v>
      </c>
      <c r="E384" s="28"/>
      <c r="F384" s="27"/>
      <c r="G384" s="27"/>
      <c r="H384" s="27"/>
      <c r="I384" s="27"/>
      <c r="J384" s="27"/>
      <c r="K384" s="27"/>
      <c r="L384" s="27"/>
      <c r="M384" s="27"/>
      <c r="N384" s="18"/>
      <c r="O384" s="18"/>
      <c r="P384" s="27"/>
      <c r="Q384" s="27"/>
      <c r="R384" s="27"/>
      <c r="S384" s="27"/>
      <c r="T384" s="27"/>
      <c r="U384" s="27"/>
      <c r="V384" s="28"/>
      <c r="W384" s="28"/>
      <c r="X384" s="19"/>
      <c r="Y384" s="28"/>
      <c r="Z384" s="28"/>
      <c r="AA384" s="6"/>
      <c r="AB384" s="6"/>
      <c r="AC384" s="6"/>
      <c r="AD384" s="21"/>
      <c r="AE384" s="6"/>
      <c r="AF384" s="18"/>
      <c r="AG384" s="18"/>
      <c r="AH384" s="18"/>
      <c r="AI384" s="18"/>
      <c r="AK384" s="18"/>
      <c r="AL384" s="18"/>
      <c r="AM384" s="40" t="s">
        <v>118</v>
      </c>
      <c r="AN384" s="18"/>
      <c r="AO384" s="6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6"/>
      <c r="BK384" s="6">
        <v>5.1999999999999998E-3</v>
      </c>
      <c r="BL384" s="6" t="s">
        <v>57</v>
      </c>
      <c r="BO384" s="15"/>
    </row>
    <row r="385" spans="1:67" ht="14.5" customHeight="1">
      <c r="A385" s="6" t="s">
        <v>134</v>
      </c>
      <c r="B385" s="6" t="s">
        <v>141</v>
      </c>
      <c r="C385" s="17">
        <v>33039.117400000003</v>
      </c>
      <c r="D385" s="6">
        <v>17</v>
      </c>
      <c r="E385" s="28"/>
      <c r="F385" s="27"/>
      <c r="G385" s="27"/>
      <c r="H385" s="27"/>
      <c r="I385" s="27"/>
      <c r="J385" s="27"/>
      <c r="K385" s="27"/>
      <c r="L385" s="27"/>
      <c r="M385" s="27"/>
      <c r="N385" s="18"/>
      <c r="O385" s="18"/>
      <c r="P385" s="27"/>
      <c r="Q385" s="27"/>
      <c r="R385" s="27"/>
      <c r="S385" s="27"/>
      <c r="T385" s="27"/>
      <c r="U385" s="27"/>
      <c r="V385" s="28"/>
      <c r="W385" s="28"/>
      <c r="X385" s="19"/>
      <c r="Y385" s="28"/>
      <c r="Z385" s="28"/>
      <c r="AA385" s="6"/>
      <c r="AB385" s="6"/>
      <c r="AC385" s="6"/>
      <c r="AD385" s="21"/>
      <c r="AE385" s="6"/>
      <c r="AF385" s="18"/>
      <c r="AG385" s="18"/>
      <c r="AH385" s="18"/>
      <c r="AI385" s="18"/>
      <c r="AK385" s="18"/>
      <c r="AL385" s="18"/>
      <c r="AM385" s="40" t="s">
        <v>118</v>
      </c>
      <c r="AN385" s="18"/>
      <c r="AO385" s="6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6"/>
      <c r="BK385" s="6">
        <v>9.8999999999999991E-3</v>
      </c>
      <c r="BL385" s="6" t="s">
        <v>57</v>
      </c>
      <c r="BO385" s="15"/>
    </row>
    <row r="386" spans="1:67" ht="14.5" customHeight="1">
      <c r="A386" s="6" t="s">
        <v>134</v>
      </c>
      <c r="B386" s="6" t="s">
        <v>141</v>
      </c>
      <c r="C386" s="17">
        <v>33404.359600000003</v>
      </c>
      <c r="D386" s="6">
        <v>18</v>
      </c>
      <c r="E386" s="28"/>
      <c r="F386" s="27"/>
      <c r="G386" s="27"/>
      <c r="H386" s="27"/>
      <c r="I386" s="27"/>
      <c r="J386" s="27"/>
      <c r="K386" s="27"/>
      <c r="L386" s="27"/>
      <c r="M386" s="27"/>
      <c r="N386" s="18"/>
      <c r="O386" s="18"/>
      <c r="P386" s="27"/>
      <c r="Q386" s="27"/>
      <c r="R386" s="27"/>
      <c r="S386" s="27"/>
      <c r="T386" s="27"/>
      <c r="U386" s="27"/>
      <c r="V386" s="28"/>
      <c r="W386" s="28"/>
      <c r="X386" s="19"/>
      <c r="Y386" s="28"/>
      <c r="Z386" s="28"/>
      <c r="AA386" s="6"/>
      <c r="AB386" s="6"/>
      <c r="AC386" s="6"/>
      <c r="AD386" s="21"/>
      <c r="AE386" s="6"/>
      <c r="AF386" s="18"/>
      <c r="AG386" s="18"/>
      <c r="AH386" s="18"/>
      <c r="AI386" s="18"/>
      <c r="AK386" s="18"/>
      <c r="AL386" s="18"/>
      <c r="AM386" s="40" t="s">
        <v>118</v>
      </c>
      <c r="AN386" s="18"/>
      <c r="AO386" s="6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6">
        <v>6.9999999999999993E-3</v>
      </c>
      <c r="BL386" s="6" t="s">
        <v>57</v>
      </c>
      <c r="BO386" s="15"/>
    </row>
    <row r="387" spans="1:67">
      <c r="A387" s="6" t="s">
        <v>134</v>
      </c>
      <c r="B387" s="6" t="s">
        <v>141</v>
      </c>
      <c r="C387" s="17">
        <v>33769.601800000004</v>
      </c>
      <c r="D387" s="6">
        <v>19</v>
      </c>
      <c r="E387" s="28"/>
      <c r="F387" s="27"/>
      <c r="G387" s="27"/>
      <c r="H387" s="27"/>
      <c r="I387" s="27"/>
      <c r="J387" s="27"/>
      <c r="K387" s="27"/>
      <c r="L387" s="27"/>
      <c r="M387" s="27"/>
      <c r="N387" s="18"/>
      <c r="O387" s="18"/>
      <c r="P387" s="27"/>
      <c r="Q387" s="27"/>
      <c r="R387" s="27"/>
      <c r="S387" s="27"/>
      <c r="T387" s="27"/>
      <c r="U387" s="27"/>
      <c r="V387" s="28"/>
      <c r="W387" s="28"/>
      <c r="X387" s="19"/>
      <c r="Y387" s="28"/>
      <c r="Z387" s="28"/>
      <c r="AA387" s="6"/>
      <c r="AB387" s="6"/>
      <c r="AC387" s="6"/>
      <c r="AD387" s="21"/>
      <c r="AE387" s="6"/>
      <c r="AF387" s="18"/>
      <c r="AG387" s="18"/>
      <c r="AH387" s="18"/>
      <c r="AI387" s="18"/>
      <c r="AK387" s="18"/>
      <c r="AL387" s="18"/>
      <c r="AM387" s="40" t="s">
        <v>118</v>
      </c>
      <c r="AN387" s="18"/>
      <c r="AO387" s="6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6">
        <v>6.3E-3</v>
      </c>
      <c r="BL387" s="6" t="s">
        <v>57</v>
      </c>
      <c r="BO387" s="15"/>
    </row>
    <row r="388" spans="1:67" ht="14.5" customHeight="1">
      <c r="A388" s="6" t="s">
        <v>134</v>
      </c>
      <c r="B388" s="6" t="s">
        <v>141</v>
      </c>
      <c r="C388" s="17">
        <v>34134.843999999997</v>
      </c>
      <c r="D388" s="6">
        <v>20</v>
      </c>
      <c r="E388" s="23"/>
      <c r="F388" s="22"/>
      <c r="G388" s="22"/>
      <c r="H388" s="22"/>
      <c r="I388" s="22"/>
      <c r="J388" s="22"/>
      <c r="K388" s="22"/>
      <c r="L388" s="22"/>
      <c r="M388" s="22"/>
      <c r="N388" s="18"/>
      <c r="O388" s="18"/>
      <c r="P388" s="22"/>
      <c r="Q388" s="22"/>
      <c r="R388" s="22"/>
      <c r="S388" s="22"/>
      <c r="T388" s="22"/>
      <c r="U388" s="22"/>
      <c r="V388" s="23"/>
      <c r="W388" s="23"/>
      <c r="X388" s="19"/>
      <c r="Y388" s="23"/>
      <c r="Z388" s="23"/>
      <c r="AA388" s="6"/>
      <c r="AB388" s="6"/>
      <c r="AC388" s="6"/>
      <c r="AD388" s="21"/>
      <c r="AE388" s="6"/>
      <c r="AF388" s="18"/>
      <c r="AG388" s="18"/>
      <c r="AH388" s="18"/>
      <c r="AI388" s="18"/>
      <c r="AK388" s="18"/>
      <c r="AL388" s="18"/>
      <c r="AM388" s="40" t="s">
        <v>118</v>
      </c>
      <c r="AN388" s="18"/>
      <c r="AO388" s="6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6">
        <v>5.1000000000000004E-3</v>
      </c>
      <c r="BL388" s="6" t="s">
        <v>57</v>
      </c>
      <c r="BO388" s="15"/>
    </row>
    <row r="389" spans="1:67">
      <c r="A389" s="6" t="s">
        <v>129</v>
      </c>
      <c r="B389" s="6" t="s">
        <v>136</v>
      </c>
      <c r="C389" s="17">
        <v>30857.980456000016</v>
      </c>
      <c r="D389" s="18">
        <v>11.025507063532132</v>
      </c>
      <c r="E389" s="23"/>
      <c r="F389" s="22"/>
      <c r="G389" s="22"/>
      <c r="H389" s="22"/>
      <c r="I389" s="22"/>
      <c r="J389" s="22"/>
      <c r="K389" s="22"/>
      <c r="L389" s="22"/>
      <c r="M389" s="22"/>
      <c r="N389" s="18"/>
      <c r="O389" s="18"/>
      <c r="P389" s="22"/>
      <c r="Q389" s="22"/>
      <c r="R389" s="22"/>
      <c r="S389" s="22"/>
      <c r="T389" s="22"/>
      <c r="U389" s="22"/>
      <c r="V389" s="23"/>
      <c r="W389" s="23"/>
      <c r="X389" s="19"/>
      <c r="Y389" s="23"/>
      <c r="Z389" s="23"/>
      <c r="AA389" s="18">
        <v>273.82</v>
      </c>
      <c r="AB389" s="18"/>
      <c r="AC389" s="18">
        <v>273.82</v>
      </c>
      <c r="AD389" s="21"/>
      <c r="AE389" s="6"/>
      <c r="AF389" s="18"/>
      <c r="AG389" s="18"/>
      <c r="AH389" s="18"/>
      <c r="AI389" s="18"/>
      <c r="AK389" s="18"/>
      <c r="AL389" s="18"/>
      <c r="AM389" s="40" t="s">
        <v>118</v>
      </c>
      <c r="AN389" s="18"/>
      <c r="AO389" s="6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6"/>
      <c r="BK389" s="6"/>
      <c r="BL389" s="6" t="s">
        <v>58</v>
      </c>
      <c r="BO389" s="15"/>
    </row>
    <row r="390" spans="1:67" ht="14.5" customHeight="1">
      <c r="A390" s="6" t="s">
        <v>129</v>
      </c>
      <c r="B390" s="6" t="s">
        <v>136</v>
      </c>
      <c r="C390" s="17">
        <v>30868.937722000006</v>
      </c>
      <c r="D390" s="18">
        <v>11.055507063532104</v>
      </c>
      <c r="E390" s="23"/>
      <c r="F390" s="22"/>
      <c r="G390" s="22"/>
      <c r="H390" s="22"/>
      <c r="I390" s="22"/>
      <c r="J390" s="22"/>
      <c r="K390" s="22"/>
      <c r="L390" s="22"/>
      <c r="M390" s="22"/>
      <c r="N390" s="18"/>
      <c r="O390" s="18"/>
      <c r="P390" s="22"/>
      <c r="Q390" s="22"/>
      <c r="R390" s="22"/>
      <c r="S390" s="22"/>
      <c r="T390" s="22"/>
      <c r="U390" s="22"/>
      <c r="V390" s="23"/>
      <c r="W390" s="23"/>
      <c r="X390" s="19"/>
      <c r="Y390" s="23"/>
      <c r="Z390" s="23"/>
      <c r="AA390" s="18">
        <v>268.62</v>
      </c>
      <c r="AB390" s="18"/>
      <c r="AC390" s="18">
        <v>268.62</v>
      </c>
      <c r="AD390" s="21"/>
      <c r="AE390" s="6"/>
      <c r="AF390" s="18"/>
      <c r="AG390" s="18"/>
      <c r="AH390" s="18"/>
      <c r="AI390" s="18"/>
      <c r="AK390" s="18"/>
      <c r="AL390" s="18"/>
      <c r="AM390" s="40" t="s">
        <v>118</v>
      </c>
      <c r="AN390" s="18"/>
      <c r="AO390" s="6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6"/>
      <c r="BK390" s="6"/>
      <c r="BL390" s="6" t="s">
        <v>58</v>
      </c>
      <c r="BO390" s="15"/>
    </row>
    <row r="391" spans="1:67" ht="14.5" customHeight="1">
      <c r="A391" s="6" t="s">
        <v>129</v>
      </c>
      <c r="B391" s="6" t="s">
        <v>136</v>
      </c>
      <c r="C391" s="17">
        <v>30883.547409999992</v>
      </c>
      <c r="D391" s="18">
        <v>11.095507063532066</v>
      </c>
      <c r="E391" s="23"/>
      <c r="F391" s="22"/>
      <c r="G391" s="22"/>
      <c r="H391" s="22"/>
      <c r="I391" s="22"/>
      <c r="J391" s="22"/>
      <c r="K391" s="22"/>
      <c r="L391" s="22"/>
      <c r="M391" s="22"/>
      <c r="N391" s="18"/>
      <c r="O391" s="18"/>
      <c r="P391" s="22"/>
      <c r="Q391" s="22"/>
      <c r="R391" s="22"/>
      <c r="S391" s="22"/>
      <c r="T391" s="22"/>
      <c r="U391" s="22"/>
      <c r="V391" s="23"/>
      <c r="W391" s="23"/>
      <c r="X391" s="19"/>
      <c r="Y391" s="23"/>
      <c r="Z391" s="23"/>
      <c r="AA391" s="18">
        <v>269.58999999999997</v>
      </c>
      <c r="AB391" s="18"/>
      <c r="AC391" s="18">
        <v>269.58999999999997</v>
      </c>
      <c r="AD391" s="21"/>
      <c r="AE391" s="6"/>
      <c r="AF391" s="18"/>
      <c r="AG391" s="18"/>
      <c r="AH391" s="18"/>
      <c r="AI391" s="18"/>
      <c r="AK391" s="18"/>
      <c r="AL391" s="18"/>
      <c r="AM391" s="40" t="s">
        <v>118</v>
      </c>
      <c r="AN391" s="18"/>
      <c r="AO391" s="6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6"/>
      <c r="BK391" s="6"/>
      <c r="BL391" s="6" t="s">
        <v>58</v>
      </c>
      <c r="BO391" s="15"/>
    </row>
    <row r="392" spans="1:67">
      <c r="A392" s="6" t="s">
        <v>129</v>
      </c>
      <c r="B392" s="6" t="s">
        <v>136</v>
      </c>
      <c r="C392" s="17">
        <v>30898.157097999978</v>
      </c>
      <c r="D392" s="18">
        <v>11.135507063532028</v>
      </c>
      <c r="E392" s="23"/>
      <c r="F392" s="22"/>
      <c r="G392" s="22"/>
      <c r="H392" s="22"/>
      <c r="I392" s="22"/>
      <c r="J392" s="22"/>
      <c r="K392" s="22"/>
      <c r="L392" s="22"/>
      <c r="M392" s="22"/>
      <c r="N392" s="18"/>
      <c r="O392" s="18"/>
      <c r="P392" s="22"/>
      <c r="Q392" s="22"/>
      <c r="R392" s="22"/>
      <c r="S392" s="22"/>
      <c r="T392" s="22"/>
      <c r="U392" s="22"/>
      <c r="V392" s="23"/>
      <c r="W392" s="23"/>
      <c r="X392" s="19"/>
      <c r="Y392" s="23"/>
      <c r="Z392" s="23"/>
      <c r="AA392" s="18">
        <v>329.11</v>
      </c>
      <c r="AB392" s="18"/>
      <c r="AC392" s="18">
        <v>329.11</v>
      </c>
      <c r="AD392" s="21"/>
      <c r="AE392" s="6"/>
      <c r="AF392" s="18"/>
      <c r="AG392" s="18"/>
      <c r="AH392" s="18"/>
      <c r="AI392" s="18"/>
      <c r="AK392" s="18"/>
      <c r="AL392" s="18"/>
      <c r="AM392" s="40" t="s">
        <v>118</v>
      </c>
      <c r="AN392" s="18"/>
      <c r="AO392" s="6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6"/>
      <c r="BK392" s="6"/>
      <c r="BL392" s="6" t="s">
        <v>58</v>
      </c>
      <c r="BO392" s="15"/>
    </row>
    <row r="393" spans="1:67" ht="14.5" customHeight="1">
      <c r="A393" s="6" t="s">
        <v>129</v>
      </c>
      <c r="B393" s="6" t="s">
        <v>136</v>
      </c>
      <c r="C393" s="17">
        <v>30912.766786000051</v>
      </c>
      <c r="D393" s="18">
        <v>11.175507063532228</v>
      </c>
      <c r="E393" s="23"/>
      <c r="F393" s="22"/>
      <c r="G393" s="22"/>
      <c r="H393" s="22"/>
      <c r="I393" s="22"/>
      <c r="J393" s="22"/>
      <c r="K393" s="22"/>
      <c r="L393" s="22"/>
      <c r="M393" s="22"/>
      <c r="N393" s="18"/>
      <c r="O393" s="18"/>
      <c r="P393" s="22"/>
      <c r="Q393" s="22"/>
      <c r="R393" s="22"/>
      <c r="S393" s="22"/>
      <c r="T393" s="22"/>
      <c r="U393" s="22"/>
      <c r="V393" s="23"/>
      <c r="W393" s="23"/>
      <c r="X393" s="19"/>
      <c r="Y393" s="23"/>
      <c r="Z393" s="23"/>
      <c r="AA393" s="18">
        <v>347.97</v>
      </c>
      <c r="AB393" s="18"/>
      <c r="AC393" s="18">
        <v>347.97</v>
      </c>
      <c r="AD393" s="21"/>
      <c r="AE393" s="6"/>
      <c r="AF393" s="18"/>
      <c r="AG393" s="18"/>
      <c r="AH393" s="18"/>
      <c r="AI393" s="18"/>
      <c r="AK393" s="18"/>
      <c r="AL393" s="18"/>
      <c r="AM393" s="40" t="s">
        <v>118</v>
      </c>
      <c r="AN393" s="18"/>
      <c r="AO393" s="6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6"/>
      <c r="BK393" s="6"/>
      <c r="BL393" s="6" t="s">
        <v>58</v>
      </c>
      <c r="BO393" s="15"/>
    </row>
    <row r="394" spans="1:67">
      <c r="A394" s="6" t="s">
        <v>129</v>
      </c>
      <c r="B394" s="6" t="s">
        <v>136</v>
      </c>
      <c r="C394" s="17">
        <v>30927.376474000037</v>
      </c>
      <c r="D394" s="18">
        <v>11.21550706353219</v>
      </c>
      <c r="E394" s="23"/>
      <c r="F394" s="22"/>
      <c r="G394" s="22"/>
      <c r="H394" s="22"/>
      <c r="I394" s="22"/>
      <c r="J394" s="22"/>
      <c r="K394" s="22"/>
      <c r="L394" s="22"/>
      <c r="M394" s="22"/>
      <c r="N394" s="18"/>
      <c r="O394" s="18"/>
      <c r="P394" s="22"/>
      <c r="Q394" s="22"/>
      <c r="R394" s="22"/>
      <c r="S394" s="22"/>
      <c r="T394" s="22"/>
      <c r="U394" s="22"/>
      <c r="V394" s="23"/>
      <c r="W394" s="23"/>
      <c r="X394" s="19"/>
      <c r="Y394" s="23"/>
      <c r="Z394" s="23"/>
      <c r="AA394" s="18">
        <v>365.53</v>
      </c>
      <c r="AB394" s="18"/>
      <c r="AC394" s="18">
        <v>365.53</v>
      </c>
      <c r="AD394" s="21"/>
      <c r="AE394" s="6"/>
      <c r="AF394" s="18"/>
      <c r="AG394" s="18"/>
      <c r="AH394" s="18"/>
      <c r="AI394" s="18"/>
      <c r="AK394" s="18"/>
      <c r="AL394" s="18"/>
      <c r="AM394" s="40" t="s">
        <v>118</v>
      </c>
      <c r="AN394" s="18"/>
      <c r="AO394" s="6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6"/>
      <c r="BK394" s="6"/>
      <c r="BL394" s="6" t="s">
        <v>58</v>
      </c>
      <c r="BO394" s="15"/>
    </row>
    <row r="395" spans="1:67">
      <c r="A395" s="6" t="s">
        <v>129</v>
      </c>
      <c r="B395" s="6" t="s">
        <v>136</v>
      </c>
      <c r="C395" s="17">
        <v>30941.986162000023</v>
      </c>
      <c r="D395" s="18">
        <v>11.255507063532152</v>
      </c>
      <c r="E395" s="23"/>
      <c r="F395" s="23"/>
      <c r="G395" s="22"/>
      <c r="H395" s="22"/>
      <c r="I395" s="22"/>
      <c r="J395" s="22"/>
      <c r="K395" s="22"/>
      <c r="L395" s="22"/>
      <c r="M395" s="22"/>
      <c r="N395" s="18"/>
      <c r="O395" s="18"/>
      <c r="P395" s="22"/>
      <c r="Q395" s="22"/>
      <c r="R395" s="22"/>
      <c r="S395" s="22"/>
      <c r="T395" s="22"/>
      <c r="U395" s="22"/>
      <c r="V395" s="23"/>
      <c r="W395" s="23"/>
      <c r="X395" s="19"/>
      <c r="Y395" s="23"/>
      <c r="Z395" s="23"/>
      <c r="AA395" s="18">
        <v>366.18</v>
      </c>
      <c r="AB395" s="18"/>
      <c r="AC395" s="18">
        <v>366.18</v>
      </c>
      <c r="AD395" s="21"/>
      <c r="AE395" s="6"/>
      <c r="AF395" s="18"/>
      <c r="AG395" s="18"/>
      <c r="AH395" s="18"/>
      <c r="AI395" s="18"/>
      <c r="AK395" s="18"/>
      <c r="AL395" s="18"/>
      <c r="AM395" s="40" t="s">
        <v>118</v>
      </c>
      <c r="AN395" s="18"/>
      <c r="AO395" s="6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6"/>
      <c r="BK395" s="6"/>
      <c r="BL395" s="6" t="s">
        <v>58</v>
      </c>
      <c r="BO395" s="15"/>
    </row>
    <row r="396" spans="1:67" ht="14.5" customHeight="1">
      <c r="A396" s="6" t="s">
        <v>129</v>
      </c>
      <c r="B396" s="6" t="s">
        <v>136</v>
      </c>
      <c r="C396" s="17">
        <v>30956.595850000009</v>
      </c>
      <c r="D396" s="18">
        <v>11.295507063532112</v>
      </c>
      <c r="E396" s="23"/>
      <c r="F396" s="23"/>
      <c r="G396" s="22"/>
      <c r="H396" s="22"/>
      <c r="I396" s="22"/>
      <c r="J396" s="22"/>
      <c r="K396" s="22"/>
      <c r="L396" s="22"/>
      <c r="M396" s="22"/>
      <c r="N396" s="18"/>
      <c r="O396" s="18"/>
      <c r="P396" s="22"/>
      <c r="Q396" s="22"/>
      <c r="R396" s="22"/>
      <c r="S396" s="22"/>
      <c r="T396" s="22"/>
      <c r="U396" s="22"/>
      <c r="V396" s="23"/>
      <c r="W396" s="23"/>
      <c r="X396" s="19"/>
      <c r="Y396" s="23"/>
      <c r="Z396" s="23"/>
      <c r="AA396" s="18">
        <v>367.15</v>
      </c>
      <c r="AB396" s="18"/>
      <c r="AC396" s="18">
        <v>367.15</v>
      </c>
      <c r="AD396" s="21"/>
      <c r="AE396" s="6"/>
      <c r="AF396" s="18"/>
      <c r="AG396" s="18"/>
      <c r="AH396" s="18"/>
      <c r="AI396" s="18"/>
      <c r="AK396" s="18"/>
      <c r="AL396" s="18"/>
      <c r="AM396" s="40" t="s">
        <v>118</v>
      </c>
      <c r="AN396" s="18"/>
      <c r="AO396" s="6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6"/>
      <c r="BK396" s="6"/>
      <c r="BL396" s="6" t="s">
        <v>58</v>
      </c>
      <c r="BO396" s="15"/>
    </row>
    <row r="397" spans="1:67" ht="14.5" customHeight="1">
      <c r="A397" s="6" t="s">
        <v>129</v>
      </c>
      <c r="B397" s="6" t="s">
        <v>136</v>
      </c>
      <c r="C397" s="17">
        <v>30967.553115999999</v>
      </c>
      <c r="D397" s="18">
        <v>11.325507063532086</v>
      </c>
      <c r="E397" s="23"/>
      <c r="F397" s="23"/>
      <c r="G397" s="22"/>
      <c r="H397" s="22"/>
      <c r="I397" s="22"/>
      <c r="J397" s="22"/>
      <c r="K397" s="22"/>
      <c r="L397" s="22"/>
      <c r="M397" s="22"/>
      <c r="N397" s="18"/>
      <c r="O397" s="18"/>
      <c r="P397" s="22"/>
      <c r="Q397" s="22"/>
      <c r="R397" s="22"/>
      <c r="S397" s="22"/>
      <c r="T397" s="22"/>
      <c r="U397" s="22"/>
      <c r="V397" s="23"/>
      <c r="W397" s="23"/>
      <c r="X397" s="19"/>
      <c r="Y397" s="23"/>
      <c r="Z397" s="23"/>
      <c r="AA397" s="18">
        <v>333.33</v>
      </c>
      <c r="AB397" s="18"/>
      <c r="AC397" s="18">
        <v>333.33</v>
      </c>
      <c r="AD397" s="21"/>
      <c r="AE397" s="6"/>
      <c r="AF397" s="18"/>
      <c r="AG397" s="18"/>
      <c r="AH397" s="18"/>
      <c r="AI397" s="18"/>
      <c r="AK397" s="18"/>
      <c r="AL397" s="18"/>
      <c r="AM397" s="40" t="s">
        <v>118</v>
      </c>
      <c r="AN397" s="18"/>
      <c r="AO397" s="6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6"/>
      <c r="BK397" s="6"/>
      <c r="BL397" s="6" t="s">
        <v>58</v>
      </c>
      <c r="BO397" s="15"/>
    </row>
    <row r="398" spans="1:67" ht="14.5" customHeight="1">
      <c r="A398" s="6" t="s">
        <v>129</v>
      </c>
      <c r="B398" s="6" t="s">
        <v>136</v>
      </c>
      <c r="C398" s="17">
        <v>30982.162803999985</v>
      </c>
      <c r="D398" s="18">
        <v>11.365507063532048</v>
      </c>
      <c r="E398" s="23"/>
      <c r="F398" s="23"/>
      <c r="G398" s="22"/>
      <c r="H398" s="22"/>
      <c r="I398" s="22"/>
      <c r="J398" s="22"/>
      <c r="K398" s="22"/>
      <c r="L398" s="22"/>
      <c r="M398" s="22"/>
      <c r="N398" s="18"/>
      <c r="O398" s="18"/>
      <c r="P398" s="22"/>
      <c r="Q398" s="22"/>
      <c r="R398" s="22"/>
      <c r="S398" s="22"/>
      <c r="T398" s="22"/>
      <c r="U398" s="22"/>
      <c r="V398" s="23"/>
      <c r="W398" s="23"/>
      <c r="X398" s="19"/>
      <c r="Y398" s="23"/>
      <c r="Z398" s="23"/>
      <c r="AA398" s="18">
        <v>293.98</v>
      </c>
      <c r="AB398" s="18"/>
      <c r="AC398" s="18">
        <v>293.98</v>
      </c>
      <c r="AD398" s="21"/>
      <c r="AE398" s="6"/>
      <c r="AF398" s="18"/>
      <c r="AG398" s="18"/>
      <c r="AH398" s="18"/>
      <c r="AI398" s="18"/>
      <c r="AK398" s="18"/>
      <c r="AL398" s="18"/>
      <c r="AM398" s="40" t="s">
        <v>118</v>
      </c>
      <c r="AN398" s="18"/>
      <c r="AO398" s="6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6"/>
      <c r="BK398" s="6"/>
      <c r="BL398" s="6" t="s">
        <v>58</v>
      </c>
      <c r="BO398" s="15"/>
    </row>
    <row r="399" spans="1:67">
      <c r="A399" s="6" t="s">
        <v>129</v>
      </c>
      <c r="B399" s="6" t="s">
        <v>136</v>
      </c>
      <c r="C399" s="17">
        <v>30996.772491999975</v>
      </c>
      <c r="D399" s="18">
        <v>11.405507063532019</v>
      </c>
      <c r="E399" s="23"/>
      <c r="F399" s="23"/>
      <c r="G399" s="22"/>
      <c r="H399" s="22"/>
      <c r="I399" s="22"/>
      <c r="J399" s="22"/>
      <c r="K399" s="22"/>
      <c r="L399" s="22"/>
      <c r="M399" s="22"/>
      <c r="N399" s="18"/>
      <c r="O399" s="18"/>
      <c r="P399" s="22"/>
      <c r="Q399" s="22"/>
      <c r="R399" s="22"/>
      <c r="S399" s="22"/>
      <c r="T399" s="22"/>
      <c r="U399" s="22"/>
      <c r="V399" s="23"/>
      <c r="W399" s="23"/>
      <c r="X399" s="19"/>
      <c r="Y399" s="23"/>
      <c r="Z399" s="23"/>
      <c r="AA399" s="18">
        <v>280</v>
      </c>
      <c r="AB399" s="18"/>
      <c r="AC399" s="18">
        <v>280</v>
      </c>
      <c r="AD399" s="21"/>
      <c r="AE399" s="6"/>
      <c r="AF399" s="18"/>
      <c r="AG399" s="18"/>
      <c r="AH399" s="18"/>
      <c r="AI399" s="18"/>
      <c r="AK399" s="18"/>
      <c r="AL399" s="18"/>
      <c r="AM399" s="40" t="s">
        <v>118</v>
      </c>
      <c r="AN399" s="18"/>
      <c r="AO399" s="6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6"/>
      <c r="BK399" s="6"/>
      <c r="BL399" s="6" t="s">
        <v>58</v>
      </c>
      <c r="BO399" s="15"/>
    </row>
    <row r="400" spans="1:67" ht="14.5" customHeight="1">
      <c r="A400" s="6" t="s">
        <v>129</v>
      </c>
      <c r="B400" s="6" t="s">
        <v>136</v>
      </c>
      <c r="C400" s="17">
        <v>31011.382180000044</v>
      </c>
      <c r="D400" s="18">
        <v>11.44550706353221</v>
      </c>
      <c r="E400" s="23"/>
      <c r="F400" s="23"/>
      <c r="G400" s="22"/>
      <c r="H400" s="22"/>
      <c r="I400" s="22"/>
      <c r="J400" s="22"/>
      <c r="K400" s="22"/>
      <c r="L400" s="22"/>
      <c r="M400" s="22"/>
      <c r="N400" s="18"/>
      <c r="O400" s="18"/>
      <c r="P400" s="22"/>
      <c r="Q400" s="22"/>
      <c r="R400" s="22"/>
      <c r="S400" s="22"/>
      <c r="T400" s="22"/>
      <c r="U400" s="22"/>
      <c r="V400" s="23"/>
      <c r="W400" s="23"/>
      <c r="X400" s="19"/>
      <c r="Y400" s="23"/>
      <c r="Z400" s="23"/>
      <c r="AA400" s="18">
        <v>246.5</v>
      </c>
      <c r="AB400" s="18"/>
      <c r="AC400" s="18">
        <v>246.5</v>
      </c>
      <c r="AD400" s="21"/>
      <c r="AE400" s="6"/>
      <c r="AF400" s="18"/>
      <c r="AG400" s="18"/>
      <c r="AH400" s="18"/>
      <c r="AI400" s="18"/>
      <c r="AK400" s="18"/>
      <c r="AL400" s="18"/>
      <c r="AM400" s="40" t="s">
        <v>118</v>
      </c>
      <c r="AN400" s="18"/>
      <c r="AO400" s="6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6"/>
      <c r="BK400" s="6"/>
      <c r="BL400" s="6" t="s">
        <v>58</v>
      </c>
      <c r="BO400" s="15"/>
    </row>
    <row r="401" spans="1:67">
      <c r="A401" s="6" t="s">
        <v>129</v>
      </c>
      <c r="B401" s="6" t="s">
        <v>136</v>
      </c>
      <c r="C401" s="17">
        <v>31025.99186800003</v>
      </c>
      <c r="D401" s="18">
        <v>11.48550706353217</v>
      </c>
      <c r="E401" s="23"/>
      <c r="F401" s="23"/>
      <c r="G401" s="22"/>
      <c r="H401" s="22"/>
      <c r="I401" s="22"/>
      <c r="J401" s="22"/>
      <c r="K401" s="22"/>
      <c r="L401" s="22"/>
      <c r="M401" s="22"/>
      <c r="N401" s="18"/>
      <c r="O401" s="18"/>
      <c r="P401" s="22"/>
      <c r="Q401" s="22"/>
      <c r="R401" s="22"/>
      <c r="S401" s="22"/>
      <c r="T401" s="22"/>
      <c r="U401" s="22"/>
      <c r="V401" s="23"/>
      <c r="W401" s="23"/>
      <c r="X401" s="19"/>
      <c r="Y401" s="23"/>
      <c r="Z401" s="23"/>
      <c r="AA401" s="18">
        <v>220.49</v>
      </c>
      <c r="AB401" s="18"/>
      <c r="AC401" s="18">
        <v>220.49</v>
      </c>
      <c r="AD401" s="21"/>
      <c r="AE401" s="6"/>
      <c r="AF401" s="18"/>
      <c r="AG401" s="18"/>
      <c r="AH401" s="18"/>
      <c r="AI401" s="18"/>
      <c r="AK401" s="18"/>
      <c r="AL401" s="18"/>
      <c r="AM401" s="40" t="s">
        <v>118</v>
      </c>
      <c r="AN401" s="18"/>
      <c r="AO401" s="6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6"/>
      <c r="BK401" s="6"/>
      <c r="BL401" s="6" t="s">
        <v>58</v>
      </c>
      <c r="BO401" s="15"/>
    </row>
    <row r="402" spans="1:67">
      <c r="A402" s="6" t="s">
        <v>129</v>
      </c>
      <c r="B402" s="6" t="s">
        <v>136</v>
      </c>
      <c r="C402" s="17">
        <v>31040.601556000016</v>
      </c>
      <c r="D402" s="18">
        <v>11.525507063532132</v>
      </c>
      <c r="E402" s="23"/>
      <c r="F402" s="23"/>
      <c r="G402" s="22"/>
      <c r="H402" s="22"/>
      <c r="I402" s="22"/>
      <c r="J402" s="22"/>
      <c r="K402" s="22"/>
      <c r="L402" s="22"/>
      <c r="M402" s="22"/>
      <c r="N402" s="18"/>
      <c r="O402" s="18"/>
      <c r="P402" s="22"/>
      <c r="Q402" s="22"/>
      <c r="R402" s="22"/>
      <c r="S402" s="22"/>
      <c r="T402" s="22"/>
      <c r="U402" s="22"/>
      <c r="V402" s="23"/>
      <c r="W402" s="23"/>
      <c r="X402" s="19"/>
      <c r="Y402" s="23"/>
      <c r="Z402" s="23"/>
      <c r="AA402" s="18">
        <v>202.6</v>
      </c>
      <c r="AB402" s="18"/>
      <c r="AC402" s="18">
        <v>202.6</v>
      </c>
      <c r="AD402" s="21"/>
      <c r="AE402" s="6"/>
      <c r="AF402" s="18"/>
      <c r="AG402" s="18"/>
      <c r="AH402" s="18"/>
      <c r="AI402" s="18"/>
      <c r="AK402" s="18"/>
      <c r="AL402" s="18"/>
      <c r="AM402" s="40" t="s">
        <v>118</v>
      </c>
      <c r="AN402" s="18"/>
      <c r="AO402" s="6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6"/>
      <c r="BK402" s="6"/>
      <c r="BL402" s="6" t="s">
        <v>58</v>
      </c>
      <c r="BO402" s="15"/>
    </row>
    <row r="403" spans="1:67" ht="14.5" customHeight="1">
      <c r="A403" s="6" t="s">
        <v>129</v>
      </c>
      <c r="B403" s="6" t="s">
        <v>136</v>
      </c>
      <c r="C403" s="17">
        <v>31051.558822000006</v>
      </c>
      <c r="D403" s="18">
        <v>11.555507063532106</v>
      </c>
      <c r="E403" s="23"/>
      <c r="F403" s="23"/>
      <c r="G403" s="22"/>
      <c r="H403" s="22"/>
      <c r="I403" s="22"/>
      <c r="J403" s="22"/>
      <c r="K403" s="22"/>
      <c r="L403" s="22"/>
      <c r="M403" s="22"/>
      <c r="N403" s="18"/>
      <c r="O403" s="18"/>
      <c r="P403" s="22"/>
      <c r="Q403" s="22"/>
      <c r="R403" s="22"/>
      <c r="S403" s="22"/>
      <c r="T403" s="22"/>
      <c r="U403" s="22"/>
      <c r="V403" s="23"/>
      <c r="W403" s="23"/>
      <c r="X403" s="19"/>
      <c r="Y403" s="23"/>
      <c r="Z403" s="23"/>
      <c r="AA403" s="18">
        <v>189.92</v>
      </c>
      <c r="AB403" s="18"/>
      <c r="AC403" s="18">
        <v>189.92</v>
      </c>
      <c r="AD403" s="21"/>
      <c r="AE403" s="6"/>
      <c r="AF403" s="18"/>
      <c r="AG403" s="18"/>
      <c r="AH403" s="18"/>
      <c r="AI403" s="18"/>
      <c r="AK403" s="18"/>
      <c r="AL403" s="18"/>
      <c r="AM403" s="40" t="s">
        <v>118</v>
      </c>
      <c r="AN403" s="18"/>
      <c r="AO403" s="6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6"/>
      <c r="BK403" s="6"/>
      <c r="BL403" s="6" t="s">
        <v>58</v>
      </c>
      <c r="BO403" s="15"/>
    </row>
    <row r="404" spans="1:67" ht="14.5" customHeight="1">
      <c r="A404" s="6" t="s">
        <v>129</v>
      </c>
      <c r="B404" s="6" t="s">
        <v>136</v>
      </c>
      <c r="C404" s="17">
        <v>31066.168509999992</v>
      </c>
      <c r="D404" s="18">
        <v>11.595507063532066</v>
      </c>
      <c r="E404" s="23"/>
      <c r="F404" s="23"/>
      <c r="G404" s="22"/>
      <c r="H404" s="22"/>
      <c r="I404" s="22"/>
      <c r="J404" s="22"/>
      <c r="K404" s="22"/>
      <c r="L404" s="22"/>
      <c r="M404" s="22"/>
      <c r="N404" s="18"/>
      <c r="O404" s="18"/>
      <c r="P404" s="22"/>
      <c r="Q404" s="22"/>
      <c r="R404" s="22"/>
      <c r="S404" s="22"/>
      <c r="T404" s="22"/>
      <c r="U404" s="22"/>
      <c r="V404" s="23"/>
      <c r="W404" s="23"/>
      <c r="X404" s="19"/>
      <c r="Y404" s="23"/>
      <c r="Z404" s="23"/>
      <c r="AA404" s="18">
        <v>175.61</v>
      </c>
      <c r="AB404" s="18"/>
      <c r="AC404" s="18">
        <v>175.61</v>
      </c>
      <c r="AD404" s="21"/>
      <c r="AE404" s="6"/>
      <c r="AF404" s="18"/>
      <c r="AG404" s="18"/>
      <c r="AH404" s="18"/>
      <c r="AI404" s="18"/>
      <c r="AK404" s="18"/>
      <c r="AL404" s="18"/>
      <c r="AM404" s="40" t="s">
        <v>118</v>
      </c>
      <c r="AN404" s="18"/>
      <c r="AO404" s="6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6"/>
      <c r="BK404" s="6"/>
      <c r="BL404" s="6" t="s">
        <v>58</v>
      </c>
      <c r="BO404" s="15"/>
    </row>
    <row r="405" spans="1:67">
      <c r="A405" s="6" t="s">
        <v>129</v>
      </c>
      <c r="B405" s="6" t="s">
        <v>136</v>
      </c>
      <c r="C405" s="17">
        <v>31080.778197999978</v>
      </c>
      <c r="D405" s="18">
        <v>11.635507063532028</v>
      </c>
      <c r="E405" s="23"/>
      <c r="F405" s="23"/>
      <c r="G405" s="22"/>
      <c r="H405" s="22"/>
      <c r="I405" s="22"/>
      <c r="J405" s="22"/>
      <c r="K405" s="22"/>
      <c r="L405" s="22"/>
      <c r="M405" s="22"/>
      <c r="N405" s="18"/>
      <c r="O405" s="18"/>
      <c r="P405" s="22"/>
      <c r="Q405" s="22"/>
      <c r="R405" s="22"/>
      <c r="S405" s="22"/>
      <c r="T405" s="22"/>
      <c r="U405" s="22"/>
      <c r="V405" s="23"/>
      <c r="W405" s="23"/>
      <c r="X405" s="19"/>
      <c r="Y405" s="23"/>
      <c r="Z405" s="23"/>
      <c r="AA405" s="18">
        <v>171.38</v>
      </c>
      <c r="AB405" s="18"/>
      <c r="AC405" s="18">
        <v>171.38</v>
      </c>
      <c r="AD405" s="21"/>
      <c r="AE405" s="6"/>
      <c r="AF405" s="18"/>
      <c r="AG405" s="18"/>
      <c r="AH405" s="18"/>
      <c r="AI405" s="18"/>
      <c r="AK405" s="18"/>
      <c r="AL405" s="18"/>
      <c r="AM405" s="40" t="s">
        <v>118</v>
      </c>
      <c r="AN405" s="18"/>
      <c r="AO405" s="6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6"/>
      <c r="BK405" s="6"/>
      <c r="BL405" s="6" t="s">
        <v>58</v>
      </c>
      <c r="BO405" s="15"/>
    </row>
    <row r="406" spans="1:67" ht="14.5" customHeight="1">
      <c r="A406" s="6" t="s">
        <v>129</v>
      </c>
      <c r="B406" s="6" t="s">
        <v>136</v>
      </c>
      <c r="C406" s="17">
        <v>31095.387886000048</v>
      </c>
      <c r="D406" s="18">
        <v>11.675507063532219</v>
      </c>
      <c r="E406" s="23"/>
      <c r="F406" s="23"/>
      <c r="G406" s="22"/>
      <c r="H406" s="22"/>
      <c r="I406" s="22"/>
      <c r="J406" s="22"/>
      <c r="K406" s="22"/>
      <c r="L406" s="22"/>
      <c r="M406" s="22"/>
      <c r="N406" s="18"/>
      <c r="O406" s="18"/>
      <c r="P406" s="22"/>
      <c r="Q406" s="22"/>
      <c r="R406" s="22"/>
      <c r="S406" s="22"/>
      <c r="T406" s="22"/>
      <c r="U406" s="22"/>
      <c r="V406" s="23"/>
      <c r="W406" s="23"/>
      <c r="X406" s="19"/>
      <c r="Y406" s="23"/>
      <c r="Z406" s="23"/>
      <c r="AA406" s="18">
        <v>163.58000000000001</v>
      </c>
      <c r="AB406" s="18"/>
      <c r="AC406" s="18">
        <v>163.58000000000001</v>
      </c>
      <c r="AD406" s="21"/>
      <c r="AE406" s="6"/>
      <c r="AF406" s="18"/>
      <c r="AG406" s="18"/>
      <c r="AH406" s="18"/>
      <c r="AI406" s="18"/>
      <c r="AK406" s="18"/>
      <c r="AL406" s="18"/>
      <c r="AM406" s="40" t="s">
        <v>118</v>
      </c>
      <c r="AN406" s="18"/>
      <c r="AO406" s="6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6"/>
      <c r="BK406" s="6"/>
      <c r="BL406" s="6" t="s">
        <v>58</v>
      </c>
      <c r="BO406" s="15"/>
    </row>
    <row r="407" spans="1:67">
      <c r="A407" s="6" t="s">
        <v>129</v>
      </c>
      <c r="B407" s="6" t="s">
        <v>136</v>
      </c>
      <c r="C407" s="17">
        <v>31106.345152000038</v>
      </c>
      <c r="D407" s="18">
        <v>11.705507063532192</v>
      </c>
      <c r="E407" s="23"/>
      <c r="F407" s="23"/>
      <c r="G407" s="22"/>
      <c r="H407" s="22"/>
      <c r="I407" s="22"/>
      <c r="J407" s="22"/>
      <c r="K407" s="22"/>
      <c r="L407" s="22"/>
      <c r="M407" s="22"/>
      <c r="N407" s="18"/>
      <c r="O407" s="18"/>
      <c r="P407" s="22"/>
      <c r="Q407" s="22"/>
      <c r="R407" s="22"/>
      <c r="S407" s="22"/>
      <c r="T407" s="22"/>
      <c r="U407" s="22"/>
      <c r="V407" s="23"/>
      <c r="W407" s="23"/>
      <c r="X407" s="19"/>
      <c r="Y407" s="23"/>
      <c r="Z407" s="23"/>
      <c r="AA407" s="18">
        <v>155.12</v>
      </c>
      <c r="AB407" s="18"/>
      <c r="AC407" s="18">
        <v>155.12</v>
      </c>
      <c r="AD407" s="21"/>
      <c r="AE407" s="6"/>
      <c r="AF407" s="18"/>
      <c r="AG407" s="18"/>
      <c r="AH407" s="18"/>
      <c r="AI407" s="18"/>
      <c r="AK407" s="18"/>
      <c r="AL407" s="18"/>
      <c r="AM407" s="40" t="s">
        <v>118</v>
      </c>
      <c r="AN407" s="18"/>
      <c r="AO407" s="6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6"/>
      <c r="BK407" s="6"/>
      <c r="BL407" s="6" t="s">
        <v>58</v>
      </c>
      <c r="BO407" s="15"/>
    </row>
    <row r="408" spans="1:67" ht="14.5" customHeight="1">
      <c r="A408" s="6" t="s">
        <v>129</v>
      </c>
      <c r="B408" s="6" t="s">
        <v>136</v>
      </c>
      <c r="C408" s="17">
        <v>31124.607262000023</v>
      </c>
      <c r="D408" s="18">
        <v>11.755507063532152</v>
      </c>
      <c r="E408" s="23"/>
      <c r="F408" s="23"/>
      <c r="G408" s="22"/>
      <c r="H408" s="22"/>
      <c r="I408" s="22"/>
      <c r="J408" s="22"/>
      <c r="K408" s="22"/>
      <c r="L408" s="22"/>
      <c r="M408" s="22"/>
      <c r="N408" s="18"/>
      <c r="O408" s="18"/>
      <c r="P408" s="22"/>
      <c r="Q408" s="22"/>
      <c r="R408" s="22"/>
      <c r="S408" s="22"/>
      <c r="T408" s="22"/>
      <c r="U408" s="22"/>
      <c r="V408" s="23"/>
      <c r="W408" s="23"/>
      <c r="X408" s="19"/>
      <c r="Y408" s="23"/>
      <c r="Z408" s="23"/>
      <c r="AA408" s="18">
        <v>158.05000000000001</v>
      </c>
      <c r="AB408" s="18"/>
      <c r="AC408" s="18">
        <v>158.05000000000001</v>
      </c>
      <c r="AD408" s="21"/>
      <c r="AE408" s="6"/>
      <c r="AF408" s="18"/>
      <c r="AG408" s="18"/>
      <c r="AH408" s="18"/>
      <c r="AI408" s="18"/>
      <c r="AK408" s="18"/>
      <c r="AL408" s="18"/>
      <c r="AM408" s="40" t="s">
        <v>118</v>
      </c>
      <c r="AN408" s="18"/>
      <c r="AO408" s="6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6"/>
      <c r="BK408" s="6"/>
      <c r="BL408" s="6" t="s">
        <v>58</v>
      </c>
      <c r="BO408" s="15"/>
    </row>
    <row r="409" spans="1:67">
      <c r="A409" s="6" t="s">
        <v>129</v>
      </c>
      <c r="B409" s="6" t="s">
        <v>136</v>
      </c>
      <c r="C409" s="17">
        <v>31131.912106000018</v>
      </c>
      <c r="D409" s="18">
        <v>11.775507063532137</v>
      </c>
      <c r="E409" s="23"/>
      <c r="F409" s="23"/>
      <c r="G409" s="22"/>
      <c r="H409" s="22"/>
      <c r="I409" s="22"/>
      <c r="J409" s="22"/>
      <c r="K409" s="22"/>
      <c r="L409" s="22"/>
      <c r="M409" s="22"/>
      <c r="N409" s="18"/>
      <c r="O409" s="18"/>
      <c r="P409" s="22"/>
      <c r="Q409" s="22"/>
      <c r="R409" s="22"/>
      <c r="S409" s="22"/>
      <c r="T409" s="22"/>
      <c r="U409" s="22"/>
      <c r="V409" s="23"/>
      <c r="W409" s="23"/>
      <c r="X409" s="19"/>
      <c r="Y409" s="23"/>
      <c r="Z409" s="23"/>
      <c r="AA409" s="18">
        <v>284.55</v>
      </c>
      <c r="AB409" s="18"/>
      <c r="AC409" s="18">
        <v>284.55</v>
      </c>
      <c r="AD409" s="21"/>
      <c r="AE409" s="6"/>
      <c r="AF409" s="18"/>
      <c r="AG409" s="18"/>
      <c r="AH409" s="18"/>
      <c r="AI409" s="18"/>
      <c r="AK409" s="18"/>
      <c r="AL409" s="18"/>
      <c r="AM409" s="40" t="s">
        <v>118</v>
      </c>
      <c r="AN409" s="18"/>
      <c r="AO409" s="6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6"/>
      <c r="BK409" s="6"/>
      <c r="BL409" s="6" t="s">
        <v>58</v>
      </c>
      <c r="BO409" s="15"/>
    </row>
    <row r="410" spans="1:67">
      <c r="A410" s="6" t="s">
        <v>129</v>
      </c>
      <c r="B410" s="6" t="s">
        <v>136</v>
      </c>
      <c r="C410" s="17">
        <v>31139.216950000009</v>
      </c>
      <c r="D410" s="18">
        <v>11.795507063532114</v>
      </c>
      <c r="E410" s="23"/>
      <c r="F410" s="23"/>
      <c r="G410" s="22"/>
      <c r="H410" s="22"/>
      <c r="I410" s="22"/>
      <c r="J410" s="22"/>
      <c r="K410" s="22"/>
      <c r="L410" s="22"/>
      <c r="M410" s="22"/>
      <c r="N410" s="18"/>
      <c r="O410" s="18"/>
      <c r="P410" s="22"/>
      <c r="Q410" s="22"/>
      <c r="R410" s="22"/>
      <c r="S410" s="22"/>
      <c r="T410" s="22"/>
      <c r="U410" s="22"/>
      <c r="V410" s="23"/>
      <c r="W410" s="23"/>
      <c r="X410" s="19"/>
      <c r="Y410" s="23"/>
      <c r="Z410" s="23"/>
      <c r="AA410" s="18">
        <v>278.7</v>
      </c>
      <c r="AB410" s="18"/>
      <c r="AC410" s="18">
        <v>278.7</v>
      </c>
      <c r="AD410" s="21"/>
      <c r="AE410" s="6"/>
      <c r="AF410" s="18"/>
      <c r="AG410" s="18"/>
      <c r="AH410" s="18"/>
      <c r="AI410" s="18"/>
      <c r="AK410" s="18"/>
      <c r="AL410" s="18"/>
      <c r="AM410" s="40" t="s">
        <v>118</v>
      </c>
      <c r="AN410" s="18"/>
      <c r="AO410" s="6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6"/>
      <c r="BK410" s="6"/>
      <c r="BL410" s="6" t="s">
        <v>58</v>
      </c>
      <c r="BO410" s="15"/>
    </row>
    <row r="411" spans="1:67" ht="14.5" customHeight="1">
      <c r="A411" s="6" t="s">
        <v>129</v>
      </c>
      <c r="B411" s="6" t="s">
        <v>136</v>
      </c>
      <c r="C411" s="17">
        <v>31150.174215999999</v>
      </c>
      <c r="D411" s="18">
        <v>11.825507063532086</v>
      </c>
      <c r="E411" s="23"/>
      <c r="F411" s="23"/>
      <c r="G411" s="22"/>
      <c r="H411" s="22"/>
      <c r="I411" s="22"/>
      <c r="J411" s="22"/>
      <c r="K411" s="22"/>
      <c r="L411" s="22"/>
      <c r="M411" s="22"/>
      <c r="N411" s="18"/>
      <c r="O411" s="18"/>
      <c r="P411" s="22"/>
      <c r="Q411" s="22"/>
      <c r="R411" s="22"/>
      <c r="S411" s="22"/>
      <c r="T411" s="22"/>
      <c r="U411" s="22"/>
      <c r="V411" s="23"/>
      <c r="W411" s="23"/>
      <c r="X411" s="19"/>
      <c r="Y411" s="23"/>
      <c r="Z411" s="23"/>
      <c r="AA411" s="18">
        <v>248.13</v>
      </c>
      <c r="AB411" s="18"/>
      <c r="AC411" s="18">
        <v>248.13</v>
      </c>
      <c r="AD411" s="21"/>
      <c r="AE411" s="6"/>
      <c r="AF411" s="18"/>
      <c r="AG411" s="18"/>
      <c r="AH411" s="18"/>
      <c r="AI411" s="18"/>
      <c r="AK411" s="18"/>
      <c r="AL411" s="18"/>
      <c r="AM411" s="40" t="s">
        <v>118</v>
      </c>
      <c r="AN411" s="18"/>
      <c r="AO411" s="6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6"/>
      <c r="BK411" s="6"/>
      <c r="BL411" s="6" t="s">
        <v>58</v>
      </c>
      <c r="BO411" s="15"/>
    </row>
    <row r="412" spans="1:67" ht="14.5" customHeight="1">
      <c r="A412" s="6" t="s">
        <v>129</v>
      </c>
      <c r="B412" s="6" t="s">
        <v>136</v>
      </c>
      <c r="C412" s="17">
        <v>31164.783903999985</v>
      </c>
      <c r="D412" s="18">
        <v>11.865507063532048</v>
      </c>
      <c r="E412" s="23"/>
      <c r="F412" s="23"/>
      <c r="G412" s="22"/>
      <c r="H412" s="22"/>
      <c r="I412" s="22"/>
      <c r="J412" s="22"/>
      <c r="K412" s="22"/>
      <c r="L412" s="22"/>
      <c r="M412" s="22"/>
      <c r="N412" s="18"/>
      <c r="O412" s="18"/>
      <c r="P412" s="22"/>
      <c r="Q412" s="22"/>
      <c r="R412" s="22"/>
      <c r="S412" s="22"/>
      <c r="T412" s="22"/>
      <c r="U412" s="22"/>
      <c r="V412" s="23"/>
      <c r="W412" s="23"/>
      <c r="X412" s="19"/>
      <c r="Y412" s="23"/>
      <c r="Z412" s="23"/>
      <c r="AA412" s="18">
        <v>230.24</v>
      </c>
      <c r="AB412" s="18"/>
      <c r="AC412" s="18">
        <v>230.24</v>
      </c>
      <c r="AD412" s="21"/>
      <c r="AE412" s="6"/>
      <c r="AF412" s="18"/>
      <c r="AG412" s="18"/>
      <c r="AH412" s="18"/>
      <c r="AI412" s="18"/>
      <c r="AK412" s="18"/>
      <c r="AL412" s="18"/>
      <c r="AM412" s="40" t="s">
        <v>118</v>
      </c>
      <c r="AN412" s="18"/>
      <c r="AO412" s="6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6"/>
      <c r="BK412" s="6"/>
      <c r="BL412" s="6" t="s">
        <v>58</v>
      </c>
      <c r="BO412" s="15"/>
    </row>
    <row r="413" spans="1:67">
      <c r="A413" s="6" t="s">
        <v>129</v>
      </c>
      <c r="B413" s="6" t="s">
        <v>136</v>
      </c>
      <c r="C413" s="17">
        <v>31179.393591999971</v>
      </c>
      <c r="D413" s="18">
        <v>11.90550706353201</v>
      </c>
      <c r="E413" s="23"/>
      <c r="F413" s="23"/>
      <c r="G413" s="22"/>
      <c r="H413" s="22"/>
      <c r="I413" s="22"/>
      <c r="J413" s="22"/>
      <c r="K413" s="22"/>
      <c r="L413" s="22"/>
      <c r="M413" s="22"/>
      <c r="N413" s="18"/>
      <c r="O413" s="18"/>
      <c r="P413" s="22"/>
      <c r="Q413" s="22"/>
      <c r="R413" s="22"/>
      <c r="S413" s="22"/>
      <c r="T413" s="22"/>
      <c r="U413" s="22"/>
      <c r="V413" s="23"/>
      <c r="W413" s="23"/>
      <c r="X413" s="19"/>
      <c r="Y413" s="23"/>
      <c r="Z413" s="23"/>
      <c r="AA413" s="18">
        <v>218.54</v>
      </c>
      <c r="AB413" s="18"/>
      <c r="AC413" s="18">
        <v>218.54</v>
      </c>
      <c r="AD413" s="21"/>
      <c r="AE413" s="6"/>
      <c r="AF413" s="18"/>
      <c r="AG413" s="18"/>
      <c r="AH413" s="18"/>
      <c r="AI413" s="18"/>
      <c r="AK413" s="18"/>
      <c r="AL413" s="18"/>
      <c r="AM413" s="40" t="s">
        <v>118</v>
      </c>
      <c r="AN413" s="18"/>
      <c r="AO413" s="6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6"/>
      <c r="BK413" s="6"/>
      <c r="BL413" s="6" t="s">
        <v>58</v>
      </c>
      <c r="BO413" s="15"/>
    </row>
    <row r="414" spans="1:67" ht="14.5" customHeight="1">
      <c r="A414" s="6" t="s">
        <v>129</v>
      </c>
      <c r="B414" s="6" t="s">
        <v>136</v>
      </c>
      <c r="C414" s="17">
        <v>31190.350858000045</v>
      </c>
      <c r="D414" s="18">
        <v>11.935507063532212</v>
      </c>
      <c r="E414" s="23"/>
      <c r="F414" s="23"/>
      <c r="G414" s="22"/>
      <c r="H414" s="22"/>
      <c r="I414" s="22"/>
      <c r="J414" s="22"/>
      <c r="K414" s="22"/>
      <c r="L414" s="22"/>
      <c r="M414" s="22"/>
      <c r="N414" s="18"/>
      <c r="O414" s="18"/>
      <c r="P414" s="22"/>
      <c r="Q414" s="22"/>
      <c r="R414" s="22"/>
      <c r="S414" s="22"/>
      <c r="T414" s="22"/>
      <c r="U414" s="22"/>
      <c r="V414" s="23"/>
      <c r="W414" s="23"/>
      <c r="X414" s="19"/>
      <c r="Y414" s="23"/>
      <c r="Z414" s="23"/>
      <c r="AA414" s="18">
        <v>216.59</v>
      </c>
      <c r="AB414" s="18"/>
      <c r="AC414" s="18">
        <v>216.59</v>
      </c>
      <c r="AD414" s="21"/>
      <c r="AE414" s="6"/>
      <c r="AF414" s="18"/>
      <c r="AG414" s="18"/>
      <c r="AH414" s="18"/>
      <c r="AI414" s="18"/>
      <c r="AK414" s="18"/>
      <c r="AL414" s="18"/>
      <c r="AM414" s="40" t="s">
        <v>118</v>
      </c>
      <c r="AN414" s="18"/>
      <c r="AO414" s="6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6"/>
      <c r="BK414" s="6"/>
      <c r="BL414" s="6" t="s">
        <v>58</v>
      </c>
      <c r="BO414" s="15"/>
    </row>
    <row r="415" spans="1:67" ht="14.5" customHeight="1">
      <c r="A415" s="6" t="s">
        <v>129</v>
      </c>
      <c r="B415" s="6" t="s">
        <v>136</v>
      </c>
      <c r="C415" s="17">
        <v>31201.308124000036</v>
      </c>
      <c r="D415" s="18">
        <v>11.965507063532186</v>
      </c>
      <c r="E415" s="23"/>
      <c r="F415" s="23"/>
      <c r="G415" s="22"/>
      <c r="H415" s="22"/>
      <c r="I415" s="22"/>
      <c r="J415" s="22"/>
      <c r="K415" s="22"/>
      <c r="L415" s="22"/>
      <c r="M415" s="22"/>
      <c r="N415" s="18"/>
      <c r="O415" s="18"/>
      <c r="P415" s="22"/>
      <c r="Q415" s="22"/>
      <c r="R415" s="22"/>
      <c r="S415" s="22"/>
      <c r="T415" s="22"/>
      <c r="U415" s="22"/>
      <c r="V415" s="23"/>
      <c r="W415" s="23"/>
      <c r="X415" s="19"/>
      <c r="Y415" s="23"/>
      <c r="Z415" s="23"/>
      <c r="AA415" s="18">
        <v>216.59</v>
      </c>
      <c r="AB415" s="18"/>
      <c r="AC415" s="18">
        <v>216.59</v>
      </c>
      <c r="AD415" s="21"/>
      <c r="AE415" s="6"/>
      <c r="AF415" s="18"/>
      <c r="AG415" s="18"/>
      <c r="AH415" s="18"/>
      <c r="AI415" s="18"/>
      <c r="AK415" s="18"/>
      <c r="AL415" s="18"/>
      <c r="AM415" s="40" t="s">
        <v>118</v>
      </c>
      <c r="AN415" s="18"/>
      <c r="AO415" s="6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6"/>
      <c r="BK415" s="6"/>
      <c r="BL415" s="6" t="s">
        <v>58</v>
      </c>
      <c r="BO415" s="15"/>
    </row>
    <row r="416" spans="1:67">
      <c r="A416" s="6" t="s">
        <v>129</v>
      </c>
      <c r="B416" s="6" t="s">
        <v>136</v>
      </c>
      <c r="C416" s="17">
        <v>31215.917812000022</v>
      </c>
      <c r="D416" s="18">
        <v>12.005507063532146</v>
      </c>
      <c r="E416" s="23"/>
      <c r="F416" s="23"/>
      <c r="G416" s="22"/>
      <c r="H416" s="22"/>
      <c r="I416" s="22"/>
      <c r="J416" s="22"/>
      <c r="K416" s="22"/>
      <c r="L416" s="22"/>
      <c r="M416" s="22"/>
      <c r="N416" s="18"/>
      <c r="O416" s="18"/>
      <c r="P416" s="22"/>
      <c r="Q416" s="22"/>
      <c r="R416" s="22"/>
      <c r="S416" s="22"/>
      <c r="T416" s="22"/>
      <c r="U416" s="22"/>
      <c r="V416" s="23"/>
      <c r="W416" s="23"/>
      <c r="X416" s="19"/>
      <c r="Y416" s="23"/>
      <c r="Z416" s="23"/>
      <c r="AA416" s="18">
        <v>219.84</v>
      </c>
      <c r="AB416" s="18"/>
      <c r="AC416" s="18">
        <v>219.84</v>
      </c>
      <c r="AD416" s="21"/>
      <c r="AE416" s="6"/>
      <c r="AF416" s="18"/>
      <c r="AG416" s="18"/>
      <c r="AH416" s="18"/>
      <c r="AI416" s="18"/>
      <c r="AK416" s="18"/>
      <c r="AL416" s="18"/>
      <c r="AM416" s="40" t="s">
        <v>118</v>
      </c>
      <c r="AN416" s="18"/>
      <c r="AO416" s="6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6"/>
      <c r="BK416" s="6"/>
      <c r="BL416" s="6" t="s">
        <v>58</v>
      </c>
      <c r="BO416" s="15"/>
    </row>
    <row r="417" spans="1:67">
      <c r="A417" s="6" t="s">
        <v>129</v>
      </c>
      <c r="B417" s="6" t="s">
        <v>136</v>
      </c>
      <c r="C417" s="17">
        <v>31234.179922000007</v>
      </c>
      <c r="D417" s="18">
        <v>12.055507063532106</v>
      </c>
      <c r="E417" s="23"/>
      <c r="F417" s="23"/>
      <c r="G417" s="22"/>
      <c r="H417" s="22"/>
      <c r="I417" s="22"/>
      <c r="J417" s="22"/>
      <c r="K417" s="22"/>
      <c r="L417" s="22"/>
      <c r="M417" s="22"/>
      <c r="N417" s="18"/>
      <c r="O417" s="18"/>
      <c r="P417" s="22"/>
      <c r="Q417" s="22"/>
      <c r="R417" s="22"/>
      <c r="S417" s="22"/>
      <c r="T417" s="22"/>
      <c r="U417" s="22"/>
      <c r="V417" s="23"/>
      <c r="W417" s="23"/>
      <c r="X417" s="19"/>
      <c r="Y417" s="23"/>
      <c r="Z417" s="23"/>
      <c r="AA417" s="18">
        <v>214.63</v>
      </c>
      <c r="AB417" s="18"/>
      <c r="AC417" s="18">
        <v>214.63</v>
      </c>
      <c r="AD417" s="21"/>
      <c r="AE417" s="6"/>
      <c r="AF417" s="18"/>
      <c r="AG417" s="18"/>
      <c r="AH417" s="18"/>
      <c r="AI417" s="18"/>
      <c r="AK417" s="18"/>
      <c r="AL417" s="18"/>
      <c r="AM417" s="40" t="s">
        <v>118</v>
      </c>
      <c r="AN417" s="18"/>
      <c r="AO417" s="6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6"/>
      <c r="BK417" s="6"/>
      <c r="BL417" s="6" t="s">
        <v>58</v>
      </c>
      <c r="BO417" s="15"/>
    </row>
    <row r="418" spans="1:67" ht="14.5" customHeight="1">
      <c r="A418" s="6" t="s">
        <v>129</v>
      </c>
      <c r="B418" s="6" t="s">
        <v>136</v>
      </c>
      <c r="C418" s="17">
        <v>31252.442031999988</v>
      </c>
      <c r="D418" s="18">
        <v>12.105507063532055</v>
      </c>
      <c r="E418" s="23"/>
      <c r="F418" s="23"/>
      <c r="G418" s="22"/>
      <c r="H418" s="22"/>
      <c r="I418" s="22"/>
      <c r="J418" s="22"/>
      <c r="K418" s="22"/>
      <c r="L418" s="22"/>
      <c r="M418" s="22"/>
      <c r="N418" s="18"/>
      <c r="O418" s="18"/>
      <c r="P418" s="22"/>
      <c r="Q418" s="22"/>
      <c r="R418" s="22"/>
      <c r="S418" s="22"/>
      <c r="T418" s="22"/>
      <c r="U418" s="22"/>
      <c r="V418" s="23"/>
      <c r="W418" s="23"/>
      <c r="X418" s="19"/>
      <c r="Y418" s="23"/>
      <c r="Z418" s="23"/>
      <c r="AA418" s="18">
        <v>230.57</v>
      </c>
      <c r="AB418" s="18"/>
      <c r="AC418" s="18">
        <v>230.57</v>
      </c>
      <c r="AD418" s="21"/>
      <c r="AE418" s="6"/>
      <c r="AF418" s="18"/>
      <c r="AG418" s="18"/>
      <c r="AH418" s="18"/>
      <c r="AI418" s="18"/>
      <c r="AK418" s="18"/>
      <c r="AL418" s="18"/>
      <c r="AM418" s="40" t="s">
        <v>118</v>
      </c>
      <c r="AN418" s="18"/>
      <c r="AO418" s="6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6"/>
      <c r="BK418" s="6"/>
      <c r="BL418" s="6" t="s">
        <v>58</v>
      </c>
      <c r="BO418" s="15"/>
    </row>
    <row r="419" spans="1:67" ht="14.5" customHeight="1">
      <c r="A419" s="6" t="s">
        <v>129</v>
      </c>
      <c r="B419" s="6" t="s">
        <v>136</v>
      </c>
      <c r="C419" s="17">
        <v>31263.399297999978</v>
      </c>
      <c r="D419" s="18">
        <v>12.13550706353203</v>
      </c>
      <c r="E419" s="23"/>
      <c r="F419" s="23"/>
      <c r="G419" s="22"/>
      <c r="H419" s="22"/>
      <c r="I419" s="22"/>
      <c r="J419" s="22"/>
      <c r="K419" s="22"/>
      <c r="L419" s="22"/>
      <c r="M419" s="22"/>
      <c r="N419" s="18"/>
      <c r="O419" s="18"/>
      <c r="P419" s="22"/>
      <c r="Q419" s="22"/>
      <c r="R419" s="22"/>
      <c r="S419" s="22"/>
      <c r="T419" s="22"/>
      <c r="U419" s="22"/>
      <c r="V419" s="23"/>
      <c r="W419" s="23"/>
      <c r="X419" s="19"/>
      <c r="Y419" s="23"/>
      <c r="Z419" s="23"/>
      <c r="AA419" s="18">
        <v>220.81</v>
      </c>
      <c r="AB419" s="18"/>
      <c r="AC419" s="18">
        <v>220.81</v>
      </c>
      <c r="AD419" s="21"/>
      <c r="AE419" s="6"/>
      <c r="AF419" s="18"/>
      <c r="AG419" s="18"/>
      <c r="AH419" s="18"/>
      <c r="AI419" s="18"/>
      <c r="AK419" s="18"/>
      <c r="AL419" s="18"/>
      <c r="AM419" s="40" t="s">
        <v>118</v>
      </c>
      <c r="AN419" s="18"/>
      <c r="AO419" s="6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6"/>
      <c r="BK419" s="6"/>
      <c r="BL419" s="6" t="s">
        <v>58</v>
      </c>
      <c r="BO419" s="15"/>
    </row>
    <row r="420" spans="1:67">
      <c r="A420" s="6" t="s">
        <v>129</v>
      </c>
      <c r="B420" s="6" t="s">
        <v>136</v>
      </c>
      <c r="C420" s="17">
        <v>31278.008986000048</v>
      </c>
      <c r="D420" s="18">
        <v>12.175507063532219</v>
      </c>
      <c r="E420" s="23"/>
      <c r="F420" s="23"/>
      <c r="G420" s="22"/>
      <c r="H420" s="22"/>
      <c r="I420" s="22"/>
      <c r="J420" s="22"/>
      <c r="K420" s="22"/>
      <c r="L420" s="22"/>
      <c r="M420" s="22"/>
      <c r="N420" s="18"/>
      <c r="O420" s="18"/>
      <c r="P420" s="22"/>
      <c r="Q420" s="22"/>
      <c r="R420" s="22"/>
      <c r="S420" s="22"/>
      <c r="T420" s="22"/>
      <c r="U420" s="22"/>
      <c r="V420" s="23"/>
      <c r="W420" s="23"/>
      <c r="X420" s="19"/>
      <c r="Y420" s="23"/>
      <c r="Z420" s="23"/>
      <c r="AA420" s="18">
        <v>240</v>
      </c>
      <c r="AB420" s="18"/>
      <c r="AC420" s="18">
        <v>240</v>
      </c>
      <c r="AD420" s="21"/>
      <c r="AE420" s="6"/>
      <c r="AF420" s="18"/>
      <c r="AG420" s="18"/>
      <c r="AH420" s="18"/>
      <c r="AI420" s="18"/>
      <c r="AK420" s="18"/>
      <c r="AL420" s="18"/>
      <c r="AM420" s="40" t="s">
        <v>118</v>
      </c>
      <c r="AN420" s="18"/>
      <c r="AO420" s="6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6"/>
      <c r="BK420" s="6"/>
      <c r="BL420" s="6" t="s">
        <v>58</v>
      </c>
      <c r="BO420" s="15"/>
    </row>
    <row r="421" spans="1:67">
      <c r="A421" s="6" t="s">
        <v>129</v>
      </c>
      <c r="B421" s="6" t="s">
        <v>136</v>
      </c>
      <c r="C421" s="17">
        <v>31292.618674000034</v>
      </c>
      <c r="D421" s="18">
        <v>12.215507063532181</v>
      </c>
      <c r="E421" s="23"/>
      <c r="F421" s="23"/>
      <c r="G421" s="22"/>
      <c r="H421" s="22"/>
      <c r="I421" s="22"/>
      <c r="J421" s="22"/>
      <c r="K421" s="22"/>
      <c r="L421" s="22"/>
      <c r="M421" s="22"/>
      <c r="N421" s="18"/>
      <c r="O421" s="18"/>
      <c r="P421" s="22"/>
      <c r="Q421" s="22"/>
      <c r="R421" s="22"/>
      <c r="S421" s="22"/>
      <c r="T421" s="22"/>
      <c r="U421" s="22"/>
      <c r="V421" s="23"/>
      <c r="W421" s="23"/>
      <c r="X421" s="19"/>
      <c r="Y421" s="23"/>
      <c r="Z421" s="23"/>
      <c r="AA421" s="18">
        <v>300.49</v>
      </c>
      <c r="AB421" s="18"/>
      <c r="AC421" s="18">
        <v>300.49</v>
      </c>
      <c r="AD421" s="21"/>
      <c r="AE421" s="6"/>
      <c r="AF421" s="18"/>
      <c r="AG421" s="18"/>
      <c r="AH421" s="18"/>
      <c r="AI421" s="18"/>
      <c r="AK421" s="18"/>
      <c r="AL421" s="18"/>
      <c r="AM421" s="40" t="s">
        <v>118</v>
      </c>
      <c r="AN421" s="18"/>
      <c r="AO421" s="6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6"/>
      <c r="BK421" s="6"/>
      <c r="BL421" s="6" t="s">
        <v>58</v>
      </c>
      <c r="BO421" s="15"/>
    </row>
    <row r="422" spans="1:67" ht="14.5" customHeight="1">
      <c r="A422" s="6" t="s">
        <v>129</v>
      </c>
      <c r="B422" s="6" t="s">
        <v>136</v>
      </c>
      <c r="C422" s="17">
        <v>31307.228362000023</v>
      </c>
      <c r="D422" s="18">
        <v>12.255507063532152</v>
      </c>
      <c r="E422" s="23"/>
      <c r="F422" s="23"/>
      <c r="G422" s="22"/>
      <c r="H422" s="22"/>
      <c r="I422" s="22"/>
      <c r="J422" s="22"/>
      <c r="K422" s="22"/>
      <c r="L422" s="22"/>
      <c r="M422" s="22"/>
      <c r="N422" s="18"/>
      <c r="O422" s="18"/>
      <c r="P422" s="22"/>
      <c r="Q422" s="22"/>
      <c r="R422" s="22"/>
      <c r="S422" s="22"/>
      <c r="T422" s="22"/>
      <c r="U422" s="22"/>
      <c r="V422" s="23"/>
      <c r="W422" s="23"/>
      <c r="X422" s="19"/>
      <c r="Y422" s="23"/>
      <c r="Z422" s="23"/>
      <c r="AA422" s="18">
        <v>287.8</v>
      </c>
      <c r="AB422" s="18"/>
      <c r="AC422" s="18">
        <v>287.8</v>
      </c>
      <c r="AD422" s="21"/>
      <c r="AE422" s="6"/>
      <c r="AF422" s="18"/>
      <c r="AG422" s="18"/>
      <c r="AH422" s="18"/>
      <c r="AI422" s="18"/>
      <c r="AK422" s="18"/>
      <c r="AL422" s="18"/>
      <c r="AM422" s="40" t="s">
        <v>118</v>
      </c>
      <c r="AN422" s="18"/>
      <c r="AO422" s="6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6"/>
      <c r="BK422" s="6"/>
      <c r="BL422" s="6" t="s">
        <v>58</v>
      </c>
      <c r="BO422" s="15"/>
    </row>
    <row r="423" spans="1:67" ht="14.5" customHeight="1">
      <c r="A423" s="6" t="s">
        <v>129</v>
      </c>
      <c r="B423" s="6" t="s">
        <v>136</v>
      </c>
      <c r="C423" s="17">
        <v>31318.185628000014</v>
      </c>
      <c r="D423" s="18">
        <v>12.285507063532126</v>
      </c>
      <c r="E423" s="23"/>
      <c r="F423" s="23"/>
      <c r="G423" s="22"/>
      <c r="H423" s="22"/>
      <c r="I423" s="22"/>
      <c r="J423" s="22"/>
      <c r="K423" s="22"/>
      <c r="L423" s="22"/>
      <c r="M423" s="22"/>
      <c r="N423" s="18"/>
      <c r="O423" s="18"/>
      <c r="P423" s="22"/>
      <c r="Q423" s="22"/>
      <c r="R423" s="22"/>
      <c r="S423" s="22"/>
      <c r="T423" s="22"/>
      <c r="U423" s="22"/>
      <c r="V423" s="23"/>
      <c r="W423" s="23"/>
      <c r="X423" s="19"/>
      <c r="Y423" s="23"/>
      <c r="Z423" s="23"/>
      <c r="AA423" s="18">
        <v>318.7</v>
      </c>
      <c r="AB423" s="18"/>
      <c r="AC423" s="18">
        <v>318.7</v>
      </c>
      <c r="AD423" s="21"/>
      <c r="AE423" s="6"/>
      <c r="AF423" s="18"/>
      <c r="AG423" s="18"/>
      <c r="AH423" s="18"/>
      <c r="AI423" s="18"/>
      <c r="AK423" s="18"/>
      <c r="AL423" s="18"/>
      <c r="AM423" s="40" t="s">
        <v>118</v>
      </c>
      <c r="AN423" s="18"/>
      <c r="AO423" s="6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6"/>
      <c r="BK423" s="6"/>
      <c r="BL423" s="6" t="s">
        <v>58</v>
      </c>
      <c r="BO423" s="15"/>
    </row>
    <row r="424" spans="1:67">
      <c r="A424" s="6" t="s">
        <v>129</v>
      </c>
      <c r="B424" s="6" t="s">
        <v>136</v>
      </c>
      <c r="C424" s="17">
        <v>31332.795316</v>
      </c>
      <c r="D424" s="18">
        <v>12.325507063532088</v>
      </c>
      <c r="E424" s="23"/>
      <c r="F424" s="23"/>
      <c r="G424" s="22"/>
      <c r="H424" s="22"/>
      <c r="I424" s="22"/>
      <c r="J424" s="22"/>
      <c r="K424" s="22"/>
      <c r="L424" s="22"/>
      <c r="M424" s="22"/>
      <c r="N424" s="18"/>
      <c r="O424" s="18"/>
      <c r="P424" s="22"/>
      <c r="Q424" s="22"/>
      <c r="R424" s="22"/>
      <c r="S424" s="22"/>
      <c r="T424" s="22"/>
      <c r="U424" s="22"/>
      <c r="V424" s="23"/>
      <c r="W424" s="23"/>
      <c r="X424" s="19"/>
      <c r="Y424" s="23"/>
      <c r="Z424" s="23"/>
      <c r="AA424" s="18">
        <v>284.88</v>
      </c>
      <c r="AB424" s="18"/>
      <c r="AC424" s="18">
        <v>284.88</v>
      </c>
      <c r="AD424" s="21"/>
      <c r="AE424" s="6"/>
      <c r="AF424" s="18"/>
      <c r="AG424" s="18"/>
      <c r="AH424" s="18"/>
      <c r="AI424" s="18"/>
      <c r="AK424" s="18"/>
      <c r="AL424" s="18"/>
      <c r="AM424" s="40" t="s">
        <v>118</v>
      </c>
      <c r="AN424" s="18"/>
      <c r="AO424" s="6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6"/>
      <c r="BK424" s="6"/>
      <c r="BL424" s="6" t="s">
        <v>58</v>
      </c>
      <c r="BO424" s="15"/>
    </row>
    <row r="425" spans="1:67">
      <c r="A425" s="6" t="s">
        <v>129</v>
      </c>
      <c r="B425" s="6" t="s">
        <v>136</v>
      </c>
      <c r="C425" s="17">
        <v>31347.405003999986</v>
      </c>
      <c r="D425" s="18">
        <v>12.365507063532048</v>
      </c>
      <c r="E425" s="23"/>
      <c r="F425" s="23"/>
      <c r="G425" s="22"/>
      <c r="H425" s="22"/>
      <c r="I425" s="22"/>
      <c r="J425" s="22"/>
      <c r="K425" s="22"/>
      <c r="L425" s="22"/>
      <c r="M425" s="22"/>
      <c r="N425" s="18"/>
      <c r="O425" s="18"/>
      <c r="P425" s="22"/>
      <c r="Q425" s="22"/>
      <c r="R425" s="22"/>
      <c r="S425" s="22"/>
      <c r="T425" s="22"/>
      <c r="U425" s="22"/>
      <c r="V425" s="23"/>
      <c r="W425" s="23"/>
      <c r="X425" s="19"/>
      <c r="Y425" s="23"/>
      <c r="Z425" s="23"/>
      <c r="AA425" s="18">
        <v>274.8</v>
      </c>
      <c r="AB425" s="18"/>
      <c r="AC425" s="18">
        <v>274.8</v>
      </c>
      <c r="AD425" s="21"/>
      <c r="AE425" s="6"/>
      <c r="AF425" s="18"/>
      <c r="AG425" s="18"/>
      <c r="AH425" s="18"/>
      <c r="AI425" s="18"/>
      <c r="AK425" s="18"/>
      <c r="AL425" s="18"/>
      <c r="AM425" s="40" t="s">
        <v>118</v>
      </c>
      <c r="AN425" s="18"/>
      <c r="AO425" s="6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6"/>
      <c r="BK425" s="6"/>
      <c r="BL425" s="6" t="s">
        <v>58</v>
      </c>
      <c r="BO425" s="15"/>
    </row>
    <row r="426" spans="1:67" ht="14.5" customHeight="1">
      <c r="A426" s="6" t="s">
        <v>129</v>
      </c>
      <c r="B426" s="6" t="s">
        <v>136</v>
      </c>
      <c r="C426" s="17">
        <v>31362.014691999972</v>
      </c>
      <c r="D426" s="18">
        <v>12.40550706353201</v>
      </c>
      <c r="E426" s="23"/>
      <c r="F426" s="23"/>
      <c r="G426" s="22"/>
      <c r="H426" s="22"/>
      <c r="I426" s="22"/>
      <c r="J426" s="22"/>
      <c r="K426" s="22"/>
      <c r="L426" s="22"/>
      <c r="M426" s="22"/>
      <c r="N426" s="18"/>
      <c r="O426" s="18"/>
      <c r="P426" s="22"/>
      <c r="Q426" s="22"/>
      <c r="R426" s="22"/>
      <c r="S426" s="22"/>
      <c r="T426" s="22"/>
      <c r="U426" s="22"/>
      <c r="V426" s="23"/>
      <c r="W426" s="23"/>
      <c r="X426" s="19"/>
      <c r="Y426" s="23"/>
      <c r="Z426" s="23"/>
      <c r="AA426" s="18">
        <v>251.06</v>
      </c>
      <c r="AB426" s="18"/>
      <c r="AC426" s="18">
        <v>251.06</v>
      </c>
      <c r="AD426" s="21"/>
      <c r="AE426" s="6"/>
      <c r="AF426" s="18"/>
      <c r="AG426" s="18"/>
      <c r="AH426" s="18"/>
      <c r="AI426" s="18"/>
      <c r="AK426" s="18"/>
      <c r="AL426" s="18"/>
      <c r="AM426" s="40" t="s">
        <v>118</v>
      </c>
      <c r="AN426" s="18"/>
      <c r="AO426" s="6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6"/>
      <c r="BK426" s="6"/>
      <c r="BL426" s="6" t="s">
        <v>58</v>
      </c>
      <c r="BO426" s="15"/>
    </row>
    <row r="427" spans="1:67">
      <c r="A427" s="6" t="s">
        <v>129</v>
      </c>
      <c r="B427" s="6" t="s">
        <v>136</v>
      </c>
      <c r="C427" s="17">
        <v>31372.971958000046</v>
      </c>
      <c r="D427" s="18">
        <v>12.435507063532214</v>
      </c>
      <c r="E427" s="23"/>
      <c r="F427" s="23"/>
      <c r="G427" s="22"/>
      <c r="H427" s="22"/>
      <c r="I427" s="22"/>
      <c r="J427" s="22"/>
      <c r="K427" s="22"/>
      <c r="L427" s="22"/>
      <c r="M427" s="22"/>
      <c r="N427" s="18"/>
      <c r="O427" s="18"/>
      <c r="P427" s="22"/>
      <c r="Q427" s="22"/>
      <c r="R427" s="22"/>
      <c r="S427" s="22"/>
      <c r="T427" s="22"/>
      <c r="U427" s="22"/>
      <c r="V427" s="23"/>
      <c r="W427" s="23"/>
      <c r="X427" s="19"/>
      <c r="Y427" s="23"/>
      <c r="Z427" s="23"/>
      <c r="AA427" s="18">
        <v>237.4</v>
      </c>
      <c r="AB427" s="18"/>
      <c r="AC427" s="18">
        <v>237.4</v>
      </c>
      <c r="AD427" s="21"/>
      <c r="AE427" s="6"/>
      <c r="AF427" s="18"/>
      <c r="AG427" s="18"/>
      <c r="AH427" s="18"/>
      <c r="AI427" s="18"/>
      <c r="AK427" s="18"/>
      <c r="AL427" s="18"/>
      <c r="AM427" s="40" t="s">
        <v>118</v>
      </c>
      <c r="AN427" s="18"/>
      <c r="AO427" s="6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6"/>
      <c r="BK427" s="6"/>
      <c r="BL427" s="6" t="s">
        <v>58</v>
      </c>
      <c r="BO427" s="15"/>
    </row>
    <row r="428" spans="1:67">
      <c r="A428" s="6" t="s">
        <v>129</v>
      </c>
      <c r="B428" s="6" t="s">
        <v>136</v>
      </c>
      <c r="C428" s="17">
        <v>31391.234068000027</v>
      </c>
      <c r="D428" s="18">
        <v>12.485507063532163</v>
      </c>
      <c r="E428" s="23"/>
      <c r="F428" s="23"/>
      <c r="G428" s="22"/>
      <c r="H428" s="22"/>
      <c r="I428" s="22"/>
      <c r="J428" s="22"/>
      <c r="K428" s="22"/>
      <c r="L428" s="22"/>
      <c r="M428" s="22"/>
      <c r="N428" s="18"/>
      <c r="O428" s="18"/>
      <c r="P428" s="22"/>
      <c r="Q428" s="22"/>
      <c r="R428" s="22"/>
      <c r="S428" s="22"/>
      <c r="T428" s="22"/>
      <c r="U428" s="22"/>
      <c r="V428" s="23"/>
      <c r="W428" s="23"/>
      <c r="X428" s="19"/>
      <c r="Y428" s="23"/>
      <c r="Z428" s="23"/>
      <c r="AA428" s="18">
        <v>230.89</v>
      </c>
      <c r="AB428" s="18"/>
      <c r="AC428" s="18">
        <v>230.89</v>
      </c>
      <c r="AD428" s="21"/>
      <c r="AE428" s="6"/>
      <c r="AF428" s="18"/>
      <c r="AG428" s="18"/>
      <c r="AH428" s="18"/>
      <c r="AI428" s="18"/>
      <c r="AK428" s="18"/>
      <c r="AL428" s="18"/>
      <c r="AM428" s="40" t="s">
        <v>118</v>
      </c>
      <c r="AN428" s="18"/>
      <c r="AO428" s="6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6"/>
      <c r="BK428" s="6"/>
      <c r="BL428" s="6" t="s">
        <v>58</v>
      </c>
      <c r="BO428" s="15"/>
    </row>
    <row r="429" spans="1:67" ht="14.5" customHeight="1">
      <c r="A429" s="6" t="s">
        <v>129</v>
      </c>
      <c r="B429" s="6" t="s">
        <v>136</v>
      </c>
      <c r="C429" s="17">
        <v>31420.453444000002</v>
      </c>
      <c r="D429" s="18">
        <v>12.565507063532095</v>
      </c>
      <c r="E429" s="23"/>
      <c r="F429" s="23"/>
      <c r="G429" s="22"/>
      <c r="H429" s="22"/>
      <c r="I429" s="22"/>
      <c r="J429" s="22"/>
      <c r="K429" s="22"/>
      <c r="L429" s="22"/>
      <c r="M429" s="22"/>
      <c r="N429" s="18"/>
      <c r="O429" s="18"/>
      <c r="P429" s="22"/>
      <c r="Q429" s="22"/>
      <c r="R429" s="22"/>
      <c r="S429" s="22"/>
      <c r="T429" s="22"/>
      <c r="U429" s="22"/>
      <c r="V429" s="23"/>
      <c r="W429" s="23"/>
      <c r="X429" s="19"/>
      <c r="Y429" s="23"/>
      <c r="Z429" s="23"/>
      <c r="AA429" s="18">
        <v>189.92</v>
      </c>
      <c r="AB429" s="18"/>
      <c r="AC429" s="18">
        <v>189.92</v>
      </c>
      <c r="AD429" s="21"/>
      <c r="AE429" s="6"/>
      <c r="AF429" s="18"/>
      <c r="AG429" s="18"/>
      <c r="AH429" s="18"/>
      <c r="AI429" s="18"/>
      <c r="AK429" s="18"/>
      <c r="AL429" s="18"/>
      <c r="AM429" s="40" t="s">
        <v>118</v>
      </c>
      <c r="AN429" s="18"/>
      <c r="AO429" s="6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6"/>
      <c r="BK429" s="6"/>
      <c r="BL429" s="6" t="s">
        <v>58</v>
      </c>
      <c r="BO429" s="15"/>
    </row>
    <row r="430" spans="1:67" ht="14.5" customHeight="1">
      <c r="A430" s="6" t="s">
        <v>129</v>
      </c>
      <c r="B430" s="6" t="s">
        <v>136</v>
      </c>
      <c r="C430" s="17">
        <v>31427.758287999997</v>
      </c>
      <c r="D430" s="18">
        <v>12.585507063532081</v>
      </c>
      <c r="E430" s="23"/>
      <c r="F430" s="23"/>
      <c r="G430" s="22"/>
      <c r="H430" s="22"/>
      <c r="I430" s="22"/>
      <c r="J430" s="22"/>
      <c r="K430" s="22"/>
      <c r="L430" s="22"/>
      <c r="M430" s="22"/>
      <c r="N430" s="18"/>
      <c r="O430" s="18"/>
      <c r="P430" s="22"/>
      <c r="Q430" s="22"/>
      <c r="R430" s="22"/>
      <c r="S430" s="22"/>
      <c r="T430" s="22"/>
      <c r="U430" s="22"/>
      <c r="V430" s="23"/>
      <c r="W430" s="23"/>
      <c r="X430" s="19"/>
      <c r="Y430" s="23"/>
      <c r="Z430" s="23"/>
      <c r="AA430" s="18">
        <v>180.16</v>
      </c>
      <c r="AB430" s="18"/>
      <c r="AC430" s="18">
        <v>180.16</v>
      </c>
      <c r="AD430" s="21"/>
      <c r="AE430" s="6"/>
      <c r="AF430" s="18"/>
      <c r="AG430" s="18"/>
      <c r="AH430" s="18"/>
      <c r="AI430" s="18"/>
      <c r="AK430" s="18"/>
      <c r="AL430" s="18"/>
      <c r="AM430" s="40" t="s">
        <v>118</v>
      </c>
      <c r="AN430" s="18"/>
      <c r="AO430" s="6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6"/>
      <c r="BK430" s="6"/>
      <c r="BL430" s="6" t="s">
        <v>58</v>
      </c>
      <c r="BO430" s="15"/>
    </row>
    <row r="431" spans="1:67" ht="14.5" customHeight="1">
      <c r="A431" s="6" t="s">
        <v>129</v>
      </c>
      <c r="B431" s="6" t="s">
        <v>136</v>
      </c>
      <c r="C431" s="17">
        <v>31446.020397999979</v>
      </c>
      <c r="D431" s="18">
        <v>12.63550706353203</v>
      </c>
      <c r="E431" s="23"/>
      <c r="F431" s="23"/>
      <c r="G431" s="22"/>
      <c r="H431" s="22"/>
      <c r="I431" s="22"/>
      <c r="J431" s="22"/>
      <c r="K431" s="22"/>
      <c r="L431" s="22"/>
      <c r="M431" s="22"/>
      <c r="N431" s="18"/>
      <c r="O431" s="18"/>
      <c r="P431" s="22"/>
      <c r="Q431" s="22"/>
      <c r="R431" s="22"/>
      <c r="S431" s="22"/>
      <c r="T431" s="22"/>
      <c r="U431" s="22"/>
      <c r="V431" s="23"/>
      <c r="W431" s="23"/>
      <c r="X431" s="19"/>
      <c r="Y431" s="23"/>
      <c r="Z431" s="23"/>
      <c r="AA431" s="18">
        <v>181.79</v>
      </c>
      <c r="AB431" s="18"/>
      <c r="AC431" s="18">
        <v>181.79</v>
      </c>
      <c r="AD431" s="21"/>
      <c r="AE431" s="6"/>
      <c r="AF431" s="18"/>
      <c r="AG431" s="18"/>
      <c r="AH431" s="18"/>
      <c r="AI431" s="18"/>
      <c r="AK431" s="18"/>
      <c r="AL431" s="18"/>
      <c r="AM431" s="40" t="s">
        <v>118</v>
      </c>
      <c r="AN431" s="18"/>
      <c r="AO431" s="6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6"/>
      <c r="BK431" s="6"/>
      <c r="BL431" s="6" t="s">
        <v>58</v>
      </c>
      <c r="BO431" s="15"/>
    </row>
    <row r="432" spans="1:67" ht="14.5" customHeight="1">
      <c r="A432" s="6" t="s">
        <v>129</v>
      </c>
      <c r="B432" s="6" t="s">
        <v>136</v>
      </c>
      <c r="C432" s="17">
        <v>31456.977663999969</v>
      </c>
      <c r="D432" s="18">
        <v>12.665507063532004</v>
      </c>
      <c r="E432" s="23"/>
      <c r="F432" s="23"/>
      <c r="G432" s="22"/>
      <c r="H432" s="22"/>
      <c r="I432" s="22"/>
      <c r="J432" s="22"/>
      <c r="K432" s="22"/>
      <c r="L432" s="22"/>
      <c r="M432" s="22"/>
      <c r="N432" s="18"/>
      <c r="O432" s="18"/>
      <c r="P432" s="22"/>
      <c r="Q432" s="22"/>
      <c r="R432" s="22"/>
      <c r="S432" s="22"/>
      <c r="T432" s="22"/>
      <c r="U432" s="22"/>
      <c r="V432" s="23"/>
      <c r="W432" s="23"/>
      <c r="X432" s="19"/>
      <c r="Y432" s="23"/>
      <c r="Z432" s="23"/>
      <c r="AA432" s="18">
        <v>169.11</v>
      </c>
      <c r="AB432" s="18"/>
      <c r="AC432" s="18">
        <v>169.11</v>
      </c>
      <c r="AD432" s="21"/>
      <c r="AE432" s="6"/>
      <c r="AF432" s="18"/>
      <c r="AG432" s="18"/>
      <c r="AH432" s="18"/>
      <c r="AI432" s="18"/>
      <c r="AK432" s="18"/>
      <c r="AL432" s="18"/>
      <c r="AM432" s="40" t="s">
        <v>118</v>
      </c>
      <c r="AN432" s="18"/>
      <c r="AO432" s="6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6"/>
      <c r="BK432" s="6"/>
      <c r="BL432" s="6" t="s">
        <v>58</v>
      </c>
      <c r="BO432" s="15"/>
    </row>
    <row r="433" spans="1:67">
      <c r="A433" s="6" t="s">
        <v>129</v>
      </c>
      <c r="B433" s="6" t="s">
        <v>136</v>
      </c>
      <c r="C433" s="17">
        <v>31475.239774000038</v>
      </c>
      <c r="D433" s="18">
        <v>12.715507063532192</v>
      </c>
      <c r="E433" s="23"/>
      <c r="F433" s="23"/>
      <c r="G433" s="22"/>
      <c r="H433" s="22"/>
      <c r="I433" s="22"/>
      <c r="J433" s="22"/>
      <c r="K433" s="22"/>
      <c r="L433" s="22"/>
      <c r="M433" s="22"/>
      <c r="N433" s="18"/>
      <c r="O433" s="18"/>
      <c r="P433" s="22"/>
      <c r="Q433" s="22"/>
      <c r="R433" s="22"/>
      <c r="S433" s="22"/>
      <c r="T433" s="22"/>
      <c r="U433" s="22"/>
      <c r="V433" s="23"/>
      <c r="W433" s="23"/>
      <c r="X433" s="19"/>
      <c r="Y433" s="23"/>
      <c r="Z433" s="23"/>
      <c r="AA433" s="18">
        <v>167.8</v>
      </c>
      <c r="AB433" s="18"/>
      <c r="AC433" s="18">
        <v>167.8</v>
      </c>
      <c r="AD433" s="21"/>
      <c r="AE433" s="6"/>
      <c r="AF433" s="18"/>
      <c r="AG433" s="18"/>
      <c r="AH433" s="18"/>
      <c r="AI433" s="18"/>
      <c r="AK433" s="18"/>
      <c r="AL433" s="18"/>
      <c r="AM433" s="40" t="s">
        <v>118</v>
      </c>
      <c r="AN433" s="18"/>
      <c r="AO433" s="6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6"/>
      <c r="BK433" s="6"/>
      <c r="BL433" s="6" t="s">
        <v>58</v>
      </c>
      <c r="BO433" s="15"/>
    </row>
    <row r="434" spans="1:67" ht="14.5" customHeight="1">
      <c r="A434" s="6" t="s">
        <v>129</v>
      </c>
      <c r="B434" s="6" t="s">
        <v>136</v>
      </c>
      <c r="C434" s="17">
        <v>31486.197040000025</v>
      </c>
      <c r="D434" s="18">
        <v>12.745507063532155</v>
      </c>
      <c r="E434" s="23"/>
      <c r="F434" s="23"/>
      <c r="G434" s="22"/>
      <c r="H434" s="22"/>
      <c r="I434" s="22"/>
      <c r="J434" s="22"/>
      <c r="K434" s="22"/>
      <c r="L434" s="22"/>
      <c r="M434" s="22"/>
      <c r="N434" s="18"/>
      <c r="O434" s="18"/>
      <c r="P434" s="22"/>
      <c r="Q434" s="22"/>
      <c r="R434" s="22"/>
      <c r="S434" s="22"/>
      <c r="T434" s="22"/>
      <c r="U434" s="22"/>
      <c r="V434" s="23"/>
      <c r="W434" s="23"/>
      <c r="X434" s="19"/>
      <c r="Y434" s="23"/>
      <c r="Z434" s="23"/>
      <c r="AA434" s="18">
        <v>159.02000000000001</v>
      </c>
      <c r="AB434" s="18"/>
      <c r="AC434" s="18">
        <v>159.02000000000001</v>
      </c>
      <c r="AD434" s="21"/>
      <c r="AE434" s="6"/>
      <c r="AF434" s="18"/>
      <c r="AG434" s="18"/>
      <c r="AH434" s="18"/>
      <c r="AI434" s="18"/>
      <c r="AK434" s="18"/>
      <c r="AL434" s="18"/>
      <c r="AM434" s="40" t="s">
        <v>118</v>
      </c>
      <c r="AN434" s="18"/>
      <c r="AO434" s="6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6"/>
      <c r="BK434" s="6"/>
      <c r="BL434" s="6" t="s">
        <v>58</v>
      </c>
      <c r="BO434" s="15"/>
    </row>
    <row r="435" spans="1:67">
      <c r="A435" s="6" t="s">
        <v>129</v>
      </c>
      <c r="B435" s="6" t="s">
        <v>136</v>
      </c>
      <c r="C435" s="17">
        <v>31500.80672800001</v>
      </c>
      <c r="D435" s="18">
        <v>12.785507063532117</v>
      </c>
      <c r="E435" s="23"/>
      <c r="F435" s="23"/>
      <c r="G435" s="22"/>
      <c r="H435" s="22"/>
      <c r="I435" s="22"/>
      <c r="J435" s="22"/>
      <c r="K435" s="22"/>
      <c r="L435" s="22"/>
      <c r="M435" s="22"/>
      <c r="N435" s="18"/>
      <c r="O435" s="18"/>
      <c r="P435" s="22"/>
      <c r="Q435" s="22"/>
      <c r="R435" s="22"/>
      <c r="S435" s="22"/>
      <c r="T435" s="22"/>
      <c r="U435" s="22"/>
      <c r="V435" s="23"/>
      <c r="W435" s="23"/>
      <c r="X435" s="19"/>
      <c r="Y435" s="23"/>
      <c r="Z435" s="23"/>
      <c r="AA435" s="18">
        <v>148.29</v>
      </c>
      <c r="AB435" s="18"/>
      <c r="AC435" s="18">
        <v>148.29</v>
      </c>
      <c r="AD435" s="21"/>
      <c r="AE435" s="6"/>
      <c r="AF435" s="18"/>
      <c r="AG435" s="18"/>
      <c r="AH435" s="18"/>
      <c r="AI435" s="18"/>
      <c r="AK435" s="18"/>
      <c r="AL435" s="18"/>
      <c r="AM435" s="40" t="s">
        <v>118</v>
      </c>
      <c r="AN435" s="18"/>
      <c r="AO435" s="6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6"/>
      <c r="BK435" s="6"/>
      <c r="BL435" s="6" t="s">
        <v>58</v>
      </c>
      <c r="BO435" s="15"/>
    </row>
    <row r="436" spans="1:67" ht="14.5" customHeight="1">
      <c r="A436" s="6" t="s">
        <v>129</v>
      </c>
      <c r="B436" s="6" t="s">
        <v>136</v>
      </c>
      <c r="C436" s="17">
        <v>31511.763994000001</v>
      </c>
      <c r="D436" s="18">
        <v>12.81550706353209</v>
      </c>
      <c r="E436" s="23"/>
      <c r="F436" s="23"/>
      <c r="G436" s="22"/>
      <c r="H436" s="22"/>
      <c r="I436" s="22"/>
      <c r="J436" s="22"/>
      <c r="K436" s="22"/>
      <c r="L436" s="22"/>
      <c r="M436" s="22"/>
      <c r="N436" s="18"/>
      <c r="O436" s="18"/>
      <c r="P436" s="22"/>
      <c r="Q436" s="22"/>
      <c r="R436" s="22"/>
      <c r="S436" s="22"/>
      <c r="T436" s="22"/>
      <c r="U436" s="22"/>
      <c r="V436" s="23"/>
      <c r="W436" s="23"/>
      <c r="X436" s="19"/>
      <c r="Y436" s="23"/>
      <c r="Z436" s="23"/>
      <c r="AA436" s="18">
        <v>150.24</v>
      </c>
      <c r="AB436" s="18"/>
      <c r="AC436" s="18">
        <v>150.24</v>
      </c>
      <c r="AD436" s="21"/>
      <c r="AE436" s="6"/>
      <c r="AF436" s="18"/>
      <c r="AG436" s="18"/>
      <c r="AH436" s="18"/>
      <c r="AI436" s="18"/>
      <c r="AK436" s="18"/>
      <c r="AL436" s="18"/>
      <c r="AM436" s="40" t="s">
        <v>118</v>
      </c>
      <c r="AN436" s="18"/>
      <c r="AO436" s="6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6"/>
      <c r="BK436" s="6"/>
      <c r="BL436" s="6" t="s">
        <v>58</v>
      </c>
      <c r="BO436" s="15"/>
    </row>
    <row r="437" spans="1:67">
      <c r="A437" s="6" t="s">
        <v>129</v>
      </c>
      <c r="B437" s="6" t="s">
        <v>136</v>
      </c>
      <c r="C437" s="17">
        <v>31530.026103999986</v>
      </c>
      <c r="D437" s="18">
        <v>12.86550706353205</v>
      </c>
      <c r="E437" s="23"/>
      <c r="F437" s="23"/>
      <c r="G437" s="22"/>
      <c r="H437" s="22"/>
      <c r="I437" s="22"/>
      <c r="J437" s="22"/>
      <c r="K437" s="22"/>
      <c r="L437" s="22"/>
      <c r="M437" s="22"/>
      <c r="N437" s="18"/>
      <c r="O437" s="18"/>
      <c r="P437" s="22"/>
      <c r="Q437" s="22"/>
      <c r="R437" s="22"/>
      <c r="S437" s="22"/>
      <c r="T437" s="22"/>
      <c r="U437" s="22"/>
      <c r="V437" s="23"/>
      <c r="W437" s="23"/>
      <c r="X437" s="19"/>
      <c r="Y437" s="23"/>
      <c r="Z437" s="23"/>
      <c r="AA437" s="18">
        <v>155.77000000000001</v>
      </c>
      <c r="AB437" s="18"/>
      <c r="AC437" s="18">
        <v>155.77000000000001</v>
      </c>
      <c r="AD437" s="21"/>
      <c r="AE437" s="6"/>
      <c r="AF437" s="18"/>
      <c r="AG437" s="18"/>
      <c r="AH437" s="18"/>
      <c r="AI437" s="18"/>
      <c r="AK437" s="18"/>
      <c r="AL437" s="18"/>
      <c r="AM437" s="40" t="s">
        <v>118</v>
      </c>
      <c r="AN437" s="18"/>
      <c r="AO437" s="6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6"/>
      <c r="BK437" s="6"/>
      <c r="BL437" s="6" t="s">
        <v>58</v>
      </c>
      <c r="BO437" s="15"/>
    </row>
    <row r="438" spans="1:67" ht="14.5" customHeight="1">
      <c r="A438" s="6" t="s">
        <v>129</v>
      </c>
      <c r="B438" s="6" t="s">
        <v>136</v>
      </c>
      <c r="C438" s="17">
        <v>31544.635791999972</v>
      </c>
      <c r="D438" s="18">
        <v>12.905507063532012</v>
      </c>
      <c r="E438" s="23"/>
      <c r="F438" s="23"/>
      <c r="G438" s="22"/>
      <c r="H438" s="22"/>
      <c r="I438" s="22"/>
      <c r="J438" s="22"/>
      <c r="K438" s="22"/>
      <c r="L438" s="22"/>
      <c r="M438" s="22"/>
      <c r="N438" s="18"/>
      <c r="O438" s="18"/>
      <c r="P438" s="22"/>
      <c r="Q438" s="22"/>
      <c r="R438" s="22"/>
      <c r="S438" s="22"/>
      <c r="T438" s="22"/>
      <c r="U438" s="22"/>
      <c r="V438" s="23"/>
      <c r="W438" s="23"/>
      <c r="X438" s="19"/>
      <c r="Y438" s="23"/>
      <c r="Z438" s="23"/>
      <c r="AA438" s="18">
        <v>189.92</v>
      </c>
      <c r="AB438" s="18"/>
      <c r="AC438" s="18">
        <v>189.92</v>
      </c>
      <c r="AD438" s="21"/>
      <c r="AE438" s="6"/>
      <c r="AF438" s="18"/>
      <c r="AG438" s="18"/>
      <c r="AH438" s="18"/>
      <c r="AI438" s="18"/>
      <c r="AK438" s="18"/>
      <c r="AL438" s="18"/>
      <c r="AM438" s="40" t="s">
        <v>118</v>
      </c>
      <c r="AN438" s="18"/>
      <c r="AO438" s="6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6"/>
      <c r="BK438" s="6"/>
      <c r="BL438" s="6" t="s">
        <v>58</v>
      </c>
      <c r="BO438" s="15"/>
    </row>
    <row r="439" spans="1:67">
      <c r="A439" s="6" t="s">
        <v>129</v>
      </c>
      <c r="B439" s="6" t="s">
        <v>136</v>
      </c>
      <c r="C439" s="17">
        <v>31555.593058000046</v>
      </c>
      <c r="D439" s="18">
        <v>12.935507063532214</v>
      </c>
      <c r="E439" s="23"/>
      <c r="F439" s="23"/>
      <c r="G439" s="22"/>
      <c r="H439" s="22"/>
      <c r="I439" s="22"/>
      <c r="J439" s="22"/>
      <c r="K439" s="22"/>
      <c r="L439" s="22"/>
      <c r="M439" s="22"/>
      <c r="N439" s="18"/>
      <c r="O439" s="18"/>
      <c r="P439" s="22"/>
      <c r="Q439" s="22"/>
      <c r="R439" s="22"/>
      <c r="S439" s="22"/>
      <c r="T439" s="22"/>
      <c r="U439" s="22"/>
      <c r="V439" s="23"/>
      <c r="W439" s="23"/>
      <c r="X439" s="19"/>
      <c r="Y439" s="23"/>
      <c r="Z439" s="23"/>
      <c r="AA439" s="18">
        <v>206.18</v>
      </c>
      <c r="AB439" s="18"/>
      <c r="AC439" s="18">
        <v>206.18</v>
      </c>
      <c r="AD439" s="21"/>
      <c r="AE439" s="6"/>
      <c r="AF439" s="18"/>
      <c r="AG439" s="18"/>
      <c r="AH439" s="18"/>
      <c r="AI439" s="18"/>
      <c r="AK439" s="18"/>
      <c r="AL439" s="18"/>
      <c r="AM439" s="40" t="s">
        <v>118</v>
      </c>
      <c r="AN439" s="18"/>
      <c r="AO439" s="6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6"/>
      <c r="BK439" s="6"/>
      <c r="BL439" s="6" t="s">
        <v>58</v>
      </c>
      <c r="BO439" s="15"/>
    </row>
    <row r="440" spans="1:67">
      <c r="A440" s="6" t="s">
        <v>129</v>
      </c>
      <c r="B440" s="6" t="s">
        <v>136</v>
      </c>
      <c r="C440" s="17">
        <v>31566.550324000036</v>
      </c>
      <c r="D440" s="18">
        <v>12.965507063532188</v>
      </c>
      <c r="E440" s="23"/>
      <c r="F440" s="23"/>
      <c r="G440" s="22"/>
      <c r="H440" s="22"/>
      <c r="I440" s="22"/>
      <c r="J440" s="22"/>
      <c r="K440" s="22"/>
      <c r="L440" s="22"/>
      <c r="M440" s="22"/>
      <c r="N440" s="18"/>
      <c r="O440" s="18"/>
      <c r="P440" s="22"/>
      <c r="Q440" s="22"/>
      <c r="R440" s="22"/>
      <c r="S440" s="22"/>
      <c r="T440" s="22"/>
      <c r="U440" s="22"/>
      <c r="V440" s="23"/>
      <c r="W440" s="23"/>
      <c r="X440" s="19"/>
      <c r="Y440" s="23"/>
      <c r="Z440" s="23"/>
      <c r="AA440" s="18">
        <v>217.56</v>
      </c>
      <c r="AB440" s="18"/>
      <c r="AC440" s="18">
        <v>217.56</v>
      </c>
      <c r="AD440" s="21"/>
      <c r="AE440" s="6"/>
      <c r="AF440" s="18"/>
      <c r="AG440" s="18"/>
      <c r="AH440" s="18"/>
      <c r="AI440" s="18"/>
      <c r="AK440" s="18"/>
      <c r="AL440" s="18"/>
      <c r="AM440" s="40" t="s">
        <v>118</v>
      </c>
      <c r="AN440" s="18"/>
      <c r="AO440" s="6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6"/>
      <c r="BK440" s="6"/>
      <c r="BL440" s="6" t="s">
        <v>58</v>
      </c>
      <c r="BO440" s="15"/>
    </row>
    <row r="441" spans="1:67">
      <c r="A441" s="6" t="s">
        <v>129</v>
      </c>
      <c r="B441" s="6" t="s">
        <v>136</v>
      </c>
      <c r="C441" s="17">
        <v>31584.812434000021</v>
      </c>
      <c r="D441" s="18">
        <v>13.015507063532146</v>
      </c>
      <c r="E441" s="23"/>
      <c r="F441" s="23"/>
      <c r="G441" s="22"/>
      <c r="H441" s="22"/>
      <c r="I441" s="22"/>
      <c r="J441" s="22"/>
      <c r="K441" s="22"/>
      <c r="L441" s="22"/>
      <c r="M441" s="22"/>
      <c r="N441" s="18"/>
      <c r="O441" s="18"/>
      <c r="P441" s="22"/>
      <c r="Q441" s="22"/>
      <c r="R441" s="22"/>
      <c r="S441" s="22"/>
      <c r="T441" s="22"/>
      <c r="U441" s="22"/>
      <c r="V441" s="23"/>
      <c r="W441" s="23"/>
      <c r="X441" s="19"/>
      <c r="Y441" s="23"/>
      <c r="Z441" s="23"/>
      <c r="AA441" s="18">
        <v>209.76</v>
      </c>
      <c r="AB441" s="18"/>
      <c r="AC441" s="18">
        <v>209.76</v>
      </c>
      <c r="AD441" s="21"/>
      <c r="AE441" s="6"/>
      <c r="AF441" s="18"/>
      <c r="AG441" s="18"/>
      <c r="AH441" s="18"/>
      <c r="AI441" s="18"/>
      <c r="AK441" s="18"/>
      <c r="AL441" s="18"/>
      <c r="AM441" s="40" t="s">
        <v>118</v>
      </c>
      <c r="AN441" s="18"/>
      <c r="AO441" s="6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6"/>
      <c r="BK441" s="6"/>
      <c r="BL441" s="6" t="s">
        <v>58</v>
      </c>
      <c r="BO441" s="15"/>
    </row>
    <row r="442" spans="1:67" ht="14.5" customHeight="1">
      <c r="A442" s="6" t="s">
        <v>129</v>
      </c>
      <c r="B442" s="6" t="s">
        <v>136</v>
      </c>
      <c r="C442" s="17">
        <v>31599.422122000007</v>
      </c>
      <c r="D442" s="18">
        <v>13.055507063532108</v>
      </c>
      <c r="E442" s="23"/>
      <c r="F442" s="23"/>
      <c r="G442" s="22"/>
      <c r="H442" s="22"/>
      <c r="I442" s="22"/>
      <c r="J442" s="22"/>
      <c r="K442" s="22"/>
      <c r="L442" s="22"/>
      <c r="M442" s="22"/>
      <c r="N442" s="18"/>
      <c r="O442" s="18"/>
      <c r="P442" s="22"/>
      <c r="Q442" s="22"/>
      <c r="R442" s="22"/>
      <c r="S442" s="22"/>
      <c r="T442" s="22"/>
      <c r="U442" s="22"/>
      <c r="V442" s="23"/>
      <c r="W442" s="23"/>
      <c r="X442" s="19"/>
      <c r="Y442" s="23"/>
      <c r="Z442" s="23"/>
      <c r="AA442" s="18">
        <v>196.75</v>
      </c>
      <c r="AB442" s="18"/>
      <c r="AC442" s="18">
        <v>196.75</v>
      </c>
      <c r="AD442" s="21"/>
      <c r="AE442" s="6"/>
      <c r="AF442" s="18"/>
      <c r="AG442" s="18"/>
      <c r="AH442" s="18"/>
      <c r="AI442" s="18"/>
      <c r="AK442" s="18"/>
      <c r="AL442" s="18"/>
      <c r="AM442" s="40" t="s">
        <v>118</v>
      </c>
      <c r="AN442" s="18"/>
      <c r="AO442" s="6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6"/>
      <c r="BK442" s="6"/>
      <c r="BL442" s="6" t="s">
        <v>58</v>
      </c>
      <c r="BO442" s="15"/>
    </row>
    <row r="443" spans="1:67" ht="14.5" customHeight="1">
      <c r="A443" s="6" t="s">
        <v>129</v>
      </c>
      <c r="B443" s="6" t="s">
        <v>136</v>
      </c>
      <c r="C443" s="17">
        <v>31610.379387999994</v>
      </c>
      <c r="D443" s="18">
        <v>13.085507063532072</v>
      </c>
      <c r="E443" s="23"/>
      <c r="F443" s="23"/>
      <c r="G443" s="22"/>
      <c r="H443" s="22"/>
      <c r="I443" s="22"/>
      <c r="J443" s="22"/>
      <c r="K443" s="22"/>
      <c r="L443" s="22"/>
      <c r="M443" s="22"/>
      <c r="N443" s="18"/>
      <c r="O443" s="18"/>
      <c r="P443" s="22"/>
      <c r="Q443" s="22"/>
      <c r="R443" s="22"/>
      <c r="S443" s="22"/>
      <c r="T443" s="22"/>
      <c r="U443" s="22"/>
      <c r="V443" s="23"/>
      <c r="W443" s="23"/>
      <c r="X443" s="19"/>
      <c r="Y443" s="23"/>
      <c r="Z443" s="23"/>
      <c r="AA443" s="18">
        <v>249.76</v>
      </c>
      <c r="AB443" s="18"/>
      <c r="AC443" s="18">
        <v>249.76</v>
      </c>
      <c r="AD443" s="21"/>
      <c r="AE443" s="6"/>
      <c r="AF443" s="18"/>
      <c r="AG443" s="18"/>
      <c r="AH443" s="18"/>
      <c r="AI443" s="18"/>
      <c r="AK443" s="18"/>
      <c r="AL443" s="18"/>
      <c r="AM443" s="40" t="s">
        <v>118</v>
      </c>
      <c r="AN443" s="18"/>
      <c r="AO443" s="6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6"/>
      <c r="BK443" s="6"/>
      <c r="BL443" s="6" t="s">
        <v>58</v>
      </c>
      <c r="BO443" s="15"/>
    </row>
    <row r="444" spans="1:67" ht="14.5" customHeight="1">
      <c r="A444" s="6" t="s">
        <v>129</v>
      </c>
      <c r="B444" s="6" t="s">
        <v>136</v>
      </c>
      <c r="C444" s="17">
        <v>31628.641497999979</v>
      </c>
      <c r="D444" s="18">
        <v>13.135507063532032</v>
      </c>
      <c r="E444" s="23"/>
      <c r="F444" s="23"/>
      <c r="G444" s="22"/>
      <c r="H444" s="22"/>
      <c r="I444" s="22"/>
      <c r="J444" s="22"/>
      <c r="K444" s="22"/>
      <c r="L444" s="22"/>
      <c r="M444" s="22"/>
      <c r="N444" s="18"/>
      <c r="O444" s="18"/>
      <c r="P444" s="22"/>
      <c r="Q444" s="22"/>
      <c r="R444" s="22"/>
      <c r="S444" s="22"/>
      <c r="T444" s="22"/>
      <c r="U444" s="22"/>
      <c r="V444" s="23"/>
      <c r="W444" s="23"/>
      <c r="X444" s="19"/>
      <c r="Y444" s="23"/>
      <c r="Z444" s="23"/>
      <c r="AA444" s="18">
        <v>295.27999999999997</v>
      </c>
      <c r="AB444" s="18"/>
      <c r="AC444" s="18">
        <v>295.27999999999997</v>
      </c>
      <c r="AD444" s="21"/>
      <c r="AE444" s="6"/>
      <c r="AF444" s="18"/>
      <c r="AG444" s="18"/>
      <c r="AH444" s="18"/>
      <c r="AI444" s="18"/>
      <c r="AK444" s="18"/>
      <c r="AL444" s="18"/>
      <c r="AM444" s="40" t="s">
        <v>118</v>
      </c>
      <c r="AN444" s="18"/>
      <c r="AO444" s="6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6"/>
      <c r="BK444" s="6"/>
      <c r="BL444" s="6" t="s">
        <v>58</v>
      </c>
      <c r="BO444" s="15"/>
    </row>
    <row r="445" spans="1:67" ht="14.5" customHeight="1">
      <c r="A445" s="6" t="s">
        <v>129</v>
      </c>
      <c r="B445" s="6" t="s">
        <v>136</v>
      </c>
      <c r="C445" s="17">
        <v>31643.251186000049</v>
      </c>
      <c r="D445" s="18">
        <v>13.175507063532221</v>
      </c>
      <c r="E445" s="23"/>
      <c r="F445" s="23"/>
      <c r="G445" s="22"/>
      <c r="H445" s="22"/>
      <c r="I445" s="22"/>
      <c r="J445" s="22"/>
      <c r="K445" s="22"/>
      <c r="L445" s="22"/>
      <c r="M445" s="22"/>
      <c r="N445" s="18"/>
      <c r="O445" s="18"/>
      <c r="P445" s="22"/>
      <c r="Q445" s="22"/>
      <c r="R445" s="22"/>
      <c r="S445" s="22"/>
      <c r="T445" s="22"/>
      <c r="U445" s="22"/>
      <c r="V445" s="23"/>
      <c r="W445" s="23"/>
      <c r="X445" s="19"/>
      <c r="Y445" s="23"/>
      <c r="Z445" s="23"/>
      <c r="AA445" s="18">
        <v>276.75</v>
      </c>
      <c r="AB445" s="18"/>
      <c r="AC445" s="18">
        <v>276.75</v>
      </c>
      <c r="AD445" s="21"/>
      <c r="AE445" s="6"/>
      <c r="AF445" s="18"/>
      <c r="AG445" s="18"/>
      <c r="AH445" s="18"/>
      <c r="AI445" s="18"/>
      <c r="AK445" s="18"/>
      <c r="AL445" s="18"/>
      <c r="AM445" s="40" t="s">
        <v>118</v>
      </c>
      <c r="AN445" s="18"/>
      <c r="AO445" s="6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6"/>
      <c r="BK445" s="6"/>
      <c r="BL445" s="6" t="s">
        <v>58</v>
      </c>
      <c r="BO445" s="15"/>
    </row>
    <row r="446" spans="1:67">
      <c r="A446" s="6" t="s">
        <v>129</v>
      </c>
      <c r="B446" s="6" t="s">
        <v>136</v>
      </c>
      <c r="C446" s="17">
        <v>31654.208452000039</v>
      </c>
      <c r="D446" s="18">
        <v>13.205507063532195</v>
      </c>
      <c r="E446" s="23"/>
      <c r="F446" s="23"/>
      <c r="G446" s="22"/>
      <c r="H446" s="22"/>
      <c r="I446" s="22"/>
      <c r="J446" s="22"/>
      <c r="K446" s="22"/>
      <c r="L446" s="22"/>
      <c r="M446" s="22"/>
      <c r="N446" s="18"/>
      <c r="O446" s="18"/>
      <c r="P446" s="22"/>
      <c r="Q446" s="22"/>
      <c r="R446" s="22"/>
      <c r="S446" s="22"/>
      <c r="T446" s="22"/>
      <c r="U446" s="22"/>
      <c r="V446" s="23"/>
      <c r="W446" s="23"/>
      <c r="X446" s="19"/>
      <c r="Y446" s="23"/>
      <c r="Z446" s="23"/>
      <c r="AA446" s="18">
        <v>296.26</v>
      </c>
      <c r="AB446" s="18"/>
      <c r="AC446" s="18">
        <v>296.26</v>
      </c>
      <c r="AD446" s="21"/>
      <c r="AE446" s="6"/>
      <c r="AF446" s="18"/>
      <c r="AG446" s="18"/>
      <c r="AH446" s="18"/>
      <c r="AI446" s="18"/>
      <c r="AK446" s="18"/>
      <c r="AL446" s="18"/>
      <c r="AM446" s="40" t="s">
        <v>118</v>
      </c>
      <c r="AN446" s="18"/>
      <c r="AO446" s="6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6"/>
      <c r="BK446" s="6"/>
      <c r="BL446" s="6" t="s">
        <v>58</v>
      </c>
      <c r="BO446" s="15"/>
    </row>
    <row r="447" spans="1:67" ht="14.5" customHeight="1">
      <c r="A447" s="6" t="s">
        <v>129</v>
      </c>
      <c r="B447" s="6" t="s">
        <v>136</v>
      </c>
      <c r="C447" s="17">
        <v>31665.165718000029</v>
      </c>
      <c r="D447" s="18">
        <v>13.235507063532168</v>
      </c>
      <c r="E447" s="23"/>
      <c r="F447" s="23"/>
      <c r="G447" s="22"/>
      <c r="H447" s="22"/>
      <c r="I447" s="22"/>
      <c r="J447" s="22"/>
      <c r="K447" s="22"/>
      <c r="L447" s="22"/>
      <c r="M447" s="22"/>
      <c r="N447" s="18"/>
      <c r="O447" s="18"/>
      <c r="P447" s="22"/>
      <c r="Q447" s="22"/>
      <c r="R447" s="22"/>
      <c r="S447" s="22"/>
      <c r="T447" s="22"/>
      <c r="U447" s="22"/>
      <c r="V447" s="23"/>
      <c r="W447" s="23"/>
      <c r="X447" s="19"/>
      <c r="Y447" s="23"/>
      <c r="Z447" s="23"/>
      <c r="AA447" s="18">
        <v>273.5</v>
      </c>
      <c r="AB447" s="18"/>
      <c r="AC447" s="18">
        <v>273.5</v>
      </c>
      <c r="AD447" s="21"/>
      <c r="AE447" s="6"/>
      <c r="AF447" s="18"/>
      <c r="AG447" s="18"/>
      <c r="AH447" s="18"/>
      <c r="AI447" s="18"/>
      <c r="AK447" s="18"/>
      <c r="AL447" s="18"/>
      <c r="AM447" s="40" t="s">
        <v>118</v>
      </c>
      <c r="AN447" s="18"/>
      <c r="AO447" s="6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6"/>
      <c r="BK447" s="6"/>
      <c r="BL447" s="6" t="s">
        <v>58</v>
      </c>
      <c r="BO447" s="15"/>
    </row>
    <row r="448" spans="1:67">
      <c r="A448" s="6" t="s">
        <v>129</v>
      </c>
      <c r="B448" s="6" t="s">
        <v>136</v>
      </c>
      <c r="C448" s="17">
        <v>31690.732672000006</v>
      </c>
      <c r="D448" s="18">
        <v>13.305507063532103</v>
      </c>
      <c r="E448" s="23"/>
      <c r="F448" s="23"/>
      <c r="G448" s="22"/>
      <c r="H448" s="22"/>
      <c r="I448" s="22"/>
      <c r="J448" s="22"/>
      <c r="K448" s="22"/>
      <c r="L448" s="22"/>
      <c r="M448" s="22"/>
      <c r="N448" s="18"/>
      <c r="O448" s="18"/>
      <c r="P448" s="22"/>
      <c r="Q448" s="22"/>
      <c r="R448" s="22"/>
      <c r="S448" s="22"/>
      <c r="T448" s="22"/>
      <c r="U448" s="22"/>
      <c r="V448" s="23"/>
      <c r="W448" s="23"/>
      <c r="X448" s="19"/>
      <c r="Y448" s="23"/>
      <c r="Z448" s="23"/>
      <c r="AA448" s="18">
        <v>269.58999999999997</v>
      </c>
      <c r="AB448" s="18"/>
      <c r="AC448" s="18">
        <v>269.58999999999997</v>
      </c>
      <c r="AD448" s="21"/>
      <c r="AE448" s="6"/>
      <c r="AF448" s="18"/>
      <c r="AG448" s="18"/>
      <c r="AH448" s="18"/>
      <c r="AI448" s="18"/>
      <c r="AK448" s="18"/>
      <c r="AL448" s="18"/>
      <c r="AM448" s="40" t="s">
        <v>118</v>
      </c>
      <c r="AN448" s="18"/>
      <c r="AO448" s="6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6"/>
      <c r="BK448" s="6"/>
      <c r="BL448" s="6" t="s">
        <v>58</v>
      </c>
      <c r="BO448" s="15"/>
    </row>
    <row r="449" spans="1:67" ht="14.5" customHeight="1">
      <c r="A449" s="6" t="s">
        <v>129</v>
      </c>
      <c r="B449" s="6" t="s">
        <v>136</v>
      </c>
      <c r="C449" s="17">
        <v>31698.037516</v>
      </c>
      <c r="D449" s="18">
        <v>13.32550706353209</v>
      </c>
      <c r="E449" s="23"/>
      <c r="F449" s="23"/>
      <c r="G449" s="22"/>
      <c r="H449" s="22"/>
      <c r="I449" s="22"/>
      <c r="J449" s="22"/>
      <c r="K449" s="22"/>
      <c r="L449" s="22"/>
      <c r="M449" s="22"/>
      <c r="N449" s="18"/>
      <c r="O449" s="18"/>
      <c r="P449" s="22"/>
      <c r="Q449" s="22"/>
      <c r="R449" s="22"/>
      <c r="S449" s="22"/>
      <c r="T449" s="22"/>
      <c r="U449" s="22"/>
      <c r="V449" s="23"/>
      <c r="W449" s="23"/>
      <c r="X449" s="19"/>
      <c r="Y449" s="23"/>
      <c r="Z449" s="23"/>
      <c r="AA449" s="18">
        <v>256.91000000000003</v>
      </c>
      <c r="AB449" s="18"/>
      <c r="AC449" s="18">
        <v>256.91000000000003</v>
      </c>
      <c r="AD449" s="21"/>
      <c r="AE449" s="6"/>
      <c r="AF449" s="18"/>
      <c r="AG449" s="18"/>
      <c r="AH449" s="18"/>
      <c r="AI449" s="18"/>
      <c r="AK449" s="18"/>
      <c r="AL449" s="18"/>
      <c r="AM449" s="40" t="s">
        <v>118</v>
      </c>
      <c r="AN449" s="18"/>
      <c r="AO449" s="6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6"/>
      <c r="BK449" s="6"/>
      <c r="BL449" s="6" t="s">
        <v>58</v>
      </c>
      <c r="BO449" s="15"/>
    </row>
    <row r="450" spans="1:67">
      <c r="A450" s="6" t="s">
        <v>129</v>
      </c>
      <c r="B450" s="6" t="s">
        <v>136</v>
      </c>
      <c r="C450" s="17">
        <v>31712.647203999986</v>
      </c>
      <c r="D450" s="18">
        <v>13.36550706353205</v>
      </c>
      <c r="E450" s="23"/>
      <c r="F450" s="23"/>
      <c r="G450" s="22"/>
      <c r="H450" s="22"/>
      <c r="I450" s="22"/>
      <c r="J450" s="22"/>
      <c r="K450" s="22"/>
      <c r="L450" s="22"/>
      <c r="M450" s="22"/>
      <c r="N450" s="18"/>
      <c r="O450" s="18"/>
      <c r="P450" s="22"/>
      <c r="Q450" s="22"/>
      <c r="R450" s="22"/>
      <c r="S450" s="22"/>
      <c r="T450" s="22"/>
      <c r="U450" s="22"/>
      <c r="V450" s="23"/>
      <c r="W450" s="23"/>
      <c r="X450" s="19"/>
      <c r="Y450" s="23"/>
      <c r="Z450" s="23"/>
      <c r="AA450" s="18">
        <v>270.89</v>
      </c>
      <c r="AB450" s="18"/>
      <c r="AC450" s="18">
        <v>270.89</v>
      </c>
      <c r="AD450" s="21"/>
      <c r="AE450" s="6"/>
      <c r="AF450" s="18"/>
      <c r="AG450" s="18"/>
      <c r="AH450" s="18"/>
      <c r="AI450" s="18"/>
      <c r="AK450" s="18"/>
      <c r="AL450" s="18"/>
      <c r="AM450" s="40" t="s">
        <v>118</v>
      </c>
      <c r="AN450" s="18"/>
      <c r="AO450" s="6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6"/>
      <c r="BK450" s="6"/>
      <c r="BL450" s="6" t="s">
        <v>58</v>
      </c>
      <c r="BO450" s="15"/>
    </row>
    <row r="451" spans="1:67" ht="14.5" customHeight="1">
      <c r="A451" s="6" t="s">
        <v>129</v>
      </c>
      <c r="B451" s="6" t="s">
        <v>136</v>
      </c>
      <c r="C451" s="17">
        <v>31723.604469999977</v>
      </c>
      <c r="D451" s="18">
        <v>13.395507063532024</v>
      </c>
      <c r="E451" s="23"/>
      <c r="F451" s="23"/>
      <c r="G451" s="22"/>
      <c r="H451" s="22"/>
      <c r="I451" s="22"/>
      <c r="J451" s="22"/>
      <c r="K451" s="22"/>
      <c r="L451" s="22"/>
      <c r="M451" s="22"/>
      <c r="N451" s="18"/>
      <c r="O451" s="18"/>
      <c r="P451" s="22"/>
      <c r="Q451" s="22"/>
      <c r="R451" s="22"/>
      <c r="S451" s="22"/>
      <c r="T451" s="22"/>
      <c r="U451" s="22"/>
      <c r="V451" s="23"/>
      <c r="W451" s="23"/>
      <c r="X451" s="19"/>
      <c r="Y451" s="23"/>
      <c r="Z451" s="23"/>
      <c r="AA451" s="18">
        <v>239.02</v>
      </c>
      <c r="AB451" s="18"/>
      <c r="AC451" s="18">
        <v>239.02</v>
      </c>
      <c r="AD451" s="21"/>
      <c r="AE451" s="6"/>
      <c r="AF451" s="18"/>
      <c r="AG451" s="18"/>
      <c r="AH451" s="18"/>
      <c r="AI451" s="18"/>
      <c r="AK451" s="18"/>
      <c r="AL451" s="18"/>
      <c r="AM451" s="40" t="s">
        <v>118</v>
      </c>
      <c r="AN451" s="18"/>
      <c r="AO451" s="6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6"/>
      <c r="BK451" s="6"/>
      <c r="BL451" s="6" t="s">
        <v>58</v>
      </c>
      <c r="BO451" s="15"/>
    </row>
    <row r="452" spans="1:67" ht="14.5" customHeight="1">
      <c r="A452" s="6" t="s">
        <v>129</v>
      </c>
      <c r="B452" s="6" t="s">
        <v>136</v>
      </c>
      <c r="C452" s="17">
        <v>31738.214158000046</v>
      </c>
      <c r="D452" s="18">
        <v>13.435507063532215</v>
      </c>
      <c r="E452" s="23"/>
      <c r="F452" s="23"/>
      <c r="G452" s="22"/>
      <c r="H452" s="22"/>
      <c r="I452" s="22"/>
      <c r="J452" s="22"/>
      <c r="K452" s="22"/>
      <c r="L452" s="22"/>
      <c r="M452" s="22"/>
      <c r="N452" s="18"/>
      <c r="O452" s="18"/>
      <c r="P452" s="22"/>
      <c r="Q452" s="22"/>
      <c r="R452" s="22"/>
      <c r="S452" s="22"/>
      <c r="T452" s="22"/>
      <c r="U452" s="22"/>
      <c r="V452" s="23"/>
      <c r="W452" s="23"/>
      <c r="X452" s="19"/>
      <c r="Y452" s="23"/>
      <c r="Z452" s="23"/>
      <c r="AA452" s="18">
        <v>249.11</v>
      </c>
      <c r="AB452" s="18"/>
      <c r="AC452" s="18">
        <v>249.11</v>
      </c>
      <c r="AD452" s="21"/>
      <c r="AE452" s="6"/>
      <c r="AF452" s="18"/>
      <c r="AG452" s="18"/>
      <c r="AH452" s="18"/>
      <c r="AI452" s="18"/>
      <c r="AK452" s="18"/>
      <c r="AL452" s="18"/>
      <c r="AM452" s="40" t="s">
        <v>118</v>
      </c>
      <c r="AN452" s="18"/>
      <c r="AO452" s="6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6"/>
      <c r="BK452" s="6"/>
      <c r="BL452" s="6" t="s">
        <v>58</v>
      </c>
      <c r="BO452" s="15"/>
    </row>
    <row r="453" spans="1:67">
      <c r="A453" s="6" t="s">
        <v>129</v>
      </c>
      <c r="B453" s="6" t="s">
        <v>136</v>
      </c>
      <c r="C453" s="17">
        <v>31760.128690000027</v>
      </c>
      <c r="D453" s="18">
        <v>13.495507063532161</v>
      </c>
      <c r="E453" s="23"/>
      <c r="F453" s="23"/>
      <c r="G453" s="22"/>
      <c r="H453" s="22"/>
      <c r="I453" s="22"/>
      <c r="J453" s="22"/>
      <c r="K453" s="22"/>
      <c r="L453" s="22"/>
      <c r="M453" s="22"/>
      <c r="N453" s="18"/>
      <c r="O453" s="18"/>
      <c r="P453" s="22"/>
      <c r="Q453" s="22"/>
      <c r="R453" s="22"/>
      <c r="S453" s="22"/>
      <c r="T453" s="22"/>
      <c r="U453" s="22"/>
      <c r="V453" s="23"/>
      <c r="W453" s="23"/>
      <c r="X453" s="19"/>
      <c r="Y453" s="23"/>
      <c r="Z453" s="23"/>
      <c r="AA453" s="18">
        <v>222.11</v>
      </c>
      <c r="AB453" s="18"/>
      <c r="AC453" s="18">
        <v>222.11</v>
      </c>
      <c r="AD453" s="21"/>
      <c r="AE453" s="6"/>
      <c r="AF453" s="18"/>
      <c r="AG453" s="18"/>
      <c r="AH453" s="18"/>
      <c r="AI453" s="18"/>
      <c r="AK453" s="18"/>
      <c r="AL453" s="18"/>
      <c r="AM453" s="40" t="s">
        <v>118</v>
      </c>
      <c r="AN453" s="18"/>
      <c r="AO453" s="6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6"/>
      <c r="BK453" s="6"/>
      <c r="BL453" s="6" t="s">
        <v>58</v>
      </c>
      <c r="BO453" s="15"/>
    </row>
    <row r="454" spans="1:67" ht="14.5" customHeight="1">
      <c r="A454" s="6" t="s">
        <v>129</v>
      </c>
      <c r="B454" s="6" t="s">
        <v>136</v>
      </c>
      <c r="C454" s="17">
        <v>31767.433534000018</v>
      </c>
      <c r="D454" s="18">
        <v>13.515507063532137</v>
      </c>
      <c r="E454" s="23"/>
      <c r="F454" s="23"/>
      <c r="G454" s="22"/>
      <c r="H454" s="22"/>
      <c r="I454" s="22"/>
      <c r="J454" s="22"/>
      <c r="K454" s="22"/>
      <c r="L454" s="22"/>
      <c r="M454" s="22"/>
      <c r="N454" s="18"/>
      <c r="O454" s="18"/>
      <c r="P454" s="22"/>
      <c r="Q454" s="22"/>
      <c r="R454" s="22"/>
      <c r="S454" s="22"/>
      <c r="T454" s="22"/>
      <c r="U454" s="22"/>
      <c r="V454" s="23"/>
      <c r="W454" s="23"/>
      <c r="X454" s="19"/>
      <c r="Y454" s="23"/>
      <c r="Z454" s="23"/>
      <c r="AA454" s="18">
        <v>211.38</v>
      </c>
      <c r="AB454" s="18"/>
      <c r="AC454" s="18">
        <v>211.38</v>
      </c>
      <c r="AD454" s="21"/>
      <c r="AE454" s="6"/>
      <c r="AF454" s="18"/>
      <c r="AG454" s="18"/>
      <c r="AH454" s="18"/>
      <c r="AI454" s="18"/>
      <c r="AK454" s="18"/>
      <c r="AL454" s="18"/>
      <c r="AM454" s="40" t="s">
        <v>118</v>
      </c>
      <c r="AN454" s="18"/>
      <c r="AO454" s="6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6"/>
      <c r="BK454" s="6"/>
      <c r="BL454" s="6" t="s">
        <v>58</v>
      </c>
      <c r="BO454" s="15"/>
    </row>
    <row r="455" spans="1:67" ht="14.5" customHeight="1">
      <c r="A455" s="6" t="s">
        <v>129</v>
      </c>
      <c r="B455" s="6" t="s">
        <v>136</v>
      </c>
      <c r="C455" s="17">
        <v>31782.043222000008</v>
      </c>
      <c r="D455" s="18">
        <v>13.555507063532108</v>
      </c>
      <c r="E455" s="23"/>
      <c r="F455" s="23"/>
      <c r="G455" s="22"/>
      <c r="H455" s="22"/>
      <c r="I455" s="22"/>
      <c r="J455" s="22"/>
      <c r="K455" s="22"/>
      <c r="L455" s="22"/>
      <c r="M455" s="22"/>
      <c r="N455" s="18"/>
      <c r="O455" s="18"/>
      <c r="P455" s="22"/>
      <c r="Q455" s="22"/>
      <c r="R455" s="22"/>
      <c r="S455" s="22"/>
      <c r="T455" s="22"/>
      <c r="U455" s="22"/>
      <c r="V455" s="23"/>
      <c r="W455" s="23"/>
      <c r="X455" s="19"/>
      <c r="Y455" s="23"/>
      <c r="Z455" s="23"/>
      <c r="AA455" s="18">
        <v>183.09</v>
      </c>
      <c r="AB455" s="18"/>
      <c r="AC455" s="18">
        <v>183.09</v>
      </c>
      <c r="AD455" s="21"/>
      <c r="AE455" s="6"/>
      <c r="AF455" s="18"/>
      <c r="AG455" s="18"/>
      <c r="AH455" s="18"/>
      <c r="AI455" s="18"/>
      <c r="AK455" s="18"/>
      <c r="AL455" s="18"/>
      <c r="AM455" s="40" t="s">
        <v>118</v>
      </c>
      <c r="AN455" s="18"/>
      <c r="AO455" s="6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6"/>
      <c r="BK455" s="6"/>
      <c r="BL455" s="6" t="s">
        <v>58</v>
      </c>
      <c r="BO455" s="15"/>
    </row>
    <row r="456" spans="1:67" ht="14.5" customHeight="1">
      <c r="A456" s="6" t="s">
        <v>129</v>
      </c>
      <c r="B456" s="6" t="s">
        <v>136</v>
      </c>
      <c r="C456" s="17">
        <v>31796.652909999993</v>
      </c>
      <c r="D456" s="18">
        <v>13.59550706353207</v>
      </c>
      <c r="E456" s="23"/>
      <c r="F456" s="23"/>
      <c r="G456" s="22"/>
      <c r="H456" s="22"/>
      <c r="I456" s="22"/>
      <c r="J456" s="22"/>
      <c r="K456" s="22"/>
      <c r="L456" s="22"/>
      <c r="M456" s="22"/>
      <c r="N456" s="18"/>
      <c r="O456" s="18"/>
      <c r="P456" s="22"/>
      <c r="Q456" s="22"/>
      <c r="R456" s="22"/>
      <c r="S456" s="22"/>
      <c r="T456" s="22"/>
      <c r="U456" s="22"/>
      <c r="V456" s="23"/>
      <c r="W456" s="23"/>
      <c r="X456" s="19"/>
      <c r="Y456" s="23"/>
      <c r="Z456" s="23"/>
      <c r="AA456" s="18">
        <v>175.61</v>
      </c>
      <c r="AB456" s="18"/>
      <c r="AC456" s="18">
        <v>175.61</v>
      </c>
      <c r="AD456" s="21"/>
      <c r="AE456" s="6"/>
      <c r="AF456" s="18"/>
      <c r="AG456" s="18"/>
      <c r="AH456" s="18"/>
      <c r="AI456" s="18"/>
      <c r="AK456" s="18"/>
      <c r="AL456" s="18"/>
      <c r="AM456" s="40" t="s">
        <v>118</v>
      </c>
      <c r="AN456" s="18"/>
      <c r="AO456" s="6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6"/>
      <c r="BK456" s="6"/>
      <c r="BL456" s="6" t="s">
        <v>58</v>
      </c>
      <c r="BO456" s="15"/>
    </row>
    <row r="457" spans="1:67">
      <c r="A457" s="6" t="s">
        <v>129</v>
      </c>
      <c r="B457" s="6" t="s">
        <v>136</v>
      </c>
      <c r="C457" s="17">
        <v>31807.610175999984</v>
      </c>
      <c r="D457" s="18">
        <v>13.625507063532044</v>
      </c>
      <c r="E457" s="23"/>
      <c r="F457" s="23"/>
      <c r="G457" s="22"/>
      <c r="H457" s="22"/>
      <c r="I457" s="22"/>
      <c r="J457" s="22"/>
      <c r="K457" s="22"/>
      <c r="L457" s="22"/>
      <c r="M457" s="22"/>
      <c r="N457" s="18"/>
      <c r="O457" s="18"/>
      <c r="P457" s="22"/>
      <c r="Q457" s="22"/>
      <c r="R457" s="22"/>
      <c r="S457" s="22"/>
      <c r="T457" s="22"/>
      <c r="U457" s="22"/>
      <c r="V457" s="23"/>
      <c r="W457" s="23"/>
      <c r="X457" s="19"/>
      <c r="Y457" s="23"/>
      <c r="Z457" s="23"/>
      <c r="AA457" s="18">
        <v>159.66999999999999</v>
      </c>
      <c r="AB457" s="18"/>
      <c r="AC457" s="18">
        <v>159.66999999999999</v>
      </c>
      <c r="AD457" s="21"/>
      <c r="AE457" s="6"/>
      <c r="AF457" s="18"/>
      <c r="AG457" s="18"/>
      <c r="AH457" s="18"/>
      <c r="AI457" s="18"/>
      <c r="AK457" s="18"/>
      <c r="AL457" s="18"/>
      <c r="AM457" s="40" t="s">
        <v>118</v>
      </c>
      <c r="AN457" s="18"/>
      <c r="AO457" s="6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6"/>
      <c r="BK457" s="6"/>
      <c r="BL457" s="6" t="s">
        <v>58</v>
      </c>
      <c r="BO457" s="15"/>
    </row>
    <row r="458" spans="1:67">
      <c r="A458" s="6" t="s">
        <v>129</v>
      </c>
      <c r="B458" s="6" t="s">
        <v>136</v>
      </c>
      <c r="C458" s="17">
        <v>31836.829552000039</v>
      </c>
      <c r="D458" s="18">
        <v>13.705507063532195</v>
      </c>
      <c r="E458" s="23"/>
      <c r="F458" s="23"/>
      <c r="G458" s="22"/>
      <c r="H458" s="22"/>
      <c r="I458" s="22"/>
      <c r="J458" s="22"/>
      <c r="K458" s="22"/>
      <c r="L458" s="22"/>
      <c r="M458" s="22"/>
      <c r="N458" s="18"/>
      <c r="O458" s="18"/>
      <c r="P458" s="22"/>
      <c r="Q458" s="22"/>
      <c r="R458" s="22"/>
      <c r="S458" s="22"/>
      <c r="T458" s="22"/>
      <c r="U458" s="22"/>
      <c r="V458" s="23"/>
      <c r="W458" s="23"/>
      <c r="X458" s="19"/>
      <c r="Y458" s="23"/>
      <c r="Z458" s="23"/>
      <c r="AA458" s="18">
        <v>172.36</v>
      </c>
      <c r="AB458" s="18"/>
      <c r="AC458" s="18">
        <v>172.36</v>
      </c>
      <c r="AD458" s="21"/>
      <c r="AE458" s="6"/>
      <c r="AF458" s="18"/>
      <c r="AG458" s="18"/>
      <c r="AH458" s="18"/>
      <c r="AI458" s="18"/>
      <c r="AK458" s="18"/>
      <c r="AL458" s="18"/>
      <c r="AM458" s="40" t="s">
        <v>118</v>
      </c>
      <c r="AN458" s="18"/>
      <c r="AO458" s="6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6"/>
      <c r="BK458" s="6"/>
      <c r="BL458" s="6" t="s">
        <v>58</v>
      </c>
      <c r="BO458" s="15"/>
    </row>
    <row r="459" spans="1:67">
      <c r="A459" s="6" t="s">
        <v>129</v>
      </c>
      <c r="B459" s="6" t="s">
        <v>136</v>
      </c>
      <c r="C459" s="17">
        <v>31851.439240000025</v>
      </c>
      <c r="D459" s="18">
        <v>13.745507063532157</v>
      </c>
      <c r="E459" s="23"/>
      <c r="F459" s="23"/>
      <c r="G459" s="22"/>
      <c r="H459" s="22"/>
      <c r="I459" s="22"/>
      <c r="J459" s="22"/>
      <c r="K459" s="22"/>
      <c r="L459" s="22"/>
      <c r="M459" s="22"/>
      <c r="N459" s="18"/>
      <c r="O459" s="18"/>
      <c r="P459" s="22"/>
      <c r="Q459" s="22"/>
      <c r="R459" s="22"/>
      <c r="S459" s="22"/>
      <c r="T459" s="22"/>
      <c r="U459" s="22"/>
      <c r="V459" s="23"/>
      <c r="W459" s="23"/>
      <c r="X459" s="19"/>
      <c r="Y459" s="23"/>
      <c r="Z459" s="23"/>
      <c r="AA459" s="18">
        <v>165.2</v>
      </c>
      <c r="AB459" s="18"/>
      <c r="AC459" s="18">
        <v>165.2</v>
      </c>
      <c r="AD459" s="21"/>
      <c r="AE459" s="6"/>
      <c r="AF459" s="18"/>
      <c r="AG459" s="18"/>
      <c r="AH459" s="18"/>
      <c r="AI459" s="18"/>
      <c r="AK459" s="18"/>
      <c r="AL459" s="18"/>
      <c r="AM459" s="40" t="s">
        <v>118</v>
      </c>
      <c r="AN459" s="18"/>
      <c r="AO459" s="6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6"/>
      <c r="BK459" s="6"/>
      <c r="BL459" s="6" t="s">
        <v>58</v>
      </c>
      <c r="BO459" s="15"/>
    </row>
    <row r="460" spans="1:67">
      <c r="A460" s="6" t="s">
        <v>129</v>
      </c>
      <c r="B460" s="6" t="s">
        <v>136</v>
      </c>
      <c r="C460" s="17">
        <v>31866.048928000011</v>
      </c>
      <c r="D460" s="18">
        <v>13.785507063532119</v>
      </c>
      <c r="E460" s="23"/>
      <c r="F460" s="23"/>
      <c r="G460" s="22"/>
      <c r="H460" s="22"/>
      <c r="I460" s="22"/>
      <c r="J460" s="22"/>
      <c r="K460" s="22"/>
      <c r="L460" s="22"/>
      <c r="M460" s="22"/>
      <c r="N460" s="18"/>
      <c r="O460" s="18"/>
      <c r="P460" s="22"/>
      <c r="Q460" s="22"/>
      <c r="R460" s="22"/>
      <c r="S460" s="22"/>
      <c r="T460" s="22"/>
      <c r="U460" s="22"/>
      <c r="V460" s="23"/>
      <c r="W460" s="23"/>
      <c r="X460" s="19"/>
      <c r="Y460" s="23"/>
      <c r="Z460" s="23"/>
      <c r="AA460" s="18">
        <v>160</v>
      </c>
      <c r="AB460" s="18"/>
      <c r="AC460" s="18">
        <v>160</v>
      </c>
      <c r="AD460" s="21"/>
      <c r="AE460" s="6"/>
      <c r="AF460" s="18"/>
      <c r="AG460" s="18"/>
      <c r="AH460" s="18"/>
      <c r="AI460" s="18"/>
      <c r="AK460" s="18"/>
      <c r="AL460" s="18"/>
      <c r="AM460" s="40" t="s">
        <v>118</v>
      </c>
      <c r="AN460" s="18"/>
      <c r="AO460" s="6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6"/>
      <c r="BK460" s="6"/>
      <c r="BL460" s="6" t="s">
        <v>58</v>
      </c>
      <c r="BO460" s="15"/>
    </row>
    <row r="461" spans="1:67" ht="14.5" customHeight="1">
      <c r="A461" s="6" t="s">
        <v>129</v>
      </c>
      <c r="B461" s="6" t="s">
        <v>136</v>
      </c>
      <c r="C461" s="17">
        <v>31887.963459999992</v>
      </c>
      <c r="D461" s="18">
        <v>13.845507063532066</v>
      </c>
      <c r="E461" s="23"/>
      <c r="F461" s="23"/>
      <c r="G461" s="22"/>
      <c r="H461" s="22"/>
      <c r="I461" s="22"/>
      <c r="J461" s="22"/>
      <c r="K461" s="22"/>
      <c r="L461" s="22"/>
      <c r="M461" s="22"/>
      <c r="N461" s="18"/>
      <c r="O461" s="18"/>
      <c r="P461" s="22"/>
      <c r="Q461" s="22"/>
      <c r="R461" s="22"/>
      <c r="S461" s="22"/>
      <c r="T461" s="22"/>
      <c r="U461" s="22"/>
      <c r="V461" s="23"/>
      <c r="W461" s="23"/>
      <c r="X461" s="19"/>
      <c r="Y461" s="23"/>
      <c r="Z461" s="23"/>
      <c r="AA461" s="18">
        <v>150.57</v>
      </c>
      <c r="AB461" s="18"/>
      <c r="AC461" s="18">
        <v>150.57</v>
      </c>
      <c r="AD461" s="21"/>
      <c r="AE461" s="6"/>
      <c r="AF461" s="18"/>
      <c r="AG461" s="18"/>
      <c r="AH461" s="18"/>
      <c r="AI461" s="18"/>
      <c r="AK461" s="18"/>
      <c r="AL461" s="18"/>
      <c r="AM461" s="40" t="s">
        <v>118</v>
      </c>
      <c r="AN461" s="18"/>
      <c r="AO461" s="6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6"/>
      <c r="BK461" s="6"/>
      <c r="BL461" s="6" t="s">
        <v>58</v>
      </c>
      <c r="BO461" s="15"/>
    </row>
    <row r="462" spans="1:67">
      <c r="A462" s="6" t="s">
        <v>129</v>
      </c>
      <c r="B462" s="6" t="s">
        <v>136</v>
      </c>
      <c r="C462" s="17">
        <v>31898.920725999982</v>
      </c>
      <c r="D462" s="18">
        <v>13.875507063532039</v>
      </c>
      <c r="E462" s="23"/>
      <c r="F462" s="23"/>
      <c r="G462" s="22"/>
      <c r="H462" s="22"/>
      <c r="I462" s="22"/>
      <c r="J462" s="22"/>
      <c r="K462" s="22"/>
      <c r="L462" s="22"/>
      <c r="M462" s="22"/>
      <c r="N462" s="18"/>
      <c r="O462" s="18"/>
      <c r="P462" s="22"/>
      <c r="Q462" s="22"/>
      <c r="R462" s="22"/>
      <c r="S462" s="22"/>
      <c r="T462" s="22"/>
      <c r="U462" s="22"/>
      <c r="V462" s="23"/>
      <c r="W462" s="23"/>
      <c r="X462" s="19"/>
      <c r="Y462" s="23"/>
      <c r="Z462" s="23"/>
      <c r="AA462" s="18">
        <v>151.87</v>
      </c>
      <c r="AB462" s="18"/>
      <c r="AC462" s="18">
        <v>151.87</v>
      </c>
      <c r="AD462" s="21"/>
      <c r="AE462" s="6"/>
      <c r="AF462" s="18"/>
      <c r="AG462" s="18"/>
      <c r="AH462" s="18"/>
      <c r="AI462" s="18"/>
      <c r="AK462" s="18"/>
      <c r="AL462" s="18"/>
      <c r="AM462" s="40" t="s">
        <v>118</v>
      </c>
      <c r="AN462" s="18"/>
      <c r="AO462" s="6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6"/>
      <c r="BK462" s="6"/>
      <c r="BL462" s="6" t="s">
        <v>58</v>
      </c>
      <c r="BO462" s="15"/>
    </row>
    <row r="463" spans="1:67">
      <c r="A463" s="6" t="s">
        <v>129</v>
      </c>
      <c r="B463" s="6" t="s">
        <v>136</v>
      </c>
      <c r="C463" s="17">
        <v>31917.182836000051</v>
      </c>
      <c r="D463" s="18">
        <v>13.925507063532228</v>
      </c>
      <c r="E463" s="23"/>
      <c r="F463" s="23"/>
      <c r="G463" s="22"/>
      <c r="H463" s="22"/>
      <c r="I463" s="22"/>
      <c r="J463" s="22"/>
      <c r="K463" s="22"/>
      <c r="L463" s="22"/>
      <c r="M463" s="22"/>
      <c r="N463" s="18"/>
      <c r="O463" s="18"/>
      <c r="P463" s="22"/>
      <c r="Q463" s="22"/>
      <c r="R463" s="22"/>
      <c r="S463" s="22"/>
      <c r="T463" s="22"/>
      <c r="U463" s="22"/>
      <c r="V463" s="23"/>
      <c r="W463" s="23"/>
      <c r="X463" s="19"/>
      <c r="Y463" s="23"/>
      <c r="Z463" s="23"/>
      <c r="AA463" s="18">
        <v>157.72</v>
      </c>
      <c r="AB463" s="18"/>
      <c r="AC463" s="18">
        <v>157.72</v>
      </c>
      <c r="AD463" s="21"/>
      <c r="AE463" s="6"/>
      <c r="AF463" s="18"/>
      <c r="AG463" s="18"/>
      <c r="AH463" s="18"/>
      <c r="AI463" s="18"/>
      <c r="AK463" s="18"/>
      <c r="AL463" s="18"/>
      <c r="AM463" s="40" t="s">
        <v>118</v>
      </c>
      <c r="AN463" s="18"/>
      <c r="AO463" s="6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6"/>
      <c r="BK463" s="6"/>
      <c r="BL463" s="6" t="s">
        <v>58</v>
      </c>
      <c r="BO463" s="15"/>
    </row>
    <row r="464" spans="1:67" ht="14.5" customHeight="1">
      <c r="A464" s="6" t="s">
        <v>129</v>
      </c>
      <c r="B464" s="6" t="s">
        <v>136</v>
      </c>
      <c r="C464" s="17">
        <v>31928.140102000041</v>
      </c>
      <c r="D464" s="18">
        <v>13.955507063532201</v>
      </c>
      <c r="E464" s="23"/>
      <c r="F464" s="23"/>
      <c r="G464" s="22"/>
      <c r="H464" s="22"/>
      <c r="I464" s="22"/>
      <c r="J464" s="22"/>
      <c r="K464" s="22"/>
      <c r="L464" s="22"/>
      <c r="M464" s="22"/>
      <c r="N464" s="18"/>
      <c r="O464" s="18"/>
      <c r="P464" s="22"/>
      <c r="Q464" s="22"/>
      <c r="R464" s="22"/>
      <c r="S464" s="22"/>
      <c r="T464" s="22"/>
      <c r="U464" s="22"/>
      <c r="V464" s="23"/>
      <c r="W464" s="23"/>
      <c r="X464" s="19"/>
      <c r="Y464" s="23"/>
      <c r="Z464" s="23"/>
      <c r="AA464" s="18">
        <v>164.55</v>
      </c>
      <c r="AB464" s="18"/>
      <c r="AC464" s="18">
        <v>164.55</v>
      </c>
      <c r="AD464" s="21"/>
      <c r="AE464" s="6"/>
      <c r="AF464" s="18"/>
      <c r="AG464" s="18"/>
      <c r="AH464" s="18"/>
      <c r="AI464" s="18"/>
      <c r="AK464" s="18"/>
      <c r="AL464" s="18"/>
      <c r="AM464" s="40" t="s">
        <v>118</v>
      </c>
      <c r="AN464" s="18"/>
      <c r="AO464" s="6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6"/>
      <c r="BK464" s="6"/>
      <c r="BL464" s="6" t="s">
        <v>58</v>
      </c>
      <c r="BO464" s="15"/>
    </row>
    <row r="465" spans="1:67">
      <c r="A465" s="6" t="s">
        <v>129</v>
      </c>
      <c r="B465" s="6" t="s">
        <v>136</v>
      </c>
      <c r="C465" s="17">
        <v>31942.749790000027</v>
      </c>
      <c r="D465" s="18">
        <v>13.995507063532163</v>
      </c>
      <c r="E465" s="23"/>
      <c r="F465" s="23"/>
      <c r="G465" s="22"/>
      <c r="H465" s="22"/>
      <c r="I465" s="22"/>
      <c r="J465" s="22"/>
      <c r="K465" s="22"/>
      <c r="L465" s="22"/>
      <c r="M465" s="22"/>
      <c r="N465" s="18"/>
      <c r="O465" s="18"/>
      <c r="P465" s="22"/>
      <c r="Q465" s="22"/>
      <c r="R465" s="22"/>
      <c r="S465" s="22"/>
      <c r="T465" s="22"/>
      <c r="U465" s="22"/>
      <c r="V465" s="23"/>
      <c r="W465" s="23"/>
      <c r="X465" s="19"/>
      <c r="Y465" s="23"/>
      <c r="Z465" s="23"/>
      <c r="AA465" s="18">
        <v>161.63</v>
      </c>
      <c r="AB465" s="18"/>
      <c r="AC465" s="18">
        <v>161.63</v>
      </c>
      <c r="AD465" s="21"/>
      <c r="AE465" s="6"/>
      <c r="AF465" s="18"/>
      <c r="AG465" s="18"/>
      <c r="AH465" s="18"/>
      <c r="AI465" s="18"/>
      <c r="AK465" s="18"/>
      <c r="AL465" s="18"/>
      <c r="AM465" s="40" t="s">
        <v>118</v>
      </c>
      <c r="AN465" s="18"/>
      <c r="AO465" s="6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6"/>
      <c r="BK465" s="6"/>
      <c r="BL465" s="6" t="s">
        <v>58</v>
      </c>
      <c r="BO465" s="15"/>
    </row>
    <row r="466" spans="1:67">
      <c r="A466" s="6" t="s">
        <v>129</v>
      </c>
      <c r="B466" s="6" t="s">
        <v>136</v>
      </c>
      <c r="C466" s="17">
        <v>31957.359478000013</v>
      </c>
      <c r="D466" s="18">
        <v>14.035507063532124</v>
      </c>
      <c r="E466" s="23"/>
      <c r="F466" s="23"/>
      <c r="G466" s="22"/>
      <c r="H466" s="22"/>
      <c r="I466" s="22"/>
      <c r="J466" s="22"/>
      <c r="K466" s="22"/>
      <c r="L466" s="22"/>
      <c r="M466" s="22"/>
      <c r="N466" s="18"/>
      <c r="O466" s="18"/>
      <c r="P466" s="22"/>
      <c r="Q466" s="22"/>
      <c r="R466" s="22"/>
      <c r="S466" s="22"/>
      <c r="T466" s="22"/>
      <c r="U466" s="22"/>
      <c r="V466" s="23"/>
      <c r="W466" s="23"/>
      <c r="X466" s="19"/>
      <c r="Y466" s="23"/>
      <c r="Z466" s="23"/>
      <c r="AA466" s="18">
        <v>186.67</v>
      </c>
      <c r="AB466" s="18"/>
      <c r="AC466" s="18">
        <v>186.67</v>
      </c>
      <c r="AD466" s="21"/>
      <c r="AE466" s="6"/>
      <c r="AF466" s="18"/>
      <c r="AG466" s="18"/>
      <c r="AH466" s="18"/>
      <c r="AI466" s="18"/>
      <c r="AK466" s="18"/>
      <c r="AL466" s="18"/>
      <c r="AM466" s="40" t="s">
        <v>118</v>
      </c>
      <c r="AN466" s="18"/>
      <c r="AO466" s="6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6"/>
      <c r="BK466" s="6"/>
      <c r="BL466" s="6" t="s">
        <v>58</v>
      </c>
      <c r="BO466" s="15"/>
    </row>
    <row r="467" spans="1:67" ht="14.5" customHeight="1">
      <c r="A467" s="6" t="s">
        <v>129</v>
      </c>
      <c r="B467" s="6" t="s">
        <v>136</v>
      </c>
      <c r="C467" s="17">
        <v>31968.316744000003</v>
      </c>
      <c r="D467" s="18">
        <v>14.065507063532097</v>
      </c>
      <c r="E467" s="23"/>
      <c r="F467" s="23"/>
      <c r="G467" s="22"/>
      <c r="H467" s="22"/>
      <c r="I467" s="22"/>
      <c r="J467" s="22"/>
      <c r="K467" s="22"/>
      <c r="L467" s="22"/>
      <c r="M467" s="22"/>
      <c r="N467" s="18"/>
      <c r="O467" s="18"/>
      <c r="P467" s="22"/>
      <c r="Q467" s="22"/>
      <c r="R467" s="22"/>
      <c r="S467" s="22"/>
      <c r="T467" s="22"/>
      <c r="U467" s="22"/>
      <c r="V467" s="23"/>
      <c r="W467" s="23"/>
      <c r="X467" s="19"/>
      <c r="Y467" s="23"/>
      <c r="Z467" s="23"/>
      <c r="AA467" s="18">
        <v>185.37</v>
      </c>
      <c r="AB467" s="18"/>
      <c r="AC467" s="18">
        <v>185.37</v>
      </c>
      <c r="AD467" s="21"/>
      <c r="AE467" s="6"/>
      <c r="AF467" s="18"/>
      <c r="AG467" s="18"/>
      <c r="AH467" s="18"/>
      <c r="AI467" s="18"/>
      <c r="AK467" s="18"/>
      <c r="AL467" s="18"/>
      <c r="AM467" s="40" t="s">
        <v>118</v>
      </c>
      <c r="AN467" s="18"/>
      <c r="AO467" s="6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6"/>
      <c r="BK467" s="6"/>
      <c r="BL467" s="6" t="s">
        <v>58</v>
      </c>
      <c r="BO467" s="15"/>
    </row>
    <row r="468" spans="1:67" ht="14.5" customHeight="1">
      <c r="A468" s="6" t="s">
        <v>129</v>
      </c>
      <c r="B468" s="6" t="s">
        <v>136</v>
      </c>
      <c r="C468" s="17">
        <v>31986.578853999985</v>
      </c>
      <c r="D468" s="18">
        <v>14.115507063532046</v>
      </c>
      <c r="E468" s="23"/>
      <c r="F468" s="23"/>
      <c r="G468" s="22"/>
      <c r="H468" s="22"/>
      <c r="I468" s="22"/>
      <c r="J468" s="22"/>
      <c r="K468" s="22"/>
      <c r="L468" s="22"/>
      <c r="M468" s="22"/>
      <c r="N468" s="18"/>
      <c r="O468" s="18"/>
      <c r="P468" s="22"/>
      <c r="Q468" s="22"/>
      <c r="R468" s="22"/>
      <c r="S468" s="22"/>
      <c r="T468" s="22"/>
      <c r="U468" s="22"/>
      <c r="V468" s="23"/>
      <c r="W468" s="23"/>
      <c r="X468" s="19"/>
      <c r="Y468" s="23"/>
      <c r="Z468" s="23"/>
      <c r="AA468" s="18">
        <v>178.54</v>
      </c>
      <c r="AB468" s="18"/>
      <c r="AC468" s="18">
        <v>178.54</v>
      </c>
      <c r="AD468" s="21"/>
      <c r="AE468" s="6"/>
      <c r="AF468" s="18"/>
      <c r="AG468" s="18"/>
      <c r="AH468" s="18"/>
      <c r="AI468" s="18"/>
      <c r="AK468" s="18"/>
      <c r="AL468" s="18"/>
      <c r="AM468" s="40" t="s">
        <v>118</v>
      </c>
      <c r="AN468" s="18"/>
      <c r="AO468" s="6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6"/>
      <c r="BK468" s="6"/>
      <c r="BL468" s="6" t="s">
        <v>58</v>
      </c>
      <c r="BO468" s="15"/>
    </row>
    <row r="469" spans="1:67">
      <c r="A469" s="6" t="s">
        <v>129</v>
      </c>
      <c r="B469" s="6" t="s">
        <v>136</v>
      </c>
      <c r="C469" s="17">
        <v>32001.188541999974</v>
      </c>
      <c r="D469" s="18">
        <v>14.155507063532019</v>
      </c>
      <c r="E469" s="23"/>
      <c r="F469" s="23"/>
      <c r="G469" s="22"/>
      <c r="H469" s="22"/>
      <c r="I469" s="22"/>
      <c r="J469" s="22"/>
      <c r="K469" s="22"/>
      <c r="L469" s="22"/>
      <c r="M469" s="22"/>
      <c r="N469" s="18"/>
      <c r="O469" s="18"/>
      <c r="P469" s="22"/>
      <c r="Q469" s="22"/>
      <c r="R469" s="22"/>
      <c r="S469" s="22"/>
      <c r="T469" s="22"/>
      <c r="U469" s="22"/>
      <c r="V469" s="23"/>
      <c r="W469" s="23"/>
      <c r="X469" s="19"/>
      <c r="Y469" s="23"/>
      <c r="Z469" s="23"/>
      <c r="AA469" s="18">
        <v>198.7</v>
      </c>
      <c r="AB469" s="18"/>
      <c r="AC469" s="18">
        <v>198.7</v>
      </c>
      <c r="AD469" s="21"/>
      <c r="AE469" s="6"/>
      <c r="AF469" s="18"/>
      <c r="AG469" s="18"/>
      <c r="AH469" s="18"/>
      <c r="AI469" s="18"/>
      <c r="AK469" s="18"/>
      <c r="AL469" s="18"/>
      <c r="AM469" s="40" t="s">
        <v>118</v>
      </c>
      <c r="AN469" s="18"/>
      <c r="AO469" s="6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6"/>
      <c r="BK469" s="6"/>
      <c r="BL469" s="6" t="s">
        <v>58</v>
      </c>
      <c r="BO469" s="15"/>
    </row>
    <row r="470" spans="1:67" ht="14.5" customHeight="1">
      <c r="A470" s="6" t="s">
        <v>129</v>
      </c>
      <c r="B470" s="6" t="s">
        <v>136</v>
      </c>
      <c r="C470" s="17">
        <v>32012.145808000045</v>
      </c>
      <c r="D470" s="18">
        <v>14.18550706353221</v>
      </c>
      <c r="E470" s="23"/>
      <c r="F470" s="23"/>
      <c r="G470" s="22"/>
      <c r="H470" s="22"/>
      <c r="I470" s="22"/>
      <c r="J470" s="22"/>
      <c r="K470" s="22"/>
      <c r="L470" s="22"/>
      <c r="M470" s="22"/>
      <c r="N470" s="18"/>
      <c r="O470" s="18"/>
      <c r="P470" s="22"/>
      <c r="Q470" s="22"/>
      <c r="R470" s="22"/>
      <c r="S470" s="22"/>
      <c r="T470" s="22"/>
      <c r="U470" s="22"/>
      <c r="V470" s="23"/>
      <c r="W470" s="23"/>
      <c r="X470" s="19"/>
      <c r="Y470" s="23"/>
      <c r="Z470" s="23"/>
      <c r="AA470" s="18">
        <v>200.98</v>
      </c>
      <c r="AB470" s="18"/>
      <c r="AC470" s="18">
        <v>200.98</v>
      </c>
      <c r="AD470" s="21"/>
      <c r="AE470" s="6"/>
      <c r="AF470" s="18"/>
      <c r="AG470" s="18"/>
      <c r="AH470" s="18"/>
      <c r="AI470" s="18"/>
      <c r="AK470" s="18"/>
      <c r="AL470" s="18"/>
      <c r="AM470" s="40" t="s">
        <v>118</v>
      </c>
      <c r="AN470" s="18"/>
      <c r="AO470" s="6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6"/>
      <c r="BK470" s="6"/>
      <c r="BL470" s="6" t="s">
        <v>58</v>
      </c>
      <c r="BO470" s="15"/>
    </row>
    <row r="471" spans="1:67" ht="14.5" customHeight="1">
      <c r="A471" s="6" t="s">
        <v>129</v>
      </c>
      <c r="B471" s="6" t="s">
        <v>136</v>
      </c>
      <c r="C471" s="17">
        <v>32041.36518400002</v>
      </c>
      <c r="D471" s="18">
        <v>14.265507063532144</v>
      </c>
      <c r="E471" s="23"/>
      <c r="F471" s="23"/>
      <c r="G471" s="22"/>
      <c r="H471" s="22"/>
      <c r="I471" s="22"/>
      <c r="J471" s="22"/>
      <c r="K471" s="22"/>
      <c r="L471" s="22"/>
      <c r="M471" s="22"/>
      <c r="N471" s="18"/>
      <c r="O471" s="18"/>
      <c r="P471" s="22"/>
      <c r="Q471" s="22"/>
      <c r="R471" s="22"/>
      <c r="S471" s="22"/>
      <c r="T471" s="22"/>
      <c r="U471" s="22"/>
      <c r="V471" s="23"/>
      <c r="W471" s="23"/>
      <c r="X471" s="19"/>
      <c r="Y471" s="23"/>
      <c r="Z471" s="23"/>
      <c r="AA471" s="18">
        <v>194.15</v>
      </c>
      <c r="AB471" s="18"/>
      <c r="AC471" s="18">
        <v>194.15</v>
      </c>
      <c r="AD471" s="21"/>
      <c r="AE471" s="6"/>
      <c r="AF471" s="18"/>
      <c r="AG471" s="18"/>
      <c r="AH471" s="18"/>
      <c r="AI471" s="18"/>
      <c r="AK471" s="18"/>
      <c r="AL471" s="18"/>
      <c r="AM471" s="40" t="s">
        <v>118</v>
      </c>
      <c r="AN471" s="18"/>
      <c r="AO471" s="6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6"/>
      <c r="BK471" s="6"/>
      <c r="BL471" s="6" t="s">
        <v>58</v>
      </c>
      <c r="BO471" s="15"/>
    </row>
    <row r="472" spans="1:67" ht="14.5" customHeight="1">
      <c r="A472" s="6" t="s">
        <v>129</v>
      </c>
      <c r="B472" s="6" t="s">
        <v>136</v>
      </c>
      <c r="C472" s="17">
        <v>32055.974872000006</v>
      </c>
      <c r="D472" s="18">
        <v>14.305507063532104</v>
      </c>
      <c r="E472" s="23"/>
      <c r="F472" s="23"/>
      <c r="G472" s="22"/>
      <c r="H472" s="22"/>
      <c r="I472" s="22"/>
      <c r="J472" s="22"/>
      <c r="K472" s="22"/>
      <c r="L472" s="22"/>
      <c r="M472" s="22"/>
      <c r="N472" s="18"/>
      <c r="O472" s="18"/>
      <c r="P472" s="22"/>
      <c r="Q472" s="22"/>
      <c r="R472" s="22"/>
      <c r="S472" s="22"/>
      <c r="T472" s="22"/>
      <c r="U472" s="22"/>
      <c r="V472" s="23"/>
      <c r="W472" s="23"/>
      <c r="X472" s="19"/>
      <c r="Y472" s="23"/>
      <c r="Z472" s="23"/>
      <c r="AA472" s="18">
        <v>174.96</v>
      </c>
      <c r="AB472" s="18"/>
      <c r="AC472" s="18">
        <v>174.96</v>
      </c>
      <c r="AD472" s="21"/>
      <c r="AE472" s="6"/>
      <c r="AF472" s="18"/>
      <c r="AG472" s="18"/>
      <c r="AH472" s="18"/>
      <c r="AI472" s="18"/>
      <c r="AK472" s="18"/>
      <c r="AL472" s="18"/>
      <c r="AM472" s="40" t="s">
        <v>118</v>
      </c>
      <c r="AN472" s="18"/>
      <c r="AO472" s="6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6"/>
      <c r="BK472" s="6"/>
      <c r="BL472" s="6" t="s">
        <v>58</v>
      </c>
      <c r="BO472" s="15"/>
    </row>
    <row r="473" spans="1:67">
      <c r="A473" s="6" t="s">
        <v>129</v>
      </c>
      <c r="B473" s="6" t="s">
        <v>136</v>
      </c>
      <c r="C473" s="17">
        <v>32070.584559999992</v>
      </c>
      <c r="D473" s="18">
        <v>14.345507063532066</v>
      </c>
      <c r="E473" s="23"/>
      <c r="F473" s="23"/>
      <c r="G473" s="22"/>
      <c r="H473" s="22"/>
      <c r="I473" s="22"/>
      <c r="J473" s="22"/>
      <c r="K473" s="22"/>
      <c r="L473" s="22"/>
      <c r="M473" s="22"/>
      <c r="N473" s="18"/>
      <c r="O473" s="18"/>
      <c r="P473" s="22"/>
      <c r="Q473" s="22"/>
      <c r="R473" s="22"/>
      <c r="S473" s="22"/>
      <c r="T473" s="22"/>
      <c r="U473" s="22"/>
      <c r="V473" s="23"/>
      <c r="W473" s="23"/>
      <c r="X473" s="19"/>
      <c r="Y473" s="23"/>
      <c r="Z473" s="23"/>
      <c r="AA473" s="18">
        <v>169.11</v>
      </c>
      <c r="AB473" s="18"/>
      <c r="AC473" s="18">
        <v>169.11</v>
      </c>
      <c r="AD473" s="21"/>
      <c r="AE473" s="6"/>
      <c r="AF473" s="18"/>
      <c r="AG473" s="18"/>
      <c r="AH473" s="18"/>
      <c r="AI473" s="18"/>
      <c r="AK473" s="18"/>
      <c r="AL473" s="18"/>
      <c r="AM473" s="40" t="s">
        <v>118</v>
      </c>
      <c r="AN473" s="18"/>
      <c r="AO473" s="6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6"/>
      <c r="BK473" s="6"/>
      <c r="BL473" s="6" t="s">
        <v>58</v>
      </c>
      <c r="BO473" s="15"/>
    </row>
    <row r="474" spans="1:67" ht="14.5" customHeight="1">
      <c r="A474" s="6" t="s">
        <v>129</v>
      </c>
      <c r="B474" s="6" t="s">
        <v>136</v>
      </c>
      <c r="C474" s="17">
        <v>32081.541825999982</v>
      </c>
      <c r="D474" s="18">
        <v>14.375507063532041</v>
      </c>
      <c r="E474" s="23"/>
      <c r="F474" s="23"/>
      <c r="G474" s="22"/>
      <c r="H474" s="22"/>
      <c r="I474" s="22"/>
      <c r="J474" s="22"/>
      <c r="K474" s="22"/>
      <c r="L474" s="22"/>
      <c r="M474" s="22"/>
      <c r="N474" s="18"/>
      <c r="O474" s="18"/>
      <c r="P474" s="22"/>
      <c r="Q474" s="22"/>
      <c r="R474" s="22"/>
      <c r="S474" s="22"/>
      <c r="T474" s="22"/>
      <c r="U474" s="22"/>
      <c r="V474" s="23"/>
      <c r="W474" s="23"/>
      <c r="X474" s="19"/>
      <c r="Y474" s="23"/>
      <c r="Z474" s="23"/>
      <c r="AA474" s="18">
        <v>156.1</v>
      </c>
      <c r="AB474" s="18"/>
      <c r="AC474" s="18">
        <v>156.1</v>
      </c>
      <c r="AD474" s="21"/>
      <c r="AE474" s="6"/>
      <c r="AF474" s="18"/>
      <c r="AG474" s="18"/>
      <c r="AH474" s="18"/>
      <c r="AI474" s="18"/>
      <c r="AK474" s="18"/>
      <c r="AL474" s="18"/>
      <c r="AM474" s="40" t="s">
        <v>118</v>
      </c>
      <c r="AN474" s="18"/>
      <c r="AO474" s="6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6"/>
      <c r="BK474" s="6"/>
      <c r="BL474" s="6" t="s">
        <v>58</v>
      </c>
      <c r="BO474" s="15"/>
    </row>
    <row r="475" spans="1:67" ht="14.5" customHeight="1">
      <c r="A475" s="6" t="s">
        <v>129</v>
      </c>
      <c r="B475" s="6" t="s">
        <v>136</v>
      </c>
      <c r="C475" s="17">
        <v>32099.803936000048</v>
      </c>
      <c r="D475" s="18">
        <v>14.425507063532219</v>
      </c>
      <c r="E475" s="23"/>
      <c r="F475" s="23"/>
      <c r="G475" s="22"/>
      <c r="H475" s="22"/>
      <c r="I475" s="22"/>
      <c r="J475" s="22"/>
      <c r="K475" s="22"/>
      <c r="L475" s="22"/>
      <c r="M475" s="22"/>
      <c r="N475" s="18"/>
      <c r="O475" s="18"/>
      <c r="P475" s="22"/>
      <c r="Q475" s="22"/>
      <c r="R475" s="22"/>
      <c r="S475" s="22"/>
      <c r="T475" s="22"/>
      <c r="U475" s="22"/>
      <c r="V475" s="23"/>
      <c r="W475" s="23"/>
      <c r="X475" s="19"/>
      <c r="Y475" s="23"/>
      <c r="Z475" s="23"/>
      <c r="AA475" s="18">
        <v>166.5</v>
      </c>
      <c r="AB475" s="18"/>
      <c r="AC475" s="18">
        <v>166.5</v>
      </c>
      <c r="AD475" s="21"/>
      <c r="AE475" s="6"/>
      <c r="AF475" s="18"/>
      <c r="AG475" s="18"/>
      <c r="AH475" s="18"/>
      <c r="AI475" s="18"/>
      <c r="AK475" s="18"/>
      <c r="AL475" s="18"/>
      <c r="AM475" s="40" t="s">
        <v>118</v>
      </c>
      <c r="AN475" s="18"/>
      <c r="AO475" s="6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6"/>
      <c r="BK475" s="6"/>
      <c r="BL475" s="6" t="s">
        <v>58</v>
      </c>
      <c r="BO475" s="15"/>
    </row>
    <row r="476" spans="1:67">
      <c r="A476" s="6" t="s">
        <v>129</v>
      </c>
      <c r="B476" s="6" t="s">
        <v>136</v>
      </c>
      <c r="C476" s="17">
        <v>32110.761202000038</v>
      </c>
      <c r="D476" s="18">
        <v>14.455507063532192</v>
      </c>
      <c r="E476" s="23"/>
      <c r="F476" s="23"/>
      <c r="G476" s="22"/>
      <c r="H476" s="22"/>
      <c r="I476" s="22"/>
      <c r="J476" s="22"/>
      <c r="K476" s="22"/>
      <c r="L476" s="22"/>
      <c r="M476" s="22"/>
      <c r="N476" s="18"/>
      <c r="O476" s="18"/>
      <c r="P476" s="22"/>
      <c r="Q476" s="22"/>
      <c r="R476" s="22"/>
      <c r="S476" s="22"/>
      <c r="T476" s="22"/>
      <c r="U476" s="22"/>
      <c r="V476" s="23"/>
      <c r="W476" s="23"/>
      <c r="X476" s="19"/>
      <c r="Y476" s="23"/>
      <c r="Z476" s="23"/>
      <c r="AA476" s="18">
        <v>167.8</v>
      </c>
      <c r="AB476" s="18"/>
      <c r="AC476" s="18">
        <v>167.8</v>
      </c>
      <c r="AD476" s="21"/>
      <c r="AE476" s="6"/>
      <c r="AF476" s="18"/>
      <c r="AG476" s="18"/>
      <c r="AH476" s="18"/>
      <c r="AI476" s="18"/>
      <c r="AK476" s="18"/>
      <c r="AL476" s="18"/>
      <c r="AM476" s="40" t="s">
        <v>118</v>
      </c>
      <c r="AN476" s="18"/>
      <c r="AO476" s="6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6"/>
      <c r="BK476" s="6"/>
      <c r="BL476" s="6" t="s">
        <v>58</v>
      </c>
      <c r="BO476" s="15"/>
    </row>
    <row r="477" spans="1:67">
      <c r="A477" s="6" t="s">
        <v>129</v>
      </c>
      <c r="B477" s="6" t="s">
        <v>136</v>
      </c>
      <c r="C477" s="17">
        <v>32125.370890000027</v>
      </c>
      <c r="D477" s="18">
        <v>14.495507063532163</v>
      </c>
      <c r="E477" s="23"/>
      <c r="F477" s="23"/>
      <c r="G477" s="22"/>
      <c r="H477" s="22"/>
      <c r="I477" s="22"/>
      <c r="J477" s="22"/>
      <c r="K477" s="22"/>
      <c r="L477" s="22"/>
      <c r="M477" s="22"/>
      <c r="N477" s="18"/>
      <c r="O477" s="18"/>
      <c r="P477" s="22"/>
      <c r="Q477" s="22"/>
      <c r="R477" s="22"/>
      <c r="S477" s="22"/>
      <c r="T477" s="22"/>
      <c r="U477" s="22"/>
      <c r="V477" s="23"/>
      <c r="W477" s="23"/>
      <c r="X477" s="19"/>
      <c r="Y477" s="23"/>
      <c r="Z477" s="23"/>
      <c r="AA477" s="18">
        <v>159.35</v>
      </c>
      <c r="AB477" s="18"/>
      <c r="AC477" s="18">
        <v>159.35</v>
      </c>
      <c r="AD477" s="21"/>
      <c r="AE477" s="6"/>
      <c r="AF477" s="18"/>
      <c r="AG477" s="18"/>
      <c r="AH477" s="18"/>
      <c r="AI477" s="18"/>
      <c r="AK477" s="18"/>
      <c r="AL477" s="18"/>
      <c r="AM477" s="40" t="s">
        <v>118</v>
      </c>
      <c r="AN477" s="18"/>
      <c r="AO477" s="6"/>
      <c r="AP477" s="32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32"/>
      <c r="BH477" s="32"/>
      <c r="BI477" s="32"/>
      <c r="BJ477" s="6"/>
      <c r="BK477" s="6"/>
      <c r="BL477" s="6" t="s">
        <v>58</v>
      </c>
      <c r="BO477" s="15"/>
    </row>
    <row r="478" spans="1:67" ht="14.5" customHeight="1">
      <c r="A478" s="6" t="s">
        <v>129</v>
      </c>
      <c r="B478" s="6" t="s">
        <v>136</v>
      </c>
      <c r="C478" s="17">
        <v>32136.328156000018</v>
      </c>
      <c r="D478" s="18">
        <v>14.525507063532137</v>
      </c>
      <c r="E478" s="23"/>
      <c r="F478" s="23"/>
      <c r="G478" s="22"/>
      <c r="H478" s="22"/>
      <c r="I478" s="22"/>
      <c r="J478" s="22"/>
      <c r="K478" s="22"/>
      <c r="L478" s="22"/>
      <c r="M478" s="22"/>
      <c r="N478" s="18"/>
      <c r="O478" s="18"/>
      <c r="P478" s="22"/>
      <c r="Q478" s="22"/>
      <c r="R478" s="22"/>
      <c r="S478" s="22"/>
      <c r="T478" s="22"/>
      <c r="U478" s="22"/>
      <c r="V478" s="23"/>
      <c r="W478" s="23"/>
      <c r="X478" s="19"/>
      <c r="Y478" s="23"/>
      <c r="Z478" s="23"/>
      <c r="AA478" s="18">
        <v>153.82</v>
      </c>
      <c r="AB478" s="18"/>
      <c r="AC478" s="18">
        <v>153.82</v>
      </c>
      <c r="AD478" s="21"/>
      <c r="AE478" s="6"/>
      <c r="AF478" s="18"/>
      <c r="AG478" s="18"/>
      <c r="AH478" s="18"/>
      <c r="AI478" s="18"/>
      <c r="AK478" s="18"/>
      <c r="AL478" s="18"/>
      <c r="AM478" s="40" t="s">
        <v>118</v>
      </c>
      <c r="AN478" s="18"/>
      <c r="AO478" s="6"/>
      <c r="AP478" s="32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32"/>
      <c r="BH478" s="32"/>
      <c r="BI478" s="32"/>
      <c r="BJ478" s="6"/>
      <c r="BK478" s="6"/>
      <c r="BL478" s="6" t="s">
        <v>58</v>
      </c>
      <c r="BO478" s="15"/>
    </row>
    <row r="479" spans="1:67">
      <c r="A479" s="6" t="s">
        <v>129</v>
      </c>
      <c r="B479" s="6" t="s">
        <v>136</v>
      </c>
      <c r="C479" s="17">
        <v>32150.937844000004</v>
      </c>
      <c r="D479" s="18">
        <v>14.565507063532099</v>
      </c>
      <c r="E479" s="23"/>
      <c r="F479" s="23"/>
      <c r="G479" s="22"/>
      <c r="H479" s="22"/>
      <c r="I479" s="22"/>
      <c r="J479" s="22"/>
      <c r="K479" s="22"/>
      <c r="L479" s="22"/>
      <c r="M479" s="22"/>
      <c r="N479" s="18"/>
      <c r="O479" s="18"/>
      <c r="P479" s="22"/>
      <c r="Q479" s="22"/>
      <c r="R479" s="22"/>
      <c r="S479" s="22"/>
      <c r="T479" s="22"/>
      <c r="U479" s="22"/>
      <c r="V479" s="23"/>
      <c r="W479" s="23"/>
      <c r="X479" s="19"/>
      <c r="Y479" s="23"/>
      <c r="Z479" s="23"/>
      <c r="AA479" s="18">
        <v>163.9</v>
      </c>
      <c r="AB479" s="18"/>
      <c r="AC479" s="18">
        <v>163.9</v>
      </c>
      <c r="AD479" s="21"/>
      <c r="AE479" s="6"/>
      <c r="AF479" s="18"/>
      <c r="AG479" s="18"/>
      <c r="AH479" s="18"/>
      <c r="AI479" s="18"/>
      <c r="AK479" s="18"/>
      <c r="AL479" s="18"/>
      <c r="AM479" s="40" t="s">
        <v>118</v>
      </c>
      <c r="AN479" s="18"/>
      <c r="AO479" s="6"/>
      <c r="AP479" s="32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32"/>
      <c r="BH479" s="32"/>
      <c r="BI479" s="32"/>
      <c r="BJ479" s="6"/>
      <c r="BK479" s="6"/>
      <c r="BL479" s="6" t="s">
        <v>58</v>
      </c>
      <c r="BO479" s="15"/>
    </row>
    <row r="480" spans="1:67" ht="14.5" customHeight="1">
      <c r="A480" s="6" t="s">
        <v>129</v>
      </c>
      <c r="B480" s="6" t="s">
        <v>136</v>
      </c>
      <c r="C480" s="17">
        <v>32158.242687999995</v>
      </c>
      <c r="D480" s="18">
        <v>14.585507063532074</v>
      </c>
      <c r="E480" s="23"/>
      <c r="F480" s="23"/>
      <c r="G480" s="22"/>
      <c r="H480" s="22"/>
      <c r="I480" s="22"/>
      <c r="J480" s="22"/>
      <c r="K480" s="22"/>
      <c r="L480" s="22"/>
      <c r="M480" s="22"/>
      <c r="N480" s="18"/>
      <c r="O480" s="18"/>
      <c r="P480" s="22"/>
      <c r="Q480" s="22"/>
      <c r="R480" s="22"/>
      <c r="S480" s="22"/>
      <c r="T480" s="22"/>
      <c r="U480" s="22"/>
      <c r="V480" s="23"/>
      <c r="W480" s="23"/>
      <c r="X480" s="19"/>
      <c r="Y480" s="23"/>
      <c r="Z480" s="23"/>
      <c r="AA480" s="18">
        <v>153.82</v>
      </c>
      <c r="AB480" s="18"/>
      <c r="AC480" s="18">
        <v>153.82</v>
      </c>
      <c r="AD480" s="21"/>
      <c r="AE480" s="6"/>
      <c r="AF480" s="18"/>
      <c r="AG480" s="18"/>
      <c r="AH480" s="18"/>
      <c r="AI480" s="18"/>
      <c r="AK480" s="18"/>
      <c r="AL480" s="18"/>
      <c r="AM480" s="40" t="s">
        <v>118</v>
      </c>
      <c r="AN480" s="18"/>
      <c r="AO480" s="6"/>
      <c r="AP480" s="32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32"/>
      <c r="BH480" s="32"/>
      <c r="BI480" s="32"/>
      <c r="BJ480" s="6"/>
      <c r="BK480" s="6"/>
      <c r="BL480" s="6" t="s">
        <v>58</v>
      </c>
      <c r="BO480" s="15"/>
    </row>
    <row r="481" spans="1:67">
      <c r="A481" s="6" t="s">
        <v>129</v>
      </c>
      <c r="B481" s="6" t="s">
        <v>136</v>
      </c>
      <c r="C481" s="17">
        <v>32172.852375999981</v>
      </c>
      <c r="D481" s="18">
        <v>14.625507063532035</v>
      </c>
      <c r="E481" s="23"/>
      <c r="F481" s="23"/>
      <c r="G481" s="22"/>
      <c r="H481" s="22"/>
      <c r="I481" s="22"/>
      <c r="J481" s="22"/>
      <c r="K481" s="22"/>
      <c r="L481" s="22"/>
      <c r="M481" s="22"/>
      <c r="N481" s="18"/>
      <c r="O481" s="18"/>
      <c r="P481" s="22"/>
      <c r="Q481" s="22"/>
      <c r="R481" s="22"/>
      <c r="S481" s="22"/>
      <c r="T481" s="22"/>
      <c r="U481" s="22"/>
      <c r="V481" s="23"/>
      <c r="W481" s="23"/>
      <c r="X481" s="19"/>
      <c r="Y481" s="23"/>
      <c r="Z481" s="23"/>
      <c r="AA481" s="18">
        <v>153.82</v>
      </c>
      <c r="AB481" s="18"/>
      <c r="AC481" s="18">
        <v>153.82</v>
      </c>
      <c r="AD481" s="21"/>
      <c r="AE481" s="6"/>
      <c r="AF481" s="18"/>
      <c r="AG481" s="18"/>
      <c r="AH481" s="18"/>
      <c r="AI481" s="18"/>
      <c r="AK481" s="18"/>
      <c r="AL481" s="18"/>
      <c r="AM481" s="40" t="s">
        <v>118</v>
      </c>
      <c r="AN481" s="18"/>
      <c r="AO481" s="6"/>
      <c r="AP481" s="32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32"/>
      <c r="BH481" s="32"/>
      <c r="BI481" s="32"/>
      <c r="BJ481" s="6"/>
      <c r="BK481" s="6"/>
      <c r="BL481" s="6" t="s">
        <v>58</v>
      </c>
      <c r="BO481" s="15"/>
    </row>
    <row r="482" spans="1:67">
      <c r="A482" s="6" t="s">
        <v>129</v>
      </c>
      <c r="B482" s="6" t="s">
        <v>136</v>
      </c>
      <c r="C482" s="17">
        <v>32187.46206399997</v>
      </c>
      <c r="D482" s="18">
        <v>14.665507063532006</v>
      </c>
      <c r="E482" s="23"/>
      <c r="F482" s="23"/>
      <c r="G482" s="22"/>
      <c r="H482" s="22"/>
      <c r="I482" s="22"/>
      <c r="J482" s="22"/>
      <c r="K482" s="22"/>
      <c r="L482" s="22"/>
      <c r="M482" s="22"/>
      <c r="N482" s="18"/>
      <c r="O482" s="18"/>
      <c r="P482" s="22"/>
      <c r="Q482" s="22"/>
      <c r="R482" s="22"/>
      <c r="S482" s="22"/>
      <c r="T482" s="22"/>
      <c r="U482" s="22"/>
      <c r="V482" s="23"/>
      <c r="W482" s="23"/>
      <c r="X482" s="19"/>
      <c r="Y482" s="23"/>
      <c r="Z482" s="23"/>
      <c r="AA482" s="18">
        <v>171.38</v>
      </c>
      <c r="AB482" s="18"/>
      <c r="AC482" s="18">
        <v>171.38</v>
      </c>
      <c r="AD482" s="21"/>
      <c r="AE482" s="6"/>
      <c r="AF482" s="18"/>
      <c r="AG482" s="18"/>
      <c r="AH482" s="18"/>
      <c r="AI482" s="18"/>
      <c r="AK482" s="18"/>
      <c r="AL482" s="18"/>
      <c r="AM482" s="40" t="s">
        <v>118</v>
      </c>
      <c r="AN482" s="18"/>
      <c r="AO482" s="6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6"/>
      <c r="BK482" s="6"/>
      <c r="BL482" s="6" t="s">
        <v>58</v>
      </c>
      <c r="BO482" s="15"/>
    </row>
    <row r="483" spans="1:67" ht="14.5" customHeight="1">
      <c r="A483" s="6" t="s">
        <v>129</v>
      </c>
      <c r="B483" s="6" t="s">
        <v>136</v>
      </c>
      <c r="C483" s="17">
        <v>32202.07175200004</v>
      </c>
      <c r="D483" s="18">
        <v>14.705507063532197</v>
      </c>
      <c r="E483" s="23"/>
      <c r="F483" s="23"/>
      <c r="G483" s="22"/>
      <c r="H483" s="22"/>
      <c r="I483" s="22"/>
      <c r="J483" s="22"/>
      <c r="K483" s="22"/>
      <c r="L483" s="22"/>
      <c r="M483" s="22"/>
      <c r="N483" s="18"/>
      <c r="O483" s="18"/>
      <c r="P483" s="22"/>
      <c r="Q483" s="22"/>
      <c r="R483" s="22"/>
      <c r="S483" s="22"/>
      <c r="T483" s="22"/>
      <c r="U483" s="22"/>
      <c r="V483" s="23"/>
      <c r="W483" s="23"/>
      <c r="X483" s="19"/>
      <c r="Y483" s="23"/>
      <c r="Z483" s="23"/>
      <c r="AA483" s="18">
        <v>154.15</v>
      </c>
      <c r="AB483" s="18"/>
      <c r="AC483" s="18">
        <v>154.15</v>
      </c>
      <c r="AD483" s="21"/>
      <c r="AE483" s="6"/>
      <c r="AF483" s="18"/>
      <c r="AG483" s="18"/>
      <c r="AH483" s="18"/>
      <c r="AI483" s="18"/>
      <c r="AK483" s="18"/>
      <c r="AL483" s="18"/>
      <c r="AM483" s="40" t="s">
        <v>118</v>
      </c>
      <c r="AN483" s="18"/>
      <c r="AO483" s="6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6"/>
      <c r="BK483" s="6"/>
      <c r="BL483" s="6" t="s">
        <v>58</v>
      </c>
      <c r="BO483" s="15"/>
    </row>
    <row r="484" spans="1:67" ht="14.5" customHeight="1">
      <c r="A484" s="6" t="s">
        <v>129</v>
      </c>
      <c r="B484" s="6" t="s">
        <v>136</v>
      </c>
      <c r="C484" s="17">
        <v>32213.02901800003</v>
      </c>
      <c r="D484" s="18">
        <v>14.73550706353217</v>
      </c>
      <c r="E484" s="23"/>
      <c r="F484" s="23"/>
      <c r="G484" s="22"/>
      <c r="H484" s="22"/>
      <c r="I484" s="22"/>
      <c r="J484" s="22"/>
      <c r="K484" s="22"/>
      <c r="L484" s="22"/>
      <c r="M484" s="22"/>
      <c r="N484" s="18"/>
      <c r="O484" s="18"/>
      <c r="P484" s="22"/>
      <c r="Q484" s="22"/>
      <c r="R484" s="22"/>
      <c r="S484" s="22"/>
      <c r="T484" s="22"/>
      <c r="U484" s="22"/>
      <c r="V484" s="23"/>
      <c r="W484" s="23"/>
      <c r="X484" s="19"/>
      <c r="Y484" s="23"/>
      <c r="Z484" s="23"/>
      <c r="AA484" s="18">
        <v>151.54</v>
      </c>
      <c r="AB484" s="18"/>
      <c r="AC484" s="18">
        <v>151.54</v>
      </c>
      <c r="AD484" s="21"/>
      <c r="AE484" s="6"/>
      <c r="AF484" s="18"/>
      <c r="AG484" s="18"/>
      <c r="AH484" s="18"/>
      <c r="AI484" s="18"/>
      <c r="AK484" s="18"/>
      <c r="AL484" s="18"/>
      <c r="AM484" s="40" t="s">
        <v>118</v>
      </c>
      <c r="AN484" s="18"/>
      <c r="AO484" s="6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6"/>
      <c r="BK484" s="6"/>
      <c r="BL484" s="6" t="s">
        <v>58</v>
      </c>
      <c r="BO484" s="15"/>
    </row>
    <row r="485" spans="1:67" ht="14.5" customHeight="1">
      <c r="A485" s="6" t="s">
        <v>129</v>
      </c>
      <c r="B485" s="6" t="s">
        <v>136</v>
      </c>
      <c r="C485" s="17">
        <v>32231.291128000012</v>
      </c>
      <c r="D485" s="18">
        <v>14.785507063532121</v>
      </c>
      <c r="E485" s="23"/>
      <c r="F485" s="23"/>
      <c r="G485" s="22"/>
      <c r="H485" s="22"/>
      <c r="I485" s="22"/>
      <c r="J485" s="22"/>
      <c r="K485" s="22"/>
      <c r="L485" s="22"/>
      <c r="M485" s="22"/>
      <c r="N485" s="18"/>
      <c r="O485" s="18"/>
      <c r="P485" s="22"/>
      <c r="Q485" s="22"/>
      <c r="R485" s="22"/>
      <c r="S485" s="22"/>
      <c r="T485" s="22"/>
      <c r="U485" s="22"/>
      <c r="V485" s="23"/>
      <c r="W485" s="23"/>
      <c r="X485" s="19"/>
      <c r="Y485" s="23"/>
      <c r="Z485" s="23"/>
      <c r="AA485" s="18">
        <v>147.32</v>
      </c>
      <c r="AB485" s="18"/>
      <c r="AC485" s="18">
        <v>147.32</v>
      </c>
      <c r="AD485" s="21"/>
      <c r="AE485" s="6"/>
      <c r="AF485" s="18"/>
      <c r="AG485" s="18"/>
      <c r="AH485" s="18"/>
      <c r="AI485" s="18"/>
      <c r="AK485" s="18"/>
      <c r="AL485" s="18"/>
      <c r="AM485" s="40" t="s">
        <v>118</v>
      </c>
      <c r="AN485" s="18"/>
      <c r="AO485" s="6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6"/>
      <c r="BK485" s="6"/>
      <c r="BL485" s="6" t="s">
        <v>58</v>
      </c>
      <c r="BO485" s="15"/>
    </row>
    <row r="486" spans="1:67">
      <c r="A486" s="6" t="s">
        <v>129</v>
      </c>
      <c r="B486" s="6" t="s">
        <v>136</v>
      </c>
      <c r="C486" s="17">
        <v>32242.248394000002</v>
      </c>
      <c r="D486" s="18">
        <v>14.815507063532094</v>
      </c>
      <c r="E486" s="23"/>
      <c r="F486" s="23"/>
      <c r="G486" s="22"/>
      <c r="H486" s="22"/>
      <c r="I486" s="22"/>
      <c r="J486" s="22"/>
      <c r="K486" s="22"/>
      <c r="L486" s="22"/>
      <c r="M486" s="22"/>
      <c r="N486" s="18"/>
      <c r="O486" s="18"/>
      <c r="P486" s="22"/>
      <c r="Q486" s="22"/>
      <c r="R486" s="22"/>
      <c r="S486" s="22"/>
      <c r="T486" s="22"/>
      <c r="U486" s="22"/>
      <c r="V486" s="23"/>
      <c r="W486" s="23"/>
      <c r="X486" s="19"/>
      <c r="Y486" s="23"/>
      <c r="Z486" s="23"/>
      <c r="AA486" s="18">
        <v>148.62</v>
      </c>
      <c r="AB486" s="18"/>
      <c r="AC486" s="18">
        <v>148.62</v>
      </c>
      <c r="AD486" s="21"/>
      <c r="AE486" s="6"/>
      <c r="AF486" s="18"/>
      <c r="AG486" s="18"/>
      <c r="AH486" s="18"/>
      <c r="AI486" s="18"/>
      <c r="AK486" s="18"/>
      <c r="AL486" s="18"/>
      <c r="AM486" s="40" t="s">
        <v>118</v>
      </c>
      <c r="AN486" s="18"/>
      <c r="AO486" s="6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6"/>
      <c r="BK486" s="6"/>
      <c r="BL486" s="6" t="s">
        <v>58</v>
      </c>
      <c r="BO486" s="15"/>
    </row>
    <row r="487" spans="1:67" ht="14.5" customHeight="1">
      <c r="A487" s="6" t="s">
        <v>129</v>
      </c>
      <c r="B487" s="6" t="s">
        <v>136</v>
      </c>
      <c r="C487" s="17">
        <v>32256.858081999992</v>
      </c>
      <c r="D487" s="18">
        <v>14.855507063532064</v>
      </c>
      <c r="E487" s="23"/>
      <c r="F487" s="23"/>
      <c r="G487" s="22"/>
      <c r="H487" s="22"/>
      <c r="I487" s="22"/>
      <c r="J487" s="22"/>
      <c r="K487" s="22"/>
      <c r="L487" s="22"/>
      <c r="M487" s="22"/>
      <c r="N487" s="18"/>
      <c r="O487" s="18"/>
      <c r="P487" s="22"/>
      <c r="Q487" s="22"/>
      <c r="R487" s="22"/>
      <c r="S487" s="22"/>
      <c r="T487" s="22"/>
      <c r="U487" s="22"/>
      <c r="V487" s="23"/>
      <c r="W487" s="23"/>
      <c r="X487" s="19"/>
      <c r="Y487" s="23"/>
      <c r="Z487" s="23"/>
      <c r="AA487" s="18">
        <v>160.65</v>
      </c>
      <c r="AB487" s="18"/>
      <c r="AC487" s="18">
        <v>160.65</v>
      </c>
      <c r="AD487" s="21"/>
      <c r="AE487" s="6"/>
      <c r="AF487" s="18"/>
      <c r="AG487" s="18"/>
      <c r="AH487" s="18"/>
      <c r="AI487" s="18"/>
      <c r="AK487" s="18"/>
      <c r="AL487" s="18"/>
      <c r="AM487" s="40" t="s">
        <v>118</v>
      </c>
      <c r="AN487" s="18"/>
      <c r="AO487" s="6"/>
      <c r="AP487" s="32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32"/>
      <c r="BH487" s="32"/>
      <c r="BI487" s="32"/>
      <c r="BJ487" s="6"/>
      <c r="BK487" s="6"/>
      <c r="BL487" s="6" t="s">
        <v>58</v>
      </c>
      <c r="BO487" s="15"/>
    </row>
    <row r="488" spans="1:67">
      <c r="A488" s="6" t="s">
        <v>129</v>
      </c>
      <c r="B488" s="6" t="s">
        <v>136</v>
      </c>
      <c r="C488" s="17">
        <v>32271.467769999974</v>
      </c>
      <c r="D488" s="18">
        <v>14.895507063532017</v>
      </c>
      <c r="E488" s="23"/>
      <c r="F488" s="23"/>
      <c r="G488" s="22"/>
      <c r="H488" s="22"/>
      <c r="I488" s="22"/>
      <c r="J488" s="22"/>
      <c r="K488" s="22"/>
      <c r="L488" s="22"/>
      <c r="M488" s="22"/>
      <c r="N488" s="18"/>
      <c r="O488" s="18"/>
      <c r="P488" s="22"/>
      <c r="Q488" s="22"/>
      <c r="R488" s="22"/>
      <c r="S488" s="22"/>
      <c r="T488" s="22"/>
      <c r="U488" s="22"/>
      <c r="V488" s="23"/>
      <c r="W488" s="23"/>
      <c r="X488" s="19"/>
      <c r="Y488" s="23"/>
      <c r="Z488" s="23"/>
      <c r="AA488" s="18">
        <v>206.83</v>
      </c>
      <c r="AB488" s="18"/>
      <c r="AC488" s="18">
        <v>206.83</v>
      </c>
      <c r="AD488" s="21"/>
      <c r="AE488" s="6"/>
      <c r="AF488" s="18"/>
      <c r="AG488" s="18"/>
      <c r="AH488" s="18"/>
      <c r="AI488" s="18"/>
      <c r="AK488" s="18"/>
      <c r="AL488" s="18"/>
      <c r="AM488" s="40" t="s">
        <v>118</v>
      </c>
      <c r="AN488" s="18"/>
      <c r="AO488" s="6"/>
      <c r="AP488" s="32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32"/>
      <c r="BH488" s="32"/>
      <c r="BI488" s="32"/>
      <c r="BJ488" s="6"/>
      <c r="BK488" s="6"/>
      <c r="BL488" s="6" t="s">
        <v>58</v>
      </c>
      <c r="BO488" s="15"/>
    </row>
    <row r="489" spans="1:67" ht="14.5" customHeight="1">
      <c r="A489" s="6" t="s">
        <v>129</v>
      </c>
      <c r="B489" s="6" t="s">
        <v>136</v>
      </c>
      <c r="C489" s="17">
        <v>32286.077458000047</v>
      </c>
      <c r="D489" s="18">
        <v>14.935507063532217</v>
      </c>
      <c r="E489" s="23"/>
      <c r="F489" s="23"/>
      <c r="G489" s="22"/>
      <c r="H489" s="22"/>
      <c r="I489" s="22"/>
      <c r="J489" s="22"/>
      <c r="K489" s="22"/>
      <c r="L489" s="22"/>
      <c r="M489" s="22"/>
      <c r="N489" s="18"/>
      <c r="O489" s="18"/>
      <c r="P489" s="22"/>
      <c r="Q489" s="22"/>
      <c r="R489" s="22"/>
      <c r="S489" s="22"/>
      <c r="T489" s="22"/>
      <c r="U489" s="22"/>
      <c r="V489" s="23"/>
      <c r="W489" s="23"/>
      <c r="X489" s="19"/>
      <c r="Y489" s="23"/>
      <c r="Z489" s="23"/>
      <c r="AA489" s="18">
        <v>239.02</v>
      </c>
      <c r="AB489" s="18"/>
      <c r="AC489" s="18">
        <v>239.02</v>
      </c>
      <c r="AD489" s="21"/>
      <c r="AE489" s="6"/>
      <c r="AF489" s="18"/>
      <c r="AG489" s="18"/>
      <c r="AH489" s="18"/>
      <c r="AI489" s="18"/>
      <c r="AK489" s="18"/>
      <c r="AL489" s="18"/>
      <c r="AM489" s="40" t="s">
        <v>118</v>
      </c>
      <c r="AN489" s="18"/>
      <c r="AO489" s="6"/>
      <c r="AP489" s="32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32"/>
      <c r="BH489" s="32"/>
      <c r="BI489" s="32"/>
      <c r="BJ489" s="6"/>
      <c r="BK489" s="6"/>
      <c r="BL489" s="6" t="s">
        <v>58</v>
      </c>
      <c r="BO489" s="15"/>
    </row>
    <row r="490" spans="1:67" ht="14.5" customHeight="1">
      <c r="A490" s="6" t="s">
        <v>129</v>
      </c>
      <c r="B490" s="6" t="s">
        <v>136</v>
      </c>
      <c r="C490" s="17">
        <v>32300.687146000033</v>
      </c>
      <c r="D490" s="18">
        <v>14.975507063532179</v>
      </c>
      <c r="E490" s="23"/>
      <c r="F490" s="23"/>
      <c r="G490" s="22"/>
      <c r="H490" s="22"/>
      <c r="I490" s="22"/>
      <c r="J490" s="22"/>
      <c r="K490" s="22"/>
      <c r="L490" s="22"/>
      <c r="M490" s="22"/>
      <c r="N490" s="18"/>
      <c r="O490" s="18"/>
      <c r="P490" s="22"/>
      <c r="Q490" s="22"/>
      <c r="R490" s="22"/>
      <c r="S490" s="22"/>
      <c r="T490" s="22"/>
      <c r="U490" s="22"/>
      <c r="V490" s="23"/>
      <c r="W490" s="23"/>
      <c r="X490" s="19"/>
      <c r="Y490" s="23"/>
      <c r="Z490" s="23"/>
      <c r="AA490" s="18">
        <v>252.03</v>
      </c>
      <c r="AB490" s="18"/>
      <c r="AC490" s="18">
        <v>252.03</v>
      </c>
      <c r="AD490" s="21"/>
      <c r="AE490" s="6"/>
      <c r="AF490" s="18"/>
      <c r="AG490" s="18"/>
      <c r="AH490" s="18"/>
      <c r="AI490" s="18"/>
      <c r="AK490" s="18"/>
      <c r="AL490" s="18"/>
      <c r="AM490" s="40" t="s">
        <v>118</v>
      </c>
      <c r="AN490" s="18"/>
      <c r="AO490" s="6"/>
      <c r="AP490" s="32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32"/>
      <c r="BH490" s="32"/>
      <c r="BI490" s="32"/>
      <c r="BJ490" s="6"/>
      <c r="BK490" s="6"/>
      <c r="BL490" s="6" t="s">
        <v>58</v>
      </c>
      <c r="BO490" s="15"/>
    </row>
    <row r="491" spans="1:67">
      <c r="A491" s="6" t="s">
        <v>129</v>
      </c>
      <c r="B491" s="6" t="s">
        <v>136</v>
      </c>
      <c r="C491" s="17">
        <v>32311.644412000023</v>
      </c>
      <c r="D491" s="18">
        <v>15.005507063532152</v>
      </c>
      <c r="E491" s="23"/>
      <c r="F491" s="23"/>
      <c r="G491" s="22"/>
      <c r="H491" s="22"/>
      <c r="I491" s="22"/>
      <c r="J491" s="22"/>
      <c r="K491" s="22"/>
      <c r="L491" s="22"/>
      <c r="M491" s="22"/>
      <c r="N491" s="18"/>
      <c r="O491" s="18"/>
      <c r="P491" s="22"/>
      <c r="Q491" s="22"/>
      <c r="R491" s="22"/>
      <c r="S491" s="22"/>
      <c r="T491" s="22"/>
      <c r="U491" s="22"/>
      <c r="V491" s="23"/>
      <c r="W491" s="23"/>
      <c r="X491" s="19"/>
      <c r="Y491" s="23"/>
      <c r="Z491" s="23"/>
      <c r="AA491" s="18">
        <v>284.23</v>
      </c>
      <c r="AB491" s="18"/>
      <c r="AC491" s="18">
        <v>284.23</v>
      </c>
      <c r="AD491" s="21"/>
      <c r="AE491" s="6"/>
      <c r="AF491" s="18"/>
      <c r="AG491" s="18"/>
      <c r="AH491" s="18"/>
      <c r="AI491" s="18"/>
      <c r="AK491" s="18"/>
      <c r="AL491" s="18"/>
      <c r="AM491" s="40" t="s">
        <v>118</v>
      </c>
      <c r="AN491" s="18"/>
      <c r="AO491" s="6"/>
      <c r="AP491" s="32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32"/>
      <c r="BH491" s="32"/>
      <c r="BI491" s="32"/>
      <c r="BJ491" s="6"/>
      <c r="BK491" s="6"/>
      <c r="BL491" s="6" t="s">
        <v>58</v>
      </c>
      <c r="BO491" s="15"/>
    </row>
    <row r="492" spans="1:67" ht="14.5" customHeight="1">
      <c r="A492" s="6" t="s">
        <v>129</v>
      </c>
      <c r="B492" s="6" t="s">
        <v>136</v>
      </c>
      <c r="C492" s="17">
        <v>32329.906522000005</v>
      </c>
      <c r="D492" s="18">
        <v>15.055507063532101</v>
      </c>
      <c r="E492" s="23"/>
      <c r="F492" s="23"/>
      <c r="G492" s="22"/>
      <c r="H492" s="22"/>
      <c r="I492" s="22"/>
      <c r="J492" s="22"/>
      <c r="K492" s="22"/>
      <c r="L492" s="22"/>
      <c r="M492" s="22"/>
      <c r="N492" s="18"/>
      <c r="O492" s="18"/>
      <c r="P492" s="22"/>
      <c r="Q492" s="22"/>
      <c r="R492" s="22"/>
      <c r="S492" s="22"/>
      <c r="T492" s="22"/>
      <c r="U492" s="22"/>
      <c r="V492" s="23"/>
      <c r="W492" s="23"/>
      <c r="X492" s="19"/>
      <c r="Y492" s="23"/>
      <c r="Z492" s="23"/>
      <c r="AA492" s="18">
        <v>288.13</v>
      </c>
      <c r="AB492" s="18"/>
      <c r="AC492" s="18">
        <v>288.13</v>
      </c>
      <c r="AD492" s="21"/>
      <c r="AE492" s="6"/>
      <c r="AF492" s="18"/>
      <c r="AG492" s="18"/>
      <c r="AH492" s="18"/>
      <c r="AI492" s="18"/>
      <c r="AK492" s="18"/>
      <c r="AL492" s="18"/>
      <c r="AM492" s="40" t="s">
        <v>118</v>
      </c>
      <c r="AN492" s="18"/>
      <c r="AO492" s="6"/>
      <c r="AP492" s="32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32"/>
      <c r="BH492" s="32"/>
      <c r="BI492" s="32"/>
      <c r="BJ492" s="6"/>
      <c r="BK492" s="6"/>
      <c r="BL492" s="6" t="s">
        <v>58</v>
      </c>
      <c r="BO492" s="15"/>
    </row>
    <row r="493" spans="1:67">
      <c r="A493" s="6" t="s">
        <v>130</v>
      </c>
      <c r="B493" s="6" t="s">
        <v>137</v>
      </c>
      <c r="C493" s="17">
        <v>30607.176911508526</v>
      </c>
      <c r="D493" s="18">
        <v>10.338829717673713</v>
      </c>
      <c r="E493" s="23"/>
      <c r="F493" s="23"/>
      <c r="G493" s="22"/>
      <c r="H493" s="22"/>
      <c r="I493" s="22"/>
      <c r="J493" s="22"/>
      <c r="K493" s="22"/>
      <c r="L493" s="22"/>
      <c r="M493" s="22"/>
      <c r="N493" s="18"/>
      <c r="O493" s="18"/>
      <c r="P493" s="22"/>
      <c r="Q493" s="22"/>
      <c r="R493" s="22"/>
      <c r="S493" s="22"/>
      <c r="T493" s="22"/>
      <c r="U493" s="22"/>
      <c r="V493" s="23"/>
      <c r="W493" s="23"/>
      <c r="X493" s="19"/>
      <c r="Y493" s="23"/>
      <c r="Z493" s="23"/>
      <c r="AA493" s="18">
        <v>323.76816399999996</v>
      </c>
      <c r="AB493" s="18"/>
      <c r="AC493" s="18">
        <v>323.76816399999996</v>
      </c>
      <c r="AD493" s="21"/>
      <c r="AE493" s="6"/>
      <c r="AF493" s="18"/>
      <c r="AG493" s="18"/>
      <c r="AH493" s="18"/>
      <c r="AI493" s="18"/>
      <c r="AK493" s="18"/>
      <c r="AL493" s="18"/>
      <c r="AM493" s="40" t="s">
        <v>118</v>
      </c>
      <c r="AN493" s="18"/>
      <c r="AO493" s="6"/>
      <c r="AP493" s="32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32"/>
      <c r="BH493" s="32"/>
      <c r="BI493" s="32"/>
      <c r="BJ493" s="6"/>
      <c r="BK493" s="6"/>
      <c r="BL493" s="6" t="s">
        <v>59</v>
      </c>
      <c r="BO493" s="15"/>
    </row>
    <row r="494" spans="1:67" ht="14.5" customHeight="1">
      <c r="A494" s="6" t="s">
        <v>130</v>
      </c>
      <c r="B494" s="6" t="s">
        <v>137</v>
      </c>
      <c r="C494" s="17">
        <v>30607.176911508526</v>
      </c>
      <c r="D494" s="18">
        <v>10.338829717673713</v>
      </c>
      <c r="E494" s="23"/>
      <c r="F494" s="23"/>
      <c r="G494" s="22"/>
      <c r="H494" s="22"/>
      <c r="I494" s="22"/>
      <c r="J494" s="22"/>
      <c r="K494" s="22"/>
      <c r="L494" s="22"/>
      <c r="M494" s="22"/>
      <c r="N494" s="18"/>
      <c r="O494" s="18"/>
      <c r="P494" s="22"/>
      <c r="Q494" s="22"/>
      <c r="R494" s="22"/>
      <c r="S494" s="22"/>
      <c r="T494" s="22"/>
      <c r="U494" s="22"/>
      <c r="V494" s="23"/>
      <c r="W494" s="23"/>
      <c r="X494" s="19"/>
      <c r="Y494" s="23"/>
      <c r="Z494" s="23"/>
      <c r="AA494" s="18">
        <v>335.32658400000003</v>
      </c>
      <c r="AB494" s="18"/>
      <c r="AC494" s="18">
        <v>335.32658400000003</v>
      </c>
      <c r="AD494" s="21"/>
      <c r="AE494" s="6"/>
      <c r="AF494" s="18"/>
      <c r="AG494" s="18"/>
      <c r="AH494" s="18"/>
      <c r="AI494" s="18"/>
      <c r="AK494" s="18"/>
      <c r="AL494" s="18"/>
      <c r="AM494" s="40" t="s">
        <v>118</v>
      </c>
      <c r="AN494" s="18"/>
      <c r="AO494" s="6"/>
      <c r="AP494" s="32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32"/>
      <c r="BH494" s="32"/>
      <c r="BI494" s="32"/>
      <c r="BJ494" s="6"/>
      <c r="BK494" s="6"/>
      <c r="BL494" s="6" t="s">
        <v>59</v>
      </c>
      <c r="BO494" s="15"/>
    </row>
    <row r="495" spans="1:67">
      <c r="A495" s="6" t="s">
        <v>130</v>
      </c>
      <c r="B495" s="6" t="s">
        <v>137</v>
      </c>
      <c r="C495" s="17">
        <v>30607.176911508526</v>
      </c>
      <c r="D495" s="18">
        <v>10.338829717673713</v>
      </c>
      <c r="E495" s="23"/>
      <c r="F495" s="23"/>
      <c r="G495" s="22"/>
      <c r="H495" s="22"/>
      <c r="I495" s="22"/>
      <c r="J495" s="22"/>
      <c r="K495" s="22"/>
      <c r="L495" s="22"/>
      <c r="M495" s="22"/>
      <c r="N495" s="18"/>
      <c r="O495" s="18"/>
      <c r="P495" s="22"/>
      <c r="Q495" s="22"/>
      <c r="R495" s="22"/>
      <c r="S495" s="22"/>
      <c r="T495" s="22"/>
      <c r="U495" s="22"/>
      <c r="V495" s="23"/>
      <c r="W495" s="23"/>
      <c r="X495" s="19"/>
      <c r="Y495" s="23"/>
      <c r="Z495" s="23"/>
      <c r="AA495" s="18">
        <v>350.22689500000001</v>
      </c>
      <c r="AB495" s="18"/>
      <c r="AC495" s="18">
        <v>350.22689500000001</v>
      </c>
      <c r="AD495" s="21"/>
      <c r="AE495" s="6"/>
      <c r="AF495" s="18"/>
      <c r="AG495" s="18"/>
      <c r="AH495" s="18"/>
      <c r="AI495" s="18"/>
      <c r="AK495" s="18"/>
      <c r="AL495" s="18"/>
      <c r="AM495" s="40" t="s">
        <v>118</v>
      </c>
      <c r="AN495" s="18"/>
      <c r="AO495" s="6"/>
      <c r="AP495" s="32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32"/>
      <c r="BH495" s="32"/>
      <c r="BI495" s="32"/>
      <c r="BJ495" s="6"/>
      <c r="BK495" s="6"/>
      <c r="BL495" s="6" t="s">
        <v>59</v>
      </c>
      <c r="BO495" s="15"/>
    </row>
    <row r="496" spans="1:67">
      <c r="A496" s="6" t="s">
        <v>130</v>
      </c>
      <c r="B496" s="6" t="s">
        <v>137</v>
      </c>
      <c r="C496" s="17">
        <v>30612.165117407891</v>
      </c>
      <c r="D496" s="18">
        <v>10.352486972775573</v>
      </c>
      <c r="E496" s="23"/>
      <c r="F496" s="23"/>
      <c r="G496" s="22"/>
      <c r="H496" s="22"/>
      <c r="I496" s="22"/>
      <c r="J496" s="22"/>
      <c r="K496" s="22"/>
      <c r="L496" s="22"/>
      <c r="M496" s="22"/>
      <c r="N496" s="18"/>
      <c r="O496" s="18"/>
      <c r="P496" s="22"/>
      <c r="Q496" s="22"/>
      <c r="R496" s="22"/>
      <c r="S496" s="22"/>
      <c r="T496" s="22"/>
      <c r="U496" s="22"/>
      <c r="V496" s="23"/>
      <c r="W496" s="23"/>
      <c r="X496" s="19"/>
      <c r="Y496" s="23"/>
      <c r="Z496" s="23"/>
      <c r="AA496" s="18">
        <v>363.26780800000006</v>
      </c>
      <c r="AB496" s="18"/>
      <c r="AC496" s="18">
        <v>363.26780800000006</v>
      </c>
      <c r="AD496" s="21"/>
      <c r="AE496" s="6"/>
      <c r="AF496" s="18"/>
      <c r="AG496" s="18"/>
      <c r="AH496" s="18"/>
      <c r="AI496" s="18"/>
      <c r="AK496" s="18"/>
      <c r="AL496" s="18"/>
      <c r="AM496" s="40" t="s">
        <v>118</v>
      </c>
      <c r="AN496" s="18"/>
      <c r="AO496" s="6"/>
      <c r="AP496" s="32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32"/>
      <c r="BH496" s="32"/>
      <c r="BI496" s="32"/>
      <c r="BJ496" s="6"/>
      <c r="BK496" s="6"/>
      <c r="BL496" s="6" t="s">
        <v>59</v>
      </c>
      <c r="BO496" s="15"/>
    </row>
    <row r="497" spans="1:67">
      <c r="A497" s="6" t="s">
        <v>130</v>
      </c>
      <c r="B497" s="6" t="s">
        <v>137</v>
      </c>
      <c r="C497" s="17">
        <v>30612.165117407891</v>
      </c>
      <c r="D497" s="18">
        <v>10.352486972775573</v>
      </c>
      <c r="E497" s="23"/>
      <c r="F497" s="23"/>
      <c r="G497" s="22"/>
      <c r="H497" s="22"/>
      <c r="I497" s="22"/>
      <c r="J497" s="22"/>
      <c r="K497" s="22"/>
      <c r="L497" s="22"/>
      <c r="M497" s="22"/>
      <c r="N497" s="18"/>
      <c r="O497" s="18"/>
      <c r="P497" s="22"/>
      <c r="Q497" s="22"/>
      <c r="R497" s="22"/>
      <c r="S497" s="22"/>
      <c r="T497" s="22"/>
      <c r="U497" s="22"/>
      <c r="V497" s="23"/>
      <c r="W497" s="23"/>
      <c r="X497" s="19"/>
      <c r="Y497" s="23"/>
      <c r="Z497" s="23"/>
      <c r="AA497" s="18">
        <v>365.152333</v>
      </c>
      <c r="AB497" s="18"/>
      <c r="AC497" s="18">
        <v>365.152333</v>
      </c>
      <c r="AD497" s="21"/>
      <c r="AE497" s="6"/>
      <c r="AF497" s="18"/>
      <c r="AG497" s="18"/>
      <c r="AH497" s="18"/>
      <c r="AI497" s="18"/>
      <c r="AK497" s="18"/>
      <c r="AL497" s="18"/>
      <c r="AM497" s="40" t="s">
        <v>118</v>
      </c>
      <c r="AN497" s="18"/>
      <c r="AO497" s="6"/>
      <c r="AP497" s="32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32"/>
      <c r="BH497" s="32"/>
      <c r="BI497" s="32"/>
      <c r="BJ497" s="6"/>
      <c r="BK497" s="6"/>
      <c r="BL497" s="6" t="s">
        <v>59</v>
      </c>
      <c r="BO497" s="15"/>
    </row>
    <row r="498" spans="1:67" ht="14.5" customHeight="1">
      <c r="A498" s="6" t="s">
        <v>130</v>
      </c>
      <c r="B498" s="6" t="s">
        <v>137</v>
      </c>
      <c r="C498" s="17">
        <v>30632.117941005683</v>
      </c>
      <c r="D498" s="18">
        <v>10.407115993183927</v>
      </c>
      <c r="E498" s="23"/>
      <c r="F498" s="23"/>
      <c r="G498" s="22"/>
      <c r="H498" s="22"/>
      <c r="I498" s="22"/>
      <c r="J498" s="22"/>
      <c r="K498" s="22"/>
      <c r="L498" s="22"/>
      <c r="M498" s="22"/>
      <c r="N498" s="18"/>
      <c r="O498" s="18"/>
      <c r="P498" s="22"/>
      <c r="Q498" s="22"/>
      <c r="R498" s="22"/>
      <c r="S498" s="22"/>
      <c r="T498" s="22"/>
      <c r="U498" s="22"/>
      <c r="V498" s="23"/>
      <c r="W498" s="23"/>
      <c r="X498" s="19"/>
      <c r="Y498" s="23"/>
      <c r="Z498" s="23"/>
      <c r="AA498" s="18">
        <v>359.22236099999998</v>
      </c>
      <c r="AB498" s="18"/>
      <c r="AC498" s="18">
        <v>359.22236099999998</v>
      </c>
      <c r="AD498" s="21"/>
      <c r="AE498" s="6"/>
      <c r="AF498" s="18"/>
      <c r="AG498" s="18"/>
      <c r="AH498" s="18"/>
      <c r="AI498" s="18"/>
      <c r="AK498" s="18"/>
      <c r="AL498" s="18"/>
      <c r="AM498" s="40" t="s">
        <v>118</v>
      </c>
      <c r="AN498" s="18"/>
      <c r="AO498" s="6"/>
      <c r="AP498" s="32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32"/>
      <c r="BH498" s="32"/>
      <c r="BI498" s="32"/>
      <c r="BJ498" s="6"/>
      <c r="BK498" s="6"/>
      <c r="BL498" s="6" t="s">
        <v>59</v>
      </c>
      <c r="BO498" s="15"/>
    </row>
    <row r="499" spans="1:67" ht="14.5" customHeight="1">
      <c r="A499" s="6" t="s">
        <v>130</v>
      </c>
      <c r="B499" s="6" t="s">
        <v>137</v>
      </c>
      <c r="C499" s="17">
        <v>30647.082558704027</v>
      </c>
      <c r="D499" s="18">
        <v>10.448087758490193</v>
      </c>
      <c r="E499" s="23"/>
      <c r="F499" s="23"/>
      <c r="G499" s="22"/>
      <c r="H499" s="22"/>
      <c r="I499" s="22"/>
      <c r="J499" s="22"/>
      <c r="K499" s="22"/>
      <c r="L499" s="22"/>
      <c r="M499" s="22"/>
      <c r="N499" s="18"/>
      <c r="O499" s="18"/>
      <c r="P499" s="22"/>
      <c r="Q499" s="22"/>
      <c r="R499" s="22"/>
      <c r="S499" s="22"/>
      <c r="T499" s="22"/>
      <c r="U499" s="22"/>
      <c r="V499" s="23"/>
      <c r="W499" s="23"/>
      <c r="X499" s="19"/>
      <c r="Y499" s="23"/>
      <c r="Z499" s="23"/>
      <c r="AA499" s="18">
        <v>353.66929399999998</v>
      </c>
      <c r="AB499" s="18"/>
      <c r="AC499" s="18">
        <v>353.66929399999998</v>
      </c>
      <c r="AD499" s="21"/>
      <c r="AE499" s="6"/>
      <c r="AF499" s="18"/>
      <c r="AG499" s="18"/>
      <c r="AH499" s="18"/>
      <c r="AI499" s="18"/>
      <c r="AK499" s="18"/>
      <c r="AL499" s="18"/>
      <c r="AM499" s="40" t="s">
        <v>118</v>
      </c>
      <c r="AN499" s="18"/>
      <c r="AO499" s="6"/>
      <c r="AP499" s="32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32"/>
      <c r="BH499" s="32"/>
      <c r="BI499" s="32"/>
      <c r="BJ499" s="6"/>
      <c r="BK499" s="6"/>
      <c r="BL499" s="6" t="s">
        <v>59</v>
      </c>
      <c r="BO499" s="15"/>
    </row>
    <row r="500" spans="1:67" ht="14.5" customHeight="1">
      <c r="A500" s="6" t="s">
        <v>130</v>
      </c>
      <c r="B500" s="6" t="s">
        <v>137</v>
      </c>
      <c r="C500" s="17">
        <v>30662.047176402291</v>
      </c>
      <c r="D500" s="18">
        <v>10.489059523796239</v>
      </c>
      <c r="E500" s="23"/>
      <c r="F500" s="23"/>
      <c r="G500" s="22"/>
      <c r="H500" s="22"/>
      <c r="I500" s="22"/>
      <c r="J500" s="22"/>
      <c r="K500" s="22"/>
      <c r="L500" s="22"/>
      <c r="M500" s="22"/>
      <c r="N500" s="18"/>
      <c r="O500" s="18"/>
      <c r="P500" s="22"/>
      <c r="Q500" s="22"/>
      <c r="R500" s="22"/>
      <c r="S500" s="22"/>
      <c r="T500" s="22"/>
      <c r="U500" s="22"/>
      <c r="V500" s="23"/>
      <c r="W500" s="23"/>
      <c r="X500" s="19"/>
      <c r="Y500" s="23"/>
      <c r="Z500" s="23"/>
      <c r="AA500" s="18">
        <v>365.62974600000001</v>
      </c>
      <c r="AB500" s="18"/>
      <c r="AC500" s="18">
        <v>365.62974600000001</v>
      </c>
      <c r="AD500" s="21"/>
      <c r="AE500" s="6"/>
      <c r="AF500" s="18"/>
      <c r="AG500" s="18"/>
      <c r="AH500" s="18"/>
      <c r="AI500" s="18"/>
      <c r="AK500" s="18"/>
      <c r="AL500" s="18"/>
      <c r="AM500" s="40" t="s">
        <v>118</v>
      </c>
      <c r="AN500" s="18"/>
      <c r="AO500" s="6"/>
      <c r="AP500" s="32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32"/>
      <c r="BH500" s="32"/>
      <c r="BI500" s="32"/>
      <c r="BJ500" s="6"/>
      <c r="BK500" s="6"/>
      <c r="BL500" s="6" t="s">
        <v>59</v>
      </c>
      <c r="BO500" s="15"/>
    </row>
    <row r="501" spans="1:67" ht="14.5" customHeight="1">
      <c r="A501" s="6" t="s">
        <v>130</v>
      </c>
      <c r="B501" s="6" t="s">
        <v>137</v>
      </c>
      <c r="C501" s="17">
        <v>30682</v>
      </c>
      <c r="D501" s="18">
        <v>10.543688544204366</v>
      </c>
      <c r="E501" s="23"/>
      <c r="F501" s="23"/>
      <c r="G501" s="22"/>
      <c r="H501" s="22"/>
      <c r="I501" s="22"/>
      <c r="J501" s="22"/>
      <c r="K501" s="22"/>
      <c r="L501" s="22"/>
      <c r="M501" s="22"/>
      <c r="N501" s="18"/>
      <c r="O501" s="18"/>
      <c r="P501" s="22"/>
      <c r="Q501" s="22"/>
      <c r="R501" s="22"/>
      <c r="S501" s="22"/>
      <c r="T501" s="22"/>
      <c r="U501" s="22"/>
      <c r="V501" s="23"/>
      <c r="W501" s="23"/>
      <c r="X501" s="19"/>
      <c r="Y501" s="23"/>
      <c r="Z501" s="23"/>
      <c r="AA501" s="18">
        <v>324.69786299999998</v>
      </c>
      <c r="AB501" s="18"/>
      <c r="AC501" s="18">
        <v>324.69786299999998</v>
      </c>
      <c r="AD501" s="21"/>
      <c r="AE501" s="6"/>
      <c r="AF501" s="18"/>
      <c r="AG501" s="18"/>
      <c r="AH501" s="18"/>
      <c r="AI501" s="18"/>
      <c r="AK501" s="18"/>
      <c r="AL501" s="18"/>
      <c r="AM501" s="40" t="s">
        <v>118</v>
      </c>
      <c r="AN501" s="18"/>
      <c r="AO501" s="6"/>
      <c r="AP501" s="32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32"/>
      <c r="BH501" s="32"/>
      <c r="BI501" s="32"/>
      <c r="BJ501" s="6"/>
      <c r="BK501" s="6"/>
      <c r="BL501" s="6" t="s">
        <v>59</v>
      </c>
      <c r="BO501" s="15"/>
    </row>
    <row r="502" spans="1:67">
      <c r="A502" s="6" t="s">
        <v>130</v>
      </c>
      <c r="B502" s="6" t="s">
        <v>137</v>
      </c>
      <c r="C502" s="17">
        <v>30699.084986566835</v>
      </c>
      <c r="D502" s="18">
        <v>10.590465687061448</v>
      </c>
      <c r="E502" s="23"/>
      <c r="F502" s="23"/>
      <c r="G502" s="22"/>
      <c r="H502" s="22"/>
      <c r="I502" s="22"/>
      <c r="J502" s="22"/>
      <c r="K502" s="22"/>
      <c r="L502" s="22"/>
      <c r="M502" s="22"/>
      <c r="N502" s="18"/>
      <c r="O502" s="18"/>
      <c r="P502" s="22"/>
      <c r="Q502" s="22"/>
      <c r="R502" s="22"/>
      <c r="S502" s="22"/>
      <c r="T502" s="22"/>
      <c r="U502" s="22"/>
      <c r="V502" s="23"/>
      <c r="W502" s="23"/>
      <c r="X502" s="19"/>
      <c r="Y502" s="23"/>
      <c r="Z502" s="23"/>
      <c r="AA502" s="18">
        <v>365.35334899999998</v>
      </c>
      <c r="AB502" s="18"/>
      <c r="AC502" s="18">
        <v>365.35334899999998</v>
      </c>
      <c r="AD502" s="21"/>
      <c r="AE502" s="6"/>
      <c r="AF502" s="18"/>
      <c r="AG502" s="18"/>
      <c r="AH502" s="18"/>
      <c r="AI502" s="18"/>
      <c r="AK502" s="18"/>
      <c r="AL502" s="18"/>
      <c r="AM502" s="40" t="s">
        <v>118</v>
      </c>
      <c r="AN502" s="18"/>
      <c r="AO502" s="6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6"/>
      <c r="BK502" s="6"/>
      <c r="BL502" s="6" t="s">
        <v>59</v>
      </c>
      <c r="BO502" s="15"/>
    </row>
    <row r="503" spans="1:67">
      <c r="A503" s="6" t="s">
        <v>130</v>
      </c>
      <c r="B503" s="6" t="s">
        <v>137</v>
      </c>
      <c r="C503" s="17">
        <v>30724.712466417088</v>
      </c>
      <c r="D503" s="18">
        <v>10.660631401347072</v>
      </c>
      <c r="E503" s="23"/>
      <c r="F503" s="23"/>
      <c r="G503" s="22"/>
      <c r="H503" s="22"/>
      <c r="I503" s="22"/>
      <c r="J503" s="22"/>
      <c r="K503" s="22"/>
      <c r="L503" s="22"/>
      <c r="M503" s="22"/>
      <c r="N503" s="18"/>
      <c r="O503" s="18"/>
      <c r="P503" s="22"/>
      <c r="Q503" s="22"/>
      <c r="R503" s="22"/>
      <c r="S503" s="22"/>
      <c r="T503" s="22"/>
      <c r="U503" s="22"/>
      <c r="V503" s="23"/>
      <c r="W503" s="23"/>
      <c r="X503" s="19"/>
      <c r="Y503" s="23"/>
      <c r="Z503" s="23"/>
      <c r="AA503" s="18">
        <v>365.805635</v>
      </c>
      <c r="AB503" s="18"/>
      <c r="AC503" s="18">
        <v>365.805635</v>
      </c>
      <c r="AD503" s="21"/>
      <c r="AE503" s="6"/>
      <c r="AF503" s="18"/>
      <c r="AG503" s="18"/>
      <c r="AH503" s="18"/>
      <c r="AI503" s="18"/>
      <c r="AK503" s="18"/>
      <c r="AL503" s="18"/>
      <c r="AM503" s="40" t="s">
        <v>118</v>
      </c>
      <c r="AN503" s="18"/>
      <c r="AO503" s="6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6"/>
      <c r="BK503" s="6"/>
      <c r="BL503" s="6" t="s">
        <v>59</v>
      </c>
      <c r="BO503" s="15"/>
    </row>
    <row r="504" spans="1:67" ht="14.5" customHeight="1">
      <c r="A504" s="6" t="s">
        <v>130</v>
      </c>
      <c r="B504" s="6" t="s">
        <v>137</v>
      </c>
      <c r="C504" s="17">
        <v>30741.797452984003</v>
      </c>
      <c r="D504" s="18">
        <v>10.707408544204373</v>
      </c>
      <c r="E504" s="23"/>
      <c r="F504" s="23"/>
      <c r="G504" s="22"/>
      <c r="H504" s="22"/>
      <c r="I504" s="22"/>
      <c r="J504" s="22"/>
      <c r="K504" s="22"/>
      <c r="L504" s="22"/>
      <c r="M504" s="22"/>
      <c r="N504" s="18"/>
      <c r="O504" s="18"/>
      <c r="P504" s="22"/>
      <c r="Q504" s="22"/>
      <c r="R504" s="22"/>
      <c r="S504" s="22"/>
      <c r="T504" s="22"/>
      <c r="U504" s="22"/>
      <c r="V504" s="23"/>
      <c r="W504" s="23"/>
      <c r="X504" s="19"/>
      <c r="Y504" s="23"/>
      <c r="Z504" s="23"/>
      <c r="AA504" s="18">
        <v>315.17473000000001</v>
      </c>
      <c r="AB504" s="18"/>
      <c r="AC504" s="18">
        <v>315.17473000000001</v>
      </c>
      <c r="AD504" s="21"/>
      <c r="AE504" s="6"/>
      <c r="AF504" s="18"/>
      <c r="AG504" s="18"/>
      <c r="AH504" s="18"/>
      <c r="AI504" s="18"/>
      <c r="AK504" s="18"/>
      <c r="AL504" s="18"/>
      <c r="AM504" s="40" t="s">
        <v>118</v>
      </c>
      <c r="AN504" s="18"/>
      <c r="AO504" s="6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6"/>
      <c r="BK504" s="6"/>
      <c r="BL504" s="6" t="s">
        <v>59</v>
      </c>
      <c r="BO504" s="15"/>
    </row>
    <row r="505" spans="1:67">
      <c r="A505" s="6" t="s">
        <v>130</v>
      </c>
      <c r="B505" s="6" t="s">
        <v>137</v>
      </c>
      <c r="C505" s="17">
        <v>30754.611192909171</v>
      </c>
      <c r="D505" s="18">
        <v>10.7424914013473</v>
      </c>
      <c r="E505" s="23"/>
      <c r="F505" s="23"/>
      <c r="G505" s="22"/>
      <c r="H505" s="22"/>
      <c r="I505" s="22"/>
      <c r="J505" s="22"/>
      <c r="K505" s="22"/>
      <c r="L505" s="22"/>
      <c r="M505" s="22"/>
      <c r="N505" s="18"/>
      <c r="O505" s="18"/>
      <c r="P505" s="22"/>
      <c r="Q505" s="22"/>
      <c r="R505" s="22"/>
      <c r="S505" s="22"/>
      <c r="T505" s="22"/>
      <c r="U505" s="22"/>
      <c r="V505" s="23"/>
      <c r="W505" s="23"/>
      <c r="X505" s="19"/>
      <c r="Y505" s="23"/>
      <c r="Z505" s="23"/>
      <c r="AA505" s="18">
        <v>300.67645099999999</v>
      </c>
      <c r="AB505" s="18"/>
      <c r="AC505" s="18">
        <v>300.67645099999999</v>
      </c>
      <c r="AD505" s="21"/>
      <c r="AE505" s="6"/>
      <c r="AF505" s="18"/>
      <c r="AG505" s="18"/>
      <c r="AH505" s="18"/>
      <c r="AI505" s="18"/>
      <c r="AK505" s="18"/>
      <c r="AL505" s="18"/>
      <c r="AM505" s="40" t="s">
        <v>118</v>
      </c>
      <c r="AN505" s="18"/>
      <c r="AO505" s="6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6"/>
      <c r="BK505" s="6"/>
      <c r="BL505" s="6" t="s">
        <v>59</v>
      </c>
      <c r="BO505" s="15"/>
    </row>
    <row r="506" spans="1:67" ht="14.5" customHeight="1">
      <c r="A506" s="6" t="s">
        <v>130</v>
      </c>
      <c r="B506" s="6" t="s">
        <v>137</v>
      </c>
      <c r="C506" s="17">
        <v>30763.153686192589</v>
      </c>
      <c r="D506" s="18">
        <v>10.765879972775842</v>
      </c>
      <c r="E506" s="23"/>
      <c r="F506" s="23"/>
      <c r="G506" s="22"/>
      <c r="H506" s="22"/>
      <c r="I506" s="22"/>
      <c r="J506" s="22"/>
      <c r="K506" s="22"/>
      <c r="L506" s="22"/>
      <c r="M506" s="22"/>
      <c r="N506" s="18"/>
      <c r="O506" s="18"/>
      <c r="P506" s="22"/>
      <c r="Q506" s="22"/>
      <c r="R506" s="22"/>
      <c r="S506" s="22"/>
      <c r="T506" s="22"/>
      <c r="U506" s="22"/>
      <c r="V506" s="23"/>
      <c r="W506" s="23"/>
      <c r="X506" s="19"/>
      <c r="Y506" s="23"/>
      <c r="Z506" s="23"/>
      <c r="AA506" s="18">
        <v>270.17227300000002</v>
      </c>
      <c r="AB506" s="18"/>
      <c r="AC506" s="18">
        <v>270.17227300000002</v>
      </c>
      <c r="AD506" s="21"/>
      <c r="AE506" s="6"/>
      <c r="AF506" s="18"/>
      <c r="AG506" s="18"/>
      <c r="AH506" s="18"/>
      <c r="AI506" s="18"/>
      <c r="AK506" s="18"/>
      <c r="AL506" s="18"/>
      <c r="AM506" s="40" t="s">
        <v>118</v>
      </c>
      <c r="AN506" s="18"/>
      <c r="AO506" s="6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6"/>
      <c r="BK506" s="6"/>
      <c r="BL506" s="6" t="s">
        <v>59</v>
      </c>
      <c r="BO506" s="15"/>
    </row>
    <row r="507" spans="1:67">
      <c r="A507" s="6" t="s">
        <v>130</v>
      </c>
      <c r="B507" s="6" t="s">
        <v>137</v>
      </c>
      <c r="C507" s="17">
        <v>30767.424932834339</v>
      </c>
      <c r="D507" s="18">
        <v>10.777574258490226</v>
      </c>
      <c r="E507" s="23"/>
      <c r="F507" s="23"/>
      <c r="G507" s="22"/>
      <c r="H507" s="22"/>
      <c r="I507" s="22"/>
      <c r="J507" s="22"/>
      <c r="K507" s="22"/>
      <c r="L507" s="22"/>
      <c r="M507" s="22"/>
      <c r="N507" s="18"/>
      <c r="O507" s="18"/>
      <c r="P507" s="22"/>
      <c r="Q507" s="22"/>
      <c r="R507" s="22"/>
      <c r="S507" s="22"/>
      <c r="T507" s="22"/>
      <c r="U507" s="22"/>
      <c r="V507" s="23"/>
      <c r="W507" s="23"/>
      <c r="X507" s="19"/>
      <c r="Y507" s="23"/>
      <c r="Z507" s="23"/>
      <c r="AA507" s="18">
        <v>254.54327900000001</v>
      </c>
      <c r="AB507" s="18"/>
      <c r="AC507" s="18">
        <v>254.54327900000001</v>
      </c>
      <c r="AD507" s="21"/>
      <c r="AE507" s="6"/>
      <c r="AF507" s="18"/>
      <c r="AG507" s="18"/>
      <c r="AH507" s="18"/>
      <c r="AI507" s="18"/>
      <c r="AK507" s="18"/>
      <c r="AL507" s="18"/>
      <c r="AM507" s="40" t="s">
        <v>118</v>
      </c>
      <c r="AN507" s="18"/>
      <c r="AO507" s="6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6"/>
      <c r="BK507" s="6"/>
      <c r="BL507" s="6" t="s">
        <v>59</v>
      </c>
      <c r="BO507" s="15"/>
    </row>
    <row r="508" spans="1:67">
      <c r="A508" s="6" t="s">
        <v>130</v>
      </c>
      <c r="B508" s="6" t="s">
        <v>137</v>
      </c>
      <c r="C508" s="17">
        <v>30775.967426117757</v>
      </c>
      <c r="D508" s="18">
        <v>10.800962829918769</v>
      </c>
      <c r="E508" s="23"/>
      <c r="F508" s="23"/>
      <c r="G508" s="22"/>
      <c r="H508" s="22"/>
      <c r="I508" s="22"/>
      <c r="J508" s="22"/>
      <c r="K508" s="22"/>
      <c r="L508" s="22"/>
      <c r="M508" s="22"/>
      <c r="N508" s="18"/>
      <c r="O508" s="18"/>
      <c r="P508" s="22"/>
      <c r="Q508" s="22"/>
      <c r="R508" s="22"/>
      <c r="S508" s="22"/>
      <c r="T508" s="22"/>
      <c r="U508" s="22"/>
      <c r="V508" s="23"/>
      <c r="W508" s="23"/>
      <c r="X508" s="19"/>
      <c r="Y508" s="23"/>
      <c r="Z508" s="23"/>
      <c r="AA508" s="18">
        <v>234.064774</v>
      </c>
      <c r="AB508" s="18"/>
      <c r="AC508" s="18">
        <v>234.064774</v>
      </c>
      <c r="AD508" s="21"/>
      <c r="AE508" s="6"/>
      <c r="AF508" s="18"/>
      <c r="AG508" s="18"/>
      <c r="AH508" s="18"/>
      <c r="AI508" s="18"/>
      <c r="AK508" s="18"/>
      <c r="AL508" s="18"/>
      <c r="AM508" s="40" t="s">
        <v>118</v>
      </c>
      <c r="AN508" s="18"/>
      <c r="AO508" s="6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6"/>
      <c r="BK508" s="6"/>
      <c r="BL508" s="6" t="s">
        <v>59</v>
      </c>
      <c r="BO508" s="15"/>
    </row>
    <row r="509" spans="1:67" ht="14.5" customHeight="1">
      <c r="A509" s="6" t="s">
        <v>130</v>
      </c>
      <c r="B509" s="6" t="s">
        <v>137</v>
      </c>
      <c r="C509" s="17">
        <v>30797.323659326259</v>
      </c>
      <c r="D509" s="18">
        <v>10.859434258490007</v>
      </c>
      <c r="E509" s="23"/>
      <c r="F509" s="23"/>
      <c r="G509" s="22"/>
      <c r="H509" s="22"/>
      <c r="I509" s="22"/>
      <c r="J509" s="22"/>
      <c r="K509" s="22"/>
      <c r="L509" s="22"/>
      <c r="M509" s="22"/>
      <c r="N509" s="18"/>
      <c r="O509" s="18"/>
      <c r="P509" s="22"/>
      <c r="Q509" s="22"/>
      <c r="R509" s="22"/>
      <c r="S509" s="22"/>
      <c r="T509" s="22"/>
      <c r="U509" s="22"/>
      <c r="V509" s="23"/>
      <c r="W509" s="23"/>
      <c r="X509" s="19"/>
      <c r="Y509" s="23"/>
      <c r="Z509" s="23"/>
      <c r="AA509" s="18">
        <v>211.77712500000001</v>
      </c>
      <c r="AB509" s="18"/>
      <c r="AC509" s="18">
        <v>211.77712500000001</v>
      </c>
      <c r="AD509" s="21"/>
      <c r="AE509" s="6"/>
      <c r="AF509" s="18"/>
      <c r="AG509" s="18"/>
      <c r="AH509" s="18"/>
      <c r="AI509" s="18"/>
      <c r="AK509" s="18"/>
      <c r="AL509" s="18"/>
      <c r="AM509" s="40" t="s">
        <v>118</v>
      </c>
      <c r="AN509" s="18"/>
      <c r="AO509" s="6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6"/>
      <c r="BK509" s="6"/>
      <c r="BL509" s="6" t="s">
        <v>59</v>
      </c>
      <c r="BO509" s="15"/>
    </row>
    <row r="510" spans="1:67">
      <c r="A510" s="6" t="s">
        <v>130</v>
      </c>
      <c r="B510" s="6" t="s">
        <v>137</v>
      </c>
      <c r="C510" s="17">
        <v>30801.59490596801</v>
      </c>
      <c r="D510" s="18">
        <v>10.871128544204392</v>
      </c>
      <c r="E510" s="23"/>
      <c r="F510" s="23"/>
      <c r="G510" s="22"/>
      <c r="H510" s="22"/>
      <c r="I510" s="22"/>
      <c r="J510" s="22"/>
      <c r="K510" s="22"/>
      <c r="L510" s="22"/>
      <c r="M510" s="22"/>
      <c r="N510" s="18"/>
      <c r="O510" s="18"/>
      <c r="P510" s="22"/>
      <c r="Q510" s="22"/>
      <c r="R510" s="22"/>
      <c r="S510" s="22"/>
      <c r="T510" s="22"/>
      <c r="U510" s="22"/>
      <c r="V510" s="23"/>
      <c r="W510" s="23"/>
      <c r="X510" s="19"/>
      <c r="Y510" s="23"/>
      <c r="Z510" s="23"/>
      <c r="AA510" s="18">
        <v>285.92690200000004</v>
      </c>
      <c r="AB510" s="18"/>
      <c r="AC510" s="18">
        <v>285.92690200000004</v>
      </c>
      <c r="AD510" s="21"/>
      <c r="AE510" s="6"/>
      <c r="AF510" s="18"/>
      <c r="AG510" s="18"/>
      <c r="AH510" s="18"/>
      <c r="AI510" s="18"/>
      <c r="AK510" s="18"/>
      <c r="AL510" s="18"/>
      <c r="AM510" s="40" t="s">
        <v>118</v>
      </c>
      <c r="AN510" s="18"/>
      <c r="AO510" s="6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6"/>
      <c r="BK510" s="6"/>
      <c r="BL510" s="6" t="s">
        <v>59</v>
      </c>
      <c r="BO510" s="15"/>
    </row>
    <row r="511" spans="1:67" ht="14.5" customHeight="1">
      <c r="A511" s="6" t="s">
        <v>130</v>
      </c>
      <c r="B511" s="6" t="s">
        <v>137</v>
      </c>
      <c r="C511" s="17">
        <v>30822.951139176512</v>
      </c>
      <c r="D511" s="18">
        <v>10.92959997277563</v>
      </c>
      <c r="E511" s="23"/>
      <c r="F511" s="23"/>
      <c r="G511" s="22"/>
      <c r="H511" s="22"/>
      <c r="I511" s="22"/>
      <c r="J511" s="22"/>
      <c r="K511" s="22"/>
      <c r="L511" s="22"/>
      <c r="M511" s="22"/>
      <c r="N511" s="18"/>
      <c r="O511" s="18"/>
      <c r="P511" s="22"/>
      <c r="Q511" s="22"/>
      <c r="R511" s="22"/>
      <c r="S511" s="22"/>
      <c r="T511" s="22"/>
      <c r="U511" s="22"/>
      <c r="V511" s="23"/>
      <c r="W511" s="23"/>
      <c r="X511" s="19"/>
      <c r="Y511" s="23"/>
      <c r="Z511" s="23"/>
      <c r="AA511" s="18">
        <v>280.02205700000002</v>
      </c>
      <c r="AB511" s="18"/>
      <c r="AC511" s="18">
        <v>280.02205700000002</v>
      </c>
      <c r="AD511" s="21"/>
      <c r="AE511" s="6"/>
      <c r="AF511" s="18"/>
      <c r="AG511" s="18"/>
      <c r="AH511" s="18"/>
      <c r="AI511" s="18"/>
      <c r="AK511" s="18"/>
      <c r="AL511" s="18"/>
      <c r="AM511" s="40" t="s">
        <v>118</v>
      </c>
      <c r="AN511" s="18"/>
      <c r="AO511" s="6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6"/>
      <c r="BK511" s="6"/>
      <c r="BL511" s="6" t="s">
        <v>59</v>
      </c>
      <c r="BO511" s="15"/>
    </row>
    <row r="512" spans="1:67">
      <c r="A512" s="6" t="s">
        <v>130</v>
      </c>
      <c r="B512" s="6" t="s">
        <v>137</v>
      </c>
      <c r="C512" s="17">
        <v>30848.578619026928</v>
      </c>
      <c r="D512" s="18">
        <v>10.999765687061704</v>
      </c>
      <c r="E512" s="23"/>
      <c r="F512" s="23"/>
      <c r="G512" s="22"/>
      <c r="H512" s="22"/>
      <c r="I512" s="22"/>
      <c r="J512" s="22"/>
      <c r="K512" s="22"/>
      <c r="L512" s="22"/>
      <c r="M512" s="22"/>
      <c r="N512" s="18"/>
      <c r="O512" s="18"/>
      <c r="P512" s="22"/>
      <c r="Q512" s="22"/>
      <c r="R512" s="22"/>
      <c r="S512" s="22"/>
      <c r="T512" s="22"/>
      <c r="U512" s="22"/>
      <c r="V512" s="23"/>
      <c r="W512" s="23"/>
      <c r="X512" s="19"/>
      <c r="Y512" s="23"/>
      <c r="Z512" s="23"/>
      <c r="AA512" s="18">
        <v>233.88888500000002</v>
      </c>
      <c r="AB512" s="18"/>
      <c r="AC512" s="18">
        <v>233.88888500000002</v>
      </c>
      <c r="AD512" s="21"/>
      <c r="AE512" s="6"/>
      <c r="AF512" s="18"/>
      <c r="AG512" s="18"/>
      <c r="AH512" s="18"/>
      <c r="AI512" s="18"/>
      <c r="AK512" s="18"/>
      <c r="AL512" s="18"/>
      <c r="AM512" s="40" t="s">
        <v>118</v>
      </c>
      <c r="AN512" s="18"/>
      <c r="AO512" s="6"/>
      <c r="AP512" s="32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32"/>
      <c r="BH512" s="32"/>
      <c r="BI512" s="32"/>
      <c r="BJ512" s="6"/>
      <c r="BK512" s="6"/>
      <c r="BL512" s="6" t="s">
        <v>59</v>
      </c>
      <c r="BO512" s="15"/>
    </row>
    <row r="513" spans="1:67" ht="14.5" customHeight="1">
      <c r="A513" s="6" t="s">
        <v>130</v>
      </c>
      <c r="B513" s="6" t="s">
        <v>137</v>
      </c>
      <c r="C513" s="17">
        <v>30865.663605593763</v>
      </c>
      <c r="D513" s="18">
        <v>11.046542829918785</v>
      </c>
      <c r="E513" s="23"/>
      <c r="F513" s="23"/>
      <c r="G513" s="22"/>
      <c r="H513" s="22"/>
      <c r="I513" s="22"/>
      <c r="J513" s="22"/>
      <c r="K513" s="22"/>
      <c r="L513" s="22"/>
      <c r="M513" s="22"/>
      <c r="N513" s="18"/>
      <c r="O513" s="18"/>
      <c r="P513" s="22"/>
      <c r="Q513" s="22"/>
      <c r="R513" s="22"/>
      <c r="S513" s="22"/>
      <c r="T513" s="22"/>
      <c r="U513" s="22"/>
      <c r="V513" s="23"/>
      <c r="W513" s="23"/>
      <c r="X513" s="19"/>
      <c r="Y513" s="23"/>
      <c r="Z513" s="23"/>
      <c r="AA513" s="18">
        <v>224.99392699999999</v>
      </c>
      <c r="AB513" s="18"/>
      <c r="AC513" s="18">
        <v>224.99392699999999</v>
      </c>
      <c r="AD513" s="21"/>
      <c r="AE513" s="6"/>
      <c r="AF513" s="18"/>
      <c r="AG513" s="18"/>
      <c r="AH513" s="18"/>
      <c r="AI513" s="18"/>
      <c r="AK513" s="18"/>
      <c r="AL513" s="18"/>
      <c r="AM513" s="40" t="s">
        <v>118</v>
      </c>
      <c r="AN513" s="18"/>
      <c r="AO513" s="6"/>
      <c r="AP513" s="32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32"/>
      <c r="BH513" s="32"/>
      <c r="BI513" s="32"/>
      <c r="BJ513" s="6"/>
      <c r="BK513" s="6"/>
      <c r="BL513" s="6" t="s">
        <v>59</v>
      </c>
      <c r="BO513" s="15"/>
    </row>
    <row r="514" spans="1:67" ht="14.5" customHeight="1">
      <c r="A514" s="6" t="s">
        <v>130</v>
      </c>
      <c r="B514" s="6" t="s">
        <v>137</v>
      </c>
      <c r="C514" s="17">
        <v>30882.748592160598</v>
      </c>
      <c r="D514" s="18">
        <v>11.093319972775868</v>
      </c>
      <c r="E514" s="23"/>
      <c r="F514" s="23"/>
      <c r="G514" s="22"/>
      <c r="H514" s="22"/>
      <c r="I514" s="22"/>
      <c r="J514" s="22"/>
      <c r="K514" s="22"/>
      <c r="L514" s="22"/>
      <c r="M514" s="22"/>
      <c r="N514" s="18"/>
      <c r="O514" s="18"/>
      <c r="P514" s="22"/>
      <c r="Q514" s="22"/>
      <c r="R514" s="22"/>
      <c r="S514" s="22"/>
      <c r="T514" s="22"/>
      <c r="U514" s="22"/>
      <c r="V514" s="23"/>
      <c r="W514" s="23"/>
      <c r="X514" s="19"/>
      <c r="Y514" s="23"/>
      <c r="Z514" s="23"/>
      <c r="AA514" s="18">
        <v>216.09896900000001</v>
      </c>
      <c r="AB514" s="18"/>
      <c r="AC514" s="18">
        <v>216.09896900000001</v>
      </c>
      <c r="AD514" s="21"/>
      <c r="AE514" s="6"/>
      <c r="AF514" s="18"/>
      <c r="AG514" s="18"/>
      <c r="AH514" s="18"/>
      <c r="AI514" s="18"/>
      <c r="AK514" s="18"/>
      <c r="AL514" s="18"/>
      <c r="AM514" s="40" t="s">
        <v>118</v>
      </c>
      <c r="AN514" s="18"/>
      <c r="AO514" s="6"/>
      <c r="AP514" s="32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32"/>
      <c r="BH514" s="32"/>
      <c r="BI514" s="32"/>
      <c r="BJ514" s="6"/>
      <c r="BK514" s="6"/>
      <c r="BL514" s="6" t="s">
        <v>59</v>
      </c>
      <c r="BO514" s="15"/>
    </row>
    <row r="515" spans="1:67">
      <c r="A515" s="6" t="s">
        <v>130</v>
      </c>
      <c r="B515" s="6" t="s">
        <v>137</v>
      </c>
      <c r="C515" s="17">
        <v>30904.104825369101</v>
      </c>
      <c r="D515" s="18">
        <v>11.151791401347108</v>
      </c>
      <c r="E515" s="23"/>
      <c r="F515" s="23"/>
      <c r="G515" s="22"/>
      <c r="H515" s="22"/>
      <c r="I515" s="22"/>
      <c r="J515" s="22"/>
      <c r="K515" s="22"/>
      <c r="L515" s="22"/>
      <c r="M515" s="22"/>
      <c r="N515" s="18"/>
      <c r="O515" s="18"/>
      <c r="P515" s="22"/>
      <c r="Q515" s="22"/>
      <c r="R515" s="22"/>
      <c r="S515" s="22"/>
      <c r="T515" s="22"/>
      <c r="U515" s="22"/>
      <c r="V515" s="23"/>
      <c r="W515" s="23"/>
      <c r="X515" s="19"/>
      <c r="Y515" s="23"/>
      <c r="Z515" s="23"/>
      <c r="AA515" s="18">
        <v>274.644879</v>
      </c>
      <c r="AB515" s="18"/>
      <c r="AC515" s="18">
        <v>274.644879</v>
      </c>
      <c r="AD515" s="21"/>
      <c r="AE515" s="6"/>
      <c r="AF515" s="18"/>
      <c r="AG515" s="18"/>
      <c r="AH515" s="18"/>
      <c r="AI515" s="18"/>
      <c r="AK515" s="18"/>
      <c r="AL515" s="18"/>
      <c r="AM515" s="40" t="s">
        <v>118</v>
      </c>
      <c r="AN515" s="18"/>
      <c r="AO515" s="6"/>
      <c r="AP515" s="32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32"/>
      <c r="BH515" s="32"/>
      <c r="BI515" s="32"/>
      <c r="BJ515" s="6"/>
      <c r="BK515" s="6"/>
      <c r="BL515" s="6" t="s">
        <v>59</v>
      </c>
      <c r="BO515" s="15"/>
    </row>
    <row r="516" spans="1:67">
      <c r="A516" s="6" t="s">
        <v>130</v>
      </c>
      <c r="B516" s="6" t="s">
        <v>137</v>
      </c>
      <c r="C516" s="17">
        <v>30908.376072010851</v>
      </c>
      <c r="D516" s="18">
        <v>11.163485687061492</v>
      </c>
      <c r="E516" s="23"/>
      <c r="F516" s="23"/>
      <c r="G516" s="22"/>
      <c r="H516" s="22"/>
      <c r="I516" s="22"/>
      <c r="J516" s="22"/>
      <c r="K516" s="22"/>
      <c r="L516" s="22"/>
      <c r="M516" s="22"/>
      <c r="N516" s="18"/>
      <c r="O516" s="18"/>
      <c r="P516" s="22"/>
      <c r="Q516" s="22"/>
      <c r="R516" s="22"/>
      <c r="S516" s="22"/>
      <c r="T516" s="22"/>
      <c r="U516" s="22"/>
      <c r="V516" s="23"/>
      <c r="W516" s="23"/>
      <c r="X516" s="19"/>
      <c r="Y516" s="23"/>
      <c r="Z516" s="23"/>
      <c r="AA516" s="18">
        <v>292.18352500000003</v>
      </c>
      <c r="AB516" s="18"/>
      <c r="AC516" s="18">
        <v>292.18352500000003</v>
      </c>
      <c r="AD516" s="21"/>
      <c r="AE516" s="6"/>
      <c r="AF516" s="18"/>
      <c r="AG516" s="18"/>
      <c r="AH516" s="18"/>
      <c r="AI516" s="18"/>
      <c r="AK516" s="18"/>
      <c r="AL516" s="18"/>
      <c r="AM516" s="40" t="s">
        <v>118</v>
      </c>
      <c r="AN516" s="18"/>
      <c r="AO516" s="6"/>
      <c r="AP516" s="32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32"/>
      <c r="BH516" s="32"/>
      <c r="BI516" s="32"/>
      <c r="BJ516" s="6"/>
      <c r="BK516" s="6"/>
      <c r="BL516" s="6" t="s">
        <v>59</v>
      </c>
      <c r="BO516" s="15"/>
    </row>
    <row r="517" spans="1:67">
      <c r="A517" s="6" t="s">
        <v>130</v>
      </c>
      <c r="B517" s="6" t="s">
        <v>137</v>
      </c>
      <c r="C517" s="17">
        <v>30938.274798502851</v>
      </c>
      <c r="D517" s="18">
        <v>11.245345687061491</v>
      </c>
      <c r="E517" s="23"/>
      <c r="F517" s="23"/>
      <c r="G517" s="22"/>
      <c r="H517" s="22"/>
      <c r="I517" s="22"/>
      <c r="J517" s="22"/>
      <c r="K517" s="22"/>
      <c r="L517" s="22"/>
      <c r="M517" s="22"/>
      <c r="N517" s="18"/>
      <c r="O517" s="18"/>
      <c r="P517" s="22"/>
      <c r="Q517" s="22"/>
      <c r="R517" s="22"/>
      <c r="S517" s="22"/>
      <c r="T517" s="22"/>
      <c r="U517" s="22"/>
      <c r="V517" s="23"/>
      <c r="W517" s="23"/>
      <c r="X517" s="19"/>
      <c r="Y517" s="23"/>
      <c r="Z517" s="23"/>
      <c r="AA517" s="18">
        <v>320.20013000000006</v>
      </c>
      <c r="AB517" s="18"/>
      <c r="AC517" s="18">
        <v>320.20013000000006</v>
      </c>
      <c r="AD517" s="21"/>
      <c r="AE517" s="6"/>
      <c r="AF517" s="18"/>
      <c r="AG517" s="18"/>
      <c r="AH517" s="18"/>
      <c r="AI517" s="18"/>
      <c r="AK517" s="18"/>
      <c r="AL517" s="18"/>
      <c r="AM517" s="40" t="s">
        <v>118</v>
      </c>
      <c r="AN517" s="18"/>
      <c r="AO517" s="6"/>
      <c r="AP517" s="32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32"/>
      <c r="BH517" s="32"/>
      <c r="BI517" s="32"/>
      <c r="BJ517" s="6"/>
      <c r="BK517" s="6"/>
      <c r="BL517" s="6" t="s">
        <v>59</v>
      </c>
      <c r="BO517" s="15"/>
    </row>
    <row r="518" spans="1:67">
      <c r="A518" s="6" t="s">
        <v>130</v>
      </c>
      <c r="B518" s="6" t="s">
        <v>137</v>
      </c>
      <c r="C518" s="17">
        <v>30946.817291786268</v>
      </c>
      <c r="D518" s="18">
        <v>11.268734258490033</v>
      </c>
      <c r="E518" s="23"/>
      <c r="F518" s="23"/>
      <c r="G518" s="22"/>
      <c r="H518" s="22"/>
      <c r="I518" s="22"/>
      <c r="J518" s="22"/>
      <c r="K518" s="22"/>
      <c r="L518" s="22"/>
      <c r="M518" s="22"/>
      <c r="N518" s="18"/>
      <c r="O518" s="18"/>
      <c r="P518" s="22"/>
      <c r="Q518" s="22"/>
      <c r="R518" s="22"/>
      <c r="S518" s="22"/>
      <c r="T518" s="22"/>
      <c r="U518" s="22"/>
      <c r="V518" s="23"/>
      <c r="W518" s="23"/>
      <c r="X518" s="19"/>
      <c r="Y518" s="23"/>
      <c r="Z518" s="23"/>
      <c r="AA518" s="18">
        <v>321.33084499999995</v>
      </c>
      <c r="AB518" s="18"/>
      <c r="AC518" s="18">
        <v>321.33084499999995</v>
      </c>
      <c r="AD518" s="21"/>
      <c r="AE518" s="6"/>
      <c r="AF518" s="18"/>
      <c r="AG518" s="18"/>
      <c r="AH518" s="18"/>
      <c r="AI518" s="18"/>
      <c r="AK518" s="18"/>
      <c r="AL518" s="18"/>
      <c r="AM518" s="40" t="s">
        <v>118</v>
      </c>
      <c r="AN518" s="18"/>
      <c r="AO518" s="6"/>
      <c r="AP518" s="32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32"/>
      <c r="BH518" s="32"/>
      <c r="BI518" s="32"/>
      <c r="BJ518" s="6"/>
      <c r="BK518" s="6"/>
      <c r="BL518" s="6" t="s">
        <v>59</v>
      </c>
      <c r="BO518" s="15"/>
    </row>
    <row r="519" spans="1:67">
      <c r="A519" s="6" t="s">
        <v>130</v>
      </c>
      <c r="B519" s="6" t="s">
        <v>137</v>
      </c>
      <c r="C519" s="17">
        <v>30980.987264920022</v>
      </c>
      <c r="D519" s="18">
        <v>11.362288544204427</v>
      </c>
      <c r="E519" s="23"/>
      <c r="F519" s="23"/>
      <c r="G519" s="22"/>
      <c r="H519" s="22"/>
      <c r="I519" s="22"/>
      <c r="J519" s="22"/>
      <c r="K519" s="22"/>
      <c r="L519" s="22"/>
      <c r="M519" s="22"/>
      <c r="N519" s="18"/>
      <c r="O519" s="18"/>
      <c r="P519" s="22"/>
      <c r="Q519" s="22"/>
      <c r="R519" s="22"/>
      <c r="S519" s="22"/>
      <c r="T519" s="22"/>
      <c r="U519" s="22"/>
      <c r="V519" s="23"/>
      <c r="W519" s="23"/>
      <c r="X519" s="19"/>
      <c r="Y519" s="23"/>
      <c r="Z519" s="23"/>
      <c r="AA519" s="18">
        <v>293.31424000000004</v>
      </c>
      <c r="AB519" s="18"/>
      <c r="AC519" s="18">
        <v>293.31424000000004</v>
      </c>
      <c r="AD519" s="21"/>
      <c r="AE519" s="6"/>
      <c r="AF519" s="18"/>
      <c r="AG519" s="18"/>
      <c r="AH519" s="18"/>
      <c r="AI519" s="18"/>
      <c r="AK519" s="18"/>
      <c r="AL519" s="18"/>
      <c r="AM519" s="40" t="s">
        <v>118</v>
      </c>
      <c r="AN519" s="18"/>
      <c r="AO519" s="6"/>
      <c r="AP519" s="32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32"/>
      <c r="BH519" s="32"/>
      <c r="BI519" s="32"/>
      <c r="BJ519" s="6"/>
      <c r="BK519" s="6"/>
      <c r="BL519" s="6" t="s">
        <v>59</v>
      </c>
      <c r="BO519" s="15"/>
    </row>
    <row r="520" spans="1:67" ht="14.5" customHeight="1">
      <c r="A520" s="6" t="s">
        <v>130</v>
      </c>
      <c r="B520" s="6" t="s">
        <v>137</v>
      </c>
      <c r="C520" s="17">
        <v>30985.258511561689</v>
      </c>
      <c r="D520" s="18">
        <v>11.373982829918583</v>
      </c>
      <c r="E520" s="23"/>
      <c r="F520" s="23"/>
      <c r="G520" s="22"/>
      <c r="H520" s="22"/>
      <c r="I520" s="22"/>
      <c r="J520" s="22"/>
      <c r="K520" s="22"/>
      <c r="L520" s="22"/>
      <c r="M520" s="22"/>
      <c r="N520" s="18"/>
      <c r="O520" s="18"/>
      <c r="P520" s="22"/>
      <c r="Q520" s="22"/>
      <c r="R520" s="22"/>
      <c r="S520" s="22"/>
      <c r="T520" s="22"/>
      <c r="U520" s="22"/>
      <c r="V520" s="23"/>
      <c r="W520" s="23"/>
      <c r="X520" s="19"/>
      <c r="Y520" s="23"/>
      <c r="Z520" s="23"/>
      <c r="AA520" s="18">
        <v>267.05652500000002</v>
      </c>
      <c r="AB520" s="18"/>
      <c r="AC520" s="18">
        <v>267.05652500000002</v>
      </c>
      <c r="AD520" s="21"/>
      <c r="AE520" s="6"/>
      <c r="AF520" s="18"/>
      <c r="AG520" s="18"/>
      <c r="AH520" s="18"/>
      <c r="AI520" s="18"/>
      <c r="AK520" s="18"/>
      <c r="AL520" s="18"/>
      <c r="AM520" s="40" t="s">
        <v>118</v>
      </c>
      <c r="AN520" s="18"/>
      <c r="AO520" s="6"/>
      <c r="AP520" s="32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32"/>
      <c r="BH520" s="32"/>
      <c r="BI520" s="32"/>
      <c r="BJ520" s="6"/>
      <c r="BK520" s="6"/>
      <c r="BL520" s="6" t="s">
        <v>59</v>
      </c>
      <c r="BO520" s="15"/>
    </row>
    <row r="521" spans="1:67" ht="14.5" customHeight="1">
      <c r="A521" s="6" t="s">
        <v>130</v>
      </c>
      <c r="B521" s="6" t="s">
        <v>137</v>
      </c>
      <c r="C521" s="17">
        <v>30989.52975820344</v>
      </c>
      <c r="D521" s="18">
        <v>11.385677115632967</v>
      </c>
      <c r="E521" s="23"/>
      <c r="F521" s="23"/>
      <c r="G521" s="22"/>
      <c r="H521" s="22"/>
      <c r="I521" s="22"/>
      <c r="J521" s="22"/>
      <c r="K521" s="22"/>
      <c r="L521" s="22"/>
      <c r="M521" s="22"/>
      <c r="N521" s="18"/>
      <c r="O521" s="18"/>
      <c r="P521" s="22"/>
      <c r="Q521" s="22"/>
      <c r="R521" s="22"/>
      <c r="S521" s="22"/>
      <c r="T521" s="22"/>
      <c r="U521" s="22"/>
      <c r="V521" s="23"/>
      <c r="W521" s="23"/>
      <c r="X521" s="19"/>
      <c r="Y521" s="23"/>
      <c r="Z521" s="23"/>
      <c r="AA521" s="18">
        <v>256.251915</v>
      </c>
      <c r="AB521" s="18"/>
      <c r="AC521" s="18">
        <v>256.251915</v>
      </c>
      <c r="AD521" s="21"/>
      <c r="AE521" s="6"/>
      <c r="AF521" s="18"/>
      <c r="AG521" s="18"/>
      <c r="AH521" s="18"/>
      <c r="AI521" s="18"/>
      <c r="AK521" s="18"/>
      <c r="AL521" s="18"/>
      <c r="AM521" s="40" t="s">
        <v>118</v>
      </c>
      <c r="AN521" s="18"/>
      <c r="AO521" s="6"/>
      <c r="AP521" s="32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32"/>
      <c r="BH521" s="32"/>
      <c r="BI521" s="32"/>
      <c r="BJ521" s="6"/>
      <c r="BK521" s="6"/>
      <c r="BL521" s="6" t="s">
        <v>59</v>
      </c>
      <c r="BO521" s="15"/>
    </row>
    <row r="522" spans="1:67">
      <c r="A522" s="6" t="s">
        <v>130</v>
      </c>
      <c r="B522" s="6" t="s">
        <v>137</v>
      </c>
      <c r="C522" s="17">
        <v>31002.343498128608</v>
      </c>
      <c r="D522" s="18">
        <v>11.420759972775894</v>
      </c>
      <c r="E522" s="23"/>
      <c r="F522" s="23"/>
      <c r="G522" s="22"/>
      <c r="H522" s="22"/>
      <c r="I522" s="22"/>
      <c r="J522" s="22"/>
      <c r="K522" s="22"/>
      <c r="L522" s="22"/>
      <c r="M522" s="22"/>
      <c r="N522" s="18"/>
      <c r="O522" s="18"/>
      <c r="P522" s="22"/>
      <c r="Q522" s="22"/>
      <c r="R522" s="22"/>
      <c r="S522" s="22"/>
      <c r="T522" s="22"/>
      <c r="U522" s="22"/>
      <c r="V522" s="23"/>
      <c r="W522" s="23"/>
      <c r="X522" s="19"/>
      <c r="Y522" s="23"/>
      <c r="Z522" s="23"/>
      <c r="AA522" s="18">
        <v>233.93913900000001</v>
      </c>
      <c r="AB522" s="18"/>
      <c r="AC522" s="18">
        <v>233.93913900000001</v>
      </c>
      <c r="AD522" s="21"/>
      <c r="AE522" s="6"/>
      <c r="AF522" s="18"/>
      <c r="AG522" s="18"/>
      <c r="AH522" s="18"/>
      <c r="AI522" s="18"/>
      <c r="AK522" s="18"/>
      <c r="AL522" s="18"/>
      <c r="AM522" s="40" t="s">
        <v>118</v>
      </c>
      <c r="AN522" s="18"/>
      <c r="AO522" s="6"/>
      <c r="AP522" s="32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32"/>
      <c r="BH522" s="32"/>
      <c r="BI522" s="32"/>
      <c r="BJ522" s="6"/>
      <c r="BK522" s="6"/>
      <c r="BL522" s="6" t="s">
        <v>59</v>
      </c>
      <c r="BO522" s="15"/>
    </row>
    <row r="523" spans="1:67" ht="14.5" customHeight="1">
      <c r="A523" s="6" t="s">
        <v>130</v>
      </c>
      <c r="B523" s="6" t="s">
        <v>137</v>
      </c>
      <c r="C523" s="17">
        <v>31040.784717903942</v>
      </c>
      <c r="D523" s="18">
        <v>11.526008544204206</v>
      </c>
      <c r="E523" s="23"/>
      <c r="F523" s="23"/>
      <c r="G523" s="22"/>
      <c r="H523" s="22"/>
      <c r="I523" s="22"/>
      <c r="J523" s="22"/>
      <c r="K523" s="22"/>
      <c r="L523" s="22"/>
      <c r="M523" s="22"/>
      <c r="N523" s="18"/>
      <c r="O523" s="18"/>
      <c r="P523" s="22"/>
      <c r="Q523" s="22"/>
      <c r="R523" s="22"/>
      <c r="S523" s="22"/>
      <c r="T523" s="22"/>
      <c r="U523" s="22"/>
      <c r="V523" s="23"/>
      <c r="W523" s="23"/>
      <c r="X523" s="19"/>
      <c r="Y523" s="23"/>
      <c r="Z523" s="23"/>
      <c r="AA523" s="18">
        <v>158.80940900000002</v>
      </c>
      <c r="AB523" s="18"/>
      <c r="AC523" s="18">
        <v>158.80940900000002</v>
      </c>
      <c r="AD523" s="21"/>
      <c r="AE523" s="6"/>
      <c r="AF523" s="18"/>
      <c r="AG523" s="18"/>
      <c r="AH523" s="18"/>
      <c r="AI523" s="18"/>
      <c r="AK523" s="18"/>
      <c r="AL523" s="18"/>
      <c r="AM523" s="40" t="s">
        <v>118</v>
      </c>
      <c r="AN523" s="18"/>
      <c r="AO523" s="6"/>
      <c r="AP523" s="32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32"/>
      <c r="BH523" s="32"/>
      <c r="BI523" s="32"/>
      <c r="BJ523" s="6"/>
      <c r="BK523" s="6"/>
      <c r="BL523" s="6" t="s">
        <v>59</v>
      </c>
      <c r="BO523" s="15"/>
    </row>
    <row r="524" spans="1:67">
      <c r="A524" s="6" t="s">
        <v>130</v>
      </c>
      <c r="B524" s="6" t="s">
        <v>137</v>
      </c>
      <c r="C524" s="17">
        <v>31104.853417529699</v>
      </c>
      <c r="D524" s="18">
        <v>11.701422829918609</v>
      </c>
      <c r="E524" s="23"/>
      <c r="F524" s="23"/>
      <c r="G524" s="22"/>
      <c r="H524" s="22"/>
      <c r="I524" s="22"/>
      <c r="J524" s="22"/>
      <c r="K524" s="22"/>
      <c r="L524" s="22"/>
      <c r="M524" s="22"/>
      <c r="N524" s="18"/>
      <c r="O524" s="18"/>
      <c r="P524" s="22"/>
      <c r="Q524" s="22"/>
      <c r="R524" s="22"/>
      <c r="S524" s="22"/>
      <c r="T524" s="22"/>
      <c r="U524" s="22"/>
      <c r="V524" s="23"/>
      <c r="W524" s="23"/>
      <c r="X524" s="19"/>
      <c r="Y524" s="23"/>
      <c r="Z524" s="23"/>
      <c r="AA524" s="18">
        <v>118.731844</v>
      </c>
      <c r="AB524" s="18"/>
      <c r="AC524" s="18">
        <v>118.731844</v>
      </c>
      <c r="AD524" s="21"/>
      <c r="AE524" s="6"/>
      <c r="AF524" s="18"/>
      <c r="AG524" s="18"/>
      <c r="AH524" s="18"/>
      <c r="AI524" s="18"/>
      <c r="AK524" s="18"/>
      <c r="AL524" s="18"/>
      <c r="AM524" s="40" t="s">
        <v>118</v>
      </c>
      <c r="AN524" s="18"/>
      <c r="AO524" s="6"/>
      <c r="AP524" s="32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32"/>
      <c r="BH524" s="32"/>
      <c r="BI524" s="32"/>
      <c r="BJ524" s="6"/>
      <c r="BK524" s="6"/>
      <c r="BL524" s="6" t="s">
        <v>59</v>
      </c>
      <c r="BO524" s="15"/>
    </row>
    <row r="525" spans="1:67" ht="14.5" customHeight="1">
      <c r="A525" s="6" t="s">
        <v>130</v>
      </c>
      <c r="B525" s="6" t="s">
        <v>137</v>
      </c>
      <c r="C525" s="17">
        <v>31130.480897379952</v>
      </c>
      <c r="D525" s="18">
        <v>11.771588544204233</v>
      </c>
      <c r="E525" s="23"/>
      <c r="F525" s="23"/>
      <c r="G525" s="22"/>
      <c r="H525" s="22"/>
      <c r="I525" s="22"/>
      <c r="J525" s="22"/>
      <c r="K525" s="22"/>
      <c r="L525" s="22"/>
      <c r="M525" s="22"/>
      <c r="N525" s="18"/>
      <c r="O525" s="18"/>
      <c r="P525" s="22"/>
      <c r="Q525" s="22"/>
      <c r="R525" s="22"/>
      <c r="S525" s="22"/>
      <c r="T525" s="22"/>
      <c r="U525" s="22"/>
      <c r="V525" s="23"/>
      <c r="W525" s="23"/>
      <c r="X525" s="19"/>
      <c r="Y525" s="23"/>
      <c r="Z525" s="23"/>
      <c r="AA525" s="18">
        <v>118.807225</v>
      </c>
      <c r="AB525" s="18"/>
      <c r="AC525" s="18">
        <v>118.807225</v>
      </c>
      <c r="AD525" s="21"/>
      <c r="AE525" s="6"/>
      <c r="AF525" s="18"/>
      <c r="AG525" s="18"/>
      <c r="AH525" s="18"/>
      <c r="AI525" s="18"/>
      <c r="AK525" s="18"/>
      <c r="AL525" s="18"/>
      <c r="AM525" s="40" t="s">
        <v>118</v>
      </c>
      <c r="AN525" s="18"/>
      <c r="AO525" s="6"/>
      <c r="AP525" s="32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32"/>
      <c r="BH525" s="32"/>
      <c r="BI525" s="32"/>
      <c r="BJ525" s="6"/>
      <c r="BK525" s="6"/>
      <c r="BL525" s="6" t="s">
        <v>59</v>
      </c>
      <c r="BO525" s="15"/>
    </row>
    <row r="526" spans="1:67">
      <c r="A526" s="6" t="s">
        <v>130</v>
      </c>
      <c r="B526" s="6" t="s">
        <v>137</v>
      </c>
      <c r="C526" s="17">
        <v>31139.023390663366</v>
      </c>
      <c r="D526" s="18">
        <v>11.794977115632765</v>
      </c>
      <c r="E526" s="23"/>
      <c r="F526" s="23"/>
      <c r="G526" s="22"/>
      <c r="H526" s="22"/>
      <c r="I526" s="22"/>
      <c r="J526" s="22"/>
      <c r="K526" s="22"/>
      <c r="L526" s="22"/>
      <c r="M526" s="22"/>
      <c r="N526" s="18"/>
      <c r="O526" s="18"/>
      <c r="P526" s="22"/>
      <c r="Q526" s="22"/>
      <c r="R526" s="22"/>
      <c r="S526" s="22"/>
      <c r="T526" s="22"/>
      <c r="U526" s="22"/>
      <c r="V526" s="23"/>
      <c r="W526" s="23"/>
      <c r="X526" s="19"/>
      <c r="Y526" s="23"/>
      <c r="Z526" s="23"/>
      <c r="AA526" s="18">
        <v>292.81169999999997</v>
      </c>
      <c r="AB526" s="18"/>
      <c r="AC526" s="18">
        <v>292.81169999999997</v>
      </c>
      <c r="AD526" s="21"/>
      <c r="AE526" s="6"/>
      <c r="AF526" s="18"/>
      <c r="AG526" s="18"/>
      <c r="AH526" s="18"/>
      <c r="AI526" s="18"/>
      <c r="AK526" s="18"/>
      <c r="AL526" s="18"/>
      <c r="AM526" s="40" t="s">
        <v>118</v>
      </c>
      <c r="AN526" s="18"/>
      <c r="AO526" s="6"/>
      <c r="AP526" s="32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32"/>
      <c r="BH526" s="32"/>
      <c r="BI526" s="32"/>
      <c r="BJ526" s="6"/>
      <c r="BK526" s="6"/>
      <c r="BL526" s="6" t="s">
        <v>59</v>
      </c>
      <c r="BO526" s="15"/>
    </row>
    <row r="527" spans="1:67" ht="14.5" customHeight="1">
      <c r="A527" s="6" t="s">
        <v>130</v>
      </c>
      <c r="B527" s="6" t="s">
        <v>137</v>
      </c>
      <c r="C527" s="17">
        <v>31160.379623871951</v>
      </c>
      <c r="D527" s="18">
        <v>11.853448544204232</v>
      </c>
      <c r="E527" s="23"/>
      <c r="F527" s="23"/>
      <c r="G527" s="22"/>
      <c r="H527" s="22"/>
      <c r="I527" s="22"/>
      <c r="J527" s="22"/>
      <c r="K527" s="22"/>
      <c r="L527" s="22"/>
      <c r="M527" s="22"/>
      <c r="N527" s="18"/>
      <c r="O527" s="18"/>
      <c r="P527" s="22"/>
      <c r="Q527" s="22"/>
      <c r="R527" s="22"/>
      <c r="S527" s="22"/>
      <c r="T527" s="22"/>
      <c r="U527" s="22"/>
      <c r="V527" s="23"/>
      <c r="W527" s="23"/>
      <c r="X527" s="19"/>
      <c r="Y527" s="23"/>
      <c r="Z527" s="23"/>
      <c r="AA527" s="18">
        <v>247.40721099999999</v>
      </c>
      <c r="AB527" s="18"/>
      <c r="AC527" s="18">
        <v>247.40721099999999</v>
      </c>
      <c r="AD527" s="21"/>
      <c r="AE527" s="6"/>
      <c r="AF527" s="18"/>
      <c r="AG527" s="18"/>
      <c r="AH527" s="18"/>
      <c r="AI527" s="18"/>
      <c r="AK527" s="18"/>
      <c r="AL527" s="18"/>
      <c r="AM527" s="40" t="s">
        <v>118</v>
      </c>
      <c r="AN527" s="18"/>
      <c r="AO527" s="6"/>
      <c r="AP527" s="32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32"/>
      <c r="BH527" s="32"/>
      <c r="BI527" s="32"/>
      <c r="BJ527" s="6"/>
      <c r="BK527" s="6"/>
      <c r="BL527" s="6" t="s">
        <v>59</v>
      </c>
      <c r="BO527" s="15"/>
    </row>
    <row r="528" spans="1:67" ht="14.5" customHeight="1">
      <c r="A528" s="6" t="s">
        <v>130</v>
      </c>
      <c r="B528" s="6" t="s">
        <v>137</v>
      </c>
      <c r="C528" s="17">
        <v>31173.193363797203</v>
      </c>
      <c r="D528" s="18">
        <v>11.888531401347388</v>
      </c>
      <c r="E528" s="23"/>
      <c r="F528" s="23"/>
      <c r="G528" s="22"/>
      <c r="H528" s="22"/>
      <c r="I528" s="22"/>
      <c r="J528" s="22"/>
      <c r="K528" s="22"/>
      <c r="L528" s="22"/>
      <c r="M528" s="22"/>
      <c r="N528" s="18"/>
      <c r="O528" s="18"/>
      <c r="P528" s="22"/>
      <c r="Q528" s="22"/>
      <c r="R528" s="22"/>
      <c r="S528" s="22"/>
      <c r="T528" s="22"/>
      <c r="U528" s="22"/>
      <c r="V528" s="23"/>
      <c r="W528" s="23"/>
      <c r="X528" s="19"/>
      <c r="Y528" s="23"/>
      <c r="Z528" s="23"/>
      <c r="AA528" s="18">
        <v>227.70764300000002</v>
      </c>
      <c r="AB528" s="18"/>
      <c r="AC528" s="18">
        <v>227.70764300000002</v>
      </c>
      <c r="AD528" s="21"/>
      <c r="AE528" s="6"/>
      <c r="AF528" s="18"/>
      <c r="AG528" s="18"/>
      <c r="AH528" s="18"/>
      <c r="AI528" s="18"/>
      <c r="AK528" s="18"/>
      <c r="AL528" s="18"/>
      <c r="AM528" s="40" t="s">
        <v>118</v>
      </c>
      <c r="AN528" s="18"/>
      <c r="AO528" s="6"/>
      <c r="AP528" s="32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32"/>
      <c r="BH528" s="32"/>
      <c r="BI528" s="32"/>
      <c r="BJ528" s="6"/>
      <c r="BK528" s="6"/>
      <c r="BL528" s="6" t="s">
        <v>59</v>
      </c>
      <c r="BO528" s="15"/>
    </row>
    <row r="529" spans="1:67">
      <c r="A529" s="6" t="s">
        <v>130</v>
      </c>
      <c r="B529" s="6" t="s">
        <v>137</v>
      </c>
      <c r="C529" s="17">
        <v>31190.278350364038</v>
      </c>
      <c r="D529" s="18">
        <v>11.935308544204471</v>
      </c>
      <c r="E529" s="23"/>
      <c r="F529" s="23"/>
      <c r="G529" s="22"/>
      <c r="H529" s="22"/>
      <c r="I529" s="22"/>
      <c r="J529" s="22"/>
      <c r="K529" s="22"/>
      <c r="L529" s="22"/>
      <c r="M529" s="22"/>
      <c r="N529" s="18"/>
      <c r="O529" s="18"/>
      <c r="P529" s="22"/>
      <c r="Q529" s="22"/>
      <c r="R529" s="22"/>
      <c r="S529" s="22"/>
      <c r="T529" s="22"/>
      <c r="U529" s="22"/>
      <c r="V529" s="23"/>
      <c r="W529" s="23"/>
      <c r="X529" s="19"/>
      <c r="Y529" s="23"/>
      <c r="Z529" s="23"/>
      <c r="AA529" s="18">
        <v>213.98830100000001</v>
      </c>
      <c r="AB529" s="18"/>
      <c r="AC529" s="18">
        <v>213.98830100000001</v>
      </c>
      <c r="AD529" s="21"/>
      <c r="AE529" s="6"/>
      <c r="AF529" s="18"/>
      <c r="AG529" s="18"/>
      <c r="AH529" s="18"/>
      <c r="AI529" s="18"/>
      <c r="AK529" s="18"/>
      <c r="AL529" s="18"/>
      <c r="AM529" s="40" t="s">
        <v>118</v>
      </c>
      <c r="AN529" s="18"/>
      <c r="AO529" s="6"/>
      <c r="AP529" s="32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32"/>
      <c r="BH529" s="32"/>
      <c r="BI529" s="32"/>
      <c r="BJ529" s="6"/>
      <c r="BK529" s="6"/>
      <c r="BL529" s="6" t="s">
        <v>59</v>
      </c>
      <c r="BO529" s="15"/>
    </row>
    <row r="530" spans="1:67" ht="14.5" customHeight="1">
      <c r="A530" s="6" t="s">
        <v>130</v>
      </c>
      <c r="B530" s="6" t="s">
        <v>137</v>
      </c>
      <c r="C530" s="17">
        <v>31215.905830214291</v>
      </c>
      <c r="D530" s="18">
        <v>12.005474258490095</v>
      </c>
      <c r="E530" s="23"/>
      <c r="F530" s="23"/>
      <c r="G530" s="22"/>
      <c r="H530" s="22"/>
      <c r="I530" s="22"/>
      <c r="J530" s="22"/>
      <c r="K530" s="22"/>
      <c r="L530" s="22"/>
      <c r="M530" s="22"/>
      <c r="N530" s="18"/>
      <c r="O530" s="18"/>
      <c r="P530" s="22"/>
      <c r="Q530" s="22"/>
      <c r="R530" s="22"/>
      <c r="S530" s="22"/>
      <c r="T530" s="22"/>
      <c r="U530" s="22"/>
      <c r="V530" s="23"/>
      <c r="W530" s="23"/>
      <c r="X530" s="19"/>
      <c r="Y530" s="23"/>
      <c r="Z530" s="23"/>
      <c r="AA530" s="18">
        <v>206.60096300000001</v>
      </c>
      <c r="AB530" s="18"/>
      <c r="AC530" s="18">
        <v>206.60096300000001</v>
      </c>
      <c r="AD530" s="21"/>
      <c r="AE530" s="6"/>
      <c r="AF530" s="18"/>
      <c r="AG530" s="18"/>
      <c r="AH530" s="18"/>
      <c r="AI530" s="18"/>
      <c r="AK530" s="18"/>
      <c r="AL530" s="18"/>
      <c r="AM530" s="40" t="s">
        <v>118</v>
      </c>
      <c r="AN530" s="18"/>
      <c r="AO530" s="6"/>
      <c r="AP530" s="32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32"/>
      <c r="BH530" s="32"/>
      <c r="BI530" s="32"/>
      <c r="BJ530" s="6"/>
      <c r="BK530" s="6"/>
      <c r="BL530" s="6" t="s">
        <v>59</v>
      </c>
      <c r="BO530" s="15"/>
    </row>
    <row r="531" spans="1:67">
      <c r="A531" s="6" t="s">
        <v>130</v>
      </c>
      <c r="B531" s="6" t="s">
        <v>137</v>
      </c>
      <c r="C531" s="17">
        <v>31258.618296631375</v>
      </c>
      <c r="D531" s="18">
        <v>12.122417115632791</v>
      </c>
      <c r="E531" s="23"/>
      <c r="F531" s="23"/>
      <c r="G531" s="22"/>
      <c r="H531" s="22"/>
      <c r="I531" s="22"/>
      <c r="J531" s="22"/>
      <c r="K531" s="22"/>
      <c r="L531" s="22"/>
      <c r="M531" s="22"/>
      <c r="N531" s="18"/>
      <c r="O531" s="18"/>
      <c r="P531" s="22"/>
      <c r="Q531" s="22"/>
      <c r="R531" s="22"/>
      <c r="S531" s="22"/>
      <c r="T531" s="22"/>
      <c r="U531" s="22"/>
      <c r="V531" s="23"/>
      <c r="W531" s="23"/>
      <c r="X531" s="19"/>
      <c r="Y531" s="23"/>
      <c r="Z531" s="23"/>
      <c r="AA531" s="18">
        <v>206.70147099999997</v>
      </c>
      <c r="AB531" s="18"/>
      <c r="AC531" s="18">
        <v>206.70147099999997</v>
      </c>
      <c r="AD531" s="21"/>
      <c r="AE531" s="6"/>
      <c r="AF531" s="18"/>
      <c r="AG531" s="18"/>
      <c r="AH531" s="18"/>
      <c r="AI531" s="18"/>
      <c r="AK531" s="18"/>
      <c r="AL531" s="18"/>
      <c r="AM531" s="40" t="s">
        <v>118</v>
      </c>
      <c r="AN531" s="18"/>
      <c r="AO531" s="6"/>
      <c r="AP531" s="32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32"/>
      <c r="BH531" s="32"/>
      <c r="BI531" s="32"/>
      <c r="BJ531" s="6"/>
      <c r="BK531" s="6"/>
      <c r="BL531" s="6" t="s">
        <v>59</v>
      </c>
      <c r="BO531" s="15"/>
    </row>
    <row r="532" spans="1:67">
      <c r="A532" s="6" t="s">
        <v>130</v>
      </c>
      <c r="B532" s="6" t="s">
        <v>137</v>
      </c>
      <c r="C532" s="17">
        <v>31271.432036556627</v>
      </c>
      <c r="D532" s="18">
        <v>12.157499972775947</v>
      </c>
      <c r="E532" s="6"/>
      <c r="F532" s="6"/>
      <c r="G532" s="22"/>
      <c r="H532" s="22"/>
      <c r="I532" s="22"/>
      <c r="J532" s="22"/>
      <c r="K532" s="22"/>
      <c r="L532" s="22"/>
      <c r="M532" s="22"/>
      <c r="N532" s="18"/>
      <c r="O532" s="18"/>
      <c r="P532" s="22"/>
      <c r="Q532" s="22"/>
      <c r="R532" s="22"/>
      <c r="S532" s="22"/>
      <c r="T532" s="22"/>
      <c r="U532" s="22"/>
      <c r="V532" s="6"/>
      <c r="W532" s="6"/>
      <c r="X532" s="19"/>
      <c r="Y532" s="6"/>
      <c r="Z532" s="6"/>
      <c r="AA532" s="18">
        <v>201.90221400000001</v>
      </c>
      <c r="AB532" s="18"/>
      <c r="AC532" s="18">
        <v>201.90221400000001</v>
      </c>
      <c r="AD532" s="21"/>
      <c r="AE532" s="6"/>
      <c r="AF532" s="18"/>
      <c r="AG532" s="18"/>
      <c r="AH532" s="18"/>
      <c r="AI532" s="18"/>
      <c r="AK532" s="18"/>
      <c r="AL532" s="18"/>
      <c r="AM532" s="40" t="s">
        <v>118</v>
      </c>
      <c r="AN532" s="18"/>
      <c r="AO532" s="6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6"/>
      <c r="BK532" s="6"/>
      <c r="BL532" s="6" t="s">
        <v>59</v>
      </c>
      <c r="BO532" s="15"/>
    </row>
    <row r="533" spans="1:67" ht="14.5" customHeight="1">
      <c r="A533" s="6" t="s">
        <v>130</v>
      </c>
      <c r="B533" s="6" t="s">
        <v>137</v>
      </c>
      <c r="C533" s="17">
        <v>31301.330763048631</v>
      </c>
      <c r="D533" s="18">
        <v>12.239359972775956</v>
      </c>
      <c r="E533" s="6"/>
      <c r="F533" s="6"/>
      <c r="G533" s="22"/>
      <c r="H533" s="22"/>
      <c r="I533" s="22"/>
      <c r="J533" s="22"/>
      <c r="K533" s="22"/>
      <c r="L533" s="22"/>
      <c r="M533" s="22"/>
      <c r="N533" s="18"/>
      <c r="O533" s="18"/>
      <c r="P533" s="22"/>
      <c r="Q533" s="22"/>
      <c r="R533" s="22"/>
      <c r="S533" s="22"/>
      <c r="T533" s="22"/>
      <c r="U533" s="22"/>
      <c r="V533" s="6"/>
      <c r="W533" s="6"/>
      <c r="X533" s="19"/>
      <c r="Y533" s="6"/>
      <c r="Z533" s="6"/>
      <c r="AA533" s="18">
        <v>275.75046699999996</v>
      </c>
      <c r="AB533" s="18"/>
      <c r="AC533" s="18">
        <v>275.75046699999996</v>
      </c>
      <c r="AD533" s="21"/>
      <c r="AE533" s="6"/>
      <c r="AF533" s="18"/>
      <c r="AG533" s="18"/>
      <c r="AH533" s="18"/>
      <c r="AI533" s="18"/>
      <c r="AK533" s="18"/>
      <c r="AL533" s="18"/>
      <c r="AM533" s="40" t="s">
        <v>118</v>
      </c>
      <c r="AN533" s="18"/>
      <c r="AO533" s="6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6"/>
      <c r="BK533" s="6"/>
      <c r="BL533" s="6" t="s">
        <v>59</v>
      </c>
      <c r="BO533" s="15"/>
    </row>
    <row r="534" spans="1:67">
      <c r="A534" s="6" t="s">
        <v>130</v>
      </c>
      <c r="B534" s="6" t="s">
        <v>137</v>
      </c>
      <c r="C534" s="17">
        <v>31309.873256332045</v>
      </c>
      <c r="D534" s="18">
        <v>12.262748544204488</v>
      </c>
      <c r="E534" s="6"/>
      <c r="F534" s="6"/>
      <c r="G534" s="22"/>
      <c r="H534" s="22"/>
      <c r="I534" s="22"/>
      <c r="J534" s="22"/>
      <c r="K534" s="22"/>
      <c r="L534" s="22"/>
      <c r="M534" s="22"/>
      <c r="N534" s="18"/>
      <c r="O534" s="18"/>
      <c r="P534" s="22"/>
      <c r="Q534" s="22"/>
      <c r="R534" s="22"/>
      <c r="S534" s="22"/>
      <c r="T534" s="22"/>
      <c r="U534" s="22"/>
      <c r="V534" s="6"/>
      <c r="W534" s="6"/>
      <c r="X534" s="19"/>
      <c r="Y534" s="6"/>
      <c r="Z534" s="6"/>
      <c r="AA534" s="18">
        <v>272.40857600000004</v>
      </c>
      <c r="AB534" s="18"/>
      <c r="AC534" s="18">
        <v>272.40857600000004</v>
      </c>
      <c r="AD534" s="21"/>
      <c r="AE534" s="6"/>
      <c r="AF534" s="18"/>
      <c r="AG534" s="18"/>
      <c r="AH534" s="18"/>
      <c r="AI534" s="18"/>
      <c r="AK534" s="18"/>
      <c r="AL534" s="18"/>
      <c r="AM534" s="40" t="s">
        <v>118</v>
      </c>
      <c r="AN534" s="18"/>
      <c r="AO534" s="6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6"/>
      <c r="BK534" s="6"/>
      <c r="BL534" s="6" t="s">
        <v>59</v>
      </c>
      <c r="BO534" s="15"/>
    </row>
    <row r="535" spans="1:67" ht="14.5" customHeight="1">
      <c r="A535" s="6" t="s">
        <v>130</v>
      </c>
      <c r="B535" s="6" t="s">
        <v>137</v>
      </c>
      <c r="C535" s="17">
        <v>31318.415749615462</v>
      </c>
      <c r="D535" s="18">
        <v>12.286137115633029</v>
      </c>
      <c r="E535" s="6"/>
      <c r="F535" s="6"/>
      <c r="G535" s="22"/>
      <c r="H535" s="22"/>
      <c r="I535" s="22"/>
      <c r="J535" s="22"/>
      <c r="K535" s="22"/>
      <c r="L535" s="22"/>
      <c r="M535" s="22"/>
      <c r="N535" s="18"/>
      <c r="O535" s="18"/>
      <c r="P535" s="22"/>
      <c r="Q535" s="22"/>
      <c r="R535" s="22"/>
      <c r="S535" s="22"/>
      <c r="T535" s="22"/>
      <c r="U535" s="22"/>
      <c r="V535" s="6"/>
      <c r="W535" s="6"/>
      <c r="X535" s="19"/>
      <c r="Y535" s="6"/>
      <c r="Z535" s="6"/>
      <c r="AA535" s="18">
        <v>273.94132300000001</v>
      </c>
      <c r="AB535" s="18"/>
      <c r="AC535" s="18">
        <v>273.94132300000001</v>
      </c>
      <c r="AD535" s="21"/>
      <c r="AE535" s="6"/>
      <c r="AF535" s="18"/>
      <c r="AG535" s="18"/>
      <c r="AH535" s="18"/>
      <c r="AI535" s="18"/>
      <c r="AK535" s="18"/>
      <c r="AL535" s="18"/>
      <c r="AM535" s="40" t="s">
        <v>118</v>
      </c>
      <c r="AN535" s="18"/>
      <c r="AO535" s="6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6"/>
      <c r="BK535" s="6"/>
      <c r="BL535" s="6" t="s">
        <v>59</v>
      </c>
      <c r="BO535" s="15"/>
    </row>
    <row r="536" spans="1:67">
      <c r="A536" s="6" t="s">
        <v>130</v>
      </c>
      <c r="B536" s="6" t="s">
        <v>137</v>
      </c>
      <c r="C536" s="17">
        <v>31326.95824289888</v>
      </c>
      <c r="D536" s="18">
        <v>12.309525687061569</v>
      </c>
      <c r="E536" s="6"/>
      <c r="F536" s="6"/>
      <c r="G536" s="22"/>
      <c r="H536" s="22"/>
      <c r="I536" s="22"/>
      <c r="J536" s="22"/>
      <c r="K536" s="22"/>
      <c r="L536" s="22"/>
      <c r="M536" s="22"/>
      <c r="N536" s="18"/>
      <c r="O536" s="18"/>
      <c r="P536" s="22"/>
      <c r="Q536" s="22"/>
      <c r="R536" s="22"/>
      <c r="S536" s="22"/>
      <c r="T536" s="22"/>
      <c r="U536" s="22"/>
      <c r="V536" s="6"/>
      <c r="W536" s="6"/>
      <c r="X536" s="19"/>
      <c r="Y536" s="6"/>
      <c r="Z536" s="6"/>
      <c r="AA536" s="18">
        <v>310.82775900000001</v>
      </c>
      <c r="AB536" s="18"/>
      <c r="AC536" s="18">
        <v>310.82775900000001</v>
      </c>
      <c r="AD536" s="21"/>
      <c r="AE536" s="6"/>
      <c r="AF536" s="18"/>
      <c r="AG536" s="18"/>
      <c r="AH536" s="18"/>
      <c r="AI536" s="18"/>
      <c r="AK536" s="18"/>
      <c r="AL536" s="18"/>
      <c r="AM536" s="40" t="s">
        <v>118</v>
      </c>
      <c r="AN536" s="18"/>
      <c r="AO536" s="6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6"/>
      <c r="BK536" s="6"/>
      <c r="BL536" s="6" t="s">
        <v>59</v>
      </c>
      <c r="BO536" s="15"/>
    </row>
    <row r="537" spans="1:67">
      <c r="A537" s="6" t="s">
        <v>130</v>
      </c>
      <c r="B537" s="6" t="s">
        <v>137</v>
      </c>
      <c r="C537" s="17">
        <v>31339.771982823964</v>
      </c>
      <c r="D537" s="18">
        <v>12.344608544204268</v>
      </c>
      <c r="E537" s="6"/>
      <c r="F537" s="6"/>
      <c r="G537" s="22"/>
      <c r="H537" s="22"/>
      <c r="I537" s="22"/>
      <c r="J537" s="22"/>
      <c r="K537" s="22"/>
      <c r="L537" s="22"/>
      <c r="M537" s="22"/>
      <c r="N537" s="18"/>
      <c r="O537" s="18"/>
      <c r="P537" s="22"/>
      <c r="Q537" s="22"/>
      <c r="R537" s="22"/>
      <c r="S537" s="22"/>
      <c r="T537" s="22"/>
      <c r="U537" s="22"/>
      <c r="V537" s="6"/>
      <c r="W537" s="6"/>
      <c r="X537" s="19"/>
      <c r="Y537" s="6"/>
      <c r="Z537" s="6"/>
      <c r="AA537" s="18">
        <v>275.47406999999998</v>
      </c>
      <c r="AB537" s="18"/>
      <c r="AC537" s="18">
        <v>275.47406999999998</v>
      </c>
      <c r="AD537" s="21"/>
      <c r="AE537" s="6"/>
      <c r="AF537" s="18"/>
      <c r="AG537" s="18"/>
      <c r="AH537" s="18"/>
      <c r="AI537" s="18"/>
      <c r="AK537" s="18"/>
      <c r="AL537" s="18"/>
      <c r="AM537" s="40" t="s">
        <v>118</v>
      </c>
      <c r="AN537" s="18"/>
      <c r="AO537" s="6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6"/>
      <c r="BK537" s="6"/>
      <c r="BL537" s="6" t="s">
        <v>59</v>
      </c>
      <c r="BO537" s="15"/>
    </row>
    <row r="538" spans="1:67">
      <c r="A538" s="6" t="s">
        <v>130</v>
      </c>
      <c r="B538" s="6" t="s">
        <v>137</v>
      </c>
      <c r="C538" s="17">
        <v>31369.670709315968</v>
      </c>
      <c r="D538" s="18">
        <v>12.426468544204276</v>
      </c>
      <c r="E538" s="6"/>
      <c r="F538" s="6"/>
      <c r="G538" s="22"/>
      <c r="H538" s="22"/>
      <c r="I538" s="22"/>
      <c r="J538" s="22"/>
      <c r="K538" s="22"/>
      <c r="L538" s="22"/>
      <c r="M538" s="22"/>
      <c r="N538" s="18"/>
      <c r="O538" s="18"/>
      <c r="P538" s="22"/>
      <c r="Q538" s="22"/>
      <c r="R538" s="22"/>
      <c r="S538" s="22"/>
      <c r="T538" s="22"/>
      <c r="U538" s="22"/>
      <c r="V538" s="6"/>
      <c r="W538" s="6"/>
      <c r="X538" s="19"/>
      <c r="Y538" s="6"/>
      <c r="Z538" s="6"/>
      <c r="AA538" s="18">
        <v>243.16074799999998</v>
      </c>
      <c r="AB538" s="18"/>
      <c r="AC538" s="18">
        <v>243.16074799999998</v>
      </c>
      <c r="AD538" s="21"/>
      <c r="AE538" s="6"/>
      <c r="AF538" s="18"/>
      <c r="AG538" s="18"/>
      <c r="AH538" s="18"/>
      <c r="AI538" s="18"/>
      <c r="AK538" s="18"/>
      <c r="AL538" s="18"/>
      <c r="AM538" s="40" t="s">
        <v>118</v>
      </c>
      <c r="AN538" s="18"/>
      <c r="AO538" s="6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6"/>
      <c r="BK538" s="6"/>
      <c r="BL538" s="6" t="s">
        <v>59</v>
      </c>
      <c r="BO538" s="15"/>
    </row>
    <row r="539" spans="1:67" ht="14.5" customHeight="1">
      <c r="A539" s="6" t="s">
        <v>130</v>
      </c>
      <c r="B539" s="6" t="s">
        <v>137</v>
      </c>
      <c r="C539" s="17">
        <v>31382.484449241219</v>
      </c>
      <c r="D539" s="18">
        <v>12.461551401347432</v>
      </c>
      <c r="E539" s="6"/>
      <c r="F539" s="6"/>
      <c r="G539" s="22"/>
      <c r="H539" s="22"/>
      <c r="I539" s="22"/>
      <c r="J539" s="22"/>
      <c r="K539" s="22"/>
      <c r="L539" s="22"/>
      <c r="M539" s="22"/>
      <c r="N539" s="18"/>
      <c r="O539" s="18"/>
      <c r="P539" s="22"/>
      <c r="Q539" s="22"/>
      <c r="R539" s="22"/>
      <c r="S539" s="22"/>
      <c r="T539" s="22"/>
      <c r="U539" s="22"/>
      <c r="V539" s="6"/>
      <c r="W539" s="6"/>
      <c r="X539" s="19"/>
      <c r="Y539" s="6"/>
      <c r="Z539" s="6"/>
      <c r="AA539" s="18">
        <v>218.96344699999997</v>
      </c>
      <c r="AB539" s="18"/>
      <c r="AC539" s="18">
        <v>218.96344699999997</v>
      </c>
      <c r="AD539" s="21"/>
      <c r="AE539" s="6"/>
      <c r="AF539" s="18"/>
      <c r="AG539" s="18"/>
      <c r="AH539" s="18"/>
      <c r="AI539" s="18"/>
      <c r="AK539" s="18"/>
      <c r="AL539" s="18"/>
      <c r="AM539" s="40" t="s">
        <v>118</v>
      </c>
      <c r="AN539" s="18"/>
      <c r="AO539" s="6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6"/>
      <c r="BK539" s="6"/>
      <c r="BL539" s="6" t="s">
        <v>59</v>
      </c>
      <c r="BO539" s="15"/>
    </row>
    <row r="540" spans="1:67" ht="14.5" customHeight="1">
      <c r="A540" s="6" t="s">
        <v>130</v>
      </c>
      <c r="B540" s="6" t="s">
        <v>137</v>
      </c>
      <c r="C540" s="17">
        <v>31395.298189166304</v>
      </c>
      <c r="D540" s="18">
        <v>12.496634258490129</v>
      </c>
      <c r="E540" s="6"/>
      <c r="F540" s="6"/>
      <c r="G540" s="22"/>
      <c r="H540" s="22"/>
      <c r="I540" s="22"/>
      <c r="J540" s="22"/>
      <c r="K540" s="22"/>
      <c r="L540" s="22"/>
      <c r="M540" s="22"/>
      <c r="N540" s="18"/>
      <c r="O540" s="18"/>
      <c r="P540" s="22"/>
      <c r="Q540" s="22"/>
      <c r="R540" s="22"/>
      <c r="S540" s="22"/>
      <c r="T540" s="22"/>
      <c r="U540" s="22"/>
      <c r="V540" s="6"/>
      <c r="W540" s="6"/>
      <c r="X540" s="19"/>
      <c r="Y540" s="6"/>
      <c r="Z540" s="6"/>
      <c r="AA540" s="18">
        <v>208.76188500000001</v>
      </c>
      <c r="AB540" s="18"/>
      <c r="AC540" s="18">
        <v>208.76188500000001</v>
      </c>
      <c r="AD540" s="21"/>
      <c r="AE540" s="6"/>
      <c r="AF540" s="18"/>
      <c r="AG540" s="18"/>
      <c r="AH540" s="18"/>
      <c r="AI540" s="18"/>
      <c r="AK540" s="18"/>
      <c r="AL540" s="18"/>
      <c r="AM540" s="40" t="s">
        <v>118</v>
      </c>
      <c r="AN540" s="18"/>
      <c r="AO540" s="6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6"/>
      <c r="BK540" s="6"/>
      <c r="BL540" s="6" t="s">
        <v>59</v>
      </c>
      <c r="BO540" s="15"/>
    </row>
    <row r="541" spans="1:67">
      <c r="A541" s="6" t="s">
        <v>130</v>
      </c>
      <c r="B541" s="6" t="s">
        <v>137</v>
      </c>
      <c r="C541" s="33">
        <v>31420.925669016557</v>
      </c>
      <c r="D541" s="18">
        <v>12.566799972775753</v>
      </c>
      <c r="E541" s="6"/>
      <c r="F541" s="6"/>
      <c r="G541" s="22"/>
      <c r="H541" s="22"/>
      <c r="I541" s="22"/>
      <c r="J541" s="22"/>
      <c r="K541" s="22"/>
      <c r="L541" s="22"/>
      <c r="M541" s="22"/>
      <c r="N541" s="18"/>
      <c r="O541" s="18"/>
      <c r="P541" s="22"/>
      <c r="Q541" s="22"/>
      <c r="R541" s="22"/>
      <c r="S541" s="22"/>
      <c r="T541" s="22"/>
      <c r="U541" s="22"/>
      <c r="V541" s="6"/>
      <c r="W541" s="6"/>
      <c r="X541" s="19"/>
      <c r="Y541" s="6"/>
      <c r="Z541" s="6"/>
      <c r="AA541" s="18">
        <v>169.161733</v>
      </c>
      <c r="AB541" s="18"/>
      <c r="AC541" s="18">
        <v>169.161733</v>
      </c>
      <c r="AD541" s="21"/>
      <c r="AE541" s="6"/>
      <c r="AF541" s="18"/>
      <c r="AG541" s="18"/>
      <c r="AH541" s="18"/>
      <c r="AI541" s="18"/>
      <c r="AK541" s="18"/>
      <c r="AL541" s="18"/>
      <c r="AM541" s="40" t="s">
        <v>118</v>
      </c>
      <c r="AN541" s="18"/>
      <c r="AO541" s="6"/>
      <c r="AP541" s="3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32"/>
      <c r="BH541" s="32"/>
      <c r="BI541" s="32"/>
      <c r="BJ541" s="6"/>
      <c r="BK541" s="6"/>
      <c r="BL541" s="6" t="s">
        <v>59</v>
      </c>
      <c r="BO541" s="15"/>
    </row>
    <row r="542" spans="1:67" ht="14.5" customHeight="1">
      <c r="A542" s="6" t="s">
        <v>130</v>
      </c>
      <c r="B542" s="6" t="s">
        <v>137</v>
      </c>
      <c r="C542" s="33">
        <v>31438.010655583388</v>
      </c>
      <c r="D542" s="18">
        <v>12.613577115632825</v>
      </c>
      <c r="E542" s="6"/>
      <c r="F542" s="6"/>
      <c r="G542" s="22"/>
      <c r="H542" s="22"/>
      <c r="I542" s="22"/>
      <c r="J542" s="22"/>
      <c r="K542" s="22"/>
      <c r="L542" s="22"/>
      <c r="M542" s="22"/>
      <c r="N542" s="18"/>
      <c r="O542" s="18"/>
      <c r="P542" s="22"/>
      <c r="Q542" s="22"/>
      <c r="R542" s="22"/>
      <c r="S542" s="22"/>
      <c r="T542" s="22"/>
      <c r="U542" s="22"/>
      <c r="V542" s="6"/>
      <c r="W542" s="6"/>
      <c r="X542" s="19"/>
      <c r="Y542" s="6"/>
      <c r="Z542" s="6"/>
      <c r="AA542" s="18">
        <v>161.39749</v>
      </c>
      <c r="AB542" s="18"/>
      <c r="AC542" s="18">
        <v>161.39749</v>
      </c>
      <c r="AD542" s="21"/>
      <c r="AE542" s="6"/>
      <c r="AF542" s="18"/>
      <c r="AG542" s="18"/>
      <c r="AH542" s="18"/>
      <c r="AI542" s="18"/>
      <c r="AK542" s="18"/>
      <c r="AL542" s="18"/>
      <c r="AM542" s="40" t="s">
        <v>118</v>
      </c>
      <c r="AN542" s="18"/>
      <c r="AO542" s="6"/>
      <c r="AP542" s="3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32"/>
      <c r="BH542" s="32"/>
      <c r="BI542" s="32"/>
      <c r="BJ542" s="6"/>
      <c r="BK542" s="6"/>
      <c r="BL542" s="6" t="s">
        <v>59</v>
      </c>
      <c r="BO542" s="15"/>
    </row>
    <row r="543" spans="1:67" ht="14.5" customHeight="1">
      <c r="A543" s="6" t="s">
        <v>130</v>
      </c>
      <c r="B543" s="6" t="s">
        <v>137</v>
      </c>
      <c r="C543" s="33">
        <v>31455.095642150223</v>
      </c>
      <c r="D543" s="18">
        <v>12.660354258489908</v>
      </c>
      <c r="E543" s="6"/>
      <c r="F543" s="6"/>
      <c r="G543" s="22"/>
      <c r="H543" s="22"/>
      <c r="I543" s="22"/>
      <c r="J543" s="22"/>
      <c r="K543" s="22"/>
      <c r="L543" s="22"/>
      <c r="M543" s="22"/>
      <c r="N543" s="18"/>
      <c r="O543" s="18"/>
      <c r="P543" s="22"/>
      <c r="Q543" s="22"/>
      <c r="R543" s="22"/>
      <c r="S543" s="22"/>
      <c r="T543" s="22"/>
      <c r="U543" s="22"/>
      <c r="V543" s="6"/>
      <c r="W543" s="6"/>
      <c r="X543" s="19"/>
      <c r="Y543" s="6"/>
      <c r="Z543" s="6"/>
      <c r="AA543" s="18">
        <v>166.47314399999999</v>
      </c>
      <c r="AB543" s="18"/>
      <c r="AC543" s="18">
        <v>166.47314399999999</v>
      </c>
      <c r="AD543" s="21"/>
      <c r="AE543" s="6"/>
      <c r="AF543" s="18"/>
      <c r="AG543" s="18"/>
      <c r="AH543" s="18"/>
      <c r="AI543" s="18"/>
      <c r="AK543" s="18"/>
      <c r="AL543" s="18"/>
      <c r="AM543" s="40" t="s">
        <v>118</v>
      </c>
      <c r="AN543" s="18"/>
      <c r="AO543" s="6"/>
      <c r="AP543" s="3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32"/>
      <c r="BH543" s="32"/>
      <c r="BI543" s="32"/>
      <c r="BJ543" s="6"/>
      <c r="BK543" s="6"/>
      <c r="BL543" s="6" t="s">
        <v>59</v>
      </c>
      <c r="BO543" s="15"/>
    </row>
    <row r="544" spans="1:67" ht="14.5" customHeight="1">
      <c r="A544" s="6" t="s">
        <v>130</v>
      </c>
      <c r="B544" s="6" t="s">
        <v>137</v>
      </c>
      <c r="C544" s="33">
        <v>31467.909382075391</v>
      </c>
      <c r="D544" s="18">
        <v>12.695437115632835</v>
      </c>
      <c r="E544" s="6"/>
      <c r="F544" s="6"/>
      <c r="G544" s="22"/>
      <c r="H544" s="22"/>
      <c r="I544" s="22"/>
      <c r="J544" s="22"/>
      <c r="K544" s="22"/>
      <c r="L544" s="22"/>
      <c r="M544" s="22"/>
      <c r="N544" s="18"/>
      <c r="O544" s="18"/>
      <c r="P544" s="22"/>
      <c r="Q544" s="22"/>
      <c r="R544" s="22"/>
      <c r="S544" s="22"/>
      <c r="T544" s="22"/>
      <c r="U544" s="22"/>
      <c r="V544" s="6"/>
      <c r="W544" s="6"/>
      <c r="X544" s="19"/>
      <c r="Y544" s="6"/>
      <c r="Z544" s="6"/>
      <c r="AA544" s="18">
        <v>153.28146900000002</v>
      </c>
      <c r="AB544" s="18"/>
      <c r="AC544" s="18">
        <v>153.28146900000002</v>
      </c>
      <c r="AD544" s="21"/>
      <c r="AE544" s="6"/>
      <c r="AF544" s="18"/>
      <c r="AG544" s="18"/>
      <c r="AH544" s="18"/>
      <c r="AI544" s="18"/>
      <c r="AK544" s="18"/>
      <c r="AL544" s="18"/>
      <c r="AM544" s="40" t="s">
        <v>118</v>
      </c>
      <c r="AN544" s="18"/>
      <c r="AO544" s="6"/>
      <c r="AP544" s="3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32"/>
      <c r="BH544" s="32"/>
      <c r="BI544" s="32"/>
      <c r="BJ544" s="6"/>
      <c r="BK544" s="6"/>
      <c r="BL544" s="6" t="s">
        <v>59</v>
      </c>
      <c r="BO544" s="15"/>
    </row>
    <row r="545" spans="1:67" ht="14.5" customHeight="1">
      <c r="A545" s="6" t="s">
        <v>130</v>
      </c>
      <c r="B545" s="6" t="s">
        <v>137</v>
      </c>
      <c r="C545" s="33">
        <v>31476.451875358809</v>
      </c>
      <c r="D545" s="18">
        <v>12.718825687061377</v>
      </c>
      <c r="E545" s="6"/>
      <c r="F545" s="6"/>
      <c r="G545" s="22"/>
      <c r="H545" s="22"/>
      <c r="I545" s="22"/>
      <c r="J545" s="22"/>
      <c r="K545" s="22"/>
      <c r="L545" s="22"/>
      <c r="M545" s="22"/>
      <c r="N545" s="18"/>
      <c r="O545" s="18"/>
      <c r="P545" s="22"/>
      <c r="Q545" s="22"/>
      <c r="R545" s="22"/>
      <c r="S545" s="22"/>
      <c r="T545" s="22"/>
      <c r="U545" s="22"/>
      <c r="V545" s="6"/>
      <c r="W545" s="6"/>
      <c r="X545" s="19"/>
      <c r="Y545" s="6"/>
      <c r="Z545" s="6"/>
      <c r="AA545" s="18">
        <v>148.08017999999998</v>
      </c>
      <c r="AB545" s="18"/>
      <c r="AC545" s="18">
        <v>148.08017999999998</v>
      </c>
      <c r="AD545" s="21"/>
      <c r="AE545" s="6"/>
      <c r="AF545" s="18"/>
      <c r="AG545" s="18"/>
      <c r="AH545" s="18"/>
      <c r="AI545" s="18"/>
      <c r="AK545" s="18"/>
      <c r="AL545" s="18"/>
      <c r="AM545" s="40" t="s">
        <v>118</v>
      </c>
      <c r="AN545" s="18"/>
      <c r="AO545" s="6"/>
      <c r="AP545" s="3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32"/>
      <c r="BH545" s="32"/>
      <c r="BI545" s="32"/>
      <c r="BJ545" s="6"/>
      <c r="BK545" s="6"/>
      <c r="BL545" s="6" t="s">
        <v>59</v>
      </c>
      <c r="BO545" s="15"/>
    </row>
    <row r="546" spans="1:67" ht="14.5" customHeight="1">
      <c r="A546" s="6" t="s">
        <v>130</v>
      </c>
      <c r="B546" s="6" t="s">
        <v>137</v>
      </c>
      <c r="C546" s="33">
        <v>31497.808108567478</v>
      </c>
      <c r="D546" s="18">
        <v>12.777297115633074</v>
      </c>
      <c r="E546" s="6"/>
      <c r="F546" s="6"/>
      <c r="G546" s="22"/>
      <c r="H546" s="22"/>
      <c r="I546" s="22"/>
      <c r="J546" s="22"/>
      <c r="K546" s="22"/>
      <c r="L546" s="22"/>
      <c r="M546" s="22"/>
      <c r="N546" s="18"/>
      <c r="O546" s="18"/>
      <c r="P546" s="22"/>
      <c r="Q546" s="22"/>
      <c r="R546" s="22"/>
      <c r="S546" s="22"/>
      <c r="T546" s="22"/>
      <c r="U546" s="22"/>
      <c r="V546" s="6"/>
      <c r="W546" s="6"/>
      <c r="X546" s="19"/>
      <c r="Y546" s="6"/>
      <c r="Z546" s="6"/>
      <c r="AA546" s="18">
        <v>142.92914500000001</v>
      </c>
      <c r="AB546" s="18"/>
      <c r="AC546" s="18">
        <v>142.92914500000001</v>
      </c>
      <c r="AD546" s="21"/>
      <c r="AE546" s="6"/>
      <c r="AF546" s="18"/>
      <c r="AG546" s="18"/>
      <c r="AH546" s="18"/>
      <c r="AI546" s="18"/>
      <c r="AK546" s="18"/>
      <c r="AL546" s="18"/>
      <c r="AM546" s="40" t="s">
        <v>118</v>
      </c>
      <c r="AN546" s="18"/>
      <c r="AO546" s="6"/>
      <c r="AP546" s="3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32"/>
      <c r="BH546" s="32"/>
      <c r="BI546" s="32"/>
      <c r="BJ546" s="6"/>
      <c r="BK546" s="6"/>
      <c r="BL546" s="6" t="s">
        <v>59</v>
      </c>
      <c r="BO546" s="15"/>
    </row>
    <row r="547" spans="1:67" ht="14.5" customHeight="1">
      <c r="A547" s="6" t="s">
        <v>130</v>
      </c>
      <c r="B547" s="6" t="s">
        <v>137</v>
      </c>
      <c r="C547" s="33">
        <v>31514.89309513431</v>
      </c>
      <c r="D547" s="18">
        <v>12.824074258490146</v>
      </c>
      <c r="E547" s="6"/>
      <c r="F547" s="6"/>
      <c r="G547" s="22"/>
      <c r="H547" s="22"/>
      <c r="I547" s="22"/>
      <c r="J547" s="22"/>
      <c r="K547" s="22"/>
      <c r="L547" s="22"/>
      <c r="M547" s="22"/>
      <c r="N547" s="18"/>
      <c r="O547" s="18"/>
      <c r="P547" s="22"/>
      <c r="Q547" s="22"/>
      <c r="R547" s="22"/>
      <c r="S547" s="22"/>
      <c r="T547" s="22"/>
      <c r="U547" s="22"/>
      <c r="V547" s="6"/>
      <c r="W547" s="6"/>
      <c r="X547" s="19"/>
      <c r="Y547" s="6"/>
      <c r="Z547" s="6"/>
      <c r="AA547" s="18">
        <v>131.06920099999999</v>
      </c>
      <c r="AB547" s="18"/>
      <c r="AC547" s="18">
        <v>131.06920099999999</v>
      </c>
      <c r="AD547" s="21"/>
      <c r="AE547" s="6"/>
      <c r="AF547" s="18"/>
      <c r="AG547" s="18"/>
      <c r="AH547" s="18"/>
      <c r="AI547" s="18"/>
      <c r="AK547" s="18"/>
      <c r="AL547" s="18"/>
      <c r="AM547" s="40" t="s">
        <v>118</v>
      </c>
      <c r="AN547" s="18"/>
      <c r="AO547" s="6"/>
      <c r="AP547" s="3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32"/>
      <c r="BH547" s="32"/>
      <c r="BI547" s="32"/>
      <c r="BJ547" s="6"/>
      <c r="BK547" s="6"/>
      <c r="BL547" s="6" t="s">
        <v>59</v>
      </c>
      <c r="BO547" s="15"/>
    </row>
    <row r="548" spans="1:67" ht="14.5" customHeight="1">
      <c r="A548" s="6" t="s">
        <v>130</v>
      </c>
      <c r="B548" s="6" t="s">
        <v>137</v>
      </c>
      <c r="C548" s="33">
        <v>31574.690548118233</v>
      </c>
      <c r="D548" s="18">
        <v>12.987794258489936</v>
      </c>
      <c r="E548" s="6"/>
      <c r="F548" s="6"/>
      <c r="G548" s="22"/>
      <c r="H548" s="22"/>
      <c r="I548" s="22"/>
      <c r="J548" s="22"/>
      <c r="K548" s="22"/>
      <c r="L548" s="22"/>
      <c r="M548" s="22"/>
      <c r="N548" s="18"/>
      <c r="O548" s="18"/>
      <c r="P548" s="22"/>
      <c r="Q548" s="22"/>
      <c r="R548" s="22"/>
      <c r="S548" s="22"/>
      <c r="T548" s="22"/>
      <c r="U548" s="22"/>
      <c r="V548" s="6"/>
      <c r="W548" s="6"/>
      <c r="X548" s="19"/>
      <c r="Y548" s="6"/>
      <c r="Z548" s="6"/>
      <c r="AA548" s="18">
        <v>192.30369999999999</v>
      </c>
      <c r="AB548" s="18"/>
      <c r="AC548" s="18">
        <v>192.30369999999999</v>
      </c>
      <c r="AD548" s="21"/>
      <c r="AE548" s="6"/>
      <c r="AF548" s="18"/>
      <c r="AG548" s="18"/>
      <c r="AH548" s="18"/>
      <c r="AI548" s="18"/>
      <c r="AK548" s="18"/>
      <c r="AL548" s="18"/>
      <c r="AM548" s="40" t="s">
        <v>118</v>
      </c>
      <c r="AN548" s="18"/>
      <c r="AO548" s="6"/>
      <c r="AP548" s="3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32"/>
      <c r="BH548" s="32"/>
      <c r="BI548" s="32"/>
      <c r="BJ548" s="6"/>
      <c r="BK548" s="6"/>
      <c r="BL548" s="6" t="s">
        <v>59</v>
      </c>
      <c r="BO548" s="15"/>
    </row>
    <row r="549" spans="1:67" ht="14.5" customHeight="1">
      <c r="A549" s="6" t="s">
        <v>130</v>
      </c>
      <c r="B549" s="6" t="s">
        <v>137</v>
      </c>
      <c r="C549" s="33">
        <v>31604.58927461032</v>
      </c>
      <c r="D549" s="18">
        <v>13.069654258490173</v>
      </c>
      <c r="E549" s="6"/>
      <c r="F549" s="6"/>
      <c r="G549" s="22"/>
      <c r="H549" s="22"/>
      <c r="I549" s="22"/>
      <c r="J549" s="22"/>
      <c r="K549" s="22"/>
      <c r="L549" s="22"/>
      <c r="M549" s="22"/>
      <c r="N549" s="18"/>
      <c r="O549" s="18"/>
      <c r="P549" s="22"/>
      <c r="Q549" s="22"/>
      <c r="R549" s="22"/>
      <c r="S549" s="22"/>
      <c r="T549" s="22"/>
      <c r="U549" s="22"/>
      <c r="V549" s="6"/>
      <c r="W549" s="6"/>
      <c r="X549" s="19"/>
      <c r="Y549" s="6"/>
      <c r="Z549" s="6"/>
      <c r="AA549" s="18">
        <v>173.38306900000001</v>
      </c>
      <c r="AB549" s="18"/>
      <c r="AC549" s="18">
        <v>173.38306900000001</v>
      </c>
      <c r="AD549" s="21"/>
      <c r="AE549" s="6"/>
      <c r="AF549" s="18"/>
      <c r="AG549" s="18"/>
      <c r="AH549" s="18"/>
      <c r="AI549" s="18"/>
      <c r="AK549" s="18"/>
      <c r="AL549" s="18"/>
      <c r="AM549" s="40" t="s">
        <v>118</v>
      </c>
      <c r="AN549" s="18"/>
      <c r="AO549" s="6"/>
      <c r="AP549" s="3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32"/>
      <c r="BH549" s="32"/>
      <c r="BI549" s="32"/>
      <c r="BJ549" s="6"/>
      <c r="BK549" s="6"/>
      <c r="BL549" s="6" t="s">
        <v>59</v>
      </c>
      <c r="BO549" s="15"/>
    </row>
    <row r="550" spans="1:67" ht="14.5" customHeight="1">
      <c r="A550" s="6" t="s">
        <v>130</v>
      </c>
      <c r="B550" s="6" t="s">
        <v>137</v>
      </c>
      <c r="C550" s="33">
        <v>31617.403014535485</v>
      </c>
      <c r="D550" s="18">
        <v>13.104737115633091</v>
      </c>
      <c r="E550" s="6"/>
      <c r="F550" s="6"/>
      <c r="G550" s="22"/>
      <c r="H550" s="22"/>
      <c r="I550" s="22"/>
      <c r="J550" s="22"/>
      <c r="K550" s="22"/>
      <c r="L550" s="22"/>
      <c r="M550" s="22"/>
      <c r="N550" s="18"/>
      <c r="O550" s="18"/>
      <c r="P550" s="22"/>
      <c r="Q550" s="22"/>
      <c r="R550" s="22"/>
      <c r="S550" s="22"/>
      <c r="T550" s="22"/>
      <c r="U550" s="22"/>
      <c r="V550" s="6"/>
      <c r="W550" s="6"/>
      <c r="X550" s="19"/>
      <c r="Y550" s="6"/>
      <c r="Z550" s="6"/>
      <c r="AA550" s="18">
        <v>224.843165</v>
      </c>
      <c r="AB550" s="18"/>
      <c r="AC550" s="18">
        <v>224.843165</v>
      </c>
      <c r="AD550" s="21"/>
      <c r="AE550" s="6"/>
      <c r="AF550" s="18"/>
      <c r="AG550" s="18"/>
      <c r="AH550" s="18"/>
      <c r="AI550" s="18"/>
      <c r="AK550" s="18"/>
      <c r="AL550" s="18"/>
      <c r="AM550" s="40" t="s">
        <v>118</v>
      </c>
      <c r="AN550" s="18"/>
      <c r="AO550" s="6"/>
      <c r="AP550" s="3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32"/>
      <c r="BH550" s="32"/>
      <c r="BI550" s="32"/>
      <c r="BJ550" s="6"/>
      <c r="BK550" s="6"/>
      <c r="BL550" s="6" t="s">
        <v>59</v>
      </c>
      <c r="BO550" s="15"/>
    </row>
    <row r="551" spans="1:67" ht="14.5" customHeight="1">
      <c r="A551" s="6" t="s">
        <v>130</v>
      </c>
      <c r="B551" s="6" t="s">
        <v>137</v>
      </c>
      <c r="C551" s="33">
        <v>31634.48800110232</v>
      </c>
      <c r="D551" s="18">
        <v>13.151514258490172</v>
      </c>
      <c r="E551" s="6"/>
      <c r="F551" s="6"/>
      <c r="G551" s="22"/>
      <c r="H551" s="22"/>
      <c r="I551" s="22"/>
      <c r="J551" s="22"/>
      <c r="K551" s="22"/>
      <c r="L551" s="22"/>
      <c r="M551" s="22"/>
      <c r="N551" s="18"/>
      <c r="O551" s="18"/>
      <c r="P551" s="22"/>
      <c r="Q551" s="22"/>
      <c r="R551" s="22"/>
      <c r="S551" s="22"/>
      <c r="T551" s="22"/>
      <c r="U551" s="22"/>
      <c r="V551" s="6"/>
      <c r="W551" s="6"/>
      <c r="X551" s="19"/>
      <c r="Y551" s="6"/>
      <c r="Z551" s="6"/>
      <c r="AA551" s="18">
        <v>246.12573399999999</v>
      </c>
      <c r="AB551" s="18"/>
      <c r="AC551" s="18">
        <v>246.12573399999999</v>
      </c>
      <c r="AD551" s="21"/>
      <c r="AE551" s="6"/>
      <c r="AF551" s="18"/>
      <c r="AG551" s="18"/>
      <c r="AH551" s="18"/>
      <c r="AI551" s="18"/>
      <c r="AK551" s="18"/>
      <c r="AL551" s="18"/>
      <c r="AM551" s="40" t="s">
        <v>118</v>
      </c>
      <c r="AN551" s="18"/>
      <c r="AO551" s="6"/>
      <c r="AP551" s="3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32"/>
      <c r="BH551" s="32"/>
      <c r="BI551" s="32"/>
      <c r="BJ551" s="6"/>
      <c r="BK551" s="6"/>
      <c r="BL551" s="6" t="s">
        <v>59</v>
      </c>
      <c r="BO551" s="15"/>
    </row>
    <row r="552" spans="1:67" ht="14.5" customHeight="1">
      <c r="A552" s="6" t="s">
        <v>130</v>
      </c>
      <c r="B552" s="6" t="s">
        <v>137</v>
      </c>
      <c r="C552" s="33">
        <v>31647.301741027404</v>
      </c>
      <c r="D552" s="18">
        <v>13.186597115632869</v>
      </c>
      <c r="E552" s="6"/>
      <c r="F552" s="6"/>
      <c r="G552" s="22"/>
      <c r="H552" s="22"/>
      <c r="I552" s="22"/>
      <c r="J552" s="22"/>
      <c r="K552" s="22"/>
      <c r="L552" s="22"/>
      <c r="M552" s="22"/>
      <c r="N552" s="18"/>
      <c r="O552" s="18"/>
      <c r="P552" s="22"/>
      <c r="Q552" s="22"/>
      <c r="R552" s="22"/>
      <c r="S552" s="22"/>
      <c r="T552" s="22"/>
      <c r="U552" s="22"/>
      <c r="V552" s="6"/>
      <c r="W552" s="6"/>
      <c r="X552" s="19"/>
      <c r="Y552" s="6"/>
      <c r="Z552" s="6"/>
      <c r="AA552" s="18">
        <v>237.95945900000001</v>
      </c>
      <c r="AB552" s="18"/>
      <c r="AC552" s="18">
        <v>237.95945900000001</v>
      </c>
      <c r="AD552" s="21"/>
      <c r="AE552" s="6"/>
      <c r="AF552" s="18"/>
      <c r="AG552" s="18"/>
      <c r="AH552" s="18"/>
      <c r="AI552" s="18"/>
      <c r="AK552" s="18"/>
      <c r="AL552" s="18"/>
      <c r="AM552" s="40" t="s">
        <v>118</v>
      </c>
      <c r="AN552" s="18"/>
      <c r="AO552" s="6"/>
      <c r="AP552" s="3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32"/>
      <c r="BH552" s="32"/>
      <c r="BI552" s="32"/>
      <c r="BJ552" s="6"/>
      <c r="BK552" s="6"/>
      <c r="BL552" s="6" t="s">
        <v>59</v>
      </c>
      <c r="BO552" s="15"/>
    </row>
    <row r="553" spans="1:67" ht="14.5" customHeight="1">
      <c r="A553" s="6" t="s">
        <v>130</v>
      </c>
      <c r="B553" s="6" t="s">
        <v>137</v>
      </c>
      <c r="C553" s="33">
        <v>31664.386727594239</v>
      </c>
      <c r="D553" s="18">
        <v>13.233374258489953</v>
      </c>
      <c r="E553" s="6"/>
      <c r="F553" s="6"/>
      <c r="G553" s="22"/>
      <c r="H553" s="22"/>
      <c r="I553" s="22"/>
      <c r="J553" s="22"/>
      <c r="K553" s="22"/>
      <c r="L553" s="22"/>
      <c r="M553" s="22"/>
      <c r="N553" s="18"/>
      <c r="O553" s="18"/>
      <c r="P553" s="22"/>
      <c r="Q553" s="22"/>
      <c r="R553" s="22"/>
      <c r="S553" s="22"/>
      <c r="T553" s="22"/>
      <c r="U553" s="22"/>
      <c r="V553" s="6"/>
      <c r="W553" s="6"/>
      <c r="X553" s="19"/>
      <c r="Y553" s="6"/>
      <c r="Z553" s="6"/>
      <c r="AA553" s="18">
        <v>253.28692900000001</v>
      </c>
      <c r="AB553" s="18"/>
      <c r="AC553" s="18">
        <v>253.28692900000001</v>
      </c>
      <c r="AD553" s="21"/>
      <c r="AE553" s="6"/>
      <c r="AF553" s="18"/>
      <c r="AG553" s="18"/>
      <c r="AH553" s="18"/>
      <c r="AI553" s="18"/>
      <c r="AK553" s="18"/>
      <c r="AL553" s="18"/>
      <c r="AM553" s="40" t="s">
        <v>118</v>
      </c>
      <c r="AN553" s="18"/>
      <c r="AO553" s="6"/>
      <c r="AP553" s="3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32"/>
      <c r="BH553" s="32"/>
      <c r="BI553" s="32"/>
      <c r="BJ553" s="6"/>
      <c r="BK553" s="6"/>
      <c r="BL553" s="6" t="s">
        <v>59</v>
      </c>
      <c r="BO553" s="15"/>
    </row>
    <row r="554" spans="1:67" ht="14.5" customHeight="1">
      <c r="A554" s="6" t="s">
        <v>130</v>
      </c>
      <c r="B554" s="6" t="s">
        <v>137</v>
      </c>
      <c r="C554" s="33">
        <v>31681.471714161074</v>
      </c>
      <c r="D554" s="18">
        <v>13.280151401347036</v>
      </c>
      <c r="E554" s="6"/>
      <c r="F554" s="6"/>
      <c r="G554" s="22"/>
      <c r="H554" s="22"/>
      <c r="I554" s="22"/>
      <c r="J554" s="22"/>
      <c r="K554" s="22"/>
      <c r="L554" s="22"/>
      <c r="M554" s="22"/>
      <c r="N554" s="18"/>
      <c r="O554" s="18"/>
      <c r="P554" s="22"/>
      <c r="Q554" s="22"/>
      <c r="R554" s="22"/>
      <c r="S554" s="22"/>
      <c r="T554" s="22"/>
      <c r="U554" s="22"/>
      <c r="V554" s="6"/>
      <c r="W554" s="6"/>
      <c r="X554" s="19"/>
      <c r="Y554" s="6"/>
      <c r="Z554" s="6"/>
      <c r="AA554" s="18">
        <v>233.96426600000001</v>
      </c>
      <c r="AB554" s="18"/>
      <c r="AC554" s="18">
        <v>233.96426600000001</v>
      </c>
      <c r="AD554" s="21"/>
      <c r="AE554" s="6"/>
      <c r="AF554" s="18"/>
      <c r="AG554" s="18"/>
      <c r="AH554" s="18"/>
      <c r="AI554" s="18"/>
      <c r="AK554" s="18"/>
      <c r="AL554" s="18"/>
      <c r="AM554" s="40" t="s">
        <v>118</v>
      </c>
      <c r="AN554" s="18"/>
      <c r="AO554" s="6"/>
      <c r="AP554" s="3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32"/>
      <c r="BH554" s="32"/>
      <c r="BI554" s="32"/>
      <c r="BJ554" s="6"/>
      <c r="BK554" s="6"/>
      <c r="BL554" s="6" t="s">
        <v>59</v>
      </c>
      <c r="BO554" s="15"/>
    </row>
    <row r="555" spans="1:67" ht="14.5" customHeight="1">
      <c r="A555" s="6" t="s">
        <v>130</v>
      </c>
      <c r="B555" s="6" t="s">
        <v>137</v>
      </c>
      <c r="C555" s="33">
        <v>31707.099194011491</v>
      </c>
      <c r="D555" s="18">
        <v>13.350317115633107</v>
      </c>
      <c r="E555" s="6"/>
      <c r="F555" s="6"/>
      <c r="G555" s="22"/>
      <c r="H555" s="22"/>
      <c r="I555" s="22"/>
      <c r="J555" s="22"/>
      <c r="K555" s="22"/>
      <c r="L555" s="22"/>
      <c r="M555" s="22"/>
      <c r="N555" s="18"/>
      <c r="O555" s="18"/>
      <c r="P555" s="22"/>
      <c r="Q555" s="22"/>
      <c r="R555" s="22"/>
      <c r="S555" s="22"/>
      <c r="T555" s="22"/>
      <c r="U555" s="22"/>
      <c r="V555" s="6"/>
      <c r="W555" s="6"/>
      <c r="X555" s="19"/>
      <c r="Y555" s="6"/>
      <c r="Z555" s="6"/>
      <c r="AA555" s="18">
        <v>221.55152800000002</v>
      </c>
      <c r="AB555" s="18"/>
      <c r="AC555" s="18">
        <v>221.55152800000002</v>
      </c>
      <c r="AD555" s="21"/>
      <c r="AE555" s="6"/>
      <c r="AF555" s="18"/>
      <c r="AG555" s="18"/>
      <c r="AH555" s="18"/>
      <c r="AI555" s="18"/>
      <c r="AK555" s="18"/>
      <c r="AL555" s="18"/>
      <c r="AM555" s="40" t="s">
        <v>118</v>
      </c>
      <c r="AN555" s="18"/>
      <c r="AO555" s="6"/>
      <c r="AP555" s="3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32"/>
      <c r="BH555" s="32"/>
      <c r="BI555" s="32"/>
      <c r="BJ555" s="6"/>
      <c r="BK555" s="6"/>
      <c r="BL555" s="6" t="s">
        <v>59</v>
      </c>
      <c r="BO555" s="15"/>
    </row>
    <row r="556" spans="1:67">
      <c r="A556" s="6" t="s">
        <v>130</v>
      </c>
      <c r="B556" s="6" t="s">
        <v>137</v>
      </c>
      <c r="C556" s="33">
        <v>31715.641687294908</v>
      </c>
      <c r="D556" s="18">
        <v>13.37370568706165</v>
      </c>
      <c r="E556" s="6"/>
      <c r="F556" s="6"/>
      <c r="G556" s="22"/>
      <c r="H556" s="22"/>
      <c r="I556" s="22"/>
      <c r="J556" s="22"/>
      <c r="K556" s="22"/>
      <c r="L556" s="22"/>
      <c r="M556" s="22"/>
      <c r="N556" s="18"/>
      <c r="O556" s="18"/>
      <c r="P556" s="22"/>
      <c r="Q556" s="22"/>
      <c r="R556" s="22"/>
      <c r="S556" s="22"/>
      <c r="T556" s="22"/>
      <c r="U556" s="22"/>
      <c r="V556" s="6"/>
      <c r="W556" s="6"/>
      <c r="X556" s="19"/>
      <c r="Y556" s="6"/>
      <c r="Z556" s="6"/>
      <c r="AA556" s="18">
        <v>229.59216800000002</v>
      </c>
      <c r="AB556" s="18"/>
      <c r="AC556" s="18">
        <v>229.59216800000002</v>
      </c>
      <c r="AD556" s="21"/>
      <c r="AE556" s="6"/>
      <c r="AF556" s="18"/>
      <c r="AG556" s="18"/>
      <c r="AH556" s="18"/>
      <c r="AI556" s="18"/>
      <c r="AK556" s="18"/>
      <c r="AL556" s="18"/>
      <c r="AM556" s="40" t="s">
        <v>118</v>
      </c>
      <c r="AN556" s="18"/>
      <c r="AO556" s="6"/>
      <c r="AP556" s="3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32"/>
      <c r="BH556" s="32"/>
      <c r="BI556" s="32"/>
      <c r="BJ556" s="6"/>
      <c r="BK556" s="6"/>
      <c r="BL556" s="6" t="s">
        <v>59</v>
      </c>
      <c r="BO556" s="15"/>
    </row>
    <row r="557" spans="1:67" ht="14.5" customHeight="1">
      <c r="A557" s="6" t="s">
        <v>130</v>
      </c>
      <c r="B557" s="6" t="s">
        <v>137</v>
      </c>
      <c r="C557" s="33">
        <v>31736.997920503411</v>
      </c>
      <c r="D557" s="18">
        <v>13.432177115632888</v>
      </c>
      <c r="E557" s="6"/>
      <c r="F557" s="6"/>
      <c r="G557" s="22"/>
      <c r="H557" s="22"/>
      <c r="I557" s="22"/>
      <c r="J557" s="22"/>
      <c r="K557" s="22"/>
      <c r="L557" s="22"/>
      <c r="M557" s="22"/>
      <c r="N557" s="18"/>
      <c r="O557" s="18"/>
      <c r="P557" s="22"/>
      <c r="Q557" s="22"/>
      <c r="R557" s="22"/>
      <c r="S557" s="22"/>
      <c r="T557" s="22"/>
      <c r="U557" s="22"/>
      <c r="V557" s="6"/>
      <c r="W557" s="6"/>
      <c r="X557" s="19"/>
      <c r="Y557" s="6"/>
      <c r="Z557" s="6"/>
      <c r="AA557" s="18">
        <v>208.41010699999998</v>
      </c>
      <c r="AB557" s="18"/>
      <c r="AC557" s="18">
        <v>208.41010699999998</v>
      </c>
      <c r="AD557" s="21"/>
      <c r="AE557" s="6"/>
      <c r="AF557" s="18"/>
      <c r="AG557" s="18"/>
      <c r="AH557" s="18"/>
      <c r="AI557" s="18"/>
      <c r="AK557" s="18"/>
      <c r="AL557" s="18"/>
      <c r="AM557" s="40" t="s">
        <v>118</v>
      </c>
      <c r="AN557" s="18"/>
      <c r="AO557" s="6"/>
      <c r="AP557" s="3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32"/>
      <c r="BH557" s="32"/>
      <c r="BI557" s="32"/>
      <c r="BJ557" s="6"/>
      <c r="BK557" s="6"/>
      <c r="BL557" s="6" t="s">
        <v>59</v>
      </c>
      <c r="BO557" s="15"/>
    </row>
    <row r="558" spans="1:67" ht="14.5" customHeight="1">
      <c r="A558" s="6" t="s">
        <v>130</v>
      </c>
      <c r="B558" s="6" t="s">
        <v>137</v>
      </c>
      <c r="C558" s="33">
        <v>31749.811660428579</v>
      </c>
      <c r="D558" s="18">
        <v>13.467259972775814</v>
      </c>
      <c r="E558" s="6"/>
      <c r="F558" s="6"/>
      <c r="G558" s="22"/>
      <c r="H558" s="22"/>
      <c r="I558" s="22"/>
      <c r="J558" s="22"/>
      <c r="K558" s="22"/>
      <c r="L558" s="22"/>
      <c r="M558" s="22"/>
      <c r="N558" s="18"/>
      <c r="O558" s="18"/>
      <c r="P558" s="22"/>
      <c r="Q558" s="22"/>
      <c r="R558" s="22"/>
      <c r="S558" s="22"/>
      <c r="T558" s="22"/>
      <c r="U558" s="22"/>
      <c r="V558" s="6"/>
      <c r="W558" s="6"/>
      <c r="X558" s="19"/>
      <c r="Y558" s="6"/>
      <c r="Z558" s="6"/>
      <c r="AA558" s="18">
        <v>223.53656100000001</v>
      </c>
      <c r="AB558" s="18"/>
      <c r="AC558" s="18">
        <v>223.53656100000001</v>
      </c>
      <c r="AD558" s="21"/>
      <c r="AE558" s="6"/>
      <c r="AF558" s="18"/>
      <c r="AG558" s="18"/>
      <c r="AH558" s="18"/>
      <c r="AI558" s="18"/>
      <c r="AK558" s="18"/>
      <c r="AL558" s="18"/>
      <c r="AM558" s="40" t="s">
        <v>118</v>
      </c>
      <c r="AN558" s="18"/>
      <c r="AO558" s="6"/>
      <c r="AP558" s="3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32"/>
      <c r="BH558" s="32"/>
      <c r="BI558" s="32"/>
      <c r="BJ558" s="6"/>
      <c r="BK558" s="6"/>
      <c r="BL558" s="6" t="s">
        <v>59</v>
      </c>
      <c r="BO558" s="15"/>
    </row>
    <row r="559" spans="1:67" ht="14.5" customHeight="1">
      <c r="A559" s="6" t="s">
        <v>130</v>
      </c>
      <c r="B559" s="6" t="s">
        <v>137</v>
      </c>
      <c r="C559" s="33">
        <v>31766.896646995414</v>
      </c>
      <c r="D559" s="18">
        <v>13.514037115632897</v>
      </c>
      <c r="E559" s="6"/>
      <c r="F559" s="6"/>
      <c r="G559" s="22"/>
      <c r="H559" s="22"/>
      <c r="I559" s="22"/>
      <c r="J559" s="22"/>
      <c r="K559" s="22"/>
      <c r="L559" s="22"/>
      <c r="M559" s="22"/>
      <c r="N559" s="18"/>
      <c r="O559" s="18"/>
      <c r="P559" s="22"/>
      <c r="Q559" s="22"/>
      <c r="R559" s="22"/>
      <c r="S559" s="22"/>
      <c r="T559" s="22"/>
      <c r="U559" s="22"/>
      <c r="V559" s="6"/>
      <c r="W559" s="6"/>
      <c r="X559" s="19"/>
      <c r="Y559" s="6"/>
      <c r="Z559" s="6"/>
      <c r="AA559" s="18">
        <v>203.259072</v>
      </c>
      <c r="AB559" s="18"/>
      <c r="AC559" s="18">
        <v>203.259072</v>
      </c>
      <c r="AD559" s="21"/>
      <c r="AE559" s="6"/>
      <c r="AF559" s="18"/>
      <c r="AG559" s="18"/>
      <c r="AH559" s="18"/>
      <c r="AI559" s="18"/>
      <c r="AK559" s="18"/>
      <c r="AL559" s="18"/>
      <c r="AM559" s="40" t="s">
        <v>118</v>
      </c>
      <c r="AN559" s="18"/>
      <c r="AO559" s="6"/>
      <c r="AP559" s="3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32"/>
      <c r="BH559" s="32"/>
      <c r="BI559" s="32"/>
      <c r="BJ559" s="6"/>
      <c r="BK559" s="6"/>
      <c r="BL559" s="6" t="s">
        <v>59</v>
      </c>
      <c r="BO559" s="15"/>
    </row>
    <row r="560" spans="1:67">
      <c r="A560" s="6" t="s">
        <v>130</v>
      </c>
      <c r="B560" s="6" t="s">
        <v>137</v>
      </c>
      <c r="C560" s="33">
        <v>31783.981633562249</v>
      </c>
      <c r="D560" s="18">
        <v>13.560814258489978</v>
      </c>
      <c r="E560" s="6"/>
      <c r="F560" s="6"/>
      <c r="G560" s="22"/>
      <c r="H560" s="22"/>
      <c r="I560" s="22"/>
      <c r="J560" s="22"/>
      <c r="K560" s="22"/>
      <c r="L560" s="22"/>
      <c r="M560" s="22"/>
      <c r="N560" s="18"/>
      <c r="O560" s="18"/>
      <c r="P560" s="22"/>
      <c r="Q560" s="22"/>
      <c r="R560" s="22"/>
      <c r="S560" s="22"/>
      <c r="T560" s="22"/>
      <c r="U560" s="22"/>
      <c r="V560" s="6"/>
      <c r="W560" s="6"/>
      <c r="X560" s="19"/>
      <c r="Y560" s="6"/>
      <c r="Z560" s="6"/>
      <c r="AA560" s="18">
        <v>160.492918</v>
      </c>
      <c r="AB560" s="18"/>
      <c r="AC560" s="18">
        <v>160.492918</v>
      </c>
      <c r="AD560" s="21"/>
      <c r="AE560" s="6"/>
      <c r="AF560" s="18"/>
      <c r="AG560" s="18"/>
      <c r="AH560" s="18"/>
      <c r="AI560" s="18"/>
      <c r="AK560" s="18"/>
      <c r="AL560" s="18"/>
      <c r="AM560" s="40" t="s">
        <v>118</v>
      </c>
      <c r="AN560" s="18"/>
      <c r="AO560" s="6"/>
      <c r="AP560" s="3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32"/>
      <c r="BH560" s="32"/>
      <c r="BI560" s="32"/>
      <c r="BJ560" s="6"/>
      <c r="BK560" s="6"/>
      <c r="BL560" s="6" t="s">
        <v>59</v>
      </c>
      <c r="BO560" s="15"/>
    </row>
    <row r="561" spans="1:67" ht="14.5" customHeight="1">
      <c r="A561" s="6" t="s">
        <v>130</v>
      </c>
      <c r="B561" s="6" t="s">
        <v>137</v>
      </c>
      <c r="C561" s="33">
        <v>31805.337866770915</v>
      </c>
      <c r="D561" s="18">
        <v>13.619285687061666</v>
      </c>
      <c r="E561" s="6"/>
      <c r="F561" s="6"/>
      <c r="G561" s="22"/>
      <c r="H561" s="22"/>
      <c r="I561" s="22"/>
      <c r="J561" s="22"/>
      <c r="K561" s="22"/>
      <c r="L561" s="22"/>
      <c r="M561" s="22"/>
      <c r="N561" s="18"/>
      <c r="O561" s="18"/>
      <c r="P561" s="22"/>
      <c r="Q561" s="22"/>
      <c r="R561" s="22"/>
      <c r="S561" s="22"/>
      <c r="T561" s="22"/>
      <c r="U561" s="22"/>
      <c r="V561" s="6"/>
      <c r="W561" s="6"/>
      <c r="X561" s="19"/>
      <c r="Y561" s="6"/>
      <c r="Z561" s="6"/>
      <c r="AA561" s="18">
        <v>151.22105499999998</v>
      </c>
      <c r="AB561" s="18"/>
      <c r="AC561" s="18">
        <v>151.22105499999998</v>
      </c>
      <c r="AD561" s="21"/>
      <c r="AE561" s="6"/>
      <c r="AF561" s="18"/>
      <c r="AG561" s="18"/>
      <c r="AH561" s="18"/>
      <c r="AI561" s="18"/>
      <c r="AK561" s="18"/>
      <c r="AL561" s="18"/>
      <c r="AM561" s="40" t="s">
        <v>118</v>
      </c>
      <c r="AN561" s="18"/>
      <c r="AO561" s="6"/>
      <c r="AP561" s="3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32"/>
      <c r="BH561" s="32"/>
      <c r="BI561" s="32"/>
      <c r="BJ561" s="6"/>
      <c r="BK561" s="6"/>
      <c r="BL561" s="6" t="s">
        <v>59</v>
      </c>
      <c r="BO561" s="15"/>
    </row>
    <row r="562" spans="1:67" ht="14.5" customHeight="1">
      <c r="A562" s="6" t="s">
        <v>130</v>
      </c>
      <c r="B562" s="6" t="s">
        <v>137</v>
      </c>
      <c r="C562" s="33">
        <v>31818.151606695999</v>
      </c>
      <c r="D562" s="18">
        <v>13.654368544204363</v>
      </c>
      <c r="E562" s="6"/>
      <c r="F562" s="6"/>
      <c r="G562" s="22"/>
      <c r="H562" s="22"/>
      <c r="I562" s="22"/>
      <c r="J562" s="22"/>
      <c r="K562" s="22"/>
      <c r="L562" s="22"/>
      <c r="M562" s="22"/>
      <c r="N562" s="18"/>
      <c r="O562" s="18"/>
      <c r="P562" s="22"/>
      <c r="Q562" s="22"/>
      <c r="R562" s="22"/>
      <c r="S562" s="22"/>
      <c r="T562" s="22"/>
      <c r="U562" s="22"/>
      <c r="V562" s="6"/>
      <c r="W562" s="6"/>
      <c r="X562" s="19"/>
      <c r="Y562" s="6"/>
      <c r="Z562" s="6"/>
      <c r="AA562" s="18">
        <v>136.92379199999999</v>
      </c>
      <c r="AB562" s="18"/>
      <c r="AC562" s="18">
        <v>136.92379199999999</v>
      </c>
      <c r="AD562" s="21"/>
      <c r="AE562" s="6"/>
      <c r="AF562" s="18"/>
      <c r="AG562" s="18"/>
      <c r="AH562" s="18"/>
      <c r="AI562" s="18"/>
      <c r="AK562" s="18"/>
      <c r="AL562" s="18"/>
      <c r="AM562" s="40" t="s">
        <v>118</v>
      </c>
      <c r="AN562" s="18"/>
      <c r="AO562" s="6"/>
      <c r="AP562" s="3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32"/>
      <c r="BH562" s="32"/>
      <c r="BI562" s="32"/>
      <c r="BJ562" s="6"/>
      <c r="BK562" s="6"/>
      <c r="BL562" s="6" t="s">
        <v>59</v>
      </c>
      <c r="BO562" s="15"/>
    </row>
    <row r="563" spans="1:67" ht="14.5" customHeight="1">
      <c r="A563" s="6" t="s">
        <v>130</v>
      </c>
      <c r="B563" s="6" t="s">
        <v>137</v>
      </c>
      <c r="C563" s="33">
        <v>31830.965346621168</v>
      </c>
      <c r="D563" s="18">
        <v>13.68945140134729</v>
      </c>
      <c r="E563" s="6"/>
      <c r="F563" s="6"/>
      <c r="G563" s="22"/>
      <c r="H563" s="22"/>
      <c r="I563" s="22"/>
      <c r="J563" s="22"/>
      <c r="K563" s="22"/>
      <c r="L563" s="22"/>
      <c r="M563" s="22"/>
      <c r="N563" s="18"/>
      <c r="O563" s="18"/>
      <c r="P563" s="22"/>
      <c r="Q563" s="22"/>
      <c r="R563" s="22"/>
      <c r="S563" s="22"/>
      <c r="T563" s="22"/>
      <c r="U563" s="22"/>
      <c r="V563" s="6"/>
      <c r="W563" s="6"/>
      <c r="X563" s="19"/>
      <c r="Y563" s="6"/>
      <c r="Z563" s="6"/>
      <c r="AA563" s="18">
        <v>142.92914500000001</v>
      </c>
      <c r="AB563" s="18"/>
      <c r="AC563" s="18">
        <v>142.92914500000001</v>
      </c>
      <c r="AD563" s="21"/>
      <c r="AE563" s="6"/>
      <c r="AF563" s="18"/>
      <c r="AG563" s="18"/>
      <c r="AH563" s="18"/>
      <c r="AI563" s="18"/>
      <c r="AK563" s="18"/>
      <c r="AL563" s="18"/>
      <c r="AM563" s="40" t="s">
        <v>118</v>
      </c>
      <c r="AN563" s="18"/>
      <c r="AO563" s="6"/>
      <c r="AP563" s="3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32"/>
      <c r="BH563" s="32"/>
      <c r="BI563" s="32"/>
      <c r="BJ563" s="6"/>
      <c r="BK563" s="6"/>
      <c r="BL563" s="6" t="s">
        <v>59</v>
      </c>
      <c r="BO563" s="15"/>
    </row>
    <row r="564" spans="1:67" ht="14.5" customHeight="1">
      <c r="A564" s="6" t="s">
        <v>130</v>
      </c>
      <c r="B564" s="6" t="s">
        <v>137</v>
      </c>
      <c r="C564" s="33">
        <v>31843.779086546336</v>
      </c>
      <c r="D564" s="18">
        <v>13.724534258490216</v>
      </c>
      <c r="E564" s="6"/>
      <c r="F564" s="6"/>
      <c r="G564" s="22"/>
      <c r="H564" s="22"/>
      <c r="I564" s="22"/>
      <c r="J564" s="22"/>
      <c r="K564" s="22"/>
      <c r="L564" s="22"/>
      <c r="M564" s="22"/>
      <c r="N564" s="18"/>
      <c r="O564" s="18"/>
      <c r="P564" s="22"/>
      <c r="Q564" s="22"/>
      <c r="R564" s="22"/>
      <c r="S564" s="22"/>
      <c r="T564" s="22"/>
      <c r="U564" s="22"/>
      <c r="V564" s="6"/>
      <c r="W564" s="6"/>
      <c r="X564" s="19"/>
      <c r="Y564" s="6"/>
      <c r="Z564" s="6"/>
      <c r="AA564" s="18">
        <v>162.50307800000002</v>
      </c>
      <c r="AB564" s="18"/>
      <c r="AC564" s="18">
        <v>162.50307800000002</v>
      </c>
      <c r="AD564" s="21"/>
      <c r="AE564" s="6"/>
      <c r="AF564" s="18"/>
      <c r="AG564" s="18"/>
      <c r="AH564" s="18"/>
      <c r="AI564" s="18"/>
      <c r="AK564" s="18"/>
      <c r="AL564" s="18"/>
      <c r="AM564" s="40" t="s">
        <v>118</v>
      </c>
      <c r="AN564" s="18"/>
      <c r="AO564" s="6"/>
      <c r="AP564" s="3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32"/>
      <c r="BH564" s="32"/>
      <c r="BI564" s="32"/>
      <c r="BJ564" s="6"/>
      <c r="BK564" s="6"/>
      <c r="BL564" s="6" t="s">
        <v>59</v>
      </c>
      <c r="BO564" s="15"/>
    </row>
    <row r="565" spans="1:67">
      <c r="A565" s="6" t="s">
        <v>130</v>
      </c>
      <c r="B565" s="6" t="s">
        <v>137</v>
      </c>
      <c r="C565" s="33">
        <v>31865.135319754838</v>
      </c>
      <c r="D565" s="18">
        <v>13.783005687061456</v>
      </c>
      <c r="E565" s="6"/>
      <c r="F565" s="6"/>
      <c r="G565" s="22"/>
      <c r="H565" s="22"/>
      <c r="I565" s="22"/>
      <c r="J565" s="22"/>
      <c r="K565" s="22"/>
      <c r="L565" s="22"/>
      <c r="M565" s="22"/>
      <c r="N565" s="18"/>
      <c r="O565" s="18"/>
      <c r="P565" s="22"/>
      <c r="Q565" s="22"/>
      <c r="R565" s="22"/>
      <c r="S565" s="22"/>
      <c r="T565" s="22"/>
      <c r="U565" s="22"/>
      <c r="V565" s="6"/>
      <c r="W565" s="6"/>
      <c r="X565" s="19"/>
      <c r="Y565" s="6"/>
      <c r="Z565" s="6"/>
      <c r="AA565" s="18">
        <v>153.98502500000001</v>
      </c>
      <c r="AB565" s="18"/>
      <c r="AC565" s="18">
        <v>153.98502500000001</v>
      </c>
      <c r="AD565" s="21"/>
      <c r="AE565" s="6"/>
      <c r="AF565" s="18"/>
      <c r="AG565" s="18"/>
      <c r="AH565" s="18"/>
      <c r="AI565" s="18"/>
      <c r="AK565" s="18"/>
      <c r="AL565" s="18"/>
      <c r="AM565" s="40" t="s">
        <v>118</v>
      </c>
      <c r="AN565" s="18"/>
      <c r="AO565" s="6"/>
      <c r="AP565" s="3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32"/>
      <c r="BH565" s="32"/>
      <c r="BI565" s="32"/>
      <c r="BJ565" s="6"/>
      <c r="BK565" s="6"/>
      <c r="BL565" s="6" t="s">
        <v>59</v>
      </c>
      <c r="BO565" s="15"/>
    </row>
    <row r="566" spans="1:67" ht="14.5" customHeight="1">
      <c r="A566" s="6" t="s">
        <v>130</v>
      </c>
      <c r="B566" s="6" t="s">
        <v>137</v>
      </c>
      <c r="C566" s="33">
        <v>31877.949059680006</v>
      </c>
      <c r="D566" s="18">
        <v>13.818088544204382</v>
      </c>
      <c r="E566" s="6"/>
      <c r="F566" s="6"/>
      <c r="G566" s="22"/>
      <c r="H566" s="22"/>
      <c r="I566" s="22"/>
      <c r="J566" s="22"/>
      <c r="K566" s="22"/>
      <c r="L566" s="22"/>
      <c r="M566" s="22"/>
      <c r="N566" s="18"/>
      <c r="O566" s="18"/>
      <c r="P566" s="22"/>
      <c r="Q566" s="22"/>
      <c r="R566" s="22"/>
      <c r="S566" s="22"/>
      <c r="T566" s="22"/>
      <c r="U566" s="22"/>
      <c r="V566" s="6"/>
      <c r="W566" s="6"/>
      <c r="X566" s="19"/>
      <c r="Y566" s="6"/>
      <c r="Z566" s="6"/>
      <c r="AA566" s="18">
        <v>141.37127100000001</v>
      </c>
      <c r="AB566" s="18"/>
      <c r="AC566" s="18">
        <v>141.37127100000001</v>
      </c>
      <c r="AD566" s="21"/>
      <c r="AE566" s="6"/>
      <c r="AF566" s="18"/>
      <c r="AG566" s="18"/>
      <c r="AH566" s="18"/>
      <c r="AI566" s="18"/>
      <c r="AK566" s="18"/>
      <c r="AL566" s="18"/>
      <c r="AM566" s="40" t="s">
        <v>118</v>
      </c>
      <c r="AN566" s="18"/>
      <c r="AO566" s="6"/>
      <c r="AP566" s="3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32"/>
      <c r="BH566" s="32"/>
      <c r="BI566" s="32"/>
      <c r="BJ566" s="6"/>
      <c r="BK566" s="6"/>
      <c r="BL566" s="6" t="s">
        <v>59</v>
      </c>
      <c r="BO566" s="15"/>
    </row>
    <row r="567" spans="1:67" ht="14.5" customHeight="1">
      <c r="A567" s="6" t="s">
        <v>130</v>
      </c>
      <c r="B567" s="6" t="s">
        <v>137</v>
      </c>
      <c r="C567" s="33">
        <v>31895.034046246841</v>
      </c>
      <c r="D567" s="18">
        <v>13.864865687061464</v>
      </c>
      <c r="E567" s="6"/>
      <c r="F567" s="6"/>
      <c r="G567" s="22"/>
      <c r="H567" s="22"/>
      <c r="I567" s="22"/>
      <c r="J567" s="22"/>
      <c r="K567" s="22"/>
      <c r="L567" s="22"/>
      <c r="M567" s="22"/>
      <c r="N567" s="18"/>
      <c r="O567" s="18"/>
      <c r="P567" s="22"/>
      <c r="Q567" s="22"/>
      <c r="R567" s="22"/>
      <c r="S567" s="22"/>
      <c r="T567" s="22"/>
      <c r="U567" s="22"/>
      <c r="V567" s="6"/>
      <c r="W567" s="6"/>
      <c r="X567" s="19"/>
      <c r="Y567" s="6"/>
      <c r="Z567" s="6"/>
      <c r="AA567" s="18">
        <v>132.09940799999998</v>
      </c>
      <c r="AB567" s="18"/>
      <c r="AC567" s="18">
        <v>132.09940799999998</v>
      </c>
      <c r="AD567" s="21"/>
      <c r="AE567" s="6"/>
      <c r="AF567" s="18"/>
      <c r="AG567" s="18"/>
      <c r="AH567" s="18"/>
      <c r="AI567" s="18"/>
      <c r="AK567" s="18"/>
      <c r="AL567" s="18"/>
      <c r="AM567" s="40" t="s">
        <v>118</v>
      </c>
      <c r="AN567" s="18"/>
      <c r="AO567" s="6"/>
      <c r="AP567" s="3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32"/>
      <c r="BH567" s="32"/>
      <c r="BI567" s="32"/>
      <c r="BJ567" s="6"/>
      <c r="BK567" s="6"/>
      <c r="BL567" s="6" t="s">
        <v>59</v>
      </c>
      <c r="BO567" s="15"/>
    </row>
    <row r="568" spans="1:67" ht="14.5" customHeight="1">
      <c r="A568" s="6" t="s">
        <v>130</v>
      </c>
      <c r="B568" s="6" t="s">
        <v>137</v>
      </c>
      <c r="C568" s="33">
        <v>31912.119032813756</v>
      </c>
      <c r="D568" s="18">
        <v>13.911642829918767</v>
      </c>
      <c r="E568" s="6"/>
      <c r="F568" s="6"/>
      <c r="G568" s="22"/>
      <c r="H568" s="22"/>
      <c r="I568" s="22"/>
      <c r="J568" s="22"/>
      <c r="K568" s="22"/>
      <c r="L568" s="22"/>
      <c r="M568" s="22"/>
      <c r="N568" s="18"/>
      <c r="O568" s="18"/>
      <c r="P568" s="22"/>
      <c r="Q568" s="22"/>
      <c r="R568" s="22"/>
      <c r="S568" s="22"/>
      <c r="T568" s="22"/>
      <c r="U568" s="22"/>
      <c r="V568" s="6"/>
      <c r="W568" s="6"/>
      <c r="X568" s="19"/>
      <c r="Y568" s="6"/>
      <c r="Z568" s="6"/>
      <c r="AA568" s="18">
        <v>131.77275699999998</v>
      </c>
      <c r="AB568" s="18"/>
      <c r="AC568" s="18">
        <v>131.77275699999998</v>
      </c>
      <c r="AD568" s="21"/>
      <c r="AE568" s="6"/>
      <c r="AF568" s="18"/>
      <c r="AG568" s="18"/>
      <c r="AH568" s="18"/>
      <c r="AI568" s="18"/>
      <c r="AK568" s="18"/>
      <c r="AL568" s="18"/>
      <c r="AM568" s="40" t="s">
        <v>118</v>
      </c>
      <c r="AN568" s="18"/>
      <c r="AO568" s="6"/>
      <c r="AP568" s="3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32"/>
      <c r="BH568" s="32"/>
      <c r="BI568" s="32"/>
      <c r="BJ568" s="6"/>
      <c r="BK568" s="6"/>
      <c r="BL568" s="6" t="s">
        <v>59</v>
      </c>
      <c r="BO568" s="15"/>
    </row>
    <row r="569" spans="1:67" ht="14.5" customHeight="1">
      <c r="A569" s="6" t="s">
        <v>130</v>
      </c>
      <c r="B569" s="6" t="s">
        <v>137</v>
      </c>
      <c r="C569" s="33">
        <v>31920.661526097174</v>
      </c>
      <c r="D569" s="18">
        <v>13.935031401347308</v>
      </c>
      <c r="E569" s="6"/>
      <c r="F569" s="6"/>
      <c r="G569" s="22"/>
      <c r="H569" s="22"/>
      <c r="I569" s="22"/>
      <c r="J569" s="22"/>
      <c r="K569" s="22"/>
      <c r="L569" s="22"/>
      <c r="M569" s="22"/>
      <c r="N569" s="18"/>
      <c r="O569" s="18"/>
      <c r="P569" s="22"/>
      <c r="Q569" s="22"/>
      <c r="R569" s="22"/>
      <c r="S569" s="22"/>
      <c r="T569" s="22"/>
      <c r="U569" s="22"/>
      <c r="V569" s="6"/>
      <c r="W569" s="6"/>
      <c r="X569" s="19"/>
      <c r="Y569" s="6"/>
      <c r="Z569" s="6"/>
      <c r="AA569" s="18">
        <v>140.36619099999999</v>
      </c>
      <c r="AB569" s="18"/>
      <c r="AC569" s="18">
        <v>140.36619099999999</v>
      </c>
      <c r="AD569" s="21"/>
      <c r="AE569" s="6"/>
      <c r="AF569" s="18"/>
      <c r="AG569" s="18"/>
      <c r="AH569" s="18"/>
      <c r="AI569" s="18"/>
      <c r="AK569" s="18"/>
      <c r="AL569" s="18"/>
      <c r="AM569" s="40" t="s">
        <v>118</v>
      </c>
      <c r="AN569" s="18"/>
      <c r="AO569" s="6"/>
      <c r="AP569" s="3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32"/>
      <c r="BH569" s="32"/>
      <c r="BI569" s="32"/>
      <c r="BJ569" s="6"/>
      <c r="BK569" s="6"/>
      <c r="BL569" s="6" t="s">
        <v>59</v>
      </c>
      <c r="BO569" s="15"/>
    </row>
    <row r="570" spans="1:67">
      <c r="A570" s="6" t="s">
        <v>130</v>
      </c>
      <c r="B570" s="6" t="s">
        <v>137</v>
      </c>
      <c r="C570" s="33">
        <v>31937.746512664009</v>
      </c>
      <c r="D570" s="18">
        <v>13.981808544204391</v>
      </c>
      <c r="E570" s="6"/>
      <c r="F570" s="6"/>
      <c r="G570" s="22"/>
      <c r="H570" s="22"/>
      <c r="I570" s="22"/>
      <c r="J570" s="22"/>
      <c r="K570" s="22"/>
      <c r="L570" s="22"/>
      <c r="M570" s="22"/>
      <c r="N570" s="18"/>
      <c r="O570" s="18"/>
      <c r="P570" s="22"/>
      <c r="Q570" s="22"/>
      <c r="R570" s="22"/>
      <c r="S570" s="22"/>
      <c r="T570" s="22"/>
      <c r="U570" s="22"/>
      <c r="V570" s="6"/>
      <c r="W570" s="6"/>
      <c r="X570" s="19"/>
      <c r="Y570" s="6"/>
      <c r="Z570" s="6"/>
      <c r="AA570" s="18">
        <v>145.81874999999999</v>
      </c>
      <c r="AB570" s="18"/>
      <c r="AC570" s="18">
        <v>145.81874999999999</v>
      </c>
      <c r="AD570" s="21"/>
      <c r="AE570" s="6"/>
      <c r="AF570" s="18"/>
      <c r="AG570" s="18"/>
      <c r="AH570" s="18"/>
      <c r="AI570" s="18"/>
      <c r="AK570" s="18"/>
      <c r="AL570" s="18"/>
      <c r="AM570" s="40" t="s">
        <v>118</v>
      </c>
      <c r="AN570" s="18"/>
      <c r="AO570" s="6"/>
      <c r="AP570" s="3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32"/>
      <c r="BH570" s="32"/>
      <c r="BI570" s="32"/>
      <c r="BJ570" s="6"/>
      <c r="BK570" s="6"/>
      <c r="BL570" s="6" t="s">
        <v>59</v>
      </c>
      <c r="BO570" s="15"/>
    </row>
    <row r="571" spans="1:67" ht="14.5" customHeight="1">
      <c r="A571" s="6" t="s">
        <v>130</v>
      </c>
      <c r="B571" s="6" t="s">
        <v>137</v>
      </c>
      <c r="C571" s="33">
        <v>31950.560252589177</v>
      </c>
      <c r="D571" s="18">
        <v>14.016891401347317</v>
      </c>
      <c r="E571" s="6"/>
      <c r="F571" s="6"/>
      <c r="G571" s="22"/>
      <c r="H571" s="22"/>
      <c r="I571" s="22"/>
      <c r="J571" s="22"/>
      <c r="K571" s="22"/>
      <c r="L571" s="22"/>
      <c r="M571" s="22"/>
      <c r="N571" s="18"/>
      <c r="O571" s="18"/>
      <c r="P571" s="22"/>
      <c r="Q571" s="22"/>
      <c r="R571" s="22"/>
      <c r="S571" s="22"/>
      <c r="T571" s="22"/>
      <c r="U571" s="22"/>
      <c r="V571" s="6"/>
      <c r="W571" s="6"/>
      <c r="X571" s="19"/>
      <c r="Y571" s="6"/>
      <c r="Z571" s="6"/>
      <c r="AA571" s="18">
        <v>143.255796</v>
      </c>
      <c r="AB571" s="18"/>
      <c r="AC571" s="18">
        <v>143.255796</v>
      </c>
      <c r="AD571" s="21"/>
      <c r="AE571" s="6"/>
      <c r="AF571" s="18"/>
      <c r="AG571" s="18"/>
      <c r="AH571" s="18"/>
      <c r="AI571" s="18"/>
      <c r="AK571" s="18"/>
      <c r="AL571" s="18"/>
      <c r="AM571" s="40" t="s">
        <v>118</v>
      </c>
      <c r="AN571" s="18"/>
      <c r="AO571" s="6"/>
      <c r="AP571" s="3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32"/>
      <c r="BH571" s="32"/>
      <c r="BI571" s="32"/>
      <c r="BJ571" s="6"/>
      <c r="BK571" s="6"/>
      <c r="BL571" s="6" t="s">
        <v>59</v>
      </c>
      <c r="BO571" s="15"/>
    </row>
    <row r="572" spans="1:67">
      <c r="A572" s="6" t="s">
        <v>130</v>
      </c>
      <c r="B572" s="6" t="s">
        <v>137</v>
      </c>
      <c r="C572" s="33">
        <v>31967.645239156012</v>
      </c>
      <c r="D572" s="18">
        <v>14.063668544204399</v>
      </c>
      <c r="E572" s="6"/>
      <c r="F572" s="6"/>
      <c r="G572" s="22"/>
      <c r="H572" s="22"/>
      <c r="I572" s="22"/>
      <c r="J572" s="22"/>
      <c r="K572" s="22"/>
      <c r="L572" s="22"/>
      <c r="M572" s="22"/>
      <c r="N572" s="18"/>
      <c r="O572" s="18"/>
      <c r="P572" s="22"/>
      <c r="Q572" s="22"/>
      <c r="R572" s="22"/>
      <c r="S572" s="22"/>
      <c r="T572" s="22"/>
      <c r="U572" s="22"/>
      <c r="V572" s="6"/>
      <c r="W572" s="6"/>
      <c r="X572" s="19"/>
      <c r="Y572" s="6"/>
      <c r="Z572" s="6"/>
      <c r="AA572" s="18">
        <v>161.724141</v>
      </c>
      <c r="AB572" s="18"/>
      <c r="AC572" s="18">
        <v>161.724141</v>
      </c>
      <c r="AD572" s="21"/>
      <c r="AE572" s="6"/>
      <c r="AF572" s="18"/>
      <c r="AG572" s="18"/>
      <c r="AH572" s="18"/>
      <c r="AI572" s="18"/>
      <c r="AK572" s="18"/>
      <c r="AL572" s="18"/>
      <c r="AM572" s="40" t="s">
        <v>118</v>
      </c>
      <c r="AN572" s="18"/>
      <c r="AO572" s="6"/>
      <c r="AP572" s="3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32"/>
      <c r="BH572" s="32"/>
      <c r="BI572" s="32"/>
      <c r="BJ572" s="6"/>
      <c r="BK572" s="6"/>
      <c r="BL572" s="6" t="s">
        <v>59</v>
      </c>
      <c r="BO572" s="15"/>
    </row>
    <row r="573" spans="1:67" ht="14.5" customHeight="1">
      <c r="A573" s="6" t="s">
        <v>130</v>
      </c>
      <c r="B573" s="6" t="s">
        <v>137</v>
      </c>
      <c r="C573" s="33">
        <v>31989.001472364514</v>
      </c>
      <c r="D573" s="18">
        <v>14.122139972775638</v>
      </c>
      <c r="E573" s="6"/>
      <c r="F573" s="6"/>
      <c r="G573" s="22"/>
      <c r="H573" s="22"/>
      <c r="I573" s="22"/>
      <c r="J573" s="22"/>
      <c r="K573" s="22"/>
      <c r="L573" s="22"/>
      <c r="M573" s="22"/>
      <c r="N573" s="18"/>
      <c r="O573" s="18"/>
      <c r="P573" s="22"/>
      <c r="Q573" s="22"/>
      <c r="R573" s="22"/>
      <c r="S573" s="22"/>
      <c r="T573" s="22"/>
      <c r="U573" s="22"/>
      <c r="V573" s="6"/>
      <c r="W573" s="6"/>
      <c r="X573" s="19"/>
      <c r="Y573" s="6"/>
      <c r="Z573" s="6"/>
      <c r="AA573" s="18">
        <v>157.1259</v>
      </c>
      <c r="AB573" s="18"/>
      <c r="AC573" s="18">
        <v>157.1259</v>
      </c>
      <c r="AD573" s="21"/>
      <c r="AE573" s="6"/>
      <c r="AF573" s="18"/>
      <c r="AG573" s="18"/>
      <c r="AH573" s="18"/>
      <c r="AI573" s="18"/>
      <c r="AK573" s="18"/>
      <c r="AL573" s="18"/>
      <c r="AM573" s="40" t="s">
        <v>118</v>
      </c>
      <c r="AN573" s="18"/>
      <c r="AO573" s="6"/>
      <c r="AP573" s="3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32"/>
      <c r="BH573" s="32"/>
      <c r="BI573" s="32"/>
      <c r="BJ573" s="6"/>
      <c r="BK573" s="6"/>
      <c r="BL573" s="6" t="s">
        <v>59</v>
      </c>
      <c r="BO573" s="15"/>
    </row>
    <row r="574" spans="1:67" ht="14.5" customHeight="1">
      <c r="A574" s="6" t="s">
        <v>130</v>
      </c>
      <c r="B574" s="6" t="s">
        <v>137</v>
      </c>
      <c r="C574" s="33">
        <v>32006.08645893135</v>
      </c>
      <c r="D574" s="18">
        <v>14.16891711563272</v>
      </c>
      <c r="E574" s="6"/>
      <c r="F574" s="6"/>
      <c r="G574" s="22"/>
      <c r="H574" s="22"/>
      <c r="I574" s="22"/>
      <c r="J574" s="22"/>
      <c r="K574" s="22"/>
      <c r="L574" s="22"/>
      <c r="M574" s="22"/>
      <c r="N574" s="18"/>
      <c r="O574" s="18"/>
      <c r="P574" s="22"/>
      <c r="Q574" s="22"/>
      <c r="R574" s="22"/>
      <c r="S574" s="22"/>
      <c r="T574" s="22"/>
      <c r="U574" s="22"/>
      <c r="V574" s="6"/>
      <c r="W574" s="6"/>
      <c r="X574" s="19"/>
      <c r="Y574" s="6"/>
      <c r="Z574" s="6"/>
      <c r="AA574" s="18">
        <v>175.242467</v>
      </c>
      <c r="AB574" s="18"/>
      <c r="AC574" s="18">
        <v>175.242467</v>
      </c>
      <c r="AD574" s="21"/>
      <c r="AE574" s="6"/>
      <c r="AF574" s="18"/>
      <c r="AG574" s="18"/>
      <c r="AH574" s="18"/>
      <c r="AI574" s="18"/>
      <c r="AK574" s="18"/>
      <c r="AL574" s="18"/>
      <c r="AM574" s="40" t="s">
        <v>118</v>
      </c>
      <c r="AN574" s="18"/>
      <c r="AO574" s="6"/>
      <c r="AP574" s="3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32"/>
      <c r="BH574" s="32"/>
      <c r="BI574" s="32"/>
      <c r="BJ574" s="6"/>
      <c r="BK574" s="6"/>
      <c r="BL574" s="6" t="s">
        <v>59</v>
      </c>
      <c r="BO574" s="15"/>
    </row>
    <row r="575" spans="1:67" ht="14.5" customHeight="1">
      <c r="A575" s="6" t="s">
        <v>130</v>
      </c>
      <c r="B575" s="6" t="s">
        <v>137</v>
      </c>
      <c r="C575" s="33">
        <v>32031.713938781766</v>
      </c>
      <c r="D575" s="18">
        <v>14.239082829918793</v>
      </c>
      <c r="E575" s="6"/>
      <c r="F575" s="6"/>
      <c r="G575" s="22"/>
      <c r="H575" s="22"/>
      <c r="I575" s="22"/>
      <c r="J575" s="22"/>
      <c r="K575" s="22"/>
      <c r="L575" s="22"/>
      <c r="M575" s="22"/>
      <c r="N575" s="18"/>
      <c r="O575" s="18"/>
      <c r="P575" s="22"/>
      <c r="Q575" s="22"/>
      <c r="R575" s="22"/>
      <c r="S575" s="22"/>
      <c r="T575" s="22"/>
      <c r="U575" s="22"/>
      <c r="V575" s="6"/>
      <c r="W575" s="6"/>
      <c r="X575" s="19"/>
      <c r="Y575" s="6"/>
      <c r="Z575" s="6"/>
      <c r="AA575" s="18">
        <v>180.89604199999999</v>
      </c>
      <c r="AB575" s="18"/>
      <c r="AC575" s="18">
        <v>180.89604199999999</v>
      </c>
      <c r="AD575" s="21"/>
      <c r="AE575" s="6"/>
      <c r="AF575" s="18"/>
      <c r="AG575" s="18"/>
      <c r="AH575" s="18"/>
      <c r="AI575" s="18"/>
      <c r="AK575" s="18"/>
      <c r="AL575" s="18"/>
      <c r="AM575" s="40" t="s">
        <v>118</v>
      </c>
      <c r="AN575" s="18"/>
      <c r="AO575" s="6"/>
      <c r="AP575" s="3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32"/>
      <c r="BH575" s="32"/>
      <c r="BI575" s="32"/>
      <c r="BJ575" s="6"/>
      <c r="BK575" s="6"/>
      <c r="BL575" s="6" t="s">
        <v>59</v>
      </c>
      <c r="BO575" s="15"/>
    </row>
    <row r="576" spans="1:67">
      <c r="A576" s="6" t="s">
        <v>130</v>
      </c>
      <c r="B576" s="6" t="s">
        <v>137</v>
      </c>
      <c r="C576" s="33">
        <v>32053.070171990268</v>
      </c>
      <c r="D576" s="18">
        <v>14.297554258490031</v>
      </c>
      <c r="E576" s="6"/>
      <c r="F576" s="6"/>
      <c r="G576" s="22"/>
      <c r="H576" s="22"/>
      <c r="I576" s="22"/>
      <c r="J576" s="22"/>
      <c r="K576" s="22"/>
      <c r="L576" s="22"/>
      <c r="M576" s="22"/>
      <c r="N576" s="18"/>
      <c r="O576" s="18"/>
      <c r="P576" s="22"/>
      <c r="Q576" s="22"/>
      <c r="R576" s="22"/>
      <c r="S576" s="22"/>
      <c r="T576" s="22"/>
      <c r="U576" s="22"/>
      <c r="V576" s="6"/>
      <c r="W576" s="6"/>
      <c r="X576" s="19"/>
      <c r="Y576" s="6"/>
      <c r="Z576" s="6"/>
      <c r="AA576" s="18">
        <v>171.649306</v>
      </c>
      <c r="AB576" s="18"/>
      <c r="AC576" s="18">
        <v>171.649306</v>
      </c>
      <c r="AD576" s="21"/>
      <c r="AE576" s="6"/>
      <c r="AF576" s="18"/>
      <c r="AG576" s="18"/>
      <c r="AH576" s="18"/>
      <c r="AI576" s="18"/>
      <c r="AK576" s="18"/>
      <c r="AL576" s="18"/>
      <c r="AM576" s="40" t="s">
        <v>118</v>
      </c>
      <c r="AN576" s="18"/>
      <c r="AO576" s="6"/>
      <c r="AP576" s="3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32"/>
      <c r="BH576" s="32"/>
      <c r="BI576" s="32"/>
      <c r="BJ576" s="6"/>
      <c r="BK576" s="6"/>
      <c r="BL576" s="6" t="s">
        <v>59</v>
      </c>
      <c r="BO576" s="15"/>
    </row>
    <row r="577" spans="1:67" ht="14.5" customHeight="1">
      <c r="A577" s="6" t="s">
        <v>130</v>
      </c>
      <c r="B577" s="6" t="s">
        <v>137</v>
      </c>
      <c r="C577" s="33">
        <v>32057.341418632019</v>
      </c>
      <c r="D577" s="18">
        <v>14.309248544204417</v>
      </c>
      <c r="E577" s="6"/>
      <c r="F577" s="6"/>
      <c r="G577" s="22"/>
      <c r="H577" s="22"/>
      <c r="I577" s="22"/>
      <c r="J577" s="22"/>
      <c r="K577" s="22"/>
      <c r="L577" s="22"/>
      <c r="M577" s="22"/>
      <c r="N577" s="18"/>
      <c r="O577" s="18"/>
      <c r="P577" s="22"/>
      <c r="Q577" s="22"/>
      <c r="R577" s="22"/>
      <c r="S577" s="22"/>
      <c r="T577" s="22"/>
      <c r="U577" s="22"/>
      <c r="V577" s="6"/>
      <c r="W577" s="6"/>
      <c r="X577" s="19"/>
      <c r="Y577" s="6"/>
      <c r="Z577" s="6"/>
      <c r="AA577" s="18">
        <v>153.784009</v>
      </c>
      <c r="AB577" s="18"/>
      <c r="AC577" s="18">
        <v>153.784009</v>
      </c>
      <c r="AD577" s="21"/>
      <c r="AE577" s="6"/>
      <c r="AF577" s="18"/>
      <c r="AG577" s="18"/>
      <c r="AH577" s="18"/>
      <c r="AI577" s="18"/>
      <c r="AK577" s="18"/>
      <c r="AL577" s="18"/>
      <c r="AM577" s="40" t="s">
        <v>118</v>
      </c>
      <c r="AN577" s="18"/>
      <c r="AO577" s="6"/>
      <c r="AP577" s="3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32"/>
      <c r="BH577" s="32"/>
      <c r="BI577" s="32"/>
      <c r="BJ577" s="6"/>
      <c r="BK577" s="6"/>
      <c r="BL577" s="6" t="s">
        <v>59</v>
      </c>
      <c r="BO577" s="15"/>
    </row>
    <row r="578" spans="1:67">
      <c r="A578" s="6" t="s">
        <v>130</v>
      </c>
      <c r="B578" s="6" t="s">
        <v>137</v>
      </c>
      <c r="C578" s="33">
        <v>32074.426405198854</v>
      </c>
      <c r="D578" s="18">
        <v>14.3560256870615</v>
      </c>
      <c r="E578" s="6"/>
      <c r="F578" s="6"/>
      <c r="G578" s="22"/>
      <c r="H578" s="22"/>
      <c r="I578" s="22"/>
      <c r="J578" s="22"/>
      <c r="K578" s="22"/>
      <c r="L578" s="22"/>
      <c r="M578" s="22"/>
      <c r="N578" s="18"/>
      <c r="O578" s="18"/>
      <c r="P578" s="22"/>
      <c r="Q578" s="22"/>
      <c r="R578" s="22"/>
      <c r="S578" s="22"/>
      <c r="T578" s="22"/>
      <c r="U578" s="22"/>
      <c r="V578" s="6"/>
      <c r="W578" s="6"/>
      <c r="X578" s="19"/>
      <c r="Y578" s="6"/>
      <c r="Z578" s="6"/>
      <c r="AA578" s="18">
        <v>156.07056599999999</v>
      </c>
      <c r="AB578" s="18"/>
      <c r="AC578" s="18">
        <v>156.07056599999999</v>
      </c>
      <c r="AD578" s="21"/>
      <c r="AE578" s="6"/>
      <c r="AF578" s="18"/>
      <c r="AG578" s="18"/>
      <c r="AH578" s="18"/>
      <c r="AI578" s="18"/>
      <c r="AK578" s="18"/>
      <c r="AL578" s="18"/>
      <c r="AM578" s="40" t="s">
        <v>118</v>
      </c>
      <c r="AN578" s="18"/>
      <c r="AO578" s="6"/>
      <c r="AP578" s="3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32"/>
      <c r="BH578" s="32"/>
      <c r="BI578" s="32"/>
      <c r="BJ578" s="6"/>
      <c r="BK578" s="6"/>
      <c r="BL578" s="6" t="s">
        <v>59</v>
      </c>
      <c r="BO578" s="15"/>
    </row>
    <row r="579" spans="1:67">
      <c r="A579" s="6" t="s">
        <v>130</v>
      </c>
      <c r="B579" s="6" t="s">
        <v>137</v>
      </c>
      <c r="C579" s="33">
        <v>32091.511391765689</v>
      </c>
      <c r="D579" s="18">
        <v>14.402802829918581</v>
      </c>
      <c r="E579" s="6"/>
      <c r="F579" s="6"/>
      <c r="G579" s="22"/>
      <c r="H579" s="22"/>
      <c r="I579" s="22"/>
      <c r="J579" s="22"/>
      <c r="K579" s="22"/>
      <c r="L579" s="22"/>
      <c r="M579" s="22"/>
      <c r="N579" s="18"/>
      <c r="O579" s="18"/>
      <c r="P579" s="22"/>
      <c r="Q579" s="22"/>
      <c r="R579" s="22"/>
      <c r="S579" s="22"/>
      <c r="T579" s="22"/>
      <c r="U579" s="22"/>
      <c r="V579" s="6"/>
      <c r="W579" s="6"/>
      <c r="X579" s="19"/>
      <c r="Y579" s="6"/>
      <c r="Z579" s="6"/>
      <c r="AA579" s="18">
        <v>140.46669900000001</v>
      </c>
      <c r="AB579" s="18"/>
      <c r="AC579" s="18">
        <v>140.46669900000001</v>
      </c>
      <c r="AD579" s="21"/>
      <c r="AE579" s="6"/>
      <c r="AF579" s="18"/>
      <c r="AG579" s="18"/>
      <c r="AH579" s="18"/>
      <c r="AI579" s="18"/>
      <c r="AK579" s="18"/>
      <c r="AL579" s="18"/>
      <c r="AM579" s="40" t="s">
        <v>118</v>
      </c>
      <c r="AN579" s="18"/>
      <c r="AO579" s="6"/>
      <c r="AP579" s="3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32"/>
      <c r="BH579" s="32"/>
      <c r="BI579" s="32"/>
      <c r="BJ579" s="6"/>
      <c r="BK579" s="6"/>
      <c r="BL579" s="6" t="s">
        <v>59</v>
      </c>
      <c r="BO579" s="15"/>
    </row>
    <row r="580" spans="1:67" ht="14.5" customHeight="1">
      <c r="A580" s="6" t="s">
        <v>130</v>
      </c>
      <c r="B580" s="6" t="s">
        <v>137</v>
      </c>
      <c r="C580" s="33">
        <v>32104.325131690857</v>
      </c>
      <c r="D580" s="18">
        <v>14.437885687061508</v>
      </c>
      <c r="E580" s="6"/>
      <c r="F580" s="6"/>
      <c r="G580" s="22"/>
      <c r="H580" s="22"/>
      <c r="I580" s="22"/>
      <c r="J580" s="22"/>
      <c r="K580" s="22"/>
      <c r="L580" s="22"/>
      <c r="M580" s="22"/>
      <c r="N580" s="18"/>
      <c r="O580" s="18"/>
      <c r="P580" s="22"/>
      <c r="Q580" s="22"/>
      <c r="R580" s="22"/>
      <c r="S580" s="22"/>
      <c r="T580" s="22"/>
      <c r="U580" s="22"/>
      <c r="V580" s="6"/>
      <c r="W580" s="6"/>
      <c r="X580" s="19"/>
      <c r="Y580" s="6"/>
      <c r="Z580" s="6"/>
      <c r="AA580" s="18">
        <v>153.90964400000001</v>
      </c>
      <c r="AB580" s="18"/>
      <c r="AC580" s="18">
        <v>153.90964400000001</v>
      </c>
      <c r="AD580" s="21"/>
      <c r="AE580" s="6"/>
      <c r="AF580" s="18"/>
      <c r="AG580" s="18"/>
      <c r="AH580" s="18"/>
      <c r="AI580" s="18"/>
      <c r="AK580" s="18"/>
      <c r="AL580" s="18"/>
      <c r="AM580" s="40" t="s">
        <v>118</v>
      </c>
      <c r="AN580" s="18"/>
      <c r="AO580" s="6"/>
      <c r="AP580" s="3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32"/>
      <c r="BH580" s="32"/>
      <c r="BI580" s="32"/>
      <c r="BJ580" s="6"/>
      <c r="BK580" s="6"/>
      <c r="BL580" s="6" t="s">
        <v>59</v>
      </c>
      <c r="BO580" s="15"/>
    </row>
    <row r="581" spans="1:67">
      <c r="A581" s="6" t="s">
        <v>130</v>
      </c>
      <c r="B581" s="6" t="s">
        <v>137</v>
      </c>
      <c r="C581" s="33">
        <v>32117.138871615942</v>
      </c>
      <c r="D581" s="18">
        <v>14.472968544204205</v>
      </c>
      <c r="E581" s="6"/>
      <c r="F581" s="6"/>
      <c r="G581" s="22"/>
      <c r="H581" s="22"/>
      <c r="I581" s="22"/>
      <c r="J581" s="22"/>
      <c r="K581" s="22"/>
      <c r="L581" s="22"/>
      <c r="M581" s="22"/>
      <c r="N581" s="18"/>
      <c r="O581" s="18"/>
      <c r="P581" s="22"/>
      <c r="Q581" s="22"/>
      <c r="R581" s="22"/>
      <c r="S581" s="22"/>
      <c r="T581" s="22"/>
      <c r="U581" s="22"/>
      <c r="V581" s="6"/>
      <c r="W581" s="6"/>
      <c r="X581" s="19"/>
      <c r="Y581" s="6"/>
      <c r="Z581" s="6"/>
      <c r="AA581" s="18">
        <v>157.67869400000001</v>
      </c>
      <c r="AB581" s="18"/>
      <c r="AC581" s="18">
        <v>157.67869400000001</v>
      </c>
      <c r="AD581" s="21"/>
      <c r="AE581" s="6"/>
      <c r="AF581" s="18"/>
      <c r="AG581" s="18"/>
      <c r="AH581" s="18"/>
      <c r="AI581" s="18"/>
      <c r="AK581" s="18"/>
      <c r="AL581" s="18"/>
      <c r="AM581" s="40" t="s">
        <v>118</v>
      </c>
      <c r="AN581" s="18"/>
      <c r="AO581" s="6"/>
      <c r="AP581" s="3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32"/>
      <c r="BH581" s="32"/>
      <c r="BI581" s="32"/>
      <c r="BJ581" s="6"/>
      <c r="BK581" s="6"/>
      <c r="BL581" s="6" t="s">
        <v>59</v>
      </c>
      <c r="BO581" s="15"/>
    </row>
    <row r="582" spans="1:67">
      <c r="A582" s="6" t="s">
        <v>130</v>
      </c>
      <c r="B582" s="6" t="s">
        <v>137</v>
      </c>
      <c r="C582" s="33">
        <v>32142.766351466358</v>
      </c>
      <c r="D582" s="18">
        <v>14.543134258490278</v>
      </c>
      <c r="E582" s="6"/>
      <c r="F582" s="6"/>
      <c r="G582" s="22"/>
      <c r="H582" s="22"/>
      <c r="I582" s="22"/>
      <c r="J582" s="22"/>
      <c r="K582" s="22"/>
      <c r="L582" s="22"/>
      <c r="M582" s="22"/>
      <c r="N582" s="18"/>
      <c r="O582" s="18"/>
      <c r="P582" s="22"/>
      <c r="Q582" s="22"/>
      <c r="R582" s="22"/>
      <c r="S582" s="22"/>
      <c r="T582" s="22"/>
      <c r="U582" s="22"/>
      <c r="V582" s="6"/>
      <c r="W582" s="6"/>
      <c r="X582" s="19"/>
      <c r="Y582" s="6"/>
      <c r="Z582" s="6"/>
      <c r="AA582" s="18">
        <v>143.959352</v>
      </c>
      <c r="AB582" s="18"/>
      <c r="AC582" s="18">
        <v>143.959352</v>
      </c>
      <c r="AD582" s="21"/>
      <c r="AE582" s="6"/>
      <c r="AF582" s="18"/>
      <c r="AG582" s="18"/>
      <c r="AH582" s="18"/>
      <c r="AI582" s="18"/>
      <c r="AK582" s="18"/>
      <c r="AL582" s="18"/>
      <c r="AM582" s="40" t="s">
        <v>118</v>
      </c>
      <c r="AN582" s="18"/>
      <c r="AO582" s="6"/>
      <c r="AP582" s="3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32"/>
      <c r="BH582" s="32"/>
      <c r="BI582" s="32"/>
      <c r="BJ582" s="6"/>
      <c r="BK582" s="6"/>
      <c r="BL582" s="6" t="s">
        <v>59</v>
      </c>
      <c r="BO582" s="15"/>
    </row>
    <row r="583" spans="1:67">
      <c r="A583" s="6" t="s">
        <v>132</v>
      </c>
      <c r="B583" s="6" t="s">
        <v>139</v>
      </c>
      <c r="C583" s="33">
        <v>30617.931300374246</v>
      </c>
      <c r="D583" s="18">
        <v>10.368274258489972</v>
      </c>
      <c r="E583" s="6"/>
      <c r="F583" s="6"/>
      <c r="G583" s="22"/>
      <c r="H583" s="22"/>
      <c r="I583" s="22"/>
      <c r="J583" s="22"/>
      <c r="K583" s="22"/>
      <c r="L583" s="22"/>
      <c r="M583" s="22"/>
      <c r="N583" s="18"/>
      <c r="O583" s="18"/>
      <c r="P583" s="22"/>
      <c r="Q583" s="22"/>
      <c r="R583" s="22"/>
      <c r="S583" s="22"/>
      <c r="T583" s="22"/>
      <c r="U583" s="22"/>
      <c r="V583" s="6"/>
      <c r="W583" s="6"/>
      <c r="X583" s="19"/>
      <c r="Y583" s="6"/>
      <c r="Z583" s="6"/>
      <c r="AA583" s="18">
        <v>323.76816399999996</v>
      </c>
      <c r="AB583" s="18">
        <v>323.76816399999996</v>
      </c>
      <c r="AC583" s="18">
        <v>323.76816399999996</v>
      </c>
      <c r="AD583" s="21"/>
      <c r="AE583" s="6"/>
      <c r="AF583" s="18"/>
      <c r="AG583" s="18"/>
      <c r="AH583" s="18"/>
      <c r="AI583" s="18"/>
      <c r="AK583" s="18"/>
      <c r="AL583" s="18"/>
      <c r="AM583" s="40" t="s">
        <v>118</v>
      </c>
      <c r="AN583" s="18"/>
      <c r="AO583" s="6"/>
      <c r="AP583" s="3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32"/>
      <c r="BH583" s="32"/>
      <c r="BI583" s="32"/>
      <c r="BJ583" s="6"/>
      <c r="BK583" s="6"/>
      <c r="BL583" s="6" t="s">
        <v>59</v>
      </c>
      <c r="BO583" s="15"/>
    </row>
    <row r="584" spans="1:67">
      <c r="A584" s="6" t="s">
        <v>132</v>
      </c>
      <c r="B584" s="6" t="s">
        <v>139</v>
      </c>
      <c r="C584" s="33">
        <v>30617.931300374246</v>
      </c>
      <c r="D584" s="18">
        <v>10.368274258489972</v>
      </c>
      <c r="E584" s="6"/>
      <c r="F584" s="6"/>
      <c r="G584" s="22"/>
      <c r="H584" s="22"/>
      <c r="I584" s="22"/>
      <c r="J584" s="22"/>
      <c r="K584" s="22"/>
      <c r="L584" s="22"/>
      <c r="M584" s="22"/>
      <c r="N584" s="18"/>
      <c r="O584" s="18"/>
      <c r="P584" s="22"/>
      <c r="Q584" s="22"/>
      <c r="R584" s="22"/>
      <c r="S584" s="22"/>
      <c r="T584" s="22"/>
      <c r="U584" s="22"/>
      <c r="V584" s="6"/>
      <c r="W584" s="6"/>
      <c r="X584" s="19"/>
      <c r="Y584" s="6"/>
      <c r="Z584" s="6"/>
      <c r="AA584" s="18">
        <v>335.32658400000003</v>
      </c>
      <c r="AB584" s="18">
        <v>335.32658400000003</v>
      </c>
      <c r="AC584" s="18">
        <v>335.32658400000003</v>
      </c>
      <c r="AD584" s="21"/>
      <c r="AE584" s="6"/>
      <c r="AF584" s="18"/>
      <c r="AG584" s="18"/>
      <c r="AH584" s="18"/>
      <c r="AI584" s="18"/>
      <c r="AK584" s="18"/>
      <c r="AL584" s="18"/>
      <c r="AM584" s="40" t="s">
        <v>118</v>
      </c>
      <c r="AN584" s="18"/>
      <c r="AO584" s="6"/>
      <c r="AP584" s="3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32"/>
      <c r="BH584" s="32"/>
      <c r="BI584" s="32"/>
      <c r="BJ584" s="6"/>
      <c r="BK584" s="6"/>
      <c r="BL584" s="6" t="s">
        <v>59</v>
      </c>
      <c r="BO584" s="15"/>
    </row>
    <row r="585" spans="1:67">
      <c r="A585" s="6" t="s">
        <v>132</v>
      </c>
      <c r="B585" s="6" t="s">
        <v>139</v>
      </c>
      <c r="C585" s="33">
        <v>30617.931300374246</v>
      </c>
      <c r="D585" s="18">
        <v>10.368274258489972</v>
      </c>
      <c r="E585" s="6"/>
      <c r="F585" s="6"/>
      <c r="G585" s="22"/>
      <c r="H585" s="22"/>
      <c r="I585" s="22"/>
      <c r="J585" s="22"/>
      <c r="K585" s="22"/>
      <c r="L585" s="22"/>
      <c r="M585" s="22"/>
      <c r="N585" s="18"/>
      <c r="O585" s="18"/>
      <c r="P585" s="22"/>
      <c r="Q585" s="22"/>
      <c r="R585" s="22"/>
      <c r="S585" s="22"/>
      <c r="T585" s="22"/>
      <c r="U585" s="22"/>
      <c r="V585" s="6"/>
      <c r="W585" s="6"/>
      <c r="X585" s="19"/>
      <c r="Y585" s="6"/>
      <c r="Z585" s="6"/>
      <c r="AA585" s="18">
        <v>357.31270900000004</v>
      </c>
      <c r="AB585" s="18">
        <v>357.31270900000004</v>
      </c>
      <c r="AC585" s="18">
        <v>357.31270900000004</v>
      </c>
      <c r="AD585" s="21"/>
      <c r="AE585" s="6"/>
      <c r="AF585" s="18"/>
      <c r="AG585" s="18"/>
      <c r="AH585" s="18"/>
      <c r="AI585" s="18"/>
      <c r="AK585" s="18"/>
      <c r="AL585" s="18"/>
      <c r="AM585" s="40" t="s">
        <v>118</v>
      </c>
      <c r="AN585" s="18"/>
      <c r="AO585" s="6"/>
      <c r="AP585" s="3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32"/>
      <c r="BH585" s="32"/>
      <c r="BI585" s="32"/>
      <c r="BJ585" s="6"/>
      <c r="BK585" s="6"/>
      <c r="BL585" s="6" t="s">
        <v>59</v>
      </c>
      <c r="BO585" s="15"/>
    </row>
    <row r="586" spans="1:67">
      <c r="A586" s="6" t="s">
        <v>132</v>
      </c>
      <c r="B586" s="6" t="s">
        <v>139</v>
      </c>
      <c r="C586" s="33">
        <v>30622.202547015997</v>
      </c>
      <c r="D586" s="18">
        <v>10.379968544204358</v>
      </c>
      <c r="E586" s="6"/>
      <c r="F586" s="6"/>
      <c r="G586" s="22"/>
      <c r="H586" s="22"/>
      <c r="I586" s="22"/>
      <c r="J586" s="22"/>
      <c r="K586" s="22"/>
      <c r="L586" s="22"/>
      <c r="M586" s="22"/>
      <c r="N586" s="18"/>
      <c r="O586" s="18"/>
      <c r="P586" s="22"/>
      <c r="Q586" s="22"/>
      <c r="R586" s="22"/>
      <c r="S586" s="22"/>
      <c r="T586" s="22"/>
      <c r="U586" s="22"/>
      <c r="V586" s="6"/>
      <c r="W586" s="6"/>
      <c r="X586" s="19"/>
      <c r="Y586" s="6"/>
      <c r="Z586" s="6"/>
      <c r="AA586" s="18">
        <v>363.26780800000006</v>
      </c>
      <c r="AB586" s="18">
        <v>363.26780800000006</v>
      </c>
      <c r="AC586" s="18">
        <v>363.26780800000006</v>
      </c>
      <c r="AD586" s="21"/>
      <c r="AE586" s="6"/>
      <c r="AF586" s="18"/>
      <c r="AG586" s="18"/>
      <c r="AH586" s="18"/>
      <c r="AI586" s="18"/>
      <c r="AK586" s="18"/>
      <c r="AL586" s="18"/>
      <c r="AM586" s="40" t="s">
        <v>118</v>
      </c>
      <c r="AN586" s="18"/>
      <c r="AO586" s="6"/>
      <c r="AP586" s="3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32"/>
      <c r="BH586" s="32"/>
      <c r="BI586" s="32"/>
      <c r="BJ586" s="6"/>
      <c r="BK586" s="6"/>
      <c r="BL586" s="6" t="s">
        <v>59</v>
      </c>
      <c r="BO586" s="15"/>
    </row>
    <row r="587" spans="1:67">
      <c r="A587" s="6" t="s">
        <v>132</v>
      </c>
      <c r="B587" s="6" t="s">
        <v>139</v>
      </c>
      <c r="C587" s="33">
        <v>30622.202547015997</v>
      </c>
      <c r="D587" s="18">
        <v>10.379968544204358</v>
      </c>
      <c r="E587" s="6"/>
      <c r="F587" s="6"/>
      <c r="G587" s="22"/>
      <c r="H587" s="22"/>
      <c r="I587" s="22"/>
      <c r="J587" s="22"/>
      <c r="K587" s="22"/>
      <c r="L587" s="22"/>
      <c r="M587" s="22"/>
      <c r="N587" s="18"/>
      <c r="O587" s="18"/>
      <c r="P587" s="22"/>
      <c r="Q587" s="22"/>
      <c r="R587" s="22"/>
      <c r="S587" s="22"/>
      <c r="T587" s="22"/>
      <c r="U587" s="22"/>
      <c r="V587" s="6"/>
      <c r="W587" s="6"/>
      <c r="X587" s="19"/>
      <c r="Y587" s="6"/>
      <c r="Z587" s="6"/>
      <c r="AA587" s="18">
        <v>365.152333</v>
      </c>
      <c r="AB587" s="18">
        <v>365.152333</v>
      </c>
      <c r="AC587" s="18">
        <v>365.152333</v>
      </c>
      <c r="AD587" s="21"/>
      <c r="AE587" s="6"/>
      <c r="AF587" s="18"/>
      <c r="AG587" s="18"/>
      <c r="AH587" s="18"/>
      <c r="AI587" s="18"/>
      <c r="AK587" s="18"/>
      <c r="AL587" s="18"/>
      <c r="AM587" s="40" t="s">
        <v>118</v>
      </c>
      <c r="AN587" s="18"/>
      <c r="AO587" s="6"/>
      <c r="AP587" s="3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32"/>
      <c r="BH587" s="32"/>
      <c r="BI587" s="32"/>
      <c r="BJ587" s="6"/>
      <c r="BK587" s="6"/>
      <c r="BL587" s="6" t="s">
        <v>59</v>
      </c>
      <c r="BO587" s="15"/>
    </row>
    <row r="588" spans="1:67" ht="13.25" customHeight="1">
      <c r="A588" s="6" t="s">
        <v>132</v>
      </c>
      <c r="B588" s="6" t="s">
        <v>139</v>
      </c>
      <c r="C588" s="33">
        <v>30639.287533582912</v>
      </c>
      <c r="D588" s="18">
        <v>10.426745687061659</v>
      </c>
      <c r="E588" s="6"/>
      <c r="F588" s="6"/>
      <c r="G588" s="22"/>
      <c r="H588" s="22"/>
      <c r="I588" s="22"/>
      <c r="J588" s="22"/>
      <c r="K588" s="22"/>
      <c r="L588" s="22"/>
      <c r="M588" s="22"/>
      <c r="N588" s="18"/>
      <c r="O588" s="18"/>
      <c r="P588" s="22"/>
      <c r="Q588" s="22"/>
      <c r="R588" s="22"/>
      <c r="S588" s="22"/>
      <c r="T588" s="22"/>
      <c r="U588" s="22"/>
      <c r="V588" s="6"/>
      <c r="W588" s="6"/>
      <c r="X588" s="19"/>
      <c r="Y588" s="6"/>
      <c r="Z588" s="6"/>
      <c r="AA588" s="18">
        <v>359.22236099999998</v>
      </c>
      <c r="AB588" s="18">
        <v>359.22236099999998</v>
      </c>
      <c r="AC588" s="18">
        <v>359.22236099999998</v>
      </c>
      <c r="AD588" s="6"/>
      <c r="AE588" s="6"/>
      <c r="AF588" s="18"/>
      <c r="AG588" s="18"/>
      <c r="AH588" s="18"/>
      <c r="AI588" s="18"/>
      <c r="AK588" s="18"/>
      <c r="AL588" s="18"/>
      <c r="AM588" s="40" t="s">
        <v>118</v>
      </c>
      <c r="AN588" s="18"/>
      <c r="AO588" s="6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6"/>
      <c r="BK588" s="6"/>
      <c r="BL588" s="6" t="s">
        <v>59</v>
      </c>
      <c r="BO588" s="15"/>
    </row>
    <row r="589" spans="1:67" ht="13.25" customHeight="1">
      <c r="A589" s="6" t="s">
        <v>132</v>
      </c>
      <c r="B589" s="6" t="s">
        <v>139</v>
      </c>
      <c r="C589" s="33">
        <v>30652.101273507997</v>
      </c>
      <c r="D589" s="18">
        <v>10.461828544204357</v>
      </c>
      <c r="E589" s="6"/>
      <c r="F589" s="6"/>
      <c r="G589" s="22"/>
      <c r="H589" s="22"/>
      <c r="I589" s="22"/>
      <c r="J589" s="22"/>
      <c r="K589" s="22"/>
      <c r="L589" s="22"/>
      <c r="M589" s="22"/>
      <c r="N589" s="18"/>
      <c r="O589" s="18"/>
      <c r="P589" s="22"/>
      <c r="Q589" s="22"/>
      <c r="R589" s="22"/>
      <c r="S589" s="22"/>
      <c r="T589" s="22"/>
      <c r="U589" s="22"/>
      <c r="V589" s="6"/>
      <c r="W589" s="6"/>
      <c r="X589" s="19"/>
      <c r="Y589" s="6"/>
      <c r="Z589" s="6"/>
      <c r="AA589" s="18">
        <v>353.66929399999998</v>
      </c>
      <c r="AB589" s="18">
        <v>353.66929399999998</v>
      </c>
      <c r="AC589" s="18">
        <v>353.66929399999998</v>
      </c>
      <c r="AD589" s="6"/>
      <c r="AE589" s="6"/>
      <c r="AF589" s="18"/>
      <c r="AG589" s="18"/>
      <c r="AH589" s="18"/>
      <c r="AI589" s="18"/>
      <c r="AK589" s="18"/>
      <c r="AL589" s="18"/>
      <c r="AM589" s="40" t="s">
        <v>118</v>
      </c>
      <c r="AN589" s="18"/>
      <c r="AO589" s="6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6"/>
      <c r="BK589" s="6"/>
      <c r="BL589" s="6" t="s">
        <v>59</v>
      </c>
      <c r="BO589" s="15"/>
    </row>
    <row r="590" spans="1:67" ht="13.25" customHeight="1">
      <c r="A590" s="6" t="s">
        <v>132</v>
      </c>
      <c r="B590" s="6" t="s">
        <v>139</v>
      </c>
      <c r="C590" s="33">
        <v>30664.915013433165</v>
      </c>
      <c r="D590" s="18">
        <v>10.496911401347283</v>
      </c>
      <c r="E590" s="6"/>
      <c r="F590" s="6"/>
      <c r="G590" s="22"/>
      <c r="H590" s="22"/>
      <c r="I590" s="22"/>
      <c r="J590" s="22"/>
      <c r="K590" s="22"/>
      <c r="L590" s="22"/>
      <c r="M590" s="22"/>
      <c r="N590" s="18"/>
      <c r="O590" s="18"/>
      <c r="P590" s="22"/>
      <c r="Q590" s="22"/>
      <c r="R590" s="22"/>
      <c r="S590" s="22"/>
      <c r="T590" s="22"/>
      <c r="U590" s="22"/>
      <c r="V590" s="6"/>
      <c r="W590" s="6"/>
      <c r="X590" s="19"/>
      <c r="Y590" s="6"/>
      <c r="Z590" s="6"/>
      <c r="AA590" s="18">
        <v>365.62974600000001</v>
      </c>
      <c r="AB590" s="18">
        <v>365.62974600000001</v>
      </c>
      <c r="AC590" s="18">
        <v>365.62974600000001</v>
      </c>
      <c r="AD590" s="6"/>
      <c r="AE590" s="6"/>
      <c r="AF590" s="18"/>
      <c r="AG590" s="18"/>
      <c r="AH590" s="18"/>
      <c r="AI590" s="18"/>
      <c r="AK590" s="18"/>
      <c r="AL590" s="18"/>
      <c r="AM590" s="40" t="s">
        <v>118</v>
      </c>
      <c r="AN590" s="18"/>
      <c r="AO590" s="6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6"/>
      <c r="BK590" s="6"/>
      <c r="BL590" s="6" t="s">
        <v>59</v>
      </c>
      <c r="BO590" s="15"/>
    </row>
    <row r="591" spans="1:67" ht="13.25" customHeight="1">
      <c r="A591" s="6" t="s">
        <v>132</v>
      </c>
      <c r="B591" s="6" t="s">
        <v>139</v>
      </c>
      <c r="C591" s="33">
        <v>30682</v>
      </c>
      <c r="D591" s="18">
        <v>10.543688544204366</v>
      </c>
      <c r="E591" s="6"/>
      <c r="F591" s="6"/>
      <c r="G591" s="22"/>
      <c r="H591" s="22"/>
      <c r="I591" s="22"/>
      <c r="J591" s="22"/>
      <c r="K591" s="22"/>
      <c r="L591" s="22"/>
      <c r="M591" s="22"/>
      <c r="N591" s="18"/>
      <c r="O591" s="18"/>
      <c r="P591" s="22"/>
      <c r="Q591" s="22"/>
      <c r="R591" s="22"/>
      <c r="S591" s="22"/>
      <c r="T591" s="22"/>
      <c r="U591" s="22"/>
      <c r="V591" s="6"/>
      <c r="W591" s="6"/>
      <c r="X591" s="19"/>
      <c r="Y591" s="6"/>
      <c r="Z591" s="6"/>
      <c r="AA591" s="18">
        <v>355.80508899999995</v>
      </c>
      <c r="AB591" s="18">
        <v>355.80508899999995</v>
      </c>
      <c r="AC591" s="18">
        <v>355.80508899999995</v>
      </c>
      <c r="AD591" s="6"/>
      <c r="AE591" s="6"/>
      <c r="AF591" s="18"/>
      <c r="AG591" s="18"/>
      <c r="AH591" s="18"/>
      <c r="AI591" s="18"/>
      <c r="AK591" s="18"/>
      <c r="AL591" s="18"/>
      <c r="AM591" s="40" t="s">
        <v>118</v>
      </c>
      <c r="AN591" s="18"/>
      <c r="AO591" s="6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6"/>
      <c r="BK591" s="6"/>
      <c r="BL591" s="6" t="s">
        <v>59</v>
      </c>
      <c r="BO591" s="15"/>
    </row>
    <row r="592" spans="1:67" ht="13.25" customHeight="1">
      <c r="A592" s="6" t="s">
        <v>132</v>
      </c>
      <c r="B592" s="6" t="s">
        <v>139</v>
      </c>
      <c r="C592" s="33">
        <v>30699.084986566835</v>
      </c>
      <c r="D592" s="18">
        <v>10.590465687061448</v>
      </c>
      <c r="E592" s="6"/>
      <c r="F592" s="6"/>
      <c r="G592" s="22"/>
      <c r="H592" s="22"/>
      <c r="I592" s="22"/>
      <c r="J592" s="22"/>
      <c r="K592" s="22"/>
      <c r="L592" s="22"/>
      <c r="M592" s="22"/>
      <c r="N592" s="18"/>
      <c r="O592" s="18"/>
      <c r="P592" s="22"/>
      <c r="Q592" s="22"/>
      <c r="R592" s="22"/>
      <c r="S592" s="22"/>
      <c r="T592" s="22"/>
      <c r="U592" s="22"/>
      <c r="V592" s="6"/>
      <c r="W592" s="6"/>
      <c r="X592" s="19"/>
      <c r="Y592" s="6"/>
      <c r="Z592" s="6"/>
      <c r="AA592" s="18">
        <v>365.35334899999998</v>
      </c>
      <c r="AB592" s="18">
        <v>365.35334899999998</v>
      </c>
      <c r="AC592" s="18">
        <v>365.35334899999998</v>
      </c>
      <c r="AD592" s="6"/>
      <c r="AE592" s="6"/>
      <c r="AF592" s="18"/>
      <c r="AG592" s="18"/>
      <c r="AH592" s="18"/>
      <c r="AI592" s="18"/>
      <c r="AK592" s="18"/>
      <c r="AL592" s="18"/>
      <c r="AM592" s="40" t="s">
        <v>118</v>
      </c>
      <c r="AN592" s="18"/>
      <c r="AO592" s="6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6"/>
      <c r="BK592" s="6"/>
      <c r="BL592" s="6" t="s">
        <v>59</v>
      </c>
      <c r="BO592" s="15"/>
    </row>
    <row r="593" spans="1:67" ht="13.25" customHeight="1">
      <c r="A593" s="6" t="s">
        <v>132</v>
      </c>
      <c r="B593" s="6" t="s">
        <v>139</v>
      </c>
      <c r="C593" s="33">
        <v>30724.712466417088</v>
      </c>
      <c r="D593" s="18">
        <v>10.660631401347072</v>
      </c>
      <c r="E593" s="6"/>
      <c r="F593" s="6"/>
      <c r="G593" s="22"/>
      <c r="H593" s="22"/>
      <c r="I593" s="22"/>
      <c r="J593" s="22"/>
      <c r="K593" s="22"/>
      <c r="L593" s="22"/>
      <c r="M593" s="22"/>
      <c r="N593" s="18"/>
      <c r="O593" s="18"/>
      <c r="P593" s="22"/>
      <c r="Q593" s="22"/>
      <c r="R593" s="22"/>
      <c r="S593" s="22"/>
      <c r="T593" s="22"/>
      <c r="U593" s="22"/>
      <c r="V593" s="6"/>
      <c r="W593" s="6"/>
      <c r="X593" s="19"/>
      <c r="Y593" s="6"/>
      <c r="Z593" s="6"/>
      <c r="AA593" s="18">
        <v>365.805635</v>
      </c>
      <c r="AB593" s="18">
        <v>365.805635</v>
      </c>
      <c r="AC593" s="18">
        <v>365.805635</v>
      </c>
      <c r="AD593" s="6"/>
      <c r="AE593" s="6"/>
      <c r="AF593" s="18"/>
      <c r="AG593" s="18"/>
      <c r="AH593" s="18"/>
      <c r="AI593" s="18"/>
      <c r="AK593" s="18"/>
      <c r="AL593" s="18"/>
      <c r="AM593" s="40" t="s">
        <v>118</v>
      </c>
      <c r="AN593" s="18"/>
      <c r="AO593" s="6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6"/>
      <c r="BK593" s="6"/>
      <c r="BL593" s="6" t="s">
        <v>59</v>
      </c>
      <c r="BO593" s="15"/>
    </row>
    <row r="594" spans="1:67" ht="13.25" customHeight="1">
      <c r="A594" s="6" t="s">
        <v>132</v>
      </c>
      <c r="B594" s="6" t="s">
        <v>139</v>
      </c>
      <c r="C594" s="33">
        <v>30741.797452984003</v>
      </c>
      <c r="D594" s="18">
        <v>10.707408544204373</v>
      </c>
      <c r="E594" s="6"/>
      <c r="F594" s="6"/>
      <c r="G594" s="22"/>
      <c r="H594" s="22"/>
      <c r="I594" s="22"/>
      <c r="J594" s="22"/>
      <c r="K594" s="22"/>
      <c r="L594" s="22"/>
      <c r="M594" s="22"/>
      <c r="N594" s="18"/>
      <c r="O594" s="18"/>
      <c r="P594" s="22"/>
      <c r="Q594" s="22"/>
      <c r="R594" s="22"/>
      <c r="S594" s="22"/>
      <c r="T594" s="22"/>
      <c r="U594" s="22"/>
      <c r="V594" s="6"/>
      <c r="W594" s="6"/>
      <c r="X594" s="19"/>
      <c r="Y594" s="6"/>
      <c r="Z594" s="6"/>
      <c r="AA594" s="18">
        <v>341.25655600000005</v>
      </c>
      <c r="AB594" s="18">
        <v>341.25655600000005</v>
      </c>
      <c r="AC594" s="18">
        <v>341.25655600000005</v>
      </c>
      <c r="AD594" s="6"/>
      <c r="AE594" s="6"/>
      <c r="AF594" s="18"/>
      <c r="AG594" s="18"/>
      <c r="AH594" s="18"/>
      <c r="AI594" s="18"/>
      <c r="AK594" s="18"/>
      <c r="AL594" s="18"/>
      <c r="AM594" s="40" t="s">
        <v>118</v>
      </c>
      <c r="AN594" s="18"/>
      <c r="AO594" s="6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6"/>
      <c r="BK594" s="6"/>
      <c r="BL594" s="6" t="s">
        <v>59</v>
      </c>
      <c r="BO594" s="15"/>
    </row>
    <row r="595" spans="1:67">
      <c r="A595" s="6" t="s">
        <v>132</v>
      </c>
      <c r="B595" s="6" t="s">
        <v>139</v>
      </c>
      <c r="C595" s="33">
        <v>30754.611192909171</v>
      </c>
      <c r="D595" s="18">
        <v>10.7424914013473</v>
      </c>
      <c r="E595" s="6"/>
      <c r="F595" s="6"/>
      <c r="G595" s="22"/>
      <c r="H595" s="22"/>
      <c r="I595" s="22"/>
      <c r="J595" s="22"/>
      <c r="K595" s="22"/>
      <c r="L595" s="22"/>
      <c r="M595" s="22"/>
      <c r="N595" s="18"/>
      <c r="O595" s="18"/>
      <c r="P595" s="22"/>
      <c r="Q595" s="22"/>
      <c r="R595" s="22"/>
      <c r="S595" s="22"/>
      <c r="T595" s="22"/>
      <c r="U595" s="22"/>
      <c r="V595" s="6"/>
      <c r="W595" s="6"/>
      <c r="X595" s="19"/>
      <c r="Y595" s="6"/>
      <c r="Z595" s="6"/>
      <c r="AA595" s="18">
        <v>319.32068500000003</v>
      </c>
      <c r="AB595" s="18">
        <v>319.32068500000003</v>
      </c>
      <c r="AC595" s="18">
        <v>319.32068500000003</v>
      </c>
      <c r="AD595" s="6"/>
      <c r="AE595" s="6"/>
      <c r="AF595" s="18"/>
      <c r="AG595" s="18"/>
      <c r="AH595" s="18"/>
      <c r="AI595" s="18"/>
      <c r="AK595" s="18"/>
      <c r="AL595" s="18"/>
      <c r="AM595" s="40" t="s">
        <v>118</v>
      </c>
      <c r="AN595" s="18"/>
      <c r="AO595" s="6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6"/>
      <c r="BK595" s="6"/>
      <c r="BL595" s="6" t="s">
        <v>59</v>
      </c>
      <c r="BO595" s="15"/>
    </row>
    <row r="596" spans="1:67">
      <c r="A596" s="6" t="s">
        <v>132</v>
      </c>
      <c r="B596" s="6" t="s">
        <v>139</v>
      </c>
      <c r="C596" s="33">
        <v>30763.153686192589</v>
      </c>
      <c r="D596" s="18">
        <v>10.765879972775842</v>
      </c>
      <c r="E596" s="6"/>
      <c r="F596" s="6"/>
      <c r="G596" s="22"/>
      <c r="H596" s="22"/>
      <c r="I596" s="22"/>
      <c r="J596" s="22"/>
      <c r="K596" s="22"/>
      <c r="L596" s="22"/>
      <c r="M596" s="22"/>
      <c r="N596" s="18"/>
      <c r="O596" s="18"/>
      <c r="P596" s="22"/>
      <c r="Q596" s="22"/>
      <c r="R596" s="22"/>
      <c r="S596" s="22"/>
      <c r="T596" s="22"/>
      <c r="U596" s="22"/>
      <c r="V596" s="6"/>
      <c r="W596" s="6"/>
      <c r="X596" s="19"/>
      <c r="Y596" s="6"/>
      <c r="Z596" s="6"/>
      <c r="AA596" s="18">
        <v>299.97289499999999</v>
      </c>
      <c r="AB596" s="18">
        <v>299.97289499999999</v>
      </c>
      <c r="AC596" s="18">
        <v>299.97289499999999</v>
      </c>
      <c r="AD596" s="6"/>
      <c r="AE596" s="6"/>
      <c r="AF596" s="18"/>
      <c r="AG596" s="18"/>
      <c r="AH596" s="18"/>
      <c r="AI596" s="18"/>
      <c r="AK596" s="18"/>
      <c r="AL596" s="18"/>
      <c r="AM596" s="40" t="s">
        <v>118</v>
      </c>
      <c r="AN596" s="18"/>
      <c r="AO596" s="6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6"/>
      <c r="BK596" s="6"/>
      <c r="BL596" s="6" t="s">
        <v>59</v>
      </c>
      <c r="BO596" s="15"/>
    </row>
    <row r="597" spans="1:67">
      <c r="A597" s="6" t="s">
        <v>132</v>
      </c>
      <c r="B597" s="6" t="s">
        <v>139</v>
      </c>
      <c r="C597" s="33">
        <v>30767.424932834339</v>
      </c>
      <c r="D597" s="18">
        <v>10.777574258490226</v>
      </c>
      <c r="E597" s="6"/>
      <c r="F597" s="6"/>
      <c r="G597" s="22"/>
      <c r="H597" s="22"/>
      <c r="I597" s="22"/>
      <c r="J597" s="22"/>
      <c r="K597" s="22"/>
      <c r="L597" s="22"/>
      <c r="M597" s="22"/>
      <c r="N597" s="18"/>
      <c r="O597" s="18"/>
      <c r="P597" s="22"/>
      <c r="Q597" s="22"/>
      <c r="R597" s="22"/>
      <c r="S597" s="22"/>
      <c r="T597" s="22"/>
      <c r="U597" s="22"/>
      <c r="V597" s="6"/>
      <c r="W597" s="6"/>
      <c r="X597" s="19"/>
      <c r="Y597" s="6"/>
      <c r="Z597" s="6"/>
      <c r="AA597" s="18">
        <v>289.92209500000001</v>
      </c>
      <c r="AB597" s="18">
        <v>289.92209500000001</v>
      </c>
      <c r="AC597" s="18">
        <v>289.92209500000001</v>
      </c>
      <c r="AD597" s="6"/>
      <c r="AE597" s="6"/>
      <c r="AF597" s="18"/>
      <c r="AG597" s="18"/>
      <c r="AH597" s="18"/>
      <c r="AI597" s="18"/>
      <c r="AK597" s="18"/>
      <c r="AL597" s="18"/>
      <c r="AM597" s="40" t="s">
        <v>118</v>
      </c>
      <c r="AN597" s="18"/>
      <c r="AO597" s="6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6"/>
      <c r="BK597" s="6"/>
      <c r="BL597" s="6" t="s">
        <v>59</v>
      </c>
      <c r="BO597" s="15"/>
    </row>
    <row r="598" spans="1:67">
      <c r="A598" s="6" t="s">
        <v>132</v>
      </c>
      <c r="B598" s="6" t="s">
        <v>139</v>
      </c>
      <c r="C598" s="33">
        <v>30775.967426117757</v>
      </c>
      <c r="D598" s="18">
        <v>10.800962829918769</v>
      </c>
      <c r="E598" s="6"/>
      <c r="F598" s="6"/>
      <c r="G598" s="22"/>
      <c r="H598" s="22"/>
      <c r="I598" s="22"/>
      <c r="J598" s="22"/>
      <c r="K598" s="22"/>
      <c r="L598" s="22"/>
      <c r="M598" s="22"/>
      <c r="N598" s="18"/>
      <c r="O598" s="18"/>
      <c r="P598" s="22"/>
      <c r="Q598" s="22"/>
      <c r="R598" s="22"/>
      <c r="S598" s="22"/>
      <c r="T598" s="22"/>
      <c r="U598" s="22"/>
      <c r="V598" s="6"/>
      <c r="W598" s="6"/>
      <c r="X598" s="19"/>
      <c r="Y598" s="6"/>
      <c r="Z598" s="6"/>
      <c r="AA598" s="18">
        <v>276.90630900000002</v>
      </c>
      <c r="AB598" s="18">
        <v>276.90630900000002</v>
      </c>
      <c r="AC598" s="18">
        <v>276.90630900000002</v>
      </c>
      <c r="AD598" s="6"/>
      <c r="AE598" s="6"/>
      <c r="AF598" s="18"/>
      <c r="AG598" s="18"/>
      <c r="AH598" s="18"/>
      <c r="AI598" s="18"/>
      <c r="AK598" s="18"/>
      <c r="AL598" s="18"/>
      <c r="AM598" s="40" t="s">
        <v>118</v>
      </c>
      <c r="AN598" s="18"/>
      <c r="AO598" s="6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6"/>
      <c r="BK598" s="6"/>
      <c r="BL598" s="6" t="s">
        <v>59</v>
      </c>
      <c r="BO598" s="15"/>
    </row>
    <row r="599" spans="1:67">
      <c r="A599" s="6" t="s">
        <v>132</v>
      </c>
      <c r="B599" s="6" t="s">
        <v>139</v>
      </c>
      <c r="C599" s="33">
        <v>30793.052412684592</v>
      </c>
      <c r="D599" s="18">
        <v>10.847739972775852</v>
      </c>
      <c r="E599" s="6"/>
      <c r="F599" s="6"/>
      <c r="G599" s="22"/>
      <c r="H599" s="22"/>
      <c r="I599" s="22"/>
      <c r="J599" s="22"/>
      <c r="K599" s="22"/>
      <c r="L599" s="22"/>
      <c r="M599" s="22"/>
      <c r="N599" s="18"/>
      <c r="O599" s="18"/>
      <c r="P599" s="22"/>
      <c r="Q599" s="22"/>
      <c r="R599" s="22"/>
      <c r="S599" s="22"/>
      <c r="T599" s="22"/>
      <c r="U599" s="22"/>
      <c r="V599" s="6"/>
      <c r="W599" s="6"/>
      <c r="X599" s="19"/>
      <c r="Y599" s="6"/>
      <c r="Z599" s="6"/>
      <c r="AA599" s="18">
        <v>252.73413500000001</v>
      </c>
      <c r="AB599" s="18">
        <v>252.73413500000001</v>
      </c>
      <c r="AC599" s="18">
        <v>252.73413500000001</v>
      </c>
      <c r="AD599" s="6"/>
      <c r="AE599" s="6"/>
      <c r="AF599" s="18"/>
      <c r="AG599" s="18"/>
      <c r="AH599" s="18"/>
      <c r="AI599" s="18"/>
      <c r="AK599" s="18"/>
      <c r="AL599" s="18"/>
      <c r="AM599" s="40" t="s">
        <v>118</v>
      </c>
      <c r="AN599" s="18"/>
      <c r="AO599" s="6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6"/>
      <c r="BK599" s="6"/>
      <c r="BL599" s="6" t="s">
        <v>59</v>
      </c>
      <c r="BO599" s="15"/>
    </row>
    <row r="600" spans="1:67">
      <c r="A600" s="6" t="s">
        <v>132</v>
      </c>
      <c r="B600" s="6" t="s">
        <v>139</v>
      </c>
      <c r="C600" s="33">
        <v>30801.59490596801</v>
      </c>
      <c r="D600" s="18">
        <v>10.871128544204392</v>
      </c>
      <c r="E600" s="6"/>
      <c r="F600" s="6"/>
      <c r="G600" s="22"/>
      <c r="H600" s="22"/>
      <c r="I600" s="22"/>
      <c r="J600" s="22"/>
      <c r="K600" s="22"/>
      <c r="L600" s="22"/>
      <c r="M600" s="22"/>
      <c r="N600" s="18"/>
      <c r="O600" s="18"/>
      <c r="P600" s="22"/>
      <c r="Q600" s="22"/>
      <c r="R600" s="22"/>
      <c r="S600" s="22"/>
      <c r="T600" s="22"/>
      <c r="U600" s="22"/>
      <c r="V600" s="6"/>
      <c r="W600" s="6"/>
      <c r="X600" s="19"/>
      <c r="Y600" s="6"/>
      <c r="Z600" s="6"/>
      <c r="AA600" s="18">
        <v>285.92690200000004</v>
      </c>
      <c r="AB600" s="18">
        <v>285.92690200000004</v>
      </c>
      <c r="AC600" s="18">
        <v>285.92690200000004</v>
      </c>
      <c r="AD600" s="6"/>
      <c r="AE600" s="6"/>
      <c r="AF600" s="18"/>
      <c r="AG600" s="18"/>
      <c r="AH600" s="18"/>
      <c r="AI600" s="18"/>
      <c r="AK600" s="18"/>
      <c r="AL600" s="18"/>
      <c r="AM600" s="40" t="s">
        <v>118</v>
      </c>
      <c r="AN600" s="18"/>
      <c r="AO600" s="6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6"/>
      <c r="BK600" s="6"/>
      <c r="BL600" s="6" t="s">
        <v>59</v>
      </c>
      <c r="BO600" s="15"/>
    </row>
    <row r="601" spans="1:67">
      <c r="A601" s="6" t="s">
        <v>132</v>
      </c>
      <c r="B601" s="6" t="s">
        <v>139</v>
      </c>
      <c r="C601" s="33">
        <v>30805.866152609677</v>
      </c>
      <c r="D601" s="18">
        <v>10.882822829918549</v>
      </c>
      <c r="E601" s="6"/>
      <c r="F601" s="6"/>
      <c r="G601" s="22"/>
      <c r="H601" s="22"/>
      <c r="I601" s="22"/>
      <c r="J601" s="22"/>
      <c r="K601" s="22"/>
      <c r="L601" s="22"/>
      <c r="M601" s="22"/>
      <c r="N601" s="18"/>
      <c r="O601" s="18"/>
      <c r="P601" s="22"/>
      <c r="Q601" s="22"/>
      <c r="R601" s="22"/>
      <c r="S601" s="22"/>
      <c r="T601" s="22"/>
      <c r="U601" s="22"/>
      <c r="V601" s="6"/>
      <c r="W601" s="6"/>
      <c r="X601" s="19"/>
      <c r="Y601" s="6"/>
      <c r="Z601" s="6"/>
      <c r="AA601" s="18">
        <v>314.99884099999997</v>
      </c>
      <c r="AB601" s="18">
        <v>314.99884099999997</v>
      </c>
      <c r="AC601" s="18">
        <v>314.99884099999997</v>
      </c>
      <c r="AD601" s="6"/>
      <c r="AE601" s="6"/>
      <c r="AF601" s="18"/>
      <c r="AG601" s="18"/>
      <c r="AH601" s="18"/>
      <c r="AI601" s="18"/>
      <c r="AK601" s="18"/>
      <c r="AL601" s="18"/>
      <c r="AM601" s="40" t="s">
        <v>118</v>
      </c>
      <c r="AN601" s="18"/>
      <c r="AO601" s="6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6"/>
      <c r="BK601" s="6"/>
      <c r="BL601" s="6" t="s">
        <v>59</v>
      </c>
      <c r="BO601" s="15"/>
    </row>
    <row r="602" spans="1:67">
      <c r="A602" s="6" t="s">
        <v>132</v>
      </c>
      <c r="B602" s="6" t="s">
        <v>139</v>
      </c>
      <c r="C602" s="33">
        <v>30822.951139176512</v>
      </c>
      <c r="D602" s="18">
        <v>10.92959997277563</v>
      </c>
      <c r="E602" s="6"/>
      <c r="F602" s="6"/>
      <c r="G602" s="22"/>
      <c r="H602" s="22"/>
      <c r="I602" s="22"/>
      <c r="J602" s="22"/>
      <c r="K602" s="22"/>
      <c r="L602" s="22"/>
      <c r="M602" s="22"/>
      <c r="N602" s="18"/>
      <c r="O602" s="18"/>
      <c r="P602" s="22"/>
      <c r="Q602" s="22"/>
      <c r="R602" s="22"/>
      <c r="S602" s="22"/>
      <c r="T602" s="22"/>
      <c r="U602" s="22"/>
      <c r="V602" s="6"/>
      <c r="W602" s="6"/>
      <c r="X602" s="19"/>
      <c r="Y602" s="6"/>
      <c r="Z602" s="6"/>
      <c r="AA602" s="18">
        <v>304.21935800000006</v>
      </c>
      <c r="AB602" s="18">
        <v>304.21935800000006</v>
      </c>
      <c r="AC602" s="18">
        <v>304.21935800000006</v>
      </c>
      <c r="AD602" s="6"/>
      <c r="AE602" s="6"/>
      <c r="AF602" s="18"/>
      <c r="AG602" s="18"/>
      <c r="AH602" s="18"/>
      <c r="AI602" s="18"/>
      <c r="AK602" s="18"/>
      <c r="AL602" s="18"/>
      <c r="AM602" s="40" t="s">
        <v>118</v>
      </c>
      <c r="AN602" s="18"/>
      <c r="AO602" s="6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6"/>
      <c r="BK602" s="6"/>
      <c r="BL602" s="6" t="s">
        <v>59</v>
      </c>
      <c r="BO602" s="15"/>
    </row>
    <row r="603" spans="1:67" ht="13.25" customHeight="1">
      <c r="A603" s="6" t="s">
        <v>132</v>
      </c>
      <c r="B603" s="6" t="s">
        <v>139</v>
      </c>
      <c r="C603" s="33">
        <v>30848.578619026928</v>
      </c>
      <c r="D603" s="18">
        <v>10.999765687061704</v>
      </c>
      <c r="E603" s="6"/>
      <c r="F603" s="6"/>
      <c r="G603" s="22"/>
      <c r="H603" s="22"/>
      <c r="I603" s="22"/>
      <c r="J603" s="22"/>
      <c r="K603" s="22"/>
      <c r="L603" s="22"/>
      <c r="M603" s="22"/>
      <c r="N603" s="18"/>
      <c r="O603" s="18"/>
      <c r="P603" s="22"/>
      <c r="Q603" s="22"/>
      <c r="R603" s="22"/>
      <c r="S603" s="22"/>
      <c r="T603" s="22"/>
      <c r="U603" s="22"/>
      <c r="V603" s="6"/>
      <c r="W603" s="6"/>
      <c r="X603" s="19"/>
      <c r="Y603" s="6"/>
      <c r="Z603" s="6"/>
      <c r="AA603" s="18">
        <v>276.73041999999998</v>
      </c>
      <c r="AB603" s="18">
        <v>276.73041999999998</v>
      </c>
      <c r="AC603" s="18">
        <v>276.73041999999998</v>
      </c>
      <c r="AD603" s="6"/>
      <c r="AE603" s="6"/>
      <c r="AF603" s="18"/>
      <c r="AG603" s="18"/>
      <c r="AH603" s="18"/>
      <c r="AI603" s="18"/>
      <c r="AK603" s="18"/>
      <c r="AL603" s="18"/>
      <c r="AM603" s="40" t="s">
        <v>118</v>
      </c>
      <c r="AN603" s="18"/>
      <c r="AO603" s="6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6"/>
      <c r="BK603" s="6"/>
      <c r="BL603" s="6" t="s">
        <v>59</v>
      </c>
      <c r="BO603" s="15"/>
    </row>
    <row r="604" spans="1:67" ht="13.25" customHeight="1">
      <c r="A604" s="6" t="s">
        <v>132</v>
      </c>
      <c r="B604" s="6" t="s">
        <v>139</v>
      </c>
      <c r="C604" s="33">
        <v>30865.663605593763</v>
      </c>
      <c r="D604" s="18">
        <v>11.046542829918785</v>
      </c>
      <c r="E604" s="6"/>
      <c r="F604" s="6"/>
      <c r="G604" s="22"/>
      <c r="H604" s="22"/>
      <c r="I604" s="22"/>
      <c r="J604" s="22"/>
      <c r="K604" s="22"/>
      <c r="L604" s="22"/>
      <c r="M604" s="22"/>
      <c r="N604" s="18"/>
      <c r="O604" s="18"/>
      <c r="P604" s="22"/>
      <c r="Q604" s="22"/>
      <c r="R604" s="22"/>
      <c r="S604" s="22"/>
      <c r="T604" s="22"/>
      <c r="U604" s="22"/>
      <c r="V604" s="6"/>
      <c r="W604" s="6"/>
      <c r="X604" s="19"/>
      <c r="Y604" s="6"/>
      <c r="Z604" s="6"/>
      <c r="AA604" s="18">
        <v>264.11666600000001</v>
      </c>
      <c r="AB604" s="18">
        <v>264.11666600000001</v>
      </c>
      <c r="AC604" s="18">
        <v>264.11666600000001</v>
      </c>
      <c r="AD604" s="6"/>
      <c r="AE604" s="6"/>
      <c r="AF604" s="18"/>
      <c r="AG604" s="18"/>
      <c r="AH604" s="18"/>
      <c r="AI604" s="18"/>
      <c r="AK604" s="18"/>
      <c r="AL604" s="18"/>
      <c r="AM604" s="40" t="s">
        <v>118</v>
      </c>
      <c r="AN604" s="18"/>
      <c r="AO604" s="6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6"/>
      <c r="BK604" s="6"/>
      <c r="BL604" s="6" t="s">
        <v>59</v>
      </c>
      <c r="BO604" s="15"/>
    </row>
    <row r="605" spans="1:67" ht="13.25" customHeight="1">
      <c r="A605" s="6" t="s">
        <v>132</v>
      </c>
      <c r="B605" s="6" t="s">
        <v>139</v>
      </c>
      <c r="C605" s="33">
        <v>30878.477345518848</v>
      </c>
      <c r="D605" s="18">
        <v>11.081625687061482</v>
      </c>
      <c r="E605" s="6"/>
      <c r="F605" s="6"/>
      <c r="G605" s="22"/>
      <c r="H605" s="22"/>
      <c r="I605" s="22"/>
      <c r="J605" s="22"/>
      <c r="K605" s="22"/>
      <c r="L605" s="22"/>
      <c r="M605" s="22"/>
      <c r="N605" s="18"/>
      <c r="O605" s="18"/>
      <c r="P605" s="22"/>
      <c r="Q605" s="22"/>
      <c r="R605" s="22"/>
      <c r="S605" s="22"/>
      <c r="T605" s="22"/>
      <c r="U605" s="22"/>
      <c r="V605" s="6"/>
      <c r="W605" s="6"/>
      <c r="X605" s="19"/>
      <c r="Y605" s="6"/>
      <c r="Z605" s="6"/>
      <c r="AA605" s="18">
        <v>262.65930000000003</v>
      </c>
      <c r="AB605" s="18">
        <v>262.65930000000003</v>
      </c>
      <c r="AC605" s="18">
        <v>262.65930000000003</v>
      </c>
      <c r="AD605" s="6"/>
      <c r="AE605" s="6"/>
      <c r="AF605" s="18"/>
      <c r="AG605" s="18"/>
      <c r="AH605" s="18"/>
      <c r="AI605" s="18"/>
      <c r="AK605" s="18"/>
      <c r="AL605" s="18"/>
      <c r="AM605" s="40" t="s">
        <v>118</v>
      </c>
      <c r="AN605" s="18"/>
      <c r="AO605" s="6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6"/>
      <c r="BK605" s="6"/>
      <c r="BL605" s="6" t="s">
        <v>59</v>
      </c>
      <c r="BO605" s="15"/>
    </row>
    <row r="606" spans="1:67">
      <c r="A606" s="6" t="s">
        <v>132</v>
      </c>
      <c r="B606" s="6" t="s">
        <v>139</v>
      </c>
      <c r="C606" s="33">
        <v>30904.104825369101</v>
      </c>
      <c r="D606" s="18">
        <v>11.151791401347108</v>
      </c>
      <c r="E606" s="6"/>
      <c r="F606" s="6"/>
      <c r="G606" s="22"/>
      <c r="H606" s="22"/>
      <c r="I606" s="22"/>
      <c r="J606" s="22"/>
      <c r="K606" s="22"/>
      <c r="L606" s="22"/>
      <c r="M606" s="22"/>
      <c r="N606" s="18"/>
      <c r="O606" s="18"/>
      <c r="P606" s="22"/>
      <c r="Q606" s="22"/>
      <c r="R606" s="22"/>
      <c r="S606" s="22"/>
      <c r="T606" s="22"/>
      <c r="U606" s="22"/>
      <c r="V606" s="6"/>
      <c r="W606" s="6"/>
      <c r="X606" s="19"/>
      <c r="Y606" s="6"/>
      <c r="Z606" s="6"/>
      <c r="AA606" s="18">
        <v>300.72670500000004</v>
      </c>
      <c r="AB606" s="18">
        <v>300.72670500000004</v>
      </c>
      <c r="AC606" s="18">
        <v>300.72670500000004</v>
      </c>
      <c r="AD606" s="6"/>
      <c r="AE606" s="6"/>
      <c r="AF606" s="18"/>
      <c r="AG606" s="18"/>
      <c r="AH606" s="18"/>
      <c r="AI606" s="18"/>
      <c r="AK606" s="18"/>
      <c r="AL606" s="18"/>
      <c r="AM606" s="40" t="s">
        <v>118</v>
      </c>
      <c r="AN606" s="18"/>
      <c r="AO606" s="6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6"/>
      <c r="BK606" s="6"/>
      <c r="BL606" s="6" t="s">
        <v>59</v>
      </c>
      <c r="BO606" s="15"/>
    </row>
    <row r="607" spans="1:67" ht="13.25" customHeight="1">
      <c r="A607" s="6" t="s">
        <v>132</v>
      </c>
      <c r="B607" s="6" t="s">
        <v>139</v>
      </c>
      <c r="C607" s="33">
        <v>30908.376072010851</v>
      </c>
      <c r="D607" s="18">
        <v>11.163485687061492</v>
      </c>
      <c r="E607" s="6"/>
      <c r="F607" s="6"/>
      <c r="G607" s="22"/>
      <c r="H607" s="22"/>
      <c r="I607" s="22"/>
      <c r="J607" s="22"/>
      <c r="K607" s="22"/>
      <c r="L607" s="22"/>
      <c r="M607" s="22"/>
      <c r="N607" s="18"/>
      <c r="O607" s="18"/>
      <c r="P607" s="22"/>
      <c r="Q607" s="22"/>
      <c r="R607" s="22"/>
      <c r="S607" s="22"/>
      <c r="T607" s="22"/>
      <c r="U607" s="22"/>
      <c r="V607" s="6"/>
      <c r="W607" s="6"/>
      <c r="X607" s="19"/>
      <c r="Y607" s="6"/>
      <c r="Z607" s="6"/>
      <c r="AA607" s="18">
        <v>314.52142800000001</v>
      </c>
      <c r="AB607" s="18">
        <v>314.52142800000001</v>
      </c>
      <c r="AC607" s="18">
        <v>314.52142800000001</v>
      </c>
      <c r="AD607" s="6"/>
      <c r="AE607" s="6"/>
      <c r="AF607" s="18"/>
      <c r="AG607" s="18"/>
      <c r="AH607" s="18"/>
      <c r="AI607" s="18"/>
      <c r="AK607" s="18"/>
      <c r="AL607" s="18"/>
      <c r="AM607" s="40" t="s">
        <v>118</v>
      </c>
      <c r="AN607" s="18"/>
      <c r="AO607" s="6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6"/>
      <c r="BK607" s="6"/>
      <c r="BL607" s="6" t="s">
        <v>59</v>
      </c>
      <c r="BO607" s="15"/>
    </row>
    <row r="608" spans="1:67">
      <c r="A608" s="6" t="s">
        <v>132</v>
      </c>
      <c r="B608" s="6" t="s">
        <v>139</v>
      </c>
      <c r="C608" s="33">
        <v>30938.274798502851</v>
      </c>
      <c r="D608" s="18">
        <v>11.245345687061491</v>
      </c>
      <c r="E608" s="6"/>
      <c r="F608" s="6"/>
      <c r="G608" s="22"/>
      <c r="H608" s="22"/>
      <c r="I608" s="22"/>
      <c r="J608" s="22"/>
      <c r="K608" s="22"/>
      <c r="L608" s="22"/>
      <c r="M608" s="22"/>
      <c r="N608" s="18"/>
      <c r="O608" s="18"/>
      <c r="P608" s="22"/>
      <c r="Q608" s="22"/>
      <c r="R608" s="22"/>
      <c r="S608" s="22"/>
      <c r="T608" s="22"/>
      <c r="U608" s="22"/>
      <c r="V608" s="6"/>
      <c r="W608" s="6"/>
      <c r="X608" s="19"/>
      <c r="Y608" s="6"/>
      <c r="Z608" s="6"/>
      <c r="AA608" s="18">
        <v>361.18226700000002</v>
      </c>
      <c r="AB608" s="18">
        <v>361.18226700000002</v>
      </c>
      <c r="AC608" s="18">
        <v>361.18226700000002</v>
      </c>
      <c r="AD608" s="6"/>
      <c r="AE608" s="6"/>
      <c r="AF608" s="18"/>
      <c r="AG608" s="18"/>
      <c r="AH608" s="18"/>
      <c r="AI608" s="18"/>
      <c r="AK608" s="18"/>
      <c r="AL608" s="18"/>
      <c r="AM608" s="40" t="s">
        <v>118</v>
      </c>
      <c r="AN608" s="18"/>
      <c r="AO608" s="6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6"/>
      <c r="BK608" s="6"/>
      <c r="BL608" s="6" t="s">
        <v>59</v>
      </c>
      <c r="BO608" s="15"/>
    </row>
    <row r="609" spans="1:67">
      <c r="A609" s="6" t="s">
        <v>132</v>
      </c>
      <c r="B609" s="6" t="s">
        <v>139</v>
      </c>
      <c r="C609" s="33">
        <v>30946.817291786268</v>
      </c>
      <c r="D609" s="18">
        <v>11.268734258490033</v>
      </c>
      <c r="E609" s="6"/>
      <c r="F609" s="6"/>
      <c r="G609" s="22"/>
      <c r="H609" s="22"/>
      <c r="I609" s="22"/>
      <c r="J609" s="22"/>
      <c r="K609" s="22"/>
      <c r="L609" s="22"/>
      <c r="M609" s="22"/>
      <c r="N609" s="18"/>
      <c r="O609" s="18"/>
      <c r="P609" s="22"/>
      <c r="Q609" s="22"/>
      <c r="R609" s="22"/>
      <c r="S609" s="22"/>
      <c r="T609" s="22"/>
      <c r="U609" s="22"/>
      <c r="V609" s="6"/>
      <c r="W609" s="6"/>
      <c r="X609" s="19"/>
      <c r="Y609" s="6"/>
      <c r="Z609" s="6"/>
      <c r="AA609" s="18">
        <v>364.17238000000003</v>
      </c>
      <c r="AB609" s="18">
        <v>364.17238000000003</v>
      </c>
      <c r="AC609" s="18">
        <v>364.17238000000003</v>
      </c>
      <c r="AD609" s="6"/>
      <c r="AE609" s="6"/>
      <c r="AF609" s="18"/>
      <c r="AG609" s="18"/>
      <c r="AH609" s="18"/>
      <c r="AI609" s="18"/>
      <c r="AK609" s="18"/>
      <c r="AL609" s="18"/>
      <c r="AM609" s="40" t="s">
        <v>118</v>
      </c>
      <c r="AN609" s="18"/>
      <c r="AO609" s="6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6"/>
      <c r="BK609" s="6"/>
      <c r="BL609" s="6" t="s">
        <v>59</v>
      </c>
      <c r="BO609" s="15"/>
    </row>
    <row r="610" spans="1:67" ht="13.25" customHeight="1">
      <c r="A610" s="6" t="s">
        <v>132</v>
      </c>
      <c r="B610" s="6" t="s">
        <v>139</v>
      </c>
      <c r="C610" s="33">
        <v>30980.987264920022</v>
      </c>
      <c r="D610" s="18">
        <v>11.362288544204427</v>
      </c>
      <c r="E610" s="6"/>
      <c r="F610" s="6"/>
      <c r="G610" s="22"/>
      <c r="H610" s="22"/>
      <c r="I610" s="22"/>
      <c r="J610" s="22"/>
      <c r="K610" s="22"/>
      <c r="L610" s="22"/>
      <c r="M610" s="22"/>
      <c r="N610" s="18"/>
      <c r="O610" s="18"/>
      <c r="P610" s="22"/>
      <c r="Q610" s="22"/>
      <c r="R610" s="22"/>
      <c r="S610" s="22"/>
      <c r="T610" s="22"/>
      <c r="U610" s="22"/>
      <c r="V610" s="6"/>
      <c r="W610" s="6"/>
      <c r="X610" s="19"/>
      <c r="Y610" s="6"/>
      <c r="Z610" s="6"/>
      <c r="AA610" s="18">
        <v>345.452765</v>
      </c>
      <c r="AB610" s="18">
        <v>345.452765</v>
      </c>
      <c r="AC610" s="18">
        <v>345.452765</v>
      </c>
      <c r="AD610" s="6"/>
      <c r="AE610" s="6"/>
      <c r="AF610" s="18"/>
      <c r="AG610" s="18"/>
      <c r="AH610" s="18"/>
      <c r="AI610" s="18"/>
      <c r="AK610" s="18"/>
      <c r="AL610" s="18"/>
      <c r="AM610" s="40" t="s">
        <v>118</v>
      </c>
      <c r="AN610" s="18"/>
      <c r="AO610" s="6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6"/>
      <c r="BK610" s="6"/>
      <c r="BL610" s="6" t="s">
        <v>59</v>
      </c>
      <c r="BO610" s="15"/>
    </row>
    <row r="611" spans="1:67">
      <c r="A611" s="6" t="s">
        <v>132</v>
      </c>
      <c r="B611" s="6" t="s">
        <v>139</v>
      </c>
      <c r="C611" s="33">
        <v>30985.258511561689</v>
      </c>
      <c r="D611" s="18">
        <v>11.373982829918583</v>
      </c>
      <c r="E611" s="6"/>
      <c r="F611" s="6"/>
      <c r="G611" s="22"/>
      <c r="H611" s="22"/>
      <c r="I611" s="22"/>
      <c r="J611" s="22"/>
      <c r="K611" s="22"/>
      <c r="L611" s="22"/>
      <c r="M611" s="22"/>
      <c r="N611" s="18"/>
      <c r="O611" s="18"/>
      <c r="P611" s="22"/>
      <c r="Q611" s="22"/>
      <c r="R611" s="22"/>
      <c r="S611" s="22"/>
      <c r="T611" s="22"/>
      <c r="U611" s="22"/>
      <c r="V611" s="6"/>
      <c r="W611" s="6"/>
      <c r="X611" s="19"/>
      <c r="Y611" s="6"/>
      <c r="Z611" s="6"/>
      <c r="AA611" s="18">
        <v>342.48777899999999</v>
      </c>
      <c r="AB611" s="18">
        <v>342.48777899999999</v>
      </c>
      <c r="AC611" s="18">
        <v>342.48777899999999</v>
      </c>
      <c r="AD611" s="6"/>
      <c r="AE611" s="6"/>
      <c r="AF611" s="18"/>
      <c r="AG611" s="18"/>
      <c r="AH611" s="18"/>
      <c r="AI611" s="18"/>
      <c r="AK611" s="18"/>
      <c r="AL611" s="18"/>
      <c r="AM611" s="40" t="s">
        <v>118</v>
      </c>
      <c r="AN611" s="18"/>
      <c r="AO611" s="6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6"/>
      <c r="BK611" s="6"/>
      <c r="BL611" s="6" t="s">
        <v>59</v>
      </c>
      <c r="BO611" s="15"/>
    </row>
    <row r="612" spans="1:67">
      <c r="A612" s="6" t="s">
        <v>132</v>
      </c>
      <c r="B612" s="6" t="s">
        <v>139</v>
      </c>
      <c r="C612" s="33">
        <v>31002.343498128608</v>
      </c>
      <c r="D612" s="18">
        <v>11.420759972775894</v>
      </c>
      <c r="E612" s="6"/>
      <c r="F612" s="6"/>
      <c r="G612" s="22"/>
      <c r="H612" s="22"/>
      <c r="I612" s="22"/>
      <c r="J612" s="22"/>
      <c r="K612" s="22"/>
      <c r="L612" s="22"/>
      <c r="M612" s="22"/>
      <c r="N612" s="18"/>
      <c r="O612" s="18"/>
      <c r="P612" s="22"/>
      <c r="Q612" s="22"/>
      <c r="R612" s="22"/>
      <c r="S612" s="22"/>
      <c r="T612" s="22"/>
      <c r="U612" s="22"/>
      <c r="V612" s="6"/>
      <c r="W612" s="6"/>
      <c r="X612" s="19"/>
      <c r="Y612" s="6"/>
      <c r="Z612" s="6"/>
      <c r="AA612" s="18">
        <v>342.53803300000004</v>
      </c>
      <c r="AB612" s="18">
        <v>342.53803300000004</v>
      </c>
      <c r="AC612" s="18">
        <v>342.53803300000004</v>
      </c>
      <c r="AD612" s="6"/>
      <c r="AE612" s="6"/>
      <c r="AF612" s="18"/>
      <c r="AG612" s="18"/>
      <c r="AH612" s="18"/>
      <c r="AI612" s="18"/>
      <c r="AK612" s="18"/>
      <c r="AL612" s="18"/>
      <c r="AM612" s="40" t="s">
        <v>118</v>
      </c>
      <c r="AN612" s="18"/>
      <c r="AO612" s="6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6"/>
      <c r="BK612" s="6"/>
      <c r="BL612" s="6" t="s">
        <v>59</v>
      </c>
      <c r="BO612" s="15"/>
    </row>
    <row r="613" spans="1:67" ht="13.25" customHeight="1">
      <c r="A613" s="6" t="s">
        <v>132</v>
      </c>
      <c r="B613" s="6" t="s">
        <v>139</v>
      </c>
      <c r="C613" s="33">
        <v>31032.242224620528</v>
      </c>
      <c r="D613" s="18">
        <v>11.502619972775674</v>
      </c>
      <c r="E613" s="6"/>
      <c r="F613" s="6"/>
      <c r="G613" s="22"/>
      <c r="H613" s="22"/>
      <c r="I613" s="22"/>
      <c r="J613" s="22"/>
      <c r="K613" s="22"/>
      <c r="L613" s="22"/>
      <c r="M613" s="22"/>
      <c r="N613" s="18"/>
      <c r="O613" s="18"/>
      <c r="P613" s="22"/>
      <c r="Q613" s="22"/>
      <c r="R613" s="22"/>
      <c r="S613" s="22"/>
      <c r="T613" s="22"/>
      <c r="U613" s="22"/>
      <c r="V613" s="6"/>
      <c r="W613" s="6"/>
      <c r="X613" s="19"/>
      <c r="Y613" s="6"/>
      <c r="Z613" s="6"/>
      <c r="AA613" s="18">
        <v>273.13725899999997</v>
      </c>
      <c r="AB613" s="18">
        <v>273.13725899999997</v>
      </c>
      <c r="AC613" s="18">
        <v>273.13725899999997</v>
      </c>
      <c r="AD613" s="6"/>
      <c r="AE613" s="6"/>
      <c r="AF613" s="18"/>
      <c r="AG613" s="18"/>
      <c r="AH613" s="18"/>
      <c r="AI613" s="18"/>
      <c r="AK613" s="18"/>
      <c r="AL613" s="18"/>
      <c r="AM613" s="40" t="s">
        <v>118</v>
      </c>
      <c r="AN613" s="18"/>
      <c r="AO613" s="6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6"/>
      <c r="BK613" s="6"/>
      <c r="BL613" s="6" t="s">
        <v>59</v>
      </c>
      <c r="BO613" s="15"/>
    </row>
    <row r="614" spans="1:67">
      <c r="A614" s="6" t="s">
        <v>132</v>
      </c>
      <c r="B614" s="6" t="s">
        <v>139</v>
      </c>
      <c r="C614" s="33">
        <v>31040.784717903942</v>
      </c>
      <c r="D614" s="18">
        <v>11.526008544204206</v>
      </c>
      <c r="E614" s="6"/>
      <c r="F614" s="6"/>
      <c r="G614" s="22"/>
      <c r="H614" s="22"/>
      <c r="I614" s="22"/>
      <c r="J614" s="22"/>
      <c r="K614" s="22"/>
      <c r="L614" s="22"/>
      <c r="M614" s="22"/>
      <c r="N614" s="18"/>
      <c r="O614" s="18"/>
      <c r="P614" s="22"/>
      <c r="Q614" s="22"/>
      <c r="R614" s="22"/>
      <c r="S614" s="22"/>
      <c r="T614" s="22"/>
      <c r="U614" s="22"/>
      <c r="V614" s="6"/>
      <c r="W614" s="6"/>
      <c r="X614" s="19"/>
      <c r="Y614" s="6"/>
      <c r="Z614" s="6"/>
      <c r="AA614" s="18">
        <v>270.54917799999998</v>
      </c>
      <c r="AB614" s="18">
        <v>270.54917799999998</v>
      </c>
      <c r="AC614" s="18">
        <v>270.54917799999998</v>
      </c>
      <c r="AD614" s="6"/>
      <c r="AE614" s="6"/>
      <c r="AF614" s="18"/>
      <c r="AG614" s="18"/>
      <c r="AH614" s="18"/>
      <c r="AI614" s="18"/>
      <c r="AK614" s="18"/>
      <c r="AL614" s="18"/>
      <c r="AM614" s="40" t="s">
        <v>118</v>
      </c>
      <c r="AN614" s="18"/>
      <c r="AO614" s="6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6"/>
      <c r="BK614" s="6"/>
      <c r="BL614" s="6" t="s">
        <v>59</v>
      </c>
      <c r="BO614" s="15"/>
    </row>
    <row r="615" spans="1:67">
      <c r="A615" s="6" t="s">
        <v>132</v>
      </c>
      <c r="B615" s="6" t="s">
        <v>139</v>
      </c>
      <c r="C615" s="33">
        <v>31074.954691037779</v>
      </c>
      <c r="D615" s="18">
        <v>11.619562829918829</v>
      </c>
      <c r="E615" s="6"/>
      <c r="F615" s="6"/>
      <c r="G615" s="22"/>
      <c r="H615" s="22"/>
      <c r="I615" s="22"/>
      <c r="J615" s="22"/>
      <c r="K615" s="22"/>
      <c r="L615" s="22"/>
      <c r="M615" s="22"/>
      <c r="N615" s="18"/>
      <c r="O615" s="18"/>
      <c r="P615" s="22"/>
      <c r="Q615" s="22"/>
      <c r="R615" s="22"/>
      <c r="S615" s="22"/>
      <c r="T615" s="22"/>
      <c r="U615" s="22"/>
      <c r="V615" s="6"/>
      <c r="W615" s="6"/>
      <c r="X615" s="19"/>
      <c r="Y615" s="6"/>
      <c r="Z615" s="6"/>
      <c r="AA615" s="18">
        <v>247.557973</v>
      </c>
      <c r="AB615" s="18">
        <v>247.557973</v>
      </c>
      <c r="AC615" s="18">
        <v>247.557973</v>
      </c>
      <c r="AD615" s="6"/>
      <c r="AE615" s="6"/>
      <c r="AF615" s="18"/>
      <c r="AG615" s="18"/>
      <c r="AH615" s="18"/>
      <c r="AI615" s="18"/>
      <c r="AK615" s="18"/>
      <c r="AL615" s="18"/>
      <c r="AM615" s="40" t="s">
        <v>118</v>
      </c>
      <c r="AN615" s="18"/>
      <c r="AO615" s="6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6"/>
      <c r="BK615" s="6"/>
      <c r="BL615" s="6" t="s">
        <v>59</v>
      </c>
      <c r="BO615" s="15"/>
    </row>
    <row r="616" spans="1:67" ht="13.25" customHeight="1">
      <c r="A616" s="6" t="s">
        <v>132</v>
      </c>
      <c r="B616" s="6" t="s">
        <v>139</v>
      </c>
      <c r="C616" s="33">
        <v>31092.039677604615</v>
      </c>
      <c r="D616" s="18">
        <v>11.666339972775912</v>
      </c>
      <c r="E616" s="6"/>
      <c r="F616" s="6"/>
      <c r="G616" s="22"/>
      <c r="H616" s="22"/>
      <c r="I616" s="22"/>
      <c r="J616" s="22"/>
      <c r="K616" s="22"/>
      <c r="L616" s="22"/>
      <c r="M616" s="22"/>
      <c r="N616" s="18"/>
      <c r="O616" s="18"/>
      <c r="P616" s="22"/>
      <c r="Q616" s="22"/>
      <c r="R616" s="22"/>
      <c r="S616" s="22"/>
      <c r="T616" s="22"/>
      <c r="U616" s="22"/>
      <c r="V616" s="6"/>
      <c r="W616" s="6"/>
      <c r="X616" s="19"/>
      <c r="Y616" s="6"/>
      <c r="Z616" s="6"/>
      <c r="AA616" s="18">
        <v>242.93460499999998</v>
      </c>
      <c r="AB616" s="18">
        <v>242.93460499999998</v>
      </c>
      <c r="AC616" s="18">
        <v>242.93460499999998</v>
      </c>
      <c r="AD616" s="6"/>
      <c r="AE616" s="6"/>
      <c r="AF616" s="18"/>
      <c r="AG616" s="18"/>
      <c r="AH616" s="18"/>
      <c r="AI616" s="18"/>
      <c r="AK616" s="18"/>
      <c r="AL616" s="18"/>
      <c r="AM616" s="40" t="s">
        <v>118</v>
      </c>
      <c r="AN616" s="18"/>
      <c r="AO616" s="6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6"/>
      <c r="BK616" s="6"/>
      <c r="BL616" s="6" t="s">
        <v>59</v>
      </c>
      <c r="BO616" s="15"/>
    </row>
    <row r="617" spans="1:67">
      <c r="A617" s="6" t="s">
        <v>132</v>
      </c>
      <c r="B617" s="6" t="s">
        <v>139</v>
      </c>
      <c r="C617" s="33">
        <v>31100.582170888032</v>
      </c>
      <c r="D617" s="18">
        <v>11.689728544204453</v>
      </c>
      <c r="E617" s="6"/>
      <c r="F617" s="6"/>
      <c r="G617" s="22"/>
      <c r="H617" s="22"/>
      <c r="I617" s="22"/>
      <c r="J617" s="22"/>
      <c r="K617" s="22"/>
      <c r="L617" s="22"/>
      <c r="M617" s="22"/>
      <c r="N617" s="18"/>
      <c r="O617" s="18"/>
      <c r="P617" s="22"/>
      <c r="Q617" s="22"/>
      <c r="R617" s="22"/>
      <c r="S617" s="22"/>
      <c r="T617" s="22"/>
      <c r="U617" s="22"/>
      <c r="V617" s="6"/>
      <c r="W617" s="6"/>
      <c r="X617" s="19"/>
      <c r="Y617" s="6"/>
      <c r="Z617" s="6"/>
      <c r="AA617" s="18">
        <v>234.59244100000001</v>
      </c>
      <c r="AB617" s="18">
        <v>234.59244100000001</v>
      </c>
      <c r="AC617" s="18">
        <v>234.59244100000001</v>
      </c>
      <c r="AD617" s="6"/>
      <c r="AE617" s="6"/>
      <c r="AF617" s="18"/>
      <c r="AG617" s="18"/>
      <c r="AH617" s="18"/>
      <c r="AI617" s="18"/>
      <c r="AK617" s="18"/>
      <c r="AL617" s="18"/>
      <c r="AM617" s="40" t="s">
        <v>118</v>
      </c>
      <c r="AN617" s="18"/>
      <c r="AO617" s="6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6"/>
      <c r="BK617" s="6"/>
      <c r="BL617" s="6" t="s">
        <v>59</v>
      </c>
      <c r="BO617" s="15"/>
    </row>
    <row r="618" spans="1:67" ht="13.25" customHeight="1">
      <c r="A618" s="6" t="s">
        <v>132</v>
      </c>
      <c r="B618" s="6" t="s">
        <v>139</v>
      </c>
      <c r="C618" s="33">
        <v>31113.395910813117</v>
      </c>
      <c r="D618" s="18">
        <v>11.72481140134715</v>
      </c>
      <c r="E618" s="6"/>
      <c r="F618" s="6"/>
      <c r="G618" s="22"/>
      <c r="H618" s="22"/>
      <c r="I618" s="22"/>
      <c r="J618" s="22"/>
      <c r="K618" s="22"/>
      <c r="L618" s="22"/>
      <c r="M618" s="22"/>
      <c r="N618" s="18"/>
      <c r="O618" s="18"/>
      <c r="P618" s="22"/>
      <c r="Q618" s="22"/>
      <c r="R618" s="22"/>
      <c r="S618" s="22"/>
      <c r="T618" s="22"/>
      <c r="U618" s="22"/>
      <c r="V618" s="6"/>
      <c r="W618" s="6"/>
      <c r="X618" s="19"/>
      <c r="Y618" s="6"/>
      <c r="Z618" s="6"/>
      <c r="AA618" s="18">
        <v>231.82847099999998</v>
      </c>
      <c r="AB618" s="18">
        <v>231.82847099999998</v>
      </c>
      <c r="AC618" s="18">
        <v>231.82847099999998</v>
      </c>
      <c r="AD618" s="6"/>
      <c r="AE618" s="6"/>
      <c r="AF618" s="18"/>
      <c r="AG618" s="18"/>
      <c r="AH618" s="18"/>
      <c r="AI618" s="18"/>
      <c r="AK618" s="18"/>
      <c r="AL618" s="18"/>
      <c r="AM618" s="40" t="s">
        <v>118</v>
      </c>
      <c r="AN618" s="18"/>
      <c r="AO618" s="6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6"/>
      <c r="BK618" s="6"/>
      <c r="BL618" s="6" t="s">
        <v>59</v>
      </c>
      <c r="BO618" s="15"/>
    </row>
    <row r="619" spans="1:67" ht="13.25" customHeight="1">
      <c r="A619" s="6" t="s">
        <v>132</v>
      </c>
      <c r="B619" s="6" t="s">
        <v>139</v>
      </c>
      <c r="C619" s="33">
        <v>31134.752144021699</v>
      </c>
      <c r="D619" s="18">
        <v>11.783282829918608</v>
      </c>
      <c r="E619" s="6"/>
      <c r="F619" s="6"/>
      <c r="G619" s="22"/>
      <c r="H619" s="22"/>
      <c r="I619" s="22"/>
      <c r="J619" s="22"/>
      <c r="K619" s="22"/>
      <c r="L619" s="22"/>
      <c r="M619" s="22"/>
      <c r="N619" s="18"/>
      <c r="O619" s="18"/>
      <c r="P619" s="22"/>
      <c r="Q619" s="22"/>
      <c r="R619" s="22"/>
      <c r="S619" s="22"/>
      <c r="T619" s="22"/>
      <c r="U619" s="22"/>
      <c r="V619" s="6"/>
      <c r="W619" s="6"/>
      <c r="X619" s="19"/>
      <c r="Y619" s="6"/>
      <c r="Z619" s="6"/>
      <c r="AA619" s="18">
        <v>240.271143</v>
      </c>
      <c r="AB619" s="18">
        <v>240.271143</v>
      </c>
      <c r="AC619" s="18">
        <v>240.271143</v>
      </c>
      <c r="AD619" s="6"/>
      <c r="AE619" s="6"/>
      <c r="AF619" s="18"/>
      <c r="AG619" s="18"/>
      <c r="AH619" s="18"/>
      <c r="AI619" s="18"/>
      <c r="AK619" s="18"/>
      <c r="AL619" s="18"/>
      <c r="AM619" s="40" t="s">
        <v>118</v>
      </c>
      <c r="AN619" s="18"/>
      <c r="AO619" s="6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6"/>
      <c r="BK619" s="6"/>
      <c r="BL619" s="6" t="s">
        <v>59</v>
      </c>
      <c r="BO619" s="15"/>
    </row>
    <row r="620" spans="1:67">
      <c r="A620" s="6" t="s">
        <v>132</v>
      </c>
      <c r="B620" s="6" t="s">
        <v>139</v>
      </c>
      <c r="C620" s="33">
        <v>31134.752144021699</v>
      </c>
      <c r="D620" s="18">
        <v>11.783282829918608</v>
      </c>
      <c r="E620" s="6"/>
      <c r="F620" s="6"/>
      <c r="G620" s="22"/>
      <c r="H620" s="22"/>
      <c r="I620" s="22"/>
      <c r="J620" s="22"/>
      <c r="K620" s="22"/>
      <c r="L620" s="22"/>
      <c r="M620" s="22"/>
      <c r="N620" s="18"/>
      <c r="O620" s="18"/>
      <c r="P620" s="22"/>
      <c r="Q620" s="22"/>
      <c r="R620" s="22"/>
      <c r="S620" s="22"/>
      <c r="T620" s="22"/>
      <c r="U620" s="22"/>
      <c r="V620" s="6"/>
      <c r="W620" s="6"/>
      <c r="X620" s="19"/>
      <c r="Y620" s="6"/>
      <c r="Z620" s="6"/>
      <c r="AA620" s="18">
        <v>279.77078700000004</v>
      </c>
      <c r="AB620" s="18">
        <v>279.77078700000004</v>
      </c>
      <c r="AC620" s="18">
        <v>279.77078700000004</v>
      </c>
      <c r="AD620" s="6"/>
      <c r="AE620" s="6"/>
      <c r="AF620" s="18"/>
      <c r="AG620" s="18"/>
      <c r="AH620" s="18"/>
      <c r="AI620" s="18"/>
      <c r="AK620" s="18"/>
      <c r="AL620" s="18"/>
      <c r="AM620" s="40" t="s">
        <v>118</v>
      </c>
      <c r="AN620" s="18"/>
      <c r="AO620" s="6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6"/>
      <c r="BK620" s="6"/>
      <c r="BL620" s="6" t="s">
        <v>59</v>
      </c>
      <c r="BO620" s="15"/>
    </row>
    <row r="621" spans="1:67" ht="13.25" customHeight="1">
      <c r="A621" s="6" t="s">
        <v>132</v>
      </c>
      <c r="B621" s="6" t="s">
        <v>139</v>
      </c>
      <c r="C621" s="33">
        <v>31139.023390663366</v>
      </c>
      <c r="D621" s="18">
        <v>11.794977115632765</v>
      </c>
      <c r="E621" s="6"/>
      <c r="F621" s="6"/>
      <c r="G621" s="22"/>
      <c r="H621" s="22"/>
      <c r="I621" s="22"/>
      <c r="J621" s="22"/>
      <c r="K621" s="22"/>
      <c r="L621" s="22"/>
      <c r="M621" s="22"/>
      <c r="N621" s="18"/>
      <c r="O621" s="18"/>
      <c r="P621" s="22"/>
      <c r="Q621" s="22"/>
      <c r="R621" s="22"/>
      <c r="S621" s="22"/>
      <c r="T621" s="22"/>
      <c r="U621" s="22"/>
      <c r="V621" s="6"/>
      <c r="W621" s="6"/>
      <c r="X621" s="19"/>
      <c r="Y621" s="6"/>
      <c r="Z621" s="6"/>
      <c r="AA621" s="18">
        <v>307.71201100000002</v>
      </c>
      <c r="AB621" s="18">
        <v>307.71201100000002</v>
      </c>
      <c r="AC621" s="18">
        <v>307.71201100000002</v>
      </c>
      <c r="AD621" s="6"/>
      <c r="AE621" s="6"/>
      <c r="AF621" s="18"/>
      <c r="AG621" s="18"/>
      <c r="AH621" s="18"/>
      <c r="AI621" s="18"/>
      <c r="AK621" s="18"/>
      <c r="AL621" s="18"/>
      <c r="AM621" s="40" t="s">
        <v>118</v>
      </c>
      <c r="AN621" s="18"/>
      <c r="AO621" s="6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6"/>
      <c r="BK621" s="6"/>
      <c r="BL621" s="6" t="s">
        <v>59</v>
      </c>
      <c r="BO621" s="15"/>
    </row>
    <row r="622" spans="1:67" ht="13.25" customHeight="1">
      <c r="A622" s="6" t="s">
        <v>132</v>
      </c>
      <c r="B622" s="6" t="s">
        <v>139</v>
      </c>
      <c r="C622" s="33">
        <v>31147.565883946783</v>
      </c>
      <c r="D622" s="18">
        <v>11.818365687061306</v>
      </c>
      <c r="E622" s="6"/>
      <c r="F622" s="6"/>
      <c r="G622" s="22"/>
      <c r="H622" s="22"/>
      <c r="I622" s="22"/>
      <c r="J622" s="22"/>
      <c r="K622" s="22"/>
      <c r="L622" s="22"/>
      <c r="M622" s="22"/>
      <c r="N622" s="18"/>
      <c r="O622" s="18"/>
      <c r="P622" s="22"/>
      <c r="Q622" s="22"/>
      <c r="R622" s="22"/>
      <c r="S622" s="22"/>
      <c r="T622" s="22"/>
      <c r="U622" s="22"/>
      <c r="V622" s="6"/>
      <c r="W622" s="6"/>
      <c r="X622" s="19"/>
      <c r="Y622" s="6"/>
      <c r="Z622" s="6"/>
      <c r="AA622" s="18">
        <v>359.14698000000004</v>
      </c>
      <c r="AB622" s="18">
        <v>359.14698000000004</v>
      </c>
      <c r="AC622" s="18">
        <v>359.14698000000004</v>
      </c>
      <c r="AD622" s="6"/>
      <c r="AE622" s="6"/>
      <c r="AF622" s="18"/>
      <c r="AG622" s="18"/>
      <c r="AH622" s="18"/>
      <c r="AI622" s="18"/>
      <c r="AK622" s="18"/>
      <c r="AL622" s="18"/>
      <c r="AM622" s="40" t="s">
        <v>118</v>
      </c>
      <c r="AN622" s="18"/>
      <c r="AO622" s="6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6"/>
      <c r="BK622" s="6"/>
      <c r="BL622" s="6" t="s">
        <v>59</v>
      </c>
      <c r="BO622" s="15"/>
    </row>
    <row r="623" spans="1:67">
      <c r="A623" s="6" t="s">
        <v>132</v>
      </c>
      <c r="B623" s="6" t="s">
        <v>139</v>
      </c>
      <c r="C623" s="33">
        <v>31168.922117155453</v>
      </c>
      <c r="D623" s="18">
        <v>11.876837115633004</v>
      </c>
      <c r="E623" s="6"/>
      <c r="F623" s="6"/>
      <c r="G623" s="22"/>
      <c r="H623" s="22"/>
      <c r="I623" s="22"/>
      <c r="J623" s="22"/>
      <c r="K623" s="22"/>
      <c r="L623" s="22"/>
      <c r="M623" s="22"/>
      <c r="N623" s="18"/>
      <c r="O623" s="18"/>
      <c r="P623" s="22"/>
      <c r="Q623" s="22"/>
      <c r="R623" s="22"/>
      <c r="S623" s="22"/>
      <c r="T623" s="22"/>
      <c r="U623" s="22"/>
      <c r="V623" s="6"/>
      <c r="W623" s="6"/>
      <c r="X623" s="19"/>
      <c r="Y623" s="6"/>
      <c r="Z623" s="6"/>
      <c r="AA623" s="18">
        <v>304.06859600000001</v>
      </c>
      <c r="AB623" s="18">
        <v>304.06859600000001</v>
      </c>
      <c r="AC623" s="18">
        <v>304.06859600000001</v>
      </c>
      <c r="AD623" s="6"/>
      <c r="AE623" s="6"/>
      <c r="AF623" s="18"/>
      <c r="AG623" s="18"/>
      <c r="AH623" s="18"/>
      <c r="AI623" s="18"/>
      <c r="AK623" s="18"/>
      <c r="AL623" s="18"/>
      <c r="AM623" s="40" t="s">
        <v>118</v>
      </c>
      <c r="AN623" s="18"/>
      <c r="AO623" s="6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6"/>
      <c r="BK623" s="6"/>
      <c r="BL623" s="6" t="s">
        <v>59</v>
      </c>
      <c r="BO623" s="15"/>
    </row>
    <row r="624" spans="1:67">
      <c r="A624" s="6" t="s">
        <v>132</v>
      </c>
      <c r="B624" s="6" t="s">
        <v>139</v>
      </c>
      <c r="C624" s="33">
        <v>31190.278350364038</v>
      </c>
      <c r="D624" s="18">
        <v>11.935308544204471</v>
      </c>
      <c r="E624" s="6"/>
      <c r="F624" s="6"/>
      <c r="G624" s="22"/>
      <c r="H624" s="22"/>
      <c r="I624" s="22"/>
      <c r="J624" s="22"/>
      <c r="K624" s="22"/>
      <c r="L624" s="22"/>
      <c r="M624" s="22"/>
      <c r="N624" s="18"/>
      <c r="O624" s="18"/>
      <c r="P624" s="22"/>
      <c r="Q624" s="22"/>
      <c r="R624" s="22"/>
      <c r="S624" s="22"/>
      <c r="T624" s="22"/>
      <c r="U624" s="22"/>
      <c r="V624" s="6"/>
      <c r="W624" s="6"/>
      <c r="X624" s="19"/>
      <c r="Y624" s="6"/>
      <c r="Z624" s="6"/>
      <c r="AA624" s="18">
        <v>297.05816300000004</v>
      </c>
      <c r="AB624" s="18">
        <v>297.05816300000004</v>
      </c>
      <c r="AC624" s="18">
        <v>297.05816300000004</v>
      </c>
      <c r="AD624" s="6"/>
      <c r="AE624" s="6"/>
      <c r="AF624" s="18"/>
      <c r="AG624" s="18"/>
      <c r="AH624" s="18"/>
      <c r="AI624" s="18"/>
      <c r="AK624" s="18"/>
      <c r="AL624" s="18"/>
      <c r="AM624" s="40" t="s">
        <v>118</v>
      </c>
      <c r="AN624" s="18"/>
      <c r="AO624" s="6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6"/>
      <c r="BK624" s="6"/>
      <c r="BL624" s="6" t="s">
        <v>59</v>
      </c>
      <c r="BO624" s="15"/>
    </row>
    <row r="625" spans="1:67" ht="13.25" customHeight="1">
      <c r="A625" s="6" t="s">
        <v>132</v>
      </c>
      <c r="B625" s="6" t="s">
        <v>139</v>
      </c>
      <c r="C625" s="33">
        <v>31203.092090289123</v>
      </c>
      <c r="D625" s="18">
        <v>11.970391401347168</v>
      </c>
      <c r="E625" s="6"/>
      <c r="F625" s="6"/>
      <c r="G625" s="22"/>
      <c r="H625" s="22"/>
      <c r="I625" s="22"/>
      <c r="J625" s="22"/>
      <c r="K625" s="22"/>
      <c r="L625" s="22"/>
      <c r="M625" s="22"/>
      <c r="N625" s="18"/>
      <c r="O625" s="18"/>
      <c r="P625" s="22"/>
      <c r="Q625" s="22"/>
      <c r="R625" s="22"/>
      <c r="S625" s="22"/>
      <c r="T625" s="22"/>
      <c r="U625" s="22"/>
      <c r="V625" s="6"/>
      <c r="W625" s="6"/>
      <c r="X625" s="19"/>
      <c r="Y625" s="6"/>
      <c r="Z625" s="6"/>
      <c r="AA625" s="18">
        <v>297.63608399999998</v>
      </c>
      <c r="AB625" s="18">
        <v>297.63608399999998</v>
      </c>
      <c r="AC625" s="18">
        <v>297.63608399999998</v>
      </c>
      <c r="AD625" s="6"/>
      <c r="AE625" s="6"/>
      <c r="AF625" s="18"/>
      <c r="AG625" s="18"/>
      <c r="AH625" s="18"/>
      <c r="AI625" s="18"/>
      <c r="AK625" s="18"/>
      <c r="AL625" s="18"/>
      <c r="AM625" s="40" t="s">
        <v>118</v>
      </c>
      <c r="AN625" s="18"/>
      <c r="AO625" s="6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6"/>
      <c r="BK625" s="6"/>
      <c r="BL625" s="6" t="s">
        <v>59</v>
      </c>
      <c r="BO625" s="15"/>
    </row>
    <row r="626" spans="1:67">
      <c r="A626" s="6" t="s">
        <v>132</v>
      </c>
      <c r="B626" s="6" t="s">
        <v>139</v>
      </c>
      <c r="C626" s="33">
        <v>31215.905830214291</v>
      </c>
      <c r="D626" s="18">
        <v>12.005474258490095</v>
      </c>
      <c r="E626" s="6"/>
      <c r="F626" s="6"/>
      <c r="G626" s="22"/>
      <c r="H626" s="22"/>
      <c r="I626" s="22"/>
      <c r="J626" s="22"/>
      <c r="K626" s="22"/>
      <c r="L626" s="22"/>
      <c r="M626" s="22"/>
      <c r="N626" s="18"/>
      <c r="O626" s="18"/>
      <c r="P626" s="22"/>
      <c r="Q626" s="22"/>
      <c r="R626" s="22"/>
      <c r="S626" s="22"/>
      <c r="T626" s="22"/>
      <c r="U626" s="22"/>
      <c r="V626" s="6"/>
      <c r="W626" s="6"/>
      <c r="X626" s="19"/>
      <c r="Y626" s="6"/>
      <c r="Z626" s="6"/>
      <c r="AA626" s="18">
        <v>288.54011000000003</v>
      </c>
      <c r="AB626" s="18">
        <v>288.54011000000003</v>
      </c>
      <c r="AC626" s="18">
        <v>288.54011000000003</v>
      </c>
      <c r="AD626" s="6"/>
      <c r="AE626" s="6"/>
      <c r="AF626" s="18"/>
      <c r="AG626" s="18"/>
      <c r="AH626" s="18"/>
      <c r="AI626" s="18"/>
      <c r="AK626" s="18"/>
      <c r="AL626" s="18"/>
      <c r="AM626" s="40" t="s">
        <v>118</v>
      </c>
      <c r="AN626" s="18"/>
      <c r="AO626" s="6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6"/>
      <c r="BK626" s="6"/>
      <c r="BL626" s="6" t="s">
        <v>59</v>
      </c>
      <c r="BO626" s="15"/>
    </row>
    <row r="627" spans="1:67">
      <c r="A627" s="6" t="s">
        <v>132</v>
      </c>
      <c r="B627" s="6" t="s">
        <v>139</v>
      </c>
      <c r="C627" s="33">
        <v>31232.990816781123</v>
      </c>
      <c r="D627" s="18">
        <v>12.052251401347167</v>
      </c>
      <c r="E627" s="6"/>
      <c r="F627" s="6"/>
      <c r="G627" s="22"/>
      <c r="H627" s="22"/>
      <c r="I627" s="22"/>
      <c r="J627" s="22"/>
      <c r="K627" s="22"/>
      <c r="L627" s="22"/>
      <c r="M627" s="22"/>
      <c r="N627" s="18"/>
      <c r="O627" s="18"/>
      <c r="P627" s="22"/>
      <c r="Q627" s="22"/>
      <c r="R627" s="22"/>
      <c r="S627" s="22"/>
      <c r="T627" s="22"/>
      <c r="U627" s="22"/>
      <c r="V627" s="6"/>
      <c r="W627" s="6"/>
      <c r="X627" s="19"/>
      <c r="Y627" s="6"/>
      <c r="Z627" s="6"/>
      <c r="AA627" s="18">
        <v>281.32866100000001</v>
      </c>
      <c r="AB627" s="18">
        <v>281.32866100000001</v>
      </c>
      <c r="AC627" s="18">
        <v>281.32866100000001</v>
      </c>
      <c r="AD627" s="6"/>
      <c r="AE627" s="6"/>
      <c r="AF627" s="18"/>
      <c r="AG627" s="18"/>
      <c r="AH627" s="18"/>
      <c r="AI627" s="18"/>
      <c r="AK627" s="18"/>
      <c r="AL627" s="18"/>
      <c r="AM627" s="40" t="s">
        <v>118</v>
      </c>
      <c r="AN627" s="18"/>
      <c r="AO627" s="6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6"/>
      <c r="BK627" s="6"/>
      <c r="BL627" s="6" t="s">
        <v>59</v>
      </c>
      <c r="BO627" s="15"/>
    </row>
    <row r="628" spans="1:67" ht="13.25" customHeight="1">
      <c r="A628" s="6" t="s">
        <v>132</v>
      </c>
      <c r="B628" s="6" t="s">
        <v>139</v>
      </c>
      <c r="C628" s="33">
        <v>31245.804556706291</v>
      </c>
      <c r="D628" s="18">
        <v>12.087334258490094</v>
      </c>
      <c r="E628" s="6"/>
      <c r="F628" s="6"/>
      <c r="G628" s="22"/>
      <c r="H628" s="22"/>
      <c r="I628" s="22"/>
      <c r="J628" s="22"/>
      <c r="K628" s="22"/>
      <c r="L628" s="22"/>
      <c r="M628" s="22"/>
      <c r="N628" s="18"/>
      <c r="O628" s="18"/>
      <c r="P628" s="22"/>
      <c r="Q628" s="22"/>
      <c r="R628" s="22"/>
      <c r="S628" s="22"/>
      <c r="T628" s="22"/>
      <c r="U628" s="22"/>
      <c r="V628" s="6"/>
      <c r="W628" s="6"/>
      <c r="X628" s="19"/>
      <c r="Y628" s="6"/>
      <c r="Z628" s="6"/>
      <c r="AA628" s="18">
        <v>268.13698599999998</v>
      </c>
      <c r="AB628" s="18">
        <v>268.13698599999998</v>
      </c>
      <c r="AC628" s="18">
        <v>268.13698599999998</v>
      </c>
      <c r="AD628" s="6"/>
      <c r="AE628" s="6"/>
      <c r="AF628" s="18"/>
      <c r="AG628" s="18"/>
      <c r="AH628" s="18"/>
      <c r="AI628" s="18"/>
      <c r="AK628" s="18"/>
      <c r="AL628" s="18"/>
      <c r="AM628" s="40" t="s">
        <v>118</v>
      </c>
      <c r="AN628" s="18"/>
      <c r="AO628" s="6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6"/>
      <c r="BK628" s="6"/>
      <c r="BL628" s="6" t="s">
        <v>59</v>
      </c>
      <c r="BO628" s="15"/>
    </row>
    <row r="629" spans="1:67">
      <c r="A629" s="6" t="s">
        <v>132</v>
      </c>
      <c r="B629" s="6" t="s">
        <v>139</v>
      </c>
      <c r="C629" s="33">
        <v>31258.618296631375</v>
      </c>
      <c r="D629" s="18">
        <v>12.122417115632791</v>
      </c>
      <c r="E629" s="6"/>
      <c r="F629" s="6"/>
      <c r="G629" s="22"/>
      <c r="H629" s="22"/>
      <c r="I629" s="22"/>
      <c r="J629" s="22"/>
      <c r="K629" s="22"/>
      <c r="L629" s="22"/>
      <c r="M629" s="22"/>
      <c r="N629" s="18"/>
      <c r="O629" s="18"/>
      <c r="P629" s="22"/>
      <c r="Q629" s="22"/>
      <c r="R629" s="22"/>
      <c r="S629" s="22"/>
      <c r="T629" s="22"/>
      <c r="U629" s="22"/>
      <c r="V629" s="6"/>
      <c r="W629" s="6"/>
      <c r="X629" s="19"/>
      <c r="Y629" s="6"/>
      <c r="Z629" s="6"/>
      <c r="AA629" s="18">
        <v>276.37864200000001</v>
      </c>
      <c r="AB629" s="18">
        <v>276.37864200000001</v>
      </c>
      <c r="AC629" s="18">
        <v>276.37864200000001</v>
      </c>
      <c r="AD629" s="6"/>
      <c r="AE629" s="6"/>
      <c r="AF629" s="18"/>
      <c r="AG629" s="18"/>
      <c r="AH629" s="18"/>
      <c r="AI629" s="18"/>
      <c r="AK629" s="18"/>
      <c r="AL629" s="18"/>
      <c r="AM629" s="40" t="s">
        <v>118</v>
      </c>
      <c r="AN629" s="18"/>
      <c r="AO629" s="6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6"/>
      <c r="BK629" s="6"/>
      <c r="BL629" s="6" t="s">
        <v>59</v>
      </c>
      <c r="BO629" s="15"/>
    </row>
    <row r="630" spans="1:67">
      <c r="A630" s="6" t="s">
        <v>132</v>
      </c>
      <c r="B630" s="6" t="s">
        <v>139</v>
      </c>
      <c r="C630" s="33">
        <v>31271.432036556627</v>
      </c>
      <c r="D630" s="18">
        <v>12.157499972775947</v>
      </c>
      <c r="E630" s="6"/>
      <c r="F630" s="6"/>
      <c r="G630" s="22"/>
      <c r="H630" s="22"/>
      <c r="I630" s="22"/>
      <c r="J630" s="22"/>
      <c r="K630" s="22"/>
      <c r="L630" s="22"/>
      <c r="M630" s="22"/>
      <c r="N630" s="18"/>
      <c r="O630" s="18"/>
      <c r="P630" s="22"/>
      <c r="Q630" s="22"/>
      <c r="R630" s="22"/>
      <c r="S630" s="22"/>
      <c r="T630" s="22"/>
      <c r="U630" s="22"/>
      <c r="V630" s="6"/>
      <c r="W630" s="6"/>
      <c r="X630" s="19"/>
      <c r="Y630" s="6"/>
      <c r="Z630" s="6"/>
      <c r="AA630" s="18">
        <v>272.68497300000001</v>
      </c>
      <c r="AB630" s="18">
        <v>272.68497300000001</v>
      </c>
      <c r="AC630" s="18">
        <v>272.68497300000001</v>
      </c>
      <c r="AD630" s="6"/>
      <c r="AE630" s="6"/>
      <c r="AF630" s="18"/>
      <c r="AG630" s="18"/>
      <c r="AH630" s="18"/>
      <c r="AI630" s="18"/>
      <c r="AK630" s="18"/>
      <c r="AL630" s="18"/>
      <c r="AM630" s="40" t="s">
        <v>118</v>
      </c>
      <c r="AN630" s="18"/>
      <c r="AO630" s="6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6"/>
      <c r="BK630" s="6"/>
      <c r="BL630" s="6" t="s">
        <v>59</v>
      </c>
      <c r="BO630" s="15"/>
    </row>
    <row r="631" spans="1:67" ht="13.25" customHeight="1">
      <c r="A631" s="6" t="s">
        <v>132</v>
      </c>
      <c r="B631" s="6" t="s">
        <v>139</v>
      </c>
      <c r="C631" s="33">
        <v>31297.05951640688</v>
      </c>
      <c r="D631" s="18">
        <v>12.22766568706157</v>
      </c>
      <c r="E631" s="6"/>
      <c r="F631" s="6"/>
      <c r="G631" s="22"/>
      <c r="H631" s="22"/>
      <c r="I631" s="22"/>
      <c r="J631" s="22"/>
      <c r="K631" s="22"/>
      <c r="L631" s="22"/>
      <c r="M631" s="22"/>
      <c r="N631" s="18"/>
      <c r="O631" s="18"/>
      <c r="P631" s="22"/>
      <c r="Q631" s="22"/>
      <c r="R631" s="22"/>
      <c r="S631" s="22"/>
      <c r="T631" s="22"/>
      <c r="U631" s="22"/>
      <c r="V631" s="6"/>
      <c r="W631" s="6"/>
      <c r="X631" s="19"/>
      <c r="Y631" s="6"/>
      <c r="Z631" s="6"/>
      <c r="AA631" s="18">
        <v>314.84807899999998</v>
      </c>
      <c r="AB631" s="18">
        <v>314.84807899999998</v>
      </c>
      <c r="AC631" s="18">
        <v>314.84807899999998</v>
      </c>
      <c r="AD631" s="6"/>
      <c r="AE631" s="6"/>
      <c r="AF631" s="18"/>
      <c r="AG631" s="18"/>
      <c r="AH631" s="18"/>
      <c r="AI631" s="18"/>
      <c r="AK631" s="18"/>
      <c r="AL631" s="18"/>
      <c r="AM631" s="40" t="s">
        <v>118</v>
      </c>
      <c r="AN631" s="18"/>
      <c r="AO631" s="6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6"/>
      <c r="BK631" s="6"/>
      <c r="BL631" s="6" t="s">
        <v>59</v>
      </c>
      <c r="BO631" s="15"/>
    </row>
    <row r="632" spans="1:67">
      <c r="A632" s="6" t="s">
        <v>132</v>
      </c>
      <c r="B632" s="6" t="s">
        <v>139</v>
      </c>
      <c r="C632" s="33">
        <v>31305.602009690298</v>
      </c>
      <c r="D632" s="18">
        <v>12.251054258490113</v>
      </c>
      <c r="E632" s="6"/>
      <c r="F632" s="6"/>
      <c r="G632" s="22"/>
      <c r="H632" s="22"/>
      <c r="I632" s="22"/>
      <c r="J632" s="22"/>
      <c r="K632" s="22"/>
      <c r="L632" s="22"/>
      <c r="M632" s="22"/>
      <c r="N632" s="18"/>
      <c r="O632" s="18"/>
      <c r="P632" s="22"/>
      <c r="Q632" s="22"/>
      <c r="R632" s="22"/>
      <c r="S632" s="22"/>
      <c r="T632" s="22"/>
      <c r="U632" s="22"/>
      <c r="V632" s="6"/>
      <c r="W632" s="6"/>
      <c r="X632" s="19"/>
      <c r="Y632" s="6"/>
      <c r="Z632" s="6"/>
      <c r="AA632" s="18">
        <v>322.13490899999999</v>
      </c>
      <c r="AB632" s="18">
        <v>322.13490899999999</v>
      </c>
      <c r="AC632" s="18">
        <v>322.13490899999999</v>
      </c>
      <c r="AD632" s="6"/>
      <c r="AE632" s="6"/>
      <c r="AF632" s="18"/>
      <c r="AG632" s="18"/>
      <c r="AH632" s="18"/>
      <c r="AI632" s="18"/>
      <c r="AK632" s="18"/>
      <c r="AL632" s="18"/>
      <c r="AM632" s="40" t="s">
        <v>118</v>
      </c>
      <c r="AN632" s="18"/>
      <c r="AO632" s="6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6"/>
      <c r="BK632" s="6"/>
      <c r="BL632" s="6" t="s">
        <v>59</v>
      </c>
      <c r="BO632" s="15"/>
    </row>
    <row r="633" spans="1:67">
      <c r="A633" s="6" t="s">
        <v>132</v>
      </c>
      <c r="B633" s="6" t="s">
        <v>139</v>
      </c>
      <c r="C633" s="33">
        <v>31318.415749615462</v>
      </c>
      <c r="D633" s="18">
        <v>12.286137115633029</v>
      </c>
      <c r="E633" s="6"/>
      <c r="F633" s="6"/>
      <c r="G633" s="22"/>
      <c r="H633" s="22"/>
      <c r="I633" s="22"/>
      <c r="J633" s="22"/>
      <c r="K633" s="22"/>
      <c r="L633" s="22"/>
      <c r="M633" s="22"/>
      <c r="N633" s="18"/>
      <c r="O633" s="18"/>
      <c r="P633" s="22"/>
      <c r="Q633" s="22"/>
      <c r="R633" s="22"/>
      <c r="S633" s="22"/>
      <c r="T633" s="22"/>
      <c r="U633" s="22"/>
      <c r="V633" s="6"/>
      <c r="W633" s="6"/>
      <c r="X633" s="19"/>
      <c r="Y633" s="6"/>
      <c r="Z633" s="6"/>
      <c r="AA633" s="18">
        <v>321.60724199999999</v>
      </c>
      <c r="AB633" s="18">
        <v>321.60724199999999</v>
      </c>
      <c r="AC633" s="18">
        <v>321.60724199999999</v>
      </c>
      <c r="AD633" s="6"/>
      <c r="AE633" s="6"/>
      <c r="AF633" s="18"/>
      <c r="AG633" s="18"/>
      <c r="AH633" s="18"/>
      <c r="AI633" s="18"/>
      <c r="AK633" s="18"/>
      <c r="AL633" s="18"/>
      <c r="AM633" s="40" t="s">
        <v>118</v>
      </c>
      <c r="AN633" s="18"/>
      <c r="AO633" s="6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6"/>
      <c r="BK633" s="6"/>
      <c r="BL633" s="6" t="s">
        <v>59</v>
      </c>
      <c r="BO633" s="15"/>
    </row>
    <row r="634" spans="1:67" ht="13.25" customHeight="1">
      <c r="A634" s="6" t="s">
        <v>132</v>
      </c>
      <c r="B634" s="6" t="s">
        <v>139</v>
      </c>
      <c r="C634" s="33">
        <v>31326.95824289888</v>
      </c>
      <c r="D634" s="18">
        <v>12.309525687061569</v>
      </c>
      <c r="E634" s="6"/>
      <c r="F634" s="6"/>
      <c r="G634" s="22"/>
      <c r="H634" s="22"/>
      <c r="I634" s="22"/>
      <c r="J634" s="22"/>
      <c r="K634" s="22"/>
      <c r="L634" s="22"/>
      <c r="M634" s="22"/>
      <c r="N634" s="18"/>
      <c r="O634" s="18"/>
      <c r="P634" s="22"/>
      <c r="Q634" s="22"/>
      <c r="R634" s="22"/>
      <c r="S634" s="22"/>
      <c r="T634" s="22"/>
      <c r="U634" s="22"/>
      <c r="V634" s="6"/>
      <c r="W634" s="6"/>
      <c r="X634" s="19"/>
      <c r="Y634" s="6"/>
      <c r="Z634" s="6"/>
      <c r="AA634" s="18">
        <v>340.62838099999999</v>
      </c>
      <c r="AB634" s="18">
        <v>340.62838099999999</v>
      </c>
      <c r="AC634" s="18">
        <v>340.62838099999999</v>
      </c>
      <c r="AD634" s="6"/>
      <c r="AE634" s="6"/>
      <c r="AF634" s="18"/>
      <c r="AG634" s="18"/>
      <c r="AH634" s="18"/>
      <c r="AI634" s="18"/>
      <c r="AK634" s="18"/>
      <c r="AL634" s="18"/>
      <c r="AM634" s="40" t="s">
        <v>118</v>
      </c>
      <c r="AN634" s="18"/>
      <c r="AO634" s="6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6"/>
      <c r="BK634" s="6"/>
      <c r="BL634" s="6" t="s">
        <v>59</v>
      </c>
      <c r="BO634" s="15"/>
    </row>
    <row r="635" spans="1:67" ht="13.25" customHeight="1">
      <c r="A635" s="6" t="s">
        <v>132</v>
      </c>
      <c r="B635" s="6" t="s">
        <v>139</v>
      </c>
      <c r="C635" s="33">
        <v>31344.043229465715</v>
      </c>
      <c r="D635" s="18">
        <v>12.356302829918652</v>
      </c>
      <c r="E635" s="6"/>
      <c r="F635" s="6"/>
      <c r="G635" s="22"/>
      <c r="H635" s="22"/>
      <c r="I635" s="22"/>
      <c r="J635" s="22"/>
      <c r="K635" s="22"/>
      <c r="L635" s="22"/>
      <c r="M635" s="22"/>
      <c r="N635" s="18"/>
      <c r="O635" s="18"/>
      <c r="P635" s="22"/>
      <c r="Q635" s="22"/>
      <c r="R635" s="22"/>
      <c r="S635" s="22"/>
      <c r="T635" s="22"/>
      <c r="U635" s="22"/>
      <c r="V635" s="6"/>
      <c r="W635" s="6"/>
      <c r="X635" s="19"/>
      <c r="Y635" s="6"/>
      <c r="Z635" s="6"/>
      <c r="AA635" s="18">
        <v>327.28594399999997</v>
      </c>
      <c r="AB635" s="18">
        <v>327.28594399999997</v>
      </c>
      <c r="AC635" s="18">
        <v>327.28594399999997</v>
      </c>
      <c r="AD635" s="6"/>
      <c r="AE635" s="6"/>
      <c r="AF635" s="18"/>
      <c r="AG635" s="18"/>
      <c r="AH635" s="18"/>
      <c r="AI635" s="18"/>
      <c r="AK635" s="18"/>
      <c r="AL635" s="18"/>
      <c r="AM635" s="40" t="s">
        <v>118</v>
      </c>
      <c r="AN635" s="18"/>
      <c r="AO635" s="6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6"/>
      <c r="BK635" s="6"/>
      <c r="BL635" s="6" t="s">
        <v>59</v>
      </c>
      <c r="BO635" s="15"/>
    </row>
    <row r="636" spans="1:67" ht="13.25" customHeight="1">
      <c r="A636" s="6" t="s">
        <v>132</v>
      </c>
      <c r="B636" s="6" t="s">
        <v>139</v>
      </c>
      <c r="C636" s="33">
        <v>31352.585722749132</v>
      </c>
      <c r="D636" s="18">
        <v>12.379691401347195</v>
      </c>
      <c r="E636" s="6"/>
      <c r="F636" s="6"/>
      <c r="G636" s="22"/>
      <c r="H636" s="22"/>
      <c r="I636" s="22"/>
      <c r="J636" s="22"/>
      <c r="K636" s="22"/>
      <c r="L636" s="22"/>
      <c r="M636" s="22"/>
      <c r="N636" s="18"/>
      <c r="O636" s="18"/>
      <c r="P636" s="22"/>
      <c r="Q636" s="22"/>
      <c r="R636" s="22"/>
      <c r="S636" s="22"/>
      <c r="T636" s="22"/>
      <c r="U636" s="22"/>
      <c r="V636" s="6"/>
      <c r="W636" s="6"/>
      <c r="X636" s="19"/>
      <c r="Y636" s="6"/>
      <c r="Z636" s="6"/>
      <c r="AA636" s="18">
        <v>328.793564</v>
      </c>
      <c r="AB636" s="18">
        <v>328.793564</v>
      </c>
      <c r="AC636" s="18">
        <v>328.793564</v>
      </c>
      <c r="AD636" s="6"/>
      <c r="AE636" s="6"/>
      <c r="AF636" s="18"/>
      <c r="AG636" s="18"/>
      <c r="AH636" s="18"/>
      <c r="AI636" s="18"/>
      <c r="AK636" s="18"/>
      <c r="AL636" s="18"/>
      <c r="AM636" s="40" t="s">
        <v>118</v>
      </c>
      <c r="AN636" s="18"/>
      <c r="AO636" s="6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6"/>
      <c r="BK636" s="6"/>
      <c r="BL636" s="6" t="s">
        <v>59</v>
      </c>
      <c r="BO636" s="15"/>
    </row>
    <row r="637" spans="1:67" ht="13.25" customHeight="1">
      <c r="A637" s="6" t="s">
        <v>132</v>
      </c>
      <c r="B637" s="6" t="s">
        <v>139</v>
      </c>
      <c r="C637" s="33">
        <v>31369.670709315968</v>
      </c>
      <c r="D637" s="18">
        <v>12.426468544204276</v>
      </c>
      <c r="E637" s="6"/>
      <c r="F637" s="6"/>
      <c r="G637" s="22"/>
      <c r="H637" s="22"/>
      <c r="I637" s="22"/>
      <c r="J637" s="22"/>
      <c r="K637" s="22"/>
      <c r="L637" s="22"/>
      <c r="M637" s="22"/>
      <c r="N637" s="18"/>
      <c r="O637" s="18"/>
      <c r="P637" s="22"/>
      <c r="Q637" s="22"/>
      <c r="R637" s="22"/>
      <c r="S637" s="22"/>
      <c r="T637" s="22"/>
      <c r="U637" s="22"/>
      <c r="V637" s="6"/>
      <c r="W637" s="6"/>
      <c r="X637" s="19"/>
      <c r="Y637" s="6"/>
      <c r="Z637" s="6"/>
      <c r="AA637" s="18">
        <v>321.38109900000006</v>
      </c>
      <c r="AB637" s="18">
        <v>321.38109900000006</v>
      </c>
      <c r="AC637" s="18">
        <v>321.38109900000006</v>
      </c>
      <c r="AD637" s="6"/>
      <c r="AE637" s="6"/>
      <c r="AF637" s="18"/>
      <c r="AG637" s="18"/>
      <c r="AH637" s="18"/>
      <c r="AI637" s="18"/>
      <c r="AK637" s="18"/>
      <c r="AL637" s="18"/>
      <c r="AM637" s="40" t="s">
        <v>118</v>
      </c>
      <c r="AN637" s="18"/>
      <c r="AO637" s="6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6"/>
      <c r="BK637" s="6"/>
      <c r="BL637" s="6" t="s">
        <v>59</v>
      </c>
      <c r="BO637" s="15"/>
    </row>
    <row r="638" spans="1:67">
      <c r="A638" s="6" t="s">
        <v>132</v>
      </c>
      <c r="B638" s="6" t="s">
        <v>139</v>
      </c>
      <c r="C638" s="33">
        <v>31378.213202599469</v>
      </c>
      <c r="D638" s="18">
        <v>12.449857115633048</v>
      </c>
      <c r="E638" s="6"/>
      <c r="F638" s="6"/>
      <c r="G638" s="22"/>
      <c r="H638" s="22"/>
      <c r="I638" s="22"/>
      <c r="J638" s="22"/>
      <c r="K638" s="22"/>
      <c r="L638" s="22"/>
      <c r="M638" s="22"/>
      <c r="N638" s="18"/>
      <c r="O638" s="18"/>
      <c r="P638" s="22"/>
      <c r="Q638" s="22"/>
      <c r="R638" s="22"/>
      <c r="S638" s="22"/>
      <c r="T638" s="22"/>
      <c r="U638" s="22"/>
      <c r="V638" s="6"/>
      <c r="W638" s="6"/>
      <c r="X638" s="19"/>
      <c r="Y638" s="6"/>
      <c r="Z638" s="6"/>
      <c r="AA638" s="18">
        <v>315.82803200000001</v>
      </c>
      <c r="AB638" s="18">
        <v>315.82803200000001</v>
      </c>
      <c r="AC638" s="18">
        <v>315.82803200000001</v>
      </c>
      <c r="AD638" s="6"/>
      <c r="AE638" s="6"/>
      <c r="AF638" s="18"/>
      <c r="AG638" s="18"/>
      <c r="AH638" s="18"/>
      <c r="AI638" s="18"/>
      <c r="AK638" s="18"/>
      <c r="AL638" s="18"/>
      <c r="AM638" s="40" t="s">
        <v>118</v>
      </c>
      <c r="AN638" s="18"/>
      <c r="AO638" s="6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6"/>
      <c r="BK638" s="6"/>
      <c r="BL638" s="6" t="s">
        <v>59</v>
      </c>
      <c r="BO638" s="15"/>
    </row>
    <row r="639" spans="1:67">
      <c r="A639" s="6" t="s">
        <v>132</v>
      </c>
      <c r="B639" s="6" t="s">
        <v>139</v>
      </c>
      <c r="C639" s="33">
        <v>31395.298189166304</v>
      </c>
      <c r="D639" s="18">
        <v>12.496634258490129</v>
      </c>
      <c r="E639" s="6"/>
      <c r="F639" s="6"/>
      <c r="G639" s="22"/>
      <c r="H639" s="22"/>
      <c r="I639" s="22"/>
      <c r="J639" s="22"/>
      <c r="K639" s="22"/>
      <c r="L639" s="22"/>
      <c r="M639" s="22"/>
      <c r="N639" s="18"/>
      <c r="O639" s="18"/>
      <c r="P639" s="22"/>
      <c r="Q639" s="22"/>
      <c r="R639" s="22"/>
      <c r="S639" s="22"/>
      <c r="T639" s="22"/>
      <c r="U639" s="22"/>
      <c r="V639" s="6"/>
      <c r="W639" s="6"/>
      <c r="X639" s="19"/>
      <c r="Y639" s="6"/>
      <c r="Z639" s="6"/>
      <c r="AA639" s="18">
        <v>316.25519099999997</v>
      </c>
      <c r="AB639" s="18">
        <v>316.25519099999997</v>
      </c>
      <c r="AC639" s="18">
        <v>316.25519099999997</v>
      </c>
      <c r="AD639" s="6"/>
      <c r="AE639" s="6"/>
      <c r="AF639" s="18"/>
      <c r="AG639" s="18"/>
      <c r="AH639" s="18"/>
      <c r="AI639" s="18"/>
      <c r="AK639" s="18"/>
      <c r="AL639" s="18"/>
      <c r="AM639" s="40" t="s">
        <v>118</v>
      </c>
      <c r="AN639" s="18"/>
      <c r="AO639" s="6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6"/>
      <c r="BK639" s="6"/>
      <c r="BL639" s="6" t="s">
        <v>59</v>
      </c>
      <c r="BO639" s="15"/>
    </row>
    <row r="640" spans="1:67" ht="13.25" customHeight="1">
      <c r="A640" s="6" t="s">
        <v>132</v>
      </c>
      <c r="B640" s="6" t="s">
        <v>139</v>
      </c>
      <c r="C640" s="33">
        <v>31420.925669016557</v>
      </c>
      <c r="D640" s="18">
        <v>12.566799972775753</v>
      </c>
      <c r="E640" s="6"/>
      <c r="F640" s="6"/>
      <c r="G640" s="22"/>
      <c r="H640" s="22"/>
      <c r="I640" s="22"/>
      <c r="J640" s="22"/>
      <c r="K640" s="22"/>
      <c r="L640" s="22"/>
      <c r="M640" s="22"/>
      <c r="N640" s="18"/>
      <c r="O640" s="18"/>
      <c r="P640" s="22"/>
      <c r="Q640" s="22"/>
      <c r="R640" s="22"/>
      <c r="S640" s="22"/>
      <c r="T640" s="22"/>
      <c r="U640" s="22"/>
      <c r="V640" s="6"/>
      <c r="W640" s="6"/>
      <c r="X640" s="19"/>
      <c r="Y640" s="6"/>
      <c r="Z640" s="6"/>
      <c r="AA640" s="18">
        <v>296.93252800000005</v>
      </c>
      <c r="AB640" s="18">
        <v>296.93252800000005</v>
      </c>
      <c r="AC640" s="18">
        <v>296.93252800000005</v>
      </c>
      <c r="AD640" s="6"/>
      <c r="AE640" s="6"/>
      <c r="AF640" s="18"/>
      <c r="AG640" s="18"/>
      <c r="AH640" s="18"/>
      <c r="AI640" s="18"/>
      <c r="AK640" s="18"/>
      <c r="AL640" s="18"/>
      <c r="AM640" s="40" t="s">
        <v>118</v>
      </c>
      <c r="AN640" s="18"/>
      <c r="AO640" s="6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6"/>
      <c r="BK640" s="6"/>
      <c r="BL640" s="6" t="s">
        <v>59</v>
      </c>
      <c r="BO640" s="15"/>
    </row>
    <row r="641" spans="1:67">
      <c r="A641" s="6" t="s">
        <v>132</v>
      </c>
      <c r="B641" s="6" t="s">
        <v>139</v>
      </c>
      <c r="C641" s="33">
        <v>31438.010655583388</v>
      </c>
      <c r="D641" s="18">
        <v>12.613577115632825</v>
      </c>
      <c r="E641" s="6"/>
      <c r="F641" s="6"/>
      <c r="G641" s="22"/>
      <c r="H641" s="22"/>
      <c r="I641" s="22"/>
      <c r="J641" s="22"/>
      <c r="K641" s="22"/>
      <c r="L641" s="22"/>
      <c r="M641" s="22"/>
      <c r="N641" s="18"/>
      <c r="O641" s="18"/>
      <c r="P641" s="22"/>
      <c r="Q641" s="22"/>
      <c r="R641" s="22"/>
      <c r="S641" s="22"/>
      <c r="T641" s="22"/>
      <c r="U641" s="22"/>
      <c r="V641" s="6"/>
      <c r="W641" s="6"/>
      <c r="X641" s="19"/>
      <c r="Y641" s="6"/>
      <c r="Z641" s="6"/>
      <c r="AA641" s="18">
        <v>296.05308300000002</v>
      </c>
      <c r="AB641" s="18">
        <v>296.05308300000002</v>
      </c>
      <c r="AC641" s="18">
        <v>296.05308300000002</v>
      </c>
      <c r="AD641" s="6"/>
      <c r="AE641" s="6"/>
      <c r="AF641" s="18"/>
      <c r="AG641" s="18"/>
      <c r="AH641" s="18"/>
      <c r="AI641" s="18"/>
      <c r="AK641" s="18"/>
      <c r="AL641" s="18"/>
      <c r="AM641" s="40" t="s">
        <v>118</v>
      </c>
      <c r="AN641" s="18"/>
      <c r="AO641" s="6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6"/>
      <c r="BK641" s="6"/>
      <c r="BL641" s="6" t="s">
        <v>59</v>
      </c>
      <c r="BO641" s="15"/>
    </row>
    <row r="642" spans="1:67">
      <c r="A642" s="6" t="s">
        <v>132</v>
      </c>
      <c r="B642" s="6" t="s">
        <v>139</v>
      </c>
      <c r="C642" s="33">
        <v>31450.824395508556</v>
      </c>
      <c r="D642" s="18">
        <v>12.648659972775752</v>
      </c>
      <c r="E642" s="6"/>
      <c r="F642" s="6"/>
      <c r="G642" s="22"/>
      <c r="H642" s="22"/>
      <c r="I642" s="22"/>
      <c r="J642" s="22"/>
      <c r="K642" s="22"/>
      <c r="L642" s="22"/>
      <c r="M642" s="22"/>
      <c r="N642" s="18"/>
      <c r="O642" s="18"/>
      <c r="P642" s="22"/>
      <c r="Q642" s="22"/>
      <c r="R642" s="22"/>
      <c r="S642" s="22"/>
      <c r="T642" s="22"/>
      <c r="U642" s="22"/>
      <c r="V642" s="6"/>
      <c r="W642" s="6"/>
      <c r="X642" s="19"/>
      <c r="Y642" s="6"/>
      <c r="Z642" s="6"/>
      <c r="AA642" s="18">
        <v>294.24393899999995</v>
      </c>
      <c r="AB642" s="18">
        <v>294.24393899999995</v>
      </c>
      <c r="AC642" s="18">
        <v>294.24393899999995</v>
      </c>
      <c r="AD642" s="6"/>
      <c r="AE642" s="6"/>
      <c r="AF642" s="18"/>
      <c r="AG642" s="18"/>
      <c r="AH642" s="18"/>
      <c r="AI642" s="18"/>
      <c r="AK642" s="18"/>
      <c r="AL642" s="18"/>
      <c r="AM642" s="40" t="s">
        <v>118</v>
      </c>
      <c r="AN642" s="18"/>
      <c r="AO642" s="6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6"/>
      <c r="BK642" s="6"/>
      <c r="BL642" s="6" t="s">
        <v>59</v>
      </c>
      <c r="BO642" s="15"/>
    </row>
    <row r="643" spans="1:67" ht="13.25" customHeight="1">
      <c r="A643" s="6" t="s">
        <v>132</v>
      </c>
      <c r="B643" s="6" t="s">
        <v>139</v>
      </c>
      <c r="C643" s="33">
        <v>31463.638135433725</v>
      </c>
      <c r="D643" s="18">
        <v>12.68374282991868</v>
      </c>
      <c r="E643" s="6"/>
      <c r="F643" s="6"/>
      <c r="G643" s="22"/>
      <c r="H643" s="22"/>
      <c r="I643" s="22"/>
      <c r="J643" s="22"/>
      <c r="K643" s="22"/>
      <c r="L643" s="22"/>
      <c r="M643" s="22"/>
      <c r="N643" s="18"/>
      <c r="O643" s="18"/>
      <c r="P643" s="22"/>
      <c r="Q643" s="22"/>
      <c r="R643" s="22"/>
      <c r="S643" s="22"/>
      <c r="T643" s="22"/>
      <c r="U643" s="22"/>
      <c r="V643" s="6"/>
      <c r="W643" s="6"/>
      <c r="X643" s="19"/>
      <c r="Y643" s="6"/>
      <c r="Z643" s="6"/>
      <c r="AA643" s="18">
        <v>292.20865200000003</v>
      </c>
      <c r="AB643" s="18">
        <v>292.20865200000003</v>
      </c>
      <c r="AC643" s="18">
        <v>292.20865200000003</v>
      </c>
      <c r="AD643" s="6"/>
      <c r="AE643" s="6"/>
      <c r="AF643" s="18"/>
      <c r="AG643" s="18"/>
      <c r="AH643" s="18"/>
      <c r="AI643" s="18"/>
      <c r="AK643" s="18"/>
      <c r="AL643" s="18"/>
      <c r="AM643" s="40" t="s">
        <v>118</v>
      </c>
      <c r="AN643" s="18"/>
      <c r="AO643" s="6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6"/>
      <c r="BK643" s="6"/>
      <c r="BL643" s="6" t="s">
        <v>59</v>
      </c>
      <c r="BO643" s="15"/>
    </row>
    <row r="644" spans="1:67">
      <c r="A644" s="6" t="s">
        <v>132</v>
      </c>
      <c r="B644" s="6" t="s">
        <v>139</v>
      </c>
      <c r="C644" s="33">
        <v>31472.180628717142</v>
      </c>
      <c r="D644" s="18">
        <v>12.707131401347221</v>
      </c>
      <c r="E644" s="6"/>
      <c r="F644" s="6"/>
      <c r="G644" s="22"/>
      <c r="H644" s="22"/>
      <c r="I644" s="22"/>
      <c r="J644" s="22"/>
      <c r="K644" s="22"/>
      <c r="L644" s="22"/>
      <c r="M644" s="22"/>
      <c r="N644" s="18"/>
      <c r="O644" s="18"/>
      <c r="P644" s="22"/>
      <c r="Q644" s="22"/>
      <c r="R644" s="22"/>
      <c r="S644" s="22"/>
      <c r="T644" s="22"/>
      <c r="U644" s="22"/>
      <c r="V644" s="6"/>
      <c r="W644" s="6"/>
      <c r="X644" s="19"/>
      <c r="Y644" s="6"/>
      <c r="Z644" s="6"/>
      <c r="AA644" s="18">
        <v>291.30408</v>
      </c>
      <c r="AB644" s="18">
        <v>291.30408</v>
      </c>
      <c r="AC644" s="18">
        <v>291.30408</v>
      </c>
      <c r="AD644" s="6"/>
      <c r="AE644" s="6"/>
      <c r="AF644" s="18"/>
      <c r="AG644" s="18"/>
      <c r="AH644" s="18"/>
      <c r="AI644" s="18"/>
      <c r="AK644" s="18"/>
      <c r="AL644" s="18"/>
      <c r="AM644" s="40" t="s">
        <v>118</v>
      </c>
      <c r="AN644" s="18"/>
      <c r="AO644" s="6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6"/>
      <c r="BK644" s="6"/>
      <c r="BL644" s="6" t="s">
        <v>59</v>
      </c>
      <c r="BO644" s="15"/>
    </row>
    <row r="645" spans="1:67">
      <c r="A645" s="6" t="s">
        <v>132</v>
      </c>
      <c r="B645" s="6" t="s">
        <v>139</v>
      </c>
      <c r="C645" s="33">
        <v>31480.72312200056</v>
      </c>
      <c r="D645" s="18">
        <v>12.730519972775761</v>
      </c>
      <c r="E645" s="6"/>
      <c r="F645" s="6"/>
      <c r="G645" s="22"/>
      <c r="H645" s="22"/>
      <c r="I645" s="22"/>
      <c r="J645" s="22"/>
      <c r="K645" s="22"/>
      <c r="L645" s="22"/>
      <c r="M645" s="22"/>
      <c r="N645" s="18"/>
      <c r="O645" s="18"/>
      <c r="P645" s="22"/>
      <c r="Q645" s="22"/>
      <c r="R645" s="22"/>
      <c r="S645" s="22"/>
      <c r="T645" s="22"/>
      <c r="U645" s="22"/>
      <c r="V645" s="6"/>
      <c r="W645" s="6"/>
      <c r="X645" s="19"/>
      <c r="Y645" s="6"/>
      <c r="Z645" s="6"/>
      <c r="AA645" s="18">
        <v>299.34472</v>
      </c>
      <c r="AB645" s="18">
        <v>299.34472</v>
      </c>
      <c r="AC645" s="18">
        <v>299.34472</v>
      </c>
      <c r="AD645" s="6"/>
      <c r="AE645" s="6"/>
      <c r="AF645" s="18"/>
      <c r="AG645" s="18"/>
      <c r="AH645" s="18"/>
      <c r="AI645" s="18"/>
      <c r="AK645" s="18"/>
      <c r="AL645" s="18"/>
      <c r="AM645" s="40" t="s">
        <v>118</v>
      </c>
      <c r="AN645" s="18"/>
      <c r="AO645" s="6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6"/>
      <c r="BK645" s="6"/>
      <c r="BL645" s="6" t="s">
        <v>59</v>
      </c>
      <c r="BO645" s="15"/>
    </row>
    <row r="646" spans="1:67" ht="13.25" customHeight="1">
      <c r="A646" s="6" t="s">
        <v>132</v>
      </c>
      <c r="B646" s="6" t="s">
        <v>139</v>
      </c>
      <c r="C646" s="33">
        <v>31497.808108567478</v>
      </c>
      <c r="D646" s="18">
        <v>12.777297115633074</v>
      </c>
      <c r="E646" s="6"/>
      <c r="F646" s="6"/>
      <c r="G646" s="22"/>
      <c r="H646" s="22"/>
      <c r="I646" s="22"/>
      <c r="J646" s="22"/>
      <c r="K646" s="22"/>
      <c r="L646" s="22"/>
      <c r="M646" s="22"/>
      <c r="N646" s="18"/>
      <c r="O646" s="18"/>
      <c r="P646" s="22"/>
      <c r="Q646" s="22"/>
      <c r="R646" s="22"/>
      <c r="S646" s="22"/>
      <c r="T646" s="22"/>
      <c r="U646" s="22"/>
      <c r="V646" s="6"/>
      <c r="W646" s="6"/>
      <c r="X646" s="19"/>
      <c r="Y646" s="6"/>
      <c r="Z646" s="6"/>
      <c r="AA646" s="18">
        <v>291.37946099999999</v>
      </c>
      <c r="AB646" s="18">
        <v>291.37946099999999</v>
      </c>
      <c r="AC646" s="18">
        <v>291.37946099999999</v>
      </c>
      <c r="AD646" s="6"/>
      <c r="AE646" s="6"/>
      <c r="AF646" s="18"/>
      <c r="AG646" s="18"/>
      <c r="AH646" s="18"/>
      <c r="AI646" s="18"/>
      <c r="AK646" s="18"/>
      <c r="AL646" s="18"/>
      <c r="AM646" s="40" t="s">
        <v>118</v>
      </c>
      <c r="AN646" s="18"/>
      <c r="AO646" s="6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6"/>
      <c r="BK646" s="6"/>
      <c r="BL646" s="6" t="s">
        <v>59</v>
      </c>
      <c r="BO646" s="15"/>
    </row>
    <row r="647" spans="1:67">
      <c r="A647" s="6" t="s">
        <v>132</v>
      </c>
      <c r="B647" s="6" t="s">
        <v>139</v>
      </c>
      <c r="C647" s="33">
        <v>31510.621848492563</v>
      </c>
      <c r="D647" s="18">
        <v>12.812379972775771</v>
      </c>
      <c r="E647" s="6"/>
      <c r="F647" s="6"/>
      <c r="G647" s="22"/>
      <c r="H647" s="22"/>
      <c r="I647" s="22"/>
      <c r="J647" s="22"/>
      <c r="K647" s="22"/>
      <c r="L647" s="22"/>
      <c r="M647" s="22"/>
      <c r="N647" s="18"/>
      <c r="O647" s="18"/>
      <c r="P647" s="22"/>
      <c r="Q647" s="22"/>
      <c r="R647" s="22"/>
      <c r="S647" s="22"/>
      <c r="T647" s="22"/>
      <c r="U647" s="22"/>
      <c r="V647" s="6"/>
      <c r="W647" s="6"/>
      <c r="X647" s="19"/>
      <c r="Y647" s="6"/>
      <c r="Z647" s="6"/>
      <c r="AA647" s="18">
        <v>290.85179399999998</v>
      </c>
      <c r="AB647" s="18">
        <v>290.85179399999998</v>
      </c>
      <c r="AC647" s="18">
        <v>290.85179399999998</v>
      </c>
      <c r="AD647" s="6"/>
      <c r="AE647" s="6"/>
      <c r="AF647" s="18"/>
      <c r="AG647" s="18"/>
      <c r="AH647" s="18"/>
      <c r="AI647" s="18"/>
      <c r="AK647" s="18"/>
      <c r="AL647" s="18"/>
      <c r="AM647" s="40" t="s">
        <v>118</v>
      </c>
      <c r="AN647" s="18"/>
      <c r="AO647" s="6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6"/>
      <c r="BK647" s="6"/>
      <c r="BL647" s="6" t="s">
        <v>59</v>
      </c>
      <c r="BO647" s="15"/>
    </row>
    <row r="648" spans="1:67">
      <c r="A648" s="6" t="s">
        <v>132</v>
      </c>
      <c r="B648" s="6" t="s">
        <v>139</v>
      </c>
      <c r="C648" s="33">
        <v>31523.435588417728</v>
      </c>
      <c r="D648" s="18">
        <v>12.847462829918687</v>
      </c>
      <c r="E648" s="6"/>
      <c r="F648" s="6"/>
      <c r="G648" s="22"/>
      <c r="H648" s="22"/>
      <c r="I648" s="22"/>
      <c r="J648" s="22"/>
      <c r="K648" s="22"/>
      <c r="L648" s="22"/>
      <c r="M648" s="22"/>
      <c r="N648" s="18"/>
      <c r="O648" s="18"/>
      <c r="P648" s="22"/>
      <c r="Q648" s="22"/>
      <c r="R648" s="22"/>
      <c r="S648" s="22"/>
      <c r="T648" s="22"/>
      <c r="U648" s="22"/>
      <c r="V648" s="6"/>
      <c r="W648" s="6"/>
      <c r="X648" s="19"/>
      <c r="Y648" s="6"/>
      <c r="Z648" s="6"/>
      <c r="AA648" s="18">
        <v>282.685519</v>
      </c>
      <c r="AB648" s="18">
        <v>282.685519</v>
      </c>
      <c r="AC648" s="18">
        <v>282.685519</v>
      </c>
      <c r="AD648" s="6"/>
      <c r="AE648" s="6"/>
      <c r="AF648" s="18"/>
      <c r="AG648" s="18"/>
      <c r="AH648" s="18"/>
      <c r="AI648" s="18"/>
      <c r="AK648" s="18"/>
      <c r="AL648" s="18"/>
      <c r="AM648" s="40" t="s">
        <v>118</v>
      </c>
      <c r="AN648" s="18"/>
      <c r="AO648" s="6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6"/>
      <c r="BK648" s="6"/>
      <c r="BL648" s="6" t="s">
        <v>59</v>
      </c>
      <c r="BO648" s="15"/>
    </row>
    <row r="649" spans="1:67" ht="13.25" customHeight="1">
      <c r="A649" s="6" t="s">
        <v>132</v>
      </c>
      <c r="B649" s="6" t="s">
        <v>139</v>
      </c>
      <c r="C649" s="33">
        <v>31531.978081701145</v>
      </c>
      <c r="D649" s="18">
        <v>12.870851401347229</v>
      </c>
      <c r="E649" s="6"/>
      <c r="F649" s="6"/>
      <c r="G649" s="22"/>
      <c r="H649" s="22"/>
      <c r="I649" s="22"/>
      <c r="J649" s="22"/>
      <c r="K649" s="22"/>
      <c r="L649" s="22"/>
      <c r="M649" s="22"/>
      <c r="N649" s="18"/>
      <c r="O649" s="18"/>
      <c r="P649" s="22"/>
      <c r="Q649" s="22"/>
      <c r="R649" s="22"/>
      <c r="S649" s="22"/>
      <c r="T649" s="22"/>
      <c r="U649" s="22"/>
      <c r="V649" s="6"/>
      <c r="W649" s="6"/>
      <c r="X649" s="19"/>
      <c r="Y649" s="6"/>
      <c r="Z649" s="6"/>
      <c r="AA649" s="18">
        <v>298.74167199999999</v>
      </c>
      <c r="AB649" s="18">
        <v>298.74167199999999</v>
      </c>
      <c r="AC649" s="18">
        <v>298.74167199999999</v>
      </c>
      <c r="AD649" s="6"/>
      <c r="AE649" s="6"/>
      <c r="AF649" s="18"/>
      <c r="AG649" s="18"/>
      <c r="AH649" s="18"/>
      <c r="AI649" s="18"/>
      <c r="AK649" s="18"/>
      <c r="AL649" s="18"/>
      <c r="AM649" s="40" t="s">
        <v>118</v>
      </c>
      <c r="AN649" s="18"/>
      <c r="AO649" s="6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6"/>
      <c r="BK649" s="6"/>
      <c r="BL649" s="6" t="s">
        <v>59</v>
      </c>
      <c r="BO649" s="15"/>
    </row>
    <row r="650" spans="1:67" ht="13.25" customHeight="1">
      <c r="A650" s="6" t="s">
        <v>132</v>
      </c>
      <c r="B650" s="6" t="s">
        <v>139</v>
      </c>
      <c r="C650" s="33">
        <v>31549.06306826798</v>
      </c>
      <c r="D650" s="18">
        <v>12.917628544204311</v>
      </c>
      <c r="E650" s="6"/>
      <c r="F650" s="6"/>
      <c r="G650" s="22"/>
      <c r="H650" s="22"/>
      <c r="I650" s="22"/>
      <c r="J650" s="22"/>
      <c r="K650" s="22"/>
      <c r="L650" s="22"/>
      <c r="M650" s="22"/>
      <c r="N650" s="18"/>
      <c r="O650" s="18"/>
      <c r="P650" s="22"/>
      <c r="Q650" s="22"/>
      <c r="R650" s="22"/>
      <c r="S650" s="22"/>
      <c r="T650" s="22"/>
      <c r="U650" s="22"/>
      <c r="V650" s="6"/>
      <c r="W650" s="6"/>
      <c r="X650" s="19"/>
      <c r="Y650" s="6"/>
      <c r="Z650" s="6"/>
      <c r="AA650" s="18">
        <v>303.99321500000002</v>
      </c>
      <c r="AB650" s="18">
        <v>303.99321500000002</v>
      </c>
      <c r="AC650" s="18">
        <v>303.99321500000002</v>
      </c>
      <c r="AD650" s="6"/>
      <c r="AE650" s="6"/>
      <c r="AF650" s="18"/>
      <c r="AG650" s="18"/>
      <c r="AH650" s="18"/>
      <c r="AI650" s="18"/>
      <c r="AK650" s="18"/>
      <c r="AL650" s="18"/>
      <c r="AM650" s="40" t="s">
        <v>118</v>
      </c>
      <c r="AN650" s="18"/>
      <c r="AO650" s="6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6"/>
      <c r="BK650" s="6"/>
      <c r="BL650" s="6" t="s">
        <v>59</v>
      </c>
      <c r="BO650" s="15"/>
    </row>
    <row r="651" spans="1:67" ht="13.25" customHeight="1">
      <c r="A651" s="6" t="s">
        <v>132</v>
      </c>
      <c r="B651" s="6" t="s">
        <v>139</v>
      </c>
      <c r="C651" s="33">
        <v>31578.961794759984</v>
      </c>
      <c r="D651" s="18">
        <v>12.99948854420432</v>
      </c>
      <c r="E651" s="6"/>
      <c r="F651" s="6"/>
      <c r="G651" s="22"/>
      <c r="H651" s="22"/>
      <c r="I651" s="22"/>
      <c r="J651" s="22"/>
      <c r="K651" s="22"/>
      <c r="L651" s="22"/>
      <c r="M651" s="22"/>
      <c r="N651" s="18"/>
      <c r="O651" s="18"/>
      <c r="P651" s="22"/>
      <c r="Q651" s="22"/>
      <c r="R651" s="22"/>
      <c r="S651" s="22"/>
      <c r="T651" s="22"/>
      <c r="U651" s="22"/>
      <c r="V651" s="6"/>
      <c r="W651" s="6"/>
      <c r="X651" s="19"/>
      <c r="Y651" s="6"/>
      <c r="Z651" s="6"/>
      <c r="AA651" s="18">
        <v>307.05870900000002</v>
      </c>
      <c r="AB651" s="18">
        <v>307.05870900000002</v>
      </c>
      <c r="AC651" s="18">
        <v>307.05870900000002</v>
      </c>
      <c r="AD651" s="6"/>
      <c r="AE651" s="6"/>
      <c r="AF651" s="18"/>
      <c r="AG651" s="18"/>
      <c r="AH651" s="18"/>
      <c r="AI651" s="18"/>
      <c r="AK651" s="18"/>
      <c r="AL651" s="18"/>
      <c r="AM651" s="40" t="s">
        <v>118</v>
      </c>
      <c r="AN651" s="18"/>
      <c r="AO651" s="6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6"/>
      <c r="BK651" s="6"/>
      <c r="BL651" s="6" t="s">
        <v>59</v>
      </c>
      <c r="BO651" s="15"/>
    </row>
    <row r="652" spans="1:67" ht="13.25" customHeight="1">
      <c r="A652" s="6" t="s">
        <v>132</v>
      </c>
      <c r="B652" s="6" t="s">
        <v>139</v>
      </c>
      <c r="C652" s="33">
        <v>31596.046781326902</v>
      </c>
      <c r="D652" s="18">
        <v>13.046265687061632</v>
      </c>
      <c r="E652" s="6"/>
      <c r="F652" s="6"/>
      <c r="G652" s="22"/>
      <c r="H652" s="22"/>
      <c r="I652" s="22"/>
      <c r="J652" s="22"/>
      <c r="K652" s="22"/>
      <c r="L652" s="22"/>
      <c r="M652" s="22"/>
      <c r="N652" s="18"/>
      <c r="O652" s="18"/>
      <c r="P652" s="22"/>
      <c r="Q652" s="22"/>
      <c r="R652" s="22"/>
      <c r="S652" s="22"/>
      <c r="T652" s="22"/>
      <c r="U652" s="22"/>
      <c r="V652" s="6"/>
      <c r="W652" s="6"/>
      <c r="X652" s="19"/>
      <c r="Y652" s="6"/>
      <c r="Z652" s="6"/>
      <c r="AA652" s="18">
        <v>295.75155900000004</v>
      </c>
      <c r="AB652" s="18">
        <v>295.75155900000004</v>
      </c>
      <c r="AC652" s="18">
        <v>295.75155900000004</v>
      </c>
      <c r="AD652" s="6"/>
      <c r="AE652" s="6"/>
      <c r="AF652" s="18"/>
      <c r="AG652" s="18"/>
      <c r="AH652" s="18"/>
      <c r="AI652" s="18"/>
      <c r="AK652" s="18"/>
      <c r="AL652" s="18"/>
      <c r="AM652" s="40" t="s">
        <v>118</v>
      </c>
      <c r="AN652" s="18"/>
      <c r="AO652" s="6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6"/>
      <c r="BK652" s="6"/>
      <c r="BL652" s="6" t="s">
        <v>59</v>
      </c>
      <c r="BO652" s="15"/>
    </row>
    <row r="653" spans="1:67">
      <c r="A653" s="6" t="s">
        <v>132</v>
      </c>
      <c r="B653" s="6" t="s">
        <v>139</v>
      </c>
      <c r="C653" s="17">
        <v>31604.58927461032</v>
      </c>
      <c r="D653" s="18">
        <v>13.069654258490173</v>
      </c>
      <c r="E653" s="6"/>
      <c r="F653" s="6"/>
      <c r="G653" s="22"/>
      <c r="H653" s="22"/>
      <c r="I653" s="22"/>
      <c r="J653" s="22"/>
      <c r="K653" s="22"/>
      <c r="L653" s="22"/>
      <c r="M653" s="22"/>
      <c r="N653" s="18"/>
      <c r="O653" s="18"/>
      <c r="P653" s="22"/>
      <c r="Q653" s="22"/>
      <c r="R653" s="22"/>
      <c r="S653" s="22"/>
      <c r="T653" s="22"/>
      <c r="U653" s="22"/>
      <c r="V653" s="6"/>
      <c r="W653" s="6"/>
      <c r="X653" s="19"/>
      <c r="Y653" s="6"/>
      <c r="Z653" s="6"/>
      <c r="AA653" s="18">
        <v>282.73577299999999</v>
      </c>
      <c r="AB653" s="18">
        <v>282.73577299999999</v>
      </c>
      <c r="AC653" s="18">
        <v>282.73577299999999</v>
      </c>
      <c r="AD653" s="6"/>
      <c r="AE653" s="6"/>
      <c r="AF653" s="18"/>
      <c r="AG653" s="18"/>
      <c r="AH653" s="18"/>
      <c r="AI653" s="18"/>
      <c r="AK653" s="18"/>
      <c r="AL653" s="18"/>
      <c r="AM653" s="40" t="s">
        <v>118</v>
      </c>
      <c r="AN653" s="18"/>
      <c r="AO653" s="6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6"/>
      <c r="BK653" s="6"/>
      <c r="BL653" s="6" t="s">
        <v>59</v>
      </c>
      <c r="BO653" s="15"/>
    </row>
    <row r="654" spans="1:67">
      <c r="A654" s="6" t="s">
        <v>132</v>
      </c>
      <c r="B654" s="6" t="s">
        <v>139</v>
      </c>
      <c r="C654" s="17">
        <v>31617.403014535485</v>
      </c>
      <c r="D654" s="18">
        <v>13.104737115633091</v>
      </c>
      <c r="E654" s="6"/>
      <c r="F654" s="6"/>
      <c r="G654" s="22"/>
      <c r="H654" s="22"/>
      <c r="I654" s="22"/>
      <c r="J654" s="22"/>
      <c r="K654" s="22"/>
      <c r="L654" s="22"/>
      <c r="M654" s="22"/>
      <c r="N654" s="18"/>
      <c r="O654" s="18"/>
      <c r="P654" s="22"/>
      <c r="Q654" s="22"/>
      <c r="R654" s="22"/>
      <c r="S654" s="22"/>
      <c r="T654" s="22"/>
      <c r="U654" s="22"/>
      <c r="V654" s="6"/>
      <c r="W654" s="6"/>
      <c r="X654" s="19"/>
      <c r="Y654" s="6"/>
      <c r="Z654" s="6"/>
      <c r="AA654" s="18">
        <v>316.10442899999998</v>
      </c>
      <c r="AB654" s="18">
        <v>316.10442899999998</v>
      </c>
      <c r="AC654" s="18">
        <v>316.10442899999998</v>
      </c>
      <c r="AD654" s="6"/>
      <c r="AE654" s="6"/>
      <c r="AF654" s="18"/>
      <c r="AG654" s="18"/>
      <c r="AH654" s="18"/>
      <c r="AI654" s="18"/>
      <c r="AK654" s="18"/>
      <c r="AL654" s="18"/>
      <c r="AM654" s="40" t="s">
        <v>118</v>
      </c>
      <c r="AN654" s="18"/>
      <c r="AO654" s="6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6"/>
      <c r="BK654" s="6"/>
      <c r="BL654" s="6" t="s">
        <v>59</v>
      </c>
      <c r="BO654" s="15"/>
    </row>
    <row r="655" spans="1:67">
      <c r="A655" s="6" t="s">
        <v>132</v>
      </c>
      <c r="B655" s="6" t="s">
        <v>139</v>
      </c>
      <c r="C655" s="17">
        <v>31634.48800110232</v>
      </c>
      <c r="D655" s="18">
        <v>13.151514258490172</v>
      </c>
      <c r="E655" s="6"/>
      <c r="F655" s="6"/>
      <c r="G655" s="22"/>
      <c r="H655" s="22"/>
      <c r="I655" s="22"/>
      <c r="J655" s="22"/>
      <c r="K655" s="22"/>
      <c r="L655" s="22"/>
      <c r="M655" s="22"/>
      <c r="N655" s="18"/>
      <c r="O655" s="18"/>
      <c r="P655" s="22"/>
      <c r="Q655" s="22"/>
      <c r="R655" s="22"/>
      <c r="S655" s="22"/>
      <c r="T655" s="22"/>
      <c r="U655" s="22"/>
      <c r="V655" s="6"/>
      <c r="W655" s="6"/>
      <c r="X655" s="19"/>
      <c r="Y655" s="6"/>
      <c r="Z655" s="6"/>
      <c r="AA655" s="18">
        <v>332.91439200000002</v>
      </c>
      <c r="AB655" s="18">
        <v>332.91439200000002</v>
      </c>
      <c r="AC655" s="18">
        <v>332.91439200000002</v>
      </c>
      <c r="AD655" s="6"/>
      <c r="AE655" s="6"/>
      <c r="AF655" s="18"/>
      <c r="AG655" s="18"/>
      <c r="AH655" s="18"/>
      <c r="AI655" s="18"/>
      <c r="AK655" s="18"/>
      <c r="AL655" s="18"/>
      <c r="AM655" s="40" t="s">
        <v>118</v>
      </c>
      <c r="AN655" s="18"/>
      <c r="AO655" s="6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6"/>
      <c r="BK655" s="6"/>
      <c r="BL655" s="6" t="s">
        <v>59</v>
      </c>
      <c r="BO655" s="15"/>
    </row>
    <row r="656" spans="1:67">
      <c r="A656" s="6" t="s">
        <v>132</v>
      </c>
      <c r="B656" s="6" t="s">
        <v>139</v>
      </c>
      <c r="C656" s="17">
        <v>31647.301741027404</v>
      </c>
      <c r="D656" s="18">
        <v>13.186597115632869</v>
      </c>
      <c r="E656" s="6"/>
      <c r="F656" s="6"/>
      <c r="G656" s="22"/>
      <c r="H656" s="22"/>
      <c r="I656" s="22"/>
      <c r="J656" s="22"/>
      <c r="K656" s="22"/>
      <c r="L656" s="22"/>
      <c r="M656" s="22"/>
      <c r="N656" s="18"/>
      <c r="O656" s="18"/>
      <c r="P656" s="22"/>
      <c r="Q656" s="22"/>
      <c r="R656" s="22"/>
      <c r="S656" s="22"/>
      <c r="T656" s="22"/>
      <c r="U656" s="22"/>
      <c r="V656" s="6"/>
      <c r="W656" s="6"/>
      <c r="X656" s="19"/>
      <c r="Y656" s="6"/>
      <c r="Z656" s="6"/>
      <c r="AA656" s="18">
        <v>331.45702599999998</v>
      </c>
      <c r="AB656" s="18">
        <v>331.45702599999998</v>
      </c>
      <c r="AC656" s="18">
        <v>331.45702599999998</v>
      </c>
      <c r="AD656" s="6"/>
      <c r="AE656" s="6"/>
      <c r="AF656" s="18"/>
      <c r="AG656" s="18"/>
      <c r="AH656" s="18"/>
      <c r="AI656" s="18"/>
      <c r="AK656" s="18"/>
      <c r="AL656" s="18"/>
      <c r="AM656" s="40" t="s">
        <v>118</v>
      </c>
      <c r="AN656" s="18"/>
      <c r="AO656" s="6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6"/>
      <c r="BK656" s="6"/>
      <c r="BL656" s="6" t="s">
        <v>59</v>
      </c>
      <c r="BO656" s="15"/>
    </row>
    <row r="657" spans="1:67" ht="13.25" customHeight="1">
      <c r="A657" s="6" t="s">
        <v>132</v>
      </c>
      <c r="B657" s="6" t="s">
        <v>139</v>
      </c>
      <c r="C657" s="17">
        <v>31664.386727594239</v>
      </c>
      <c r="D657" s="18">
        <v>13.233374258489953</v>
      </c>
      <c r="E657" s="6"/>
      <c r="F657" s="6"/>
      <c r="G657" s="22"/>
      <c r="H657" s="22"/>
      <c r="I657" s="22"/>
      <c r="J657" s="22"/>
      <c r="K657" s="22"/>
      <c r="L657" s="22"/>
      <c r="M657" s="22"/>
      <c r="N657" s="18"/>
      <c r="O657" s="18"/>
      <c r="P657" s="22"/>
      <c r="Q657" s="22"/>
      <c r="R657" s="22"/>
      <c r="S657" s="22"/>
      <c r="T657" s="22"/>
      <c r="U657" s="22"/>
      <c r="V657" s="6"/>
      <c r="W657" s="6"/>
      <c r="X657" s="19"/>
      <c r="Y657" s="6"/>
      <c r="Z657" s="6"/>
      <c r="AA657" s="18">
        <v>338.21618899999999</v>
      </c>
      <c r="AB657" s="18">
        <v>338.21618899999999</v>
      </c>
      <c r="AC657" s="18">
        <v>338.21618899999999</v>
      </c>
      <c r="AD657" s="6"/>
      <c r="AE657" s="6"/>
      <c r="AF657" s="18"/>
      <c r="AG657" s="18"/>
      <c r="AH657" s="18"/>
      <c r="AI657" s="18"/>
      <c r="AK657" s="18"/>
      <c r="AL657" s="18"/>
      <c r="AM657" s="40" t="s">
        <v>118</v>
      </c>
      <c r="AN657" s="18"/>
      <c r="AO657" s="6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6"/>
      <c r="BK657" s="6"/>
      <c r="BL657" s="6" t="s">
        <v>59</v>
      </c>
      <c r="BO657" s="15"/>
    </row>
    <row r="658" spans="1:67">
      <c r="A658" s="6" t="s">
        <v>132</v>
      </c>
      <c r="B658" s="6" t="s">
        <v>139</v>
      </c>
      <c r="C658" s="17">
        <v>31681.471714161074</v>
      </c>
      <c r="D658" s="18">
        <v>13.280151401347036</v>
      </c>
      <c r="E658" s="6"/>
      <c r="F658" s="6"/>
      <c r="G658" s="22"/>
      <c r="H658" s="22"/>
      <c r="I658" s="22"/>
      <c r="J658" s="22"/>
      <c r="K658" s="22"/>
      <c r="L658" s="22"/>
      <c r="M658" s="22"/>
      <c r="N658" s="18"/>
      <c r="O658" s="18"/>
      <c r="P658" s="22"/>
      <c r="Q658" s="22"/>
      <c r="R658" s="22"/>
      <c r="S658" s="22"/>
      <c r="T658" s="22"/>
      <c r="U658" s="22"/>
      <c r="V658" s="6"/>
      <c r="W658" s="6"/>
      <c r="X658" s="19"/>
      <c r="Y658" s="6"/>
      <c r="Z658" s="6"/>
      <c r="AA658" s="18">
        <v>327.46183300000007</v>
      </c>
      <c r="AB658" s="18">
        <v>327.46183300000007</v>
      </c>
      <c r="AC658" s="18">
        <v>327.46183300000007</v>
      </c>
      <c r="AD658" s="6"/>
      <c r="AE658" s="6"/>
      <c r="AF658" s="18"/>
      <c r="AG658" s="18"/>
      <c r="AH658" s="18"/>
      <c r="AI658" s="18"/>
      <c r="AK658" s="18"/>
      <c r="AL658" s="18"/>
      <c r="AM658" s="40" t="s">
        <v>118</v>
      </c>
      <c r="AN658" s="18"/>
      <c r="AO658" s="6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6"/>
      <c r="BK658" s="6"/>
      <c r="BL658" s="6" t="s">
        <v>59</v>
      </c>
      <c r="BO658" s="15"/>
    </row>
    <row r="659" spans="1:67">
      <c r="A659" s="6" t="s">
        <v>132</v>
      </c>
      <c r="B659" s="6" t="s">
        <v>139</v>
      </c>
      <c r="C659" s="17">
        <v>31690.014207444492</v>
      </c>
      <c r="D659" s="18">
        <v>13.303539972775576</v>
      </c>
      <c r="E659" s="6"/>
      <c r="F659" s="6"/>
      <c r="G659" s="22"/>
      <c r="H659" s="22"/>
      <c r="I659" s="22"/>
      <c r="J659" s="22"/>
      <c r="K659" s="22"/>
      <c r="L659" s="22"/>
      <c r="M659" s="22"/>
      <c r="N659" s="18"/>
      <c r="O659" s="18"/>
      <c r="P659" s="22"/>
      <c r="Q659" s="22"/>
      <c r="R659" s="22"/>
      <c r="S659" s="22"/>
      <c r="T659" s="22"/>
      <c r="U659" s="22"/>
      <c r="V659" s="6"/>
      <c r="W659" s="6"/>
      <c r="X659" s="19"/>
      <c r="Y659" s="6"/>
      <c r="Z659" s="6"/>
      <c r="AA659" s="18">
        <v>331.20575600000001</v>
      </c>
      <c r="AB659" s="18">
        <v>331.20575600000001</v>
      </c>
      <c r="AC659" s="18">
        <v>331.20575600000001</v>
      </c>
      <c r="AD659" s="6"/>
      <c r="AE659" s="6"/>
      <c r="AF659" s="18"/>
      <c r="AG659" s="18"/>
      <c r="AH659" s="18"/>
      <c r="AI659" s="18"/>
      <c r="AK659" s="18"/>
      <c r="AL659" s="18"/>
      <c r="AM659" s="40" t="s">
        <v>118</v>
      </c>
      <c r="AN659" s="18"/>
      <c r="AO659" s="6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6"/>
      <c r="BK659" s="6"/>
      <c r="BL659" s="6" t="s">
        <v>59</v>
      </c>
      <c r="BO659" s="15"/>
    </row>
    <row r="660" spans="1:67">
      <c r="A660" s="6" t="s">
        <v>132</v>
      </c>
      <c r="B660" s="6" t="s">
        <v>139</v>
      </c>
      <c r="C660" s="17">
        <v>31702.827947369744</v>
      </c>
      <c r="D660" s="18">
        <v>13.338622829918732</v>
      </c>
      <c r="E660" s="6"/>
      <c r="F660" s="6"/>
      <c r="G660" s="22"/>
      <c r="H660" s="22"/>
      <c r="I660" s="22"/>
      <c r="J660" s="22"/>
      <c r="K660" s="22"/>
      <c r="L660" s="22"/>
      <c r="M660" s="22"/>
      <c r="N660" s="18"/>
      <c r="O660" s="18"/>
      <c r="P660" s="22"/>
      <c r="Q660" s="22"/>
      <c r="R660" s="22"/>
      <c r="S660" s="22"/>
      <c r="T660" s="22"/>
      <c r="U660" s="22"/>
      <c r="V660" s="6"/>
      <c r="W660" s="6"/>
      <c r="X660" s="19"/>
      <c r="Y660" s="6"/>
      <c r="Z660" s="6"/>
      <c r="AA660" s="18">
        <v>331.63291500000003</v>
      </c>
      <c r="AB660" s="18">
        <v>331.63291500000003</v>
      </c>
      <c r="AC660" s="18">
        <v>331.63291500000003</v>
      </c>
      <c r="AD660" s="6"/>
      <c r="AE660" s="6"/>
      <c r="AF660" s="18"/>
      <c r="AG660" s="18"/>
      <c r="AH660" s="18"/>
      <c r="AI660" s="18"/>
      <c r="AK660" s="18"/>
      <c r="AL660" s="18"/>
      <c r="AM660" s="40" t="s">
        <v>118</v>
      </c>
      <c r="AN660" s="18"/>
      <c r="AO660" s="6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6"/>
      <c r="BK660" s="6"/>
      <c r="BL660" s="6" t="s">
        <v>59</v>
      </c>
      <c r="BO660" s="15"/>
    </row>
    <row r="661" spans="1:67" ht="13.25" customHeight="1">
      <c r="A661" s="6" t="s">
        <v>132</v>
      </c>
      <c r="B661" s="6" t="s">
        <v>139</v>
      </c>
      <c r="C661" s="17">
        <v>31715.641687294908</v>
      </c>
      <c r="D661" s="18">
        <v>13.37370568706165</v>
      </c>
      <c r="E661" s="6"/>
      <c r="F661" s="6"/>
      <c r="G661" s="22"/>
      <c r="H661" s="22"/>
      <c r="I661" s="22"/>
      <c r="J661" s="22"/>
      <c r="K661" s="22"/>
      <c r="L661" s="22"/>
      <c r="M661" s="22"/>
      <c r="N661" s="18"/>
      <c r="O661" s="18"/>
      <c r="P661" s="22"/>
      <c r="Q661" s="22"/>
      <c r="R661" s="22"/>
      <c r="S661" s="22"/>
      <c r="T661" s="22"/>
      <c r="U661" s="22"/>
      <c r="V661" s="6"/>
      <c r="W661" s="6"/>
      <c r="X661" s="19"/>
      <c r="Y661" s="6"/>
      <c r="Z661" s="6"/>
      <c r="AA661" s="18">
        <v>333.140535</v>
      </c>
      <c r="AB661" s="18">
        <v>333.140535</v>
      </c>
      <c r="AC661" s="18">
        <v>333.140535</v>
      </c>
      <c r="AD661" s="6"/>
      <c r="AE661" s="6"/>
      <c r="AF661" s="18"/>
      <c r="AG661" s="18"/>
      <c r="AH661" s="18"/>
      <c r="AI661" s="18"/>
      <c r="AK661" s="18"/>
      <c r="AL661" s="18"/>
      <c r="AM661" s="40" t="s">
        <v>118</v>
      </c>
      <c r="AN661" s="18"/>
      <c r="AO661" s="6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6"/>
      <c r="BK661" s="6"/>
      <c r="BL661" s="6" t="s">
        <v>59</v>
      </c>
      <c r="BO661" s="15"/>
    </row>
    <row r="662" spans="1:67">
      <c r="A662" s="6" t="s">
        <v>132</v>
      </c>
      <c r="B662" s="6" t="s">
        <v>139</v>
      </c>
      <c r="C662" s="17">
        <v>31736.997920503411</v>
      </c>
      <c r="D662" s="18">
        <v>13.432177115632888</v>
      </c>
      <c r="E662" s="6"/>
      <c r="F662" s="6"/>
      <c r="G662" s="22"/>
      <c r="H662" s="22"/>
      <c r="I662" s="22"/>
      <c r="J662" s="22"/>
      <c r="K662" s="22"/>
      <c r="L662" s="22"/>
      <c r="M662" s="22"/>
      <c r="N662" s="18"/>
      <c r="O662" s="18"/>
      <c r="P662" s="22"/>
      <c r="Q662" s="22"/>
      <c r="R662" s="22"/>
      <c r="S662" s="22"/>
      <c r="T662" s="22"/>
      <c r="U662" s="22"/>
      <c r="V662" s="6"/>
      <c r="W662" s="6"/>
      <c r="X662" s="19"/>
      <c r="Y662" s="6"/>
      <c r="Z662" s="6"/>
      <c r="AA662" s="18">
        <v>303.39016700000002</v>
      </c>
      <c r="AB662" s="18">
        <v>303.39016700000002</v>
      </c>
      <c r="AC662" s="18">
        <v>303.39016700000002</v>
      </c>
      <c r="AD662" s="6"/>
      <c r="AE662" s="6"/>
      <c r="AF662" s="18"/>
      <c r="AG662" s="18"/>
      <c r="AH662" s="18"/>
      <c r="AI662" s="18"/>
      <c r="AK662" s="18"/>
      <c r="AL662" s="18"/>
      <c r="AM662" s="40" t="s">
        <v>118</v>
      </c>
      <c r="AN662" s="18"/>
      <c r="AO662" s="6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6"/>
      <c r="BK662" s="6"/>
      <c r="BL662" s="6" t="s">
        <v>59</v>
      </c>
      <c r="BO662" s="15"/>
    </row>
    <row r="663" spans="1:67">
      <c r="A663" s="6" t="s">
        <v>132</v>
      </c>
      <c r="B663" s="6" t="s">
        <v>139</v>
      </c>
      <c r="C663" s="17">
        <v>31745.540413786828</v>
      </c>
      <c r="D663" s="18">
        <v>13.455565687061428</v>
      </c>
      <c r="E663" s="6"/>
      <c r="F663" s="6"/>
      <c r="G663" s="22"/>
      <c r="H663" s="22"/>
      <c r="I663" s="22"/>
      <c r="J663" s="22"/>
      <c r="K663" s="22"/>
      <c r="L663" s="22"/>
      <c r="M663" s="22"/>
      <c r="N663" s="18"/>
      <c r="O663" s="18"/>
      <c r="P663" s="22"/>
      <c r="Q663" s="22"/>
      <c r="R663" s="22"/>
      <c r="S663" s="22"/>
      <c r="T663" s="22"/>
      <c r="U663" s="22"/>
      <c r="V663" s="6"/>
      <c r="W663" s="6"/>
      <c r="X663" s="19"/>
      <c r="Y663" s="6"/>
      <c r="Z663" s="6"/>
      <c r="AA663" s="18">
        <v>344.59844700000002</v>
      </c>
      <c r="AB663" s="18">
        <v>344.59844700000002</v>
      </c>
      <c r="AC663" s="18">
        <v>344.59844700000002</v>
      </c>
      <c r="AD663" s="6"/>
      <c r="AE663" s="6"/>
      <c r="AF663" s="18"/>
      <c r="AG663" s="18"/>
      <c r="AH663" s="18"/>
      <c r="AI663" s="18"/>
      <c r="AK663" s="18"/>
      <c r="AL663" s="18"/>
      <c r="AM663" s="40" t="s">
        <v>118</v>
      </c>
      <c r="AN663" s="18"/>
      <c r="AO663" s="6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6"/>
      <c r="BK663" s="6"/>
      <c r="BL663" s="6" t="s">
        <v>59</v>
      </c>
      <c r="BO663" s="15"/>
    </row>
    <row r="664" spans="1:67">
      <c r="A664" s="6" t="s">
        <v>132</v>
      </c>
      <c r="B664" s="6" t="s">
        <v>139</v>
      </c>
      <c r="C664" s="17">
        <v>31754.082907070246</v>
      </c>
      <c r="D664" s="18">
        <v>13.478954258489971</v>
      </c>
      <c r="E664" s="6"/>
      <c r="F664" s="6"/>
      <c r="G664" s="22"/>
      <c r="H664" s="22"/>
      <c r="I664" s="22"/>
      <c r="J664" s="22"/>
      <c r="K664" s="22"/>
      <c r="L664" s="22"/>
      <c r="M664" s="22"/>
      <c r="N664" s="18"/>
      <c r="O664" s="18"/>
      <c r="P664" s="22"/>
      <c r="Q664" s="22"/>
      <c r="R664" s="22"/>
      <c r="S664" s="22"/>
      <c r="T664" s="22"/>
      <c r="U664" s="22"/>
      <c r="V664" s="6"/>
      <c r="W664" s="6"/>
      <c r="X664" s="19"/>
      <c r="Y664" s="6"/>
      <c r="Z664" s="6"/>
      <c r="AA664" s="18">
        <v>353.74467500000003</v>
      </c>
      <c r="AB664" s="18">
        <v>353.74467500000003</v>
      </c>
      <c r="AC664" s="18">
        <v>353.74467500000003</v>
      </c>
      <c r="AD664" s="6"/>
      <c r="AE664" s="6"/>
      <c r="AF664" s="18"/>
      <c r="AG664" s="18"/>
      <c r="AH664" s="18"/>
      <c r="AI664" s="18"/>
      <c r="AK664" s="18"/>
      <c r="AL664" s="18"/>
      <c r="AM664" s="40" t="s">
        <v>118</v>
      </c>
      <c r="AN664" s="18"/>
      <c r="AO664" s="6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6"/>
      <c r="BK664" s="6"/>
      <c r="BL664" s="6" t="s">
        <v>59</v>
      </c>
      <c r="BO664" s="15"/>
    </row>
    <row r="665" spans="1:67">
      <c r="A665" s="6" t="s">
        <v>132</v>
      </c>
      <c r="B665" s="6" t="s">
        <v>139</v>
      </c>
      <c r="C665" s="17">
        <v>31762.625400353663</v>
      </c>
      <c r="D665" s="18">
        <v>13.502342829918511</v>
      </c>
      <c r="E665" s="6"/>
      <c r="F665" s="6"/>
      <c r="G665" s="22"/>
      <c r="H665" s="22"/>
      <c r="I665" s="22"/>
      <c r="J665" s="22"/>
      <c r="K665" s="22"/>
      <c r="L665" s="22"/>
      <c r="M665" s="22"/>
      <c r="N665" s="18"/>
      <c r="O665" s="18"/>
      <c r="P665" s="22"/>
      <c r="Q665" s="22"/>
      <c r="R665" s="22"/>
      <c r="S665" s="22"/>
      <c r="T665" s="22"/>
      <c r="U665" s="22"/>
      <c r="V665" s="6"/>
      <c r="W665" s="6"/>
      <c r="X665" s="19"/>
      <c r="Y665" s="6"/>
      <c r="Z665" s="6"/>
      <c r="AA665" s="18">
        <v>350.402784</v>
      </c>
      <c r="AB665" s="18">
        <v>350.402784</v>
      </c>
      <c r="AC665" s="18">
        <v>350.402784</v>
      </c>
      <c r="AD665" s="6"/>
      <c r="AE665" s="6"/>
      <c r="AF665" s="18"/>
      <c r="AG665" s="18"/>
      <c r="AH665" s="18"/>
      <c r="AI665" s="18"/>
      <c r="AK665" s="18"/>
      <c r="AL665" s="18"/>
      <c r="AM665" s="40" t="s">
        <v>118</v>
      </c>
      <c r="AN665" s="18"/>
      <c r="AO665" s="6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6"/>
      <c r="BK665" s="6"/>
      <c r="BL665" s="6" t="s">
        <v>59</v>
      </c>
      <c r="BO665" s="15"/>
    </row>
    <row r="666" spans="1:67" ht="13.25" customHeight="1">
      <c r="A666" s="6" t="s">
        <v>132</v>
      </c>
      <c r="B666" s="6" t="s">
        <v>139</v>
      </c>
      <c r="C666" s="17">
        <v>31771.167893637165</v>
      </c>
      <c r="D666" s="18">
        <v>13.525731401347281</v>
      </c>
      <c r="E666" s="6"/>
      <c r="F666" s="6"/>
      <c r="G666" s="22"/>
      <c r="H666" s="22"/>
      <c r="I666" s="22"/>
      <c r="J666" s="22"/>
      <c r="K666" s="22"/>
      <c r="L666" s="22"/>
      <c r="M666" s="22"/>
      <c r="N666" s="18"/>
      <c r="O666" s="18"/>
      <c r="P666" s="22"/>
      <c r="Q666" s="22"/>
      <c r="R666" s="22"/>
      <c r="S666" s="22"/>
      <c r="T666" s="22"/>
      <c r="U666" s="22"/>
      <c r="V666" s="6"/>
      <c r="W666" s="6"/>
      <c r="X666" s="19"/>
      <c r="Y666" s="6"/>
      <c r="Z666" s="6"/>
      <c r="AA666" s="18">
        <v>345.60352699999999</v>
      </c>
      <c r="AB666" s="18">
        <v>345.60352699999999</v>
      </c>
      <c r="AC666" s="18">
        <v>345.60352699999999</v>
      </c>
      <c r="AD666" s="6"/>
      <c r="AE666" s="6"/>
      <c r="AF666" s="18"/>
      <c r="AG666" s="18"/>
      <c r="AH666" s="18"/>
      <c r="AI666" s="18"/>
      <c r="AK666" s="18"/>
      <c r="AL666" s="18"/>
      <c r="AM666" s="40" t="s">
        <v>118</v>
      </c>
      <c r="AN666" s="18"/>
      <c r="AO666" s="6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6"/>
      <c r="BK666" s="6"/>
      <c r="BL666" s="6" t="s">
        <v>59</v>
      </c>
      <c r="BO666" s="15"/>
    </row>
    <row r="667" spans="1:67">
      <c r="A667" s="6" t="s">
        <v>132</v>
      </c>
      <c r="B667" s="6" t="s">
        <v>139</v>
      </c>
      <c r="C667" s="17">
        <v>31779.710386920582</v>
      </c>
      <c r="D667" s="18">
        <v>13.549119972775824</v>
      </c>
      <c r="E667" s="6"/>
      <c r="F667" s="6"/>
      <c r="G667" s="22"/>
      <c r="H667" s="22"/>
      <c r="I667" s="22"/>
      <c r="J667" s="22"/>
      <c r="K667" s="22"/>
      <c r="L667" s="22"/>
      <c r="M667" s="22"/>
      <c r="N667" s="18"/>
      <c r="O667" s="18"/>
      <c r="P667" s="22"/>
      <c r="Q667" s="22"/>
      <c r="R667" s="22"/>
      <c r="S667" s="22"/>
      <c r="T667" s="22"/>
      <c r="U667" s="22"/>
      <c r="V667" s="6"/>
      <c r="W667" s="6"/>
      <c r="X667" s="19"/>
      <c r="Y667" s="6"/>
      <c r="Z667" s="6"/>
      <c r="AA667" s="18">
        <v>345.98043200000001</v>
      </c>
      <c r="AB667" s="18">
        <v>345.98043200000001</v>
      </c>
      <c r="AC667" s="18">
        <v>345.98043200000001</v>
      </c>
      <c r="AD667" s="6"/>
      <c r="AE667" s="6"/>
      <c r="AF667" s="18"/>
      <c r="AG667" s="18"/>
      <c r="AH667" s="18"/>
      <c r="AI667" s="18"/>
      <c r="AK667" s="18"/>
      <c r="AL667" s="18"/>
      <c r="AM667" s="40" t="s">
        <v>118</v>
      </c>
      <c r="AN667" s="18"/>
      <c r="AO667" s="6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6"/>
      <c r="BK667" s="6"/>
      <c r="BL667" s="6" t="s">
        <v>59</v>
      </c>
      <c r="BO667" s="15"/>
    </row>
    <row r="668" spans="1:67">
      <c r="A668" s="6" t="s">
        <v>132</v>
      </c>
      <c r="B668" s="6" t="s">
        <v>139</v>
      </c>
      <c r="C668" s="17">
        <v>31783.981633562249</v>
      </c>
      <c r="D668" s="18">
        <v>13.560814258489978</v>
      </c>
      <c r="E668" s="6"/>
      <c r="F668" s="6"/>
      <c r="G668" s="22"/>
      <c r="H668" s="22"/>
      <c r="I668" s="22"/>
      <c r="J668" s="22"/>
      <c r="K668" s="22"/>
      <c r="L668" s="22"/>
      <c r="M668" s="22"/>
      <c r="N668" s="18"/>
      <c r="O668" s="18"/>
      <c r="P668" s="22"/>
      <c r="Q668" s="22"/>
      <c r="R668" s="22"/>
      <c r="S668" s="22"/>
      <c r="T668" s="22"/>
      <c r="U668" s="22"/>
      <c r="V668" s="6"/>
      <c r="W668" s="6"/>
      <c r="X668" s="19"/>
      <c r="Y668" s="6"/>
      <c r="Z668" s="6"/>
      <c r="AA668" s="18">
        <v>341.156048</v>
      </c>
      <c r="AB668" s="18">
        <v>341.156048</v>
      </c>
      <c r="AC668" s="18">
        <v>341.156048</v>
      </c>
      <c r="AD668" s="6"/>
      <c r="AE668" s="6"/>
      <c r="AF668" s="18"/>
      <c r="AG668" s="18"/>
      <c r="AH668" s="18"/>
      <c r="AI668" s="18"/>
      <c r="AK668" s="18"/>
      <c r="AL668" s="18"/>
      <c r="AM668" s="40" t="s">
        <v>118</v>
      </c>
      <c r="AN668" s="18"/>
      <c r="AO668" s="6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6"/>
      <c r="BK668" s="6"/>
      <c r="BL668" s="6" t="s">
        <v>59</v>
      </c>
      <c r="BO668" s="15"/>
    </row>
    <row r="669" spans="1:67">
      <c r="A669" s="6" t="s">
        <v>132</v>
      </c>
      <c r="B669" s="6" t="s">
        <v>139</v>
      </c>
      <c r="C669" s="17">
        <v>31801.066620129084</v>
      </c>
      <c r="D669" s="18">
        <v>13.607591401347062</v>
      </c>
      <c r="E669" s="6"/>
      <c r="F669" s="6"/>
      <c r="G669" s="22"/>
      <c r="H669" s="22"/>
      <c r="I669" s="22"/>
      <c r="J669" s="22"/>
      <c r="K669" s="22"/>
      <c r="L669" s="22"/>
      <c r="M669" s="22"/>
      <c r="N669" s="18"/>
      <c r="O669" s="18"/>
      <c r="P669" s="22"/>
      <c r="Q669" s="22"/>
      <c r="R669" s="22"/>
      <c r="S669" s="22"/>
      <c r="T669" s="22"/>
      <c r="U669" s="22"/>
      <c r="V669" s="6"/>
      <c r="W669" s="6"/>
      <c r="X669" s="19"/>
      <c r="Y669" s="6"/>
      <c r="Z669" s="6"/>
      <c r="AA669" s="18">
        <v>331.884185</v>
      </c>
      <c r="AB669" s="18">
        <v>331.884185</v>
      </c>
      <c r="AC669" s="18">
        <v>331.884185</v>
      </c>
      <c r="AD669" s="6"/>
      <c r="AE669" s="6"/>
      <c r="AF669" s="18"/>
      <c r="AG669" s="18"/>
      <c r="AH669" s="18"/>
      <c r="AI669" s="18"/>
      <c r="AK669" s="18"/>
      <c r="AL669" s="18"/>
      <c r="AM669" s="40" t="s">
        <v>118</v>
      </c>
      <c r="AN669" s="18"/>
      <c r="AO669" s="6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6"/>
      <c r="BK669" s="6"/>
      <c r="BL669" s="6" t="s">
        <v>59</v>
      </c>
      <c r="BO669" s="15"/>
    </row>
    <row r="670" spans="1:67">
      <c r="A670" s="6" t="s">
        <v>132</v>
      </c>
      <c r="B670" s="6" t="s">
        <v>139</v>
      </c>
      <c r="C670" s="17">
        <v>31813.880360054332</v>
      </c>
      <c r="D670" s="18">
        <v>13.642674258490208</v>
      </c>
      <c r="E670" s="6"/>
      <c r="F670" s="6"/>
      <c r="G670" s="22"/>
      <c r="H670" s="22"/>
      <c r="I670" s="22"/>
      <c r="J670" s="22"/>
      <c r="K670" s="22"/>
      <c r="L670" s="22"/>
      <c r="M670" s="22"/>
      <c r="N670" s="18"/>
      <c r="O670" s="18"/>
      <c r="P670" s="22"/>
      <c r="Q670" s="22"/>
      <c r="R670" s="22"/>
      <c r="S670" s="22"/>
      <c r="T670" s="22"/>
      <c r="U670" s="22"/>
      <c r="V670" s="6"/>
      <c r="W670" s="6"/>
      <c r="X670" s="19"/>
      <c r="Y670" s="6"/>
      <c r="Z670" s="6"/>
      <c r="AA670" s="18">
        <v>334.346631</v>
      </c>
      <c r="AB670" s="18">
        <v>334.346631</v>
      </c>
      <c r="AC670" s="18">
        <v>334.346631</v>
      </c>
      <c r="AD670" s="6"/>
      <c r="AE670" s="6"/>
      <c r="AF670" s="18"/>
      <c r="AG670" s="18"/>
      <c r="AH670" s="18"/>
      <c r="AI670" s="18"/>
      <c r="AK670" s="18"/>
      <c r="AL670" s="18"/>
      <c r="AM670" s="40" t="s">
        <v>118</v>
      </c>
      <c r="AN670" s="18"/>
      <c r="AO670" s="6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6"/>
      <c r="BK670" s="6"/>
      <c r="BL670" s="6" t="s">
        <v>59</v>
      </c>
      <c r="BO670" s="15"/>
    </row>
    <row r="671" spans="1:67" ht="13.25" customHeight="1">
      <c r="A671" s="6" t="s">
        <v>132</v>
      </c>
      <c r="B671" s="6" t="s">
        <v>139</v>
      </c>
      <c r="C671" s="17">
        <v>31826.694099979417</v>
      </c>
      <c r="D671" s="18">
        <v>13.677757115632906</v>
      </c>
      <c r="E671" s="6"/>
      <c r="F671" s="6"/>
      <c r="G671" s="22"/>
      <c r="H671" s="22"/>
      <c r="I671" s="22"/>
      <c r="J671" s="22"/>
      <c r="K671" s="22"/>
      <c r="L671" s="22"/>
      <c r="M671" s="22"/>
      <c r="N671" s="18"/>
      <c r="O671" s="18"/>
      <c r="P671" s="22"/>
      <c r="Q671" s="22"/>
      <c r="R671" s="22"/>
      <c r="S671" s="22"/>
      <c r="T671" s="22"/>
      <c r="U671" s="22"/>
      <c r="V671" s="6"/>
      <c r="W671" s="6"/>
      <c r="X671" s="19"/>
      <c r="Y671" s="6"/>
      <c r="Z671" s="6"/>
      <c r="AA671" s="18">
        <v>338.49258600000002</v>
      </c>
      <c r="AB671" s="18">
        <v>338.49258600000002</v>
      </c>
      <c r="AC671" s="18">
        <v>338.49258600000002</v>
      </c>
      <c r="AD671" s="6"/>
      <c r="AE671" s="6"/>
      <c r="AF671" s="18"/>
      <c r="AG671" s="18"/>
      <c r="AH671" s="18"/>
      <c r="AI671" s="18"/>
      <c r="AK671" s="18"/>
      <c r="AL671" s="18"/>
      <c r="AM671" s="40" t="s">
        <v>118</v>
      </c>
      <c r="AN671" s="18"/>
      <c r="AO671" s="6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6"/>
      <c r="BK671" s="6"/>
      <c r="BL671" s="6" t="s">
        <v>59</v>
      </c>
      <c r="BO671" s="15"/>
    </row>
    <row r="672" spans="1:67">
      <c r="A672" s="6" t="s">
        <v>132</v>
      </c>
      <c r="B672" s="6" t="s">
        <v>139</v>
      </c>
      <c r="C672" s="17">
        <v>31843.779086546336</v>
      </c>
      <c r="D672" s="18">
        <v>13.724534258490216</v>
      </c>
      <c r="E672" s="6"/>
      <c r="F672" s="6"/>
      <c r="G672" s="22"/>
      <c r="H672" s="22"/>
      <c r="I672" s="22"/>
      <c r="J672" s="22"/>
      <c r="K672" s="22"/>
      <c r="L672" s="22"/>
      <c r="M672" s="22"/>
      <c r="N672" s="18"/>
      <c r="O672" s="18"/>
      <c r="P672" s="22"/>
      <c r="Q672" s="22"/>
      <c r="R672" s="22"/>
      <c r="S672" s="22"/>
      <c r="T672" s="22"/>
      <c r="U672" s="22"/>
      <c r="V672" s="6"/>
      <c r="W672" s="6"/>
      <c r="X672" s="19"/>
      <c r="Y672" s="6"/>
      <c r="Z672" s="6"/>
      <c r="AA672" s="18">
        <v>343.19133499999998</v>
      </c>
      <c r="AB672" s="18">
        <v>343.19133499999998</v>
      </c>
      <c r="AC672" s="18">
        <v>343.19133499999998</v>
      </c>
      <c r="AD672" s="6"/>
      <c r="AE672" s="6"/>
      <c r="AF672" s="18"/>
      <c r="AG672" s="18"/>
      <c r="AH672" s="18"/>
      <c r="AI672" s="18"/>
      <c r="AK672" s="18"/>
      <c r="AL672" s="18"/>
      <c r="AM672" s="40" t="s">
        <v>118</v>
      </c>
      <c r="AN672" s="18"/>
      <c r="AO672" s="6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6"/>
      <c r="BK672" s="6"/>
      <c r="BL672" s="6" t="s">
        <v>59</v>
      </c>
      <c r="BO672" s="15"/>
    </row>
    <row r="673" spans="1:67" ht="13.25" customHeight="1">
      <c r="A673" s="6" t="s">
        <v>132</v>
      </c>
      <c r="B673" s="6" t="s">
        <v>139</v>
      </c>
      <c r="C673" s="17">
        <v>31860.864073113171</v>
      </c>
      <c r="D673" s="18">
        <v>13.771311401347299</v>
      </c>
      <c r="E673" s="6"/>
      <c r="F673" s="6"/>
      <c r="G673" s="22"/>
      <c r="H673" s="22"/>
      <c r="I673" s="22"/>
      <c r="J673" s="22"/>
      <c r="K673" s="22"/>
      <c r="L673" s="22"/>
      <c r="M673" s="22"/>
      <c r="N673" s="18"/>
      <c r="O673" s="18"/>
      <c r="P673" s="22"/>
      <c r="Q673" s="22"/>
      <c r="R673" s="22"/>
      <c r="S673" s="22"/>
      <c r="T673" s="22"/>
      <c r="U673" s="22"/>
      <c r="V673" s="6"/>
      <c r="W673" s="6"/>
      <c r="X673" s="19"/>
      <c r="Y673" s="6"/>
      <c r="Z673" s="6"/>
      <c r="AA673" s="18">
        <v>334.67328199999997</v>
      </c>
      <c r="AB673" s="18">
        <v>334.67328199999997</v>
      </c>
      <c r="AC673" s="18">
        <v>334.67328199999997</v>
      </c>
      <c r="AD673" s="6"/>
      <c r="AE673" s="6"/>
      <c r="AF673" s="18"/>
      <c r="AG673" s="18"/>
      <c r="AH673" s="18"/>
      <c r="AI673" s="18"/>
      <c r="AK673" s="18"/>
      <c r="AL673" s="18"/>
      <c r="AM673" s="40" t="s">
        <v>118</v>
      </c>
      <c r="AN673" s="18"/>
      <c r="AO673" s="6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6"/>
      <c r="BK673" s="6"/>
      <c r="BL673" s="6" t="s">
        <v>59</v>
      </c>
      <c r="BO673" s="15"/>
    </row>
    <row r="674" spans="1:67">
      <c r="A674" s="6" t="s">
        <v>132</v>
      </c>
      <c r="B674" s="6" t="s">
        <v>139</v>
      </c>
      <c r="C674" s="17">
        <v>31873.677813038255</v>
      </c>
      <c r="D674" s="18">
        <v>13.806394258489997</v>
      </c>
      <c r="E674" s="6"/>
      <c r="F674" s="6"/>
      <c r="G674" s="22"/>
      <c r="H674" s="22"/>
      <c r="I674" s="22"/>
      <c r="J674" s="22"/>
      <c r="K674" s="22"/>
      <c r="L674" s="22"/>
      <c r="M674" s="22"/>
      <c r="N674" s="18"/>
      <c r="O674" s="18"/>
      <c r="P674" s="22"/>
      <c r="Q674" s="22"/>
      <c r="R674" s="22"/>
      <c r="S674" s="22"/>
      <c r="T674" s="22"/>
      <c r="U674" s="22"/>
      <c r="V674" s="6"/>
      <c r="W674" s="6"/>
      <c r="X674" s="19"/>
      <c r="Y674" s="6"/>
      <c r="Z674" s="6"/>
      <c r="AA674" s="18">
        <v>318.31560500000001</v>
      </c>
      <c r="AB674" s="18">
        <v>318.31560500000001</v>
      </c>
      <c r="AC674" s="18">
        <v>318.31560500000001</v>
      </c>
      <c r="AD674" s="6"/>
      <c r="AE674" s="6"/>
      <c r="AF674" s="18"/>
      <c r="AG674" s="18"/>
      <c r="AH674" s="18"/>
      <c r="AI674" s="18"/>
      <c r="AK674" s="18"/>
      <c r="AL674" s="18"/>
      <c r="AM674" s="40" t="s">
        <v>118</v>
      </c>
      <c r="AN674" s="18"/>
      <c r="AO674" s="6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6"/>
      <c r="BK674" s="6"/>
      <c r="BL674" s="6" t="s">
        <v>59</v>
      </c>
      <c r="BO674" s="15"/>
    </row>
    <row r="675" spans="1:67">
      <c r="A675" s="6" t="s">
        <v>132</v>
      </c>
      <c r="B675" s="6" t="s">
        <v>139</v>
      </c>
      <c r="C675" s="17">
        <v>31895.034046246841</v>
      </c>
      <c r="D675" s="18">
        <v>13.864865687061464</v>
      </c>
      <c r="E675" s="6"/>
      <c r="F675" s="6"/>
      <c r="G675" s="22"/>
      <c r="H675" s="22"/>
      <c r="I675" s="22"/>
      <c r="J675" s="22"/>
      <c r="K675" s="22"/>
      <c r="L675" s="22"/>
      <c r="M675" s="22"/>
      <c r="N675" s="18"/>
      <c r="O675" s="18"/>
      <c r="P675" s="22"/>
      <c r="Q675" s="22"/>
      <c r="R675" s="22"/>
      <c r="S675" s="22"/>
      <c r="T675" s="22"/>
      <c r="U675" s="22"/>
      <c r="V675" s="6"/>
      <c r="W675" s="6"/>
      <c r="X675" s="19"/>
      <c r="Y675" s="6"/>
      <c r="Z675" s="6"/>
      <c r="AA675" s="18">
        <v>301.60615000000001</v>
      </c>
      <c r="AB675" s="18">
        <v>301.60615000000001</v>
      </c>
      <c r="AC675" s="18">
        <v>301.60615000000001</v>
      </c>
      <c r="AD675" s="6"/>
      <c r="AE675" s="6"/>
      <c r="AF675" s="18"/>
      <c r="AG675" s="18"/>
      <c r="AH675" s="18"/>
      <c r="AI675" s="18"/>
      <c r="AK675" s="18"/>
      <c r="AL675" s="18"/>
      <c r="AM675" s="40" t="s">
        <v>118</v>
      </c>
      <c r="AN675" s="18"/>
      <c r="AO675" s="6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6"/>
      <c r="BK675" s="6"/>
      <c r="BL675" s="6" t="s">
        <v>59</v>
      </c>
      <c r="BO675" s="15"/>
    </row>
    <row r="676" spans="1:67">
      <c r="A676" s="6" t="s">
        <v>132</v>
      </c>
      <c r="B676" s="6" t="s">
        <v>139</v>
      </c>
      <c r="C676" s="17">
        <v>31907.847786171926</v>
      </c>
      <c r="D676" s="18">
        <v>13.899948544204161</v>
      </c>
      <c r="E676" s="6"/>
      <c r="F676" s="6"/>
      <c r="G676" s="22"/>
      <c r="H676" s="22"/>
      <c r="I676" s="22"/>
      <c r="J676" s="22"/>
      <c r="K676" s="22"/>
      <c r="L676" s="22"/>
      <c r="M676" s="22"/>
      <c r="N676" s="18"/>
      <c r="O676" s="18"/>
      <c r="P676" s="22"/>
      <c r="Q676" s="22"/>
      <c r="R676" s="22"/>
      <c r="S676" s="22"/>
      <c r="T676" s="22"/>
      <c r="U676" s="22"/>
      <c r="V676" s="6"/>
      <c r="W676" s="6"/>
      <c r="X676" s="19"/>
      <c r="Y676" s="6"/>
      <c r="Z676" s="6"/>
      <c r="AA676" s="18">
        <v>299.59599000000003</v>
      </c>
      <c r="AB676" s="18">
        <v>299.59599000000003</v>
      </c>
      <c r="AC676" s="18">
        <v>299.59599000000003</v>
      </c>
      <c r="AD676" s="6"/>
      <c r="AE676" s="6"/>
      <c r="AF676" s="18"/>
      <c r="AG676" s="18"/>
      <c r="AH676" s="18"/>
      <c r="AI676" s="18"/>
      <c r="AK676" s="18"/>
      <c r="AL676" s="18"/>
      <c r="AM676" s="40" t="s">
        <v>118</v>
      </c>
      <c r="AN676" s="18"/>
      <c r="AO676" s="6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6"/>
      <c r="BK676" s="6"/>
      <c r="BL676" s="6" t="s">
        <v>59</v>
      </c>
      <c r="BO676" s="15"/>
    </row>
    <row r="677" spans="1:67" ht="13.25" customHeight="1">
      <c r="A677" s="6" t="s">
        <v>132</v>
      </c>
      <c r="B677" s="6" t="s">
        <v>139</v>
      </c>
      <c r="C677" s="17">
        <v>31920.661526097174</v>
      </c>
      <c r="D677" s="18">
        <v>13.935031401347308</v>
      </c>
      <c r="E677" s="6"/>
      <c r="F677" s="6"/>
      <c r="G677" s="22"/>
      <c r="H677" s="22"/>
      <c r="I677" s="22"/>
      <c r="J677" s="22"/>
      <c r="K677" s="22"/>
      <c r="L677" s="22"/>
      <c r="M677" s="22"/>
      <c r="N677" s="18"/>
      <c r="O677" s="18"/>
      <c r="P677" s="22"/>
      <c r="Q677" s="22"/>
      <c r="R677" s="22"/>
      <c r="S677" s="22"/>
      <c r="T677" s="22"/>
      <c r="U677" s="22"/>
      <c r="V677" s="6"/>
      <c r="W677" s="6"/>
      <c r="X677" s="19"/>
      <c r="Y677" s="6"/>
      <c r="Z677" s="6"/>
      <c r="AA677" s="18">
        <v>307.08383600000002</v>
      </c>
      <c r="AB677" s="18">
        <v>307.08383600000002</v>
      </c>
      <c r="AC677" s="18">
        <v>307.08383600000002</v>
      </c>
      <c r="AD677" s="6"/>
      <c r="AE677" s="6"/>
      <c r="AF677" s="18"/>
      <c r="AG677" s="18"/>
      <c r="AH677" s="18"/>
      <c r="AI677" s="18"/>
      <c r="AK677" s="18"/>
      <c r="AL677" s="18"/>
      <c r="AM677" s="40" t="s">
        <v>118</v>
      </c>
      <c r="AN677" s="18"/>
      <c r="AO677" s="6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6"/>
      <c r="BK677" s="6"/>
      <c r="BL677" s="6" t="s">
        <v>59</v>
      </c>
      <c r="BO677" s="15"/>
    </row>
    <row r="678" spans="1:67">
      <c r="A678" s="6" t="s">
        <v>132</v>
      </c>
      <c r="B678" s="6" t="s">
        <v>139</v>
      </c>
      <c r="C678" s="17">
        <v>31933.475266022342</v>
      </c>
      <c r="D678" s="18">
        <v>13.970114258490234</v>
      </c>
      <c r="E678" s="6"/>
      <c r="F678" s="6"/>
      <c r="G678" s="22"/>
      <c r="H678" s="22"/>
      <c r="I678" s="22"/>
      <c r="J678" s="22"/>
      <c r="K678" s="22"/>
      <c r="L678" s="22"/>
      <c r="M678" s="22"/>
      <c r="N678" s="18"/>
      <c r="O678" s="18"/>
      <c r="P678" s="22"/>
      <c r="Q678" s="22"/>
      <c r="R678" s="22"/>
      <c r="S678" s="22"/>
      <c r="T678" s="22"/>
      <c r="U678" s="22"/>
      <c r="V678" s="6"/>
      <c r="W678" s="6"/>
      <c r="X678" s="19"/>
      <c r="Y678" s="6"/>
      <c r="Z678" s="6"/>
      <c r="AA678" s="18">
        <v>309.722171</v>
      </c>
      <c r="AB678" s="18">
        <v>309.722171</v>
      </c>
      <c r="AC678" s="18">
        <v>309.722171</v>
      </c>
      <c r="AD678" s="6"/>
      <c r="AE678" s="6"/>
      <c r="AF678" s="18"/>
      <c r="AG678" s="18"/>
      <c r="AH678" s="18"/>
      <c r="AI678" s="18"/>
      <c r="AK678" s="18"/>
      <c r="AL678" s="18"/>
      <c r="AM678" s="40" t="s">
        <v>118</v>
      </c>
      <c r="AN678" s="18"/>
      <c r="AO678" s="6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6"/>
      <c r="BK678" s="6"/>
      <c r="BL678" s="6" t="s">
        <v>59</v>
      </c>
      <c r="BO678" s="15"/>
    </row>
    <row r="679" spans="1:67" ht="13.25" customHeight="1">
      <c r="A679" s="6" t="s">
        <v>132</v>
      </c>
      <c r="B679" s="6" t="s">
        <v>139</v>
      </c>
      <c r="C679" s="17">
        <v>31950.560252589177</v>
      </c>
      <c r="D679" s="18">
        <v>14.016891401347317</v>
      </c>
      <c r="E679" s="6"/>
      <c r="F679" s="6"/>
      <c r="G679" s="22"/>
      <c r="H679" s="22"/>
      <c r="I679" s="22"/>
      <c r="J679" s="22"/>
      <c r="K679" s="22"/>
      <c r="L679" s="22"/>
      <c r="M679" s="22"/>
      <c r="N679" s="18"/>
      <c r="O679" s="18"/>
      <c r="P679" s="22"/>
      <c r="Q679" s="22"/>
      <c r="R679" s="22"/>
      <c r="S679" s="22"/>
      <c r="T679" s="22"/>
      <c r="U679" s="22"/>
      <c r="V679" s="6"/>
      <c r="W679" s="6"/>
      <c r="X679" s="19"/>
      <c r="Y679" s="6"/>
      <c r="Z679" s="6"/>
      <c r="AA679" s="18">
        <v>306.78231200000005</v>
      </c>
      <c r="AB679" s="18">
        <v>306.78231200000005</v>
      </c>
      <c r="AC679" s="18">
        <v>306.78231200000005</v>
      </c>
      <c r="AD679" s="6"/>
      <c r="AE679" s="6"/>
      <c r="AF679" s="18"/>
      <c r="AG679" s="18"/>
      <c r="AH679" s="18"/>
      <c r="AI679" s="18"/>
      <c r="AK679" s="18"/>
      <c r="AL679" s="18"/>
      <c r="AM679" s="40" t="s">
        <v>118</v>
      </c>
      <c r="AN679" s="18"/>
      <c r="AO679" s="6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6"/>
      <c r="BK679" s="6"/>
      <c r="BL679" s="6" t="s">
        <v>59</v>
      </c>
      <c r="BO679" s="15"/>
    </row>
    <row r="680" spans="1:67" ht="13.25" customHeight="1">
      <c r="A680" s="6" t="s">
        <v>132</v>
      </c>
      <c r="B680" s="6" t="s">
        <v>139</v>
      </c>
      <c r="C680" s="17">
        <v>31967.645239156012</v>
      </c>
      <c r="D680" s="18">
        <v>14.063668544204399</v>
      </c>
      <c r="E680" s="6"/>
      <c r="F680" s="6"/>
      <c r="G680" s="22"/>
      <c r="H680" s="22"/>
      <c r="I680" s="22"/>
      <c r="J680" s="22"/>
      <c r="K680" s="22"/>
      <c r="L680" s="22"/>
      <c r="M680" s="22"/>
      <c r="N680" s="18"/>
      <c r="O680" s="18"/>
      <c r="P680" s="22"/>
      <c r="Q680" s="22"/>
      <c r="R680" s="22"/>
      <c r="S680" s="22"/>
      <c r="T680" s="22"/>
      <c r="U680" s="22"/>
      <c r="V680" s="6"/>
      <c r="W680" s="6"/>
      <c r="X680" s="19"/>
      <c r="Y680" s="6"/>
      <c r="Z680" s="6"/>
      <c r="AA680" s="18">
        <v>320.04936800000002</v>
      </c>
      <c r="AB680" s="18">
        <v>320.04936800000002</v>
      </c>
      <c r="AC680" s="18">
        <v>320.04936800000002</v>
      </c>
      <c r="AD680" s="6"/>
      <c r="AE680" s="6"/>
      <c r="AF680" s="18"/>
      <c r="AG680" s="18"/>
      <c r="AH680" s="18"/>
      <c r="AI680" s="18"/>
      <c r="AK680" s="18"/>
      <c r="AL680" s="18"/>
      <c r="AM680" s="40" t="s">
        <v>118</v>
      </c>
      <c r="AN680" s="18"/>
      <c r="AO680" s="6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6"/>
      <c r="BK680" s="6"/>
      <c r="BL680" s="6" t="s">
        <v>59</v>
      </c>
      <c r="BO680" s="15"/>
    </row>
    <row r="681" spans="1:67">
      <c r="A681" s="6" t="s">
        <v>132</v>
      </c>
      <c r="B681" s="6" t="s">
        <v>139</v>
      </c>
      <c r="C681" s="17">
        <v>31980.458979081097</v>
      </c>
      <c r="D681" s="18">
        <v>14.098751401347096</v>
      </c>
      <c r="E681" s="6"/>
      <c r="F681" s="6"/>
      <c r="G681" s="22"/>
      <c r="H681" s="22"/>
      <c r="I681" s="22"/>
      <c r="J681" s="22"/>
      <c r="K681" s="22"/>
      <c r="L681" s="22"/>
      <c r="M681" s="22"/>
      <c r="N681" s="18"/>
      <c r="O681" s="18"/>
      <c r="P681" s="22"/>
      <c r="Q681" s="22"/>
      <c r="R681" s="22"/>
      <c r="S681" s="22"/>
      <c r="T681" s="22"/>
      <c r="U681" s="22"/>
      <c r="V681" s="6"/>
      <c r="W681" s="6"/>
      <c r="X681" s="19"/>
      <c r="Y681" s="6"/>
      <c r="Z681" s="6"/>
      <c r="AA681" s="18">
        <v>318.59200200000004</v>
      </c>
      <c r="AB681" s="18">
        <v>318.59200200000004</v>
      </c>
      <c r="AC681" s="18">
        <v>318.59200200000004</v>
      </c>
      <c r="AD681" s="6"/>
      <c r="AE681" s="6"/>
      <c r="AF681" s="18"/>
      <c r="AG681" s="18"/>
      <c r="AH681" s="18"/>
      <c r="AI681" s="18"/>
      <c r="AK681" s="18"/>
      <c r="AL681" s="18"/>
      <c r="AM681" s="40" t="s">
        <v>118</v>
      </c>
      <c r="AN681" s="18"/>
      <c r="AO681" s="6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6"/>
      <c r="BK681" s="6"/>
      <c r="BL681" s="6" t="s">
        <v>59</v>
      </c>
      <c r="BO681" s="15"/>
    </row>
    <row r="682" spans="1:67" ht="13.25" customHeight="1">
      <c r="A682" s="6" t="s">
        <v>132</v>
      </c>
      <c r="B682" s="6" t="s">
        <v>139</v>
      </c>
      <c r="C682" s="17">
        <v>32001.815212289683</v>
      </c>
      <c r="D682" s="18">
        <v>14.157222829918565</v>
      </c>
      <c r="E682" s="6"/>
      <c r="F682" s="6"/>
      <c r="G682" s="22"/>
      <c r="H682" s="22"/>
      <c r="I682" s="22"/>
      <c r="J682" s="22"/>
      <c r="K682" s="22"/>
      <c r="L682" s="22"/>
      <c r="M682" s="22"/>
      <c r="N682" s="18"/>
      <c r="O682" s="18"/>
      <c r="P682" s="22"/>
      <c r="Q682" s="22"/>
      <c r="R682" s="22"/>
      <c r="S682" s="22"/>
      <c r="T682" s="22"/>
      <c r="U682" s="22"/>
      <c r="V682" s="6"/>
      <c r="W682" s="6"/>
      <c r="X682" s="19"/>
      <c r="Y682" s="6"/>
      <c r="Z682" s="6"/>
      <c r="AA682" s="18">
        <v>333.56769399999996</v>
      </c>
      <c r="AB682" s="18">
        <v>333.56769399999996</v>
      </c>
      <c r="AC682" s="18">
        <v>333.56769399999996</v>
      </c>
      <c r="AD682" s="6"/>
      <c r="AE682" s="6"/>
      <c r="AF682" s="18"/>
      <c r="AG682" s="18"/>
      <c r="AH682" s="18"/>
      <c r="AI682" s="18"/>
      <c r="AK682" s="18"/>
      <c r="AL682" s="18"/>
      <c r="AM682" s="40" t="s">
        <v>118</v>
      </c>
      <c r="AN682" s="18"/>
      <c r="AO682" s="6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6"/>
      <c r="BK682" s="6"/>
      <c r="BL682" s="6" t="s">
        <v>59</v>
      </c>
      <c r="BO682" s="15"/>
    </row>
    <row r="683" spans="1:67" ht="13.25" customHeight="1">
      <c r="A683" s="6" t="s">
        <v>132</v>
      </c>
      <c r="B683" s="6" t="s">
        <v>139</v>
      </c>
      <c r="C683" s="17">
        <v>32023.171445498348</v>
      </c>
      <c r="D683" s="18">
        <v>14.215694258490251</v>
      </c>
      <c r="E683" s="6"/>
      <c r="F683" s="6"/>
      <c r="G683" s="22"/>
      <c r="H683" s="22"/>
      <c r="I683" s="22"/>
      <c r="J683" s="22"/>
      <c r="K683" s="22"/>
      <c r="L683" s="22"/>
      <c r="M683" s="22"/>
      <c r="N683" s="18"/>
      <c r="O683" s="18"/>
      <c r="P683" s="22"/>
      <c r="Q683" s="22"/>
      <c r="R683" s="22"/>
      <c r="S683" s="22"/>
      <c r="T683" s="22"/>
      <c r="U683" s="22"/>
      <c r="V683" s="6"/>
      <c r="W683" s="6"/>
      <c r="X683" s="19"/>
      <c r="Y683" s="6"/>
      <c r="Z683" s="6"/>
      <c r="AA683" s="18">
        <v>339.57304699999997</v>
      </c>
      <c r="AB683" s="18">
        <v>339.57304699999997</v>
      </c>
      <c r="AC683" s="18">
        <v>339.57304699999997</v>
      </c>
      <c r="AD683" s="6"/>
      <c r="AE683" s="6"/>
      <c r="AF683" s="18"/>
      <c r="AG683" s="18"/>
      <c r="AH683" s="18"/>
      <c r="AI683" s="18"/>
      <c r="AK683" s="18"/>
      <c r="AL683" s="18"/>
      <c r="AM683" s="40" t="s">
        <v>118</v>
      </c>
      <c r="AN683" s="18"/>
      <c r="AO683" s="6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6"/>
      <c r="BK683" s="6"/>
      <c r="BL683" s="6" t="s">
        <v>59</v>
      </c>
      <c r="BO683" s="15"/>
    </row>
    <row r="684" spans="1:67" ht="13.25" customHeight="1">
      <c r="A684" s="6" t="s">
        <v>132</v>
      </c>
      <c r="B684" s="6" t="s">
        <v>139</v>
      </c>
      <c r="C684" s="17">
        <v>32048.798925348601</v>
      </c>
      <c r="D684" s="18">
        <v>14.285859972775876</v>
      </c>
      <c r="E684" s="6"/>
      <c r="F684" s="6"/>
      <c r="G684" s="22"/>
      <c r="H684" s="22"/>
      <c r="I684" s="22"/>
      <c r="J684" s="22"/>
      <c r="K684" s="22"/>
      <c r="L684" s="22"/>
      <c r="M684" s="22"/>
      <c r="N684" s="18"/>
      <c r="O684" s="18"/>
      <c r="P684" s="22"/>
      <c r="Q684" s="22"/>
      <c r="R684" s="22"/>
      <c r="S684" s="22"/>
      <c r="T684" s="22"/>
      <c r="U684" s="22"/>
      <c r="V684" s="6"/>
      <c r="W684" s="6"/>
      <c r="X684" s="19"/>
      <c r="Y684" s="6"/>
      <c r="Z684" s="6"/>
      <c r="AA684" s="18">
        <v>340.40223800000001</v>
      </c>
      <c r="AB684" s="18">
        <v>340.40223800000001</v>
      </c>
      <c r="AC684" s="18">
        <v>340.40223800000001</v>
      </c>
      <c r="AD684" s="6"/>
      <c r="AE684" s="6"/>
      <c r="AF684" s="18"/>
      <c r="AG684" s="18"/>
      <c r="AH684" s="18"/>
      <c r="AI684" s="18"/>
      <c r="AK684" s="18"/>
      <c r="AL684" s="18"/>
      <c r="AM684" s="40" t="s">
        <v>118</v>
      </c>
      <c r="AN684" s="18"/>
      <c r="AO684" s="6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6"/>
      <c r="BK684" s="6"/>
      <c r="BL684" s="6" t="s">
        <v>59</v>
      </c>
      <c r="BO684" s="15"/>
    </row>
    <row r="685" spans="1:67" ht="13.25" customHeight="1">
      <c r="A685" s="6" t="s">
        <v>132</v>
      </c>
      <c r="B685" s="6" t="s">
        <v>139</v>
      </c>
      <c r="C685" s="17">
        <v>32053.070171990268</v>
      </c>
      <c r="D685" s="18">
        <v>14.297554258490031</v>
      </c>
      <c r="E685" s="6"/>
      <c r="F685" s="6"/>
      <c r="G685" s="22"/>
      <c r="H685" s="22"/>
      <c r="I685" s="22"/>
      <c r="J685" s="22"/>
      <c r="K685" s="22"/>
      <c r="L685" s="22"/>
      <c r="M685" s="22"/>
      <c r="N685" s="18"/>
      <c r="O685" s="18"/>
      <c r="P685" s="22"/>
      <c r="Q685" s="22"/>
      <c r="R685" s="22"/>
      <c r="S685" s="22"/>
      <c r="T685" s="22"/>
      <c r="U685" s="22"/>
      <c r="V685" s="6"/>
      <c r="W685" s="6"/>
      <c r="X685" s="19"/>
      <c r="Y685" s="6"/>
      <c r="Z685" s="6"/>
      <c r="AA685" s="18">
        <v>336.68344200000001</v>
      </c>
      <c r="AB685" s="18">
        <v>336.68344200000001</v>
      </c>
      <c r="AC685" s="18">
        <v>336.68344200000001</v>
      </c>
      <c r="AD685" s="6"/>
      <c r="AE685" s="6"/>
      <c r="AF685" s="18"/>
      <c r="AG685" s="18"/>
      <c r="AH685" s="18"/>
      <c r="AI685" s="18"/>
      <c r="AK685" s="18"/>
      <c r="AL685" s="18"/>
      <c r="AM685" s="40" t="s">
        <v>118</v>
      </c>
      <c r="AN685" s="18"/>
      <c r="AO685" s="6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6"/>
      <c r="BK685" s="6"/>
      <c r="BL685" s="6" t="s">
        <v>59</v>
      </c>
      <c r="BO685" s="15"/>
    </row>
    <row r="686" spans="1:67" ht="13.25" customHeight="1">
      <c r="A686" s="6" t="s">
        <v>132</v>
      </c>
      <c r="B686" s="6" t="s">
        <v>139</v>
      </c>
      <c r="C686" s="17">
        <v>32061.612665273686</v>
      </c>
      <c r="D686" s="18">
        <v>14.320942829918573</v>
      </c>
      <c r="E686" s="6"/>
      <c r="F686" s="6"/>
      <c r="G686" s="22"/>
      <c r="H686" s="22"/>
      <c r="I686" s="22"/>
      <c r="J686" s="22"/>
      <c r="K686" s="22"/>
      <c r="L686" s="22"/>
      <c r="M686" s="22"/>
      <c r="N686" s="18"/>
      <c r="O686" s="18"/>
      <c r="P686" s="22"/>
      <c r="Q686" s="22"/>
      <c r="R686" s="22"/>
      <c r="S686" s="22"/>
      <c r="T686" s="22"/>
      <c r="U686" s="22"/>
      <c r="V686" s="6"/>
      <c r="W686" s="6"/>
      <c r="X686" s="19"/>
      <c r="Y686" s="6"/>
      <c r="Z686" s="6"/>
      <c r="AA686" s="18">
        <v>331.859058</v>
      </c>
      <c r="AB686" s="18">
        <v>331.859058</v>
      </c>
      <c r="AC686" s="18">
        <v>331.859058</v>
      </c>
      <c r="AD686" s="6"/>
      <c r="AE686" s="6"/>
      <c r="AF686" s="18"/>
      <c r="AG686" s="18"/>
      <c r="AH686" s="18"/>
      <c r="AI686" s="18"/>
      <c r="AK686" s="18"/>
      <c r="AL686" s="18"/>
      <c r="AM686" s="40" t="s">
        <v>118</v>
      </c>
      <c r="AN686" s="18"/>
      <c r="AO686" s="6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6"/>
      <c r="BK686" s="6"/>
      <c r="BL686" s="6" t="s">
        <v>59</v>
      </c>
      <c r="BO686" s="15"/>
    </row>
    <row r="687" spans="1:67" ht="13.25" customHeight="1">
      <c r="A687" s="6" t="s">
        <v>132</v>
      </c>
      <c r="B687" s="6" t="s">
        <v>139</v>
      </c>
      <c r="C687" s="17">
        <v>32078.697651840605</v>
      </c>
      <c r="D687" s="18">
        <v>14.367719972775884</v>
      </c>
      <c r="E687" s="6"/>
      <c r="F687" s="6"/>
      <c r="G687" s="22"/>
      <c r="H687" s="22"/>
      <c r="I687" s="22"/>
      <c r="J687" s="22"/>
      <c r="K687" s="22"/>
      <c r="L687" s="22"/>
      <c r="M687" s="22"/>
      <c r="N687" s="18"/>
      <c r="O687" s="18"/>
      <c r="P687" s="22"/>
      <c r="Q687" s="22"/>
      <c r="R687" s="22"/>
      <c r="S687" s="22"/>
      <c r="T687" s="22"/>
      <c r="U687" s="22"/>
      <c r="V687" s="6"/>
      <c r="W687" s="6"/>
      <c r="X687" s="19"/>
      <c r="Y687" s="6"/>
      <c r="Z687" s="6"/>
      <c r="AA687" s="18">
        <v>334.321504</v>
      </c>
      <c r="AB687" s="18">
        <v>334.321504</v>
      </c>
      <c r="AC687" s="18">
        <v>334.321504</v>
      </c>
      <c r="AD687" s="6"/>
      <c r="AE687" s="6"/>
      <c r="AF687" s="18"/>
      <c r="AG687" s="18"/>
      <c r="AH687" s="18"/>
      <c r="AI687" s="18"/>
      <c r="AK687" s="18"/>
      <c r="AL687" s="18"/>
      <c r="AM687" s="40" t="s">
        <v>118</v>
      </c>
      <c r="AN687" s="18"/>
      <c r="AO687" s="6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6"/>
      <c r="BK687" s="6"/>
      <c r="BL687" s="6" t="s">
        <v>59</v>
      </c>
      <c r="BO687" s="15"/>
    </row>
    <row r="688" spans="1:67" ht="13.25" customHeight="1">
      <c r="A688" s="6" t="s">
        <v>132</v>
      </c>
      <c r="B688" s="6" t="s">
        <v>139</v>
      </c>
      <c r="C688" s="17">
        <v>32095.78263840744</v>
      </c>
      <c r="D688" s="18">
        <v>14.414497115632967</v>
      </c>
      <c r="E688" s="6"/>
      <c r="F688" s="6"/>
      <c r="G688" s="22"/>
      <c r="H688" s="22"/>
      <c r="I688" s="22"/>
      <c r="J688" s="22"/>
      <c r="K688" s="22"/>
      <c r="L688" s="22"/>
      <c r="M688" s="22"/>
      <c r="N688" s="18"/>
      <c r="O688" s="18"/>
      <c r="P688" s="22"/>
      <c r="Q688" s="22"/>
      <c r="R688" s="22"/>
      <c r="S688" s="22"/>
      <c r="T688" s="22"/>
      <c r="U688" s="22"/>
      <c r="V688" s="6"/>
      <c r="W688" s="6"/>
      <c r="X688" s="19"/>
      <c r="Y688" s="6"/>
      <c r="Z688" s="6"/>
      <c r="AA688" s="18">
        <v>332.51236</v>
      </c>
      <c r="AB688" s="18">
        <v>332.51236</v>
      </c>
      <c r="AC688" s="18">
        <v>332.51236</v>
      </c>
      <c r="AD688" s="6"/>
      <c r="AE688" s="6"/>
      <c r="AF688" s="18"/>
      <c r="AG688" s="18"/>
      <c r="AH688" s="18"/>
      <c r="AI688" s="18"/>
      <c r="AK688" s="18"/>
      <c r="AL688" s="18"/>
      <c r="AM688" s="40" t="s">
        <v>118</v>
      </c>
      <c r="AN688" s="18"/>
      <c r="AO688" s="6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6"/>
      <c r="BK688" s="6"/>
      <c r="BL688" s="6" t="s">
        <v>59</v>
      </c>
      <c r="BO688" s="15"/>
    </row>
    <row r="689" spans="1:67" ht="13.25" customHeight="1">
      <c r="A689" s="6" t="s">
        <v>132</v>
      </c>
      <c r="B689" s="6" t="s">
        <v>139</v>
      </c>
      <c r="C689" s="17">
        <v>32104.325131690857</v>
      </c>
      <c r="D689" s="18">
        <v>14.437885687061508</v>
      </c>
      <c r="E689" s="6"/>
      <c r="F689" s="6"/>
      <c r="G689" s="22"/>
      <c r="H689" s="22"/>
      <c r="I689" s="22"/>
      <c r="J689" s="22"/>
      <c r="K689" s="22"/>
      <c r="L689" s="22"/>
      <c r="M689" s="22"/>
      <c r="N689" s="18"/>
      <c r="O689" s="18"/>
      <c r="P689" s="22"/>
      <c r="Q689" s="22"/>
      <c r="R689" s="22"/>
      <c r="S689" s="22"/>
      <c r="T689" s="22"/>
      <c r="U689" s="22"/>
      <c r="V689" s="6"/>
      <c r="W689" s="6"/>
      <c r="X689" s="19"/>
      <c r="Y689" s="6"/>
      <c r="Z689" s="6"/>
      <c r="AA689" s="18">
        <v>342.03549299999997</v>
      </c>
      <c r="AB689" s="18">
        <v>342.03549299999997</v>
      </c>
      <c r="AC689" s="18">
        <v>342.03549299999997</v>
      </c>
      <c r="AD689" s="6"/>
      <c r="AE689" s="6"/>
      <c r="AF689" s="18"/>
      <c r="AG689" s="18"/>
      <c r="AH689" s="18"/>
      <c r="AI689" s="18"/>
      <c r="AK689" s="18"/>
      <c r="AL689" s="18"/>
      <c r="AM689" s="40" t="s">
        <v>118</v>
      </c>
      <c r="AN689" s="18"/>
      <c r="AO689" s="6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6"/>
      <c r="BK689" s="6"/>
      <c r="BL689" s="6" t="s">
        <v>59</v>
      </c>
      <c r="BO689" s="15"/>
    </row>
    <row r="690" spans="1:67" ht="13.25" customHeight="1">
      <c r="A690" s="6" t="s">
        <v>132</v>
      </c>
      <c r="B690" s="6" t="s">
        <v>139</v>
      </c>
      <c r="C690" s="17">
        <v>32138.495104824608</v>
      </c>
      <c r="D690" s="18">
        <v>14.531439972775892</v>
      </c>
      <c r="E690" s="6"/>
      <c r="F690" s="6"/>
      <c r="G690" s="22"/>
      <c r="H690" s="22"/>
      <c r="I690" s="22"/>
      <c r="J690" s="22"/>
      <c r="K690" s="22"/>
      <c r="L690" s="22"/>
      <c r="M690" s="22"/>
      <c r="N690" s="18"/>
      <c r="O690" s="18"/>
      <c r="P690" s="22"/>
      <c r="Q690" s="22"/>
      <c r="R690" s="22"/>
      <c r="S690" s="22"/>
      <c r="T690" s="22"/>
      <c r="U690" s="22"/>
      <c r="V690" s="6"/>
      <c r="W690" s="6"/>
      <c r="X690" s="19"/>
      <c r="Y690" s="6"/>
      <c r="Z690" s="6"/>
      <c r="AA690" s="18">
        <v>340.65350799999999</v>
      </c>
      <c r="AB690" s="18">
        <v>340.65350799999999</v>
      </c>
      <c r="AC690" s="18">
        <v>340.65350799999999</v>
      </c>
      <c r="AD690" s="6"/>
      <c r="AE690" s="6"/>
      <c r="AF690" s="18"/>
      <c r="AG690" s="18"/>
      <c r="AH690" s="18"/>
      <c r="AI690" s="18"/>
      <c r="AK690" s="18"/>
      <c r="AL690" s="18"/>
      <c r="AM690" s="40" t="s">
        <v>118</v>
      </c>
      <c r="AN690" s="18"/>
      <c r="AO690" s="6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6"/>
      <c r="BK690" s="6"/>
      <c r="BL690" s="6" t="s">
        <v>59</v>
      </c>
      <c r="BO690" s="15"/>
    </row>
    <row r="691" spans="1:67" ht="13.25" customHeight="1">
      <c r="A691" s="6" t="s">
        <v>129</v>
      </c>
      <c r="B691" s="6" t="s">
        <v>136</v>
      </c>
      <c r="C691" s="17">
        <v>30573.732550000001</v>
      </c>
      <c r="D691" s="18">
        <v>10.25</v>
      </c>
      <c r="E691" s="6"/>
      <c r="F691" s="6"/>
      <c r="G691" s="22"/>
      <c r="H691" s="22"/>
      <c r="I691" s="22"/>
      <c r="J691" s="22"/>
      <c r="K691" s="22"/>
      <c r="L691" s="22"/>
      <c r="M691" s="22"/>
      <c r="N691" s="18"/>
      <c r="O691" s="18"/>
      <c r="P691" s="22"/>
      <c r="Q691" s="22"/>
      <c r="R691" s="22"/>
      <c r="S691" s="22"/>
      <c r="T691" s="22"/>
      <c r="U691" s="22"/>
      <c r="V691" s="6"/>
      <c r="W691" s="18"/>
      <c r="X691" s="19"/>
      <c r="Y691" s="18"/>
      <c r="Z691" s="18"/>
      <c r="AA691" s="6"/>
      <c r="AB691" s="6"/>
      <c r="AC691" s="6"/>
      <c r="AD691" s="6"/>
      <c r="AE691" s="6"/>
      <c r="AF691" s="18"/>
      <c r="AG691" s="18"/>
      <c r="AH691" s="18"/>
      <c r="AI691" s="18"/>
      <c r="AK691" s="18"/>
      <c r="AL691" s="18"/>
      <c r="AM691" s="40" t="s">
        <v>118</v>
      </c>
      <c r="AN691" s="18"/>
      <c r="AO691" s="6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6"/>
      <c r="BK691" s="6"/>
      <c r="BL691" s="6" t="s">
        <v>60</v>
      </c>
      <c r="BO691" s="15"/>
    </row>
    <row r="692" spans="1:67" ht="13.25" customHeight="1">
      <c r="A692" s="6" t="s">
        <v>129</v>
      </c>
      <c r="B692" s="6" t="s">
        <v>136</v>
      </c>
      <c r="C692" s="17">
        <v>30665.043099999999</v>
      </c>
      <c r="D692" s="18">
        <v>10.5</v>
      </c>
      <c r="E692" s="6"/>
      <c r="F692" s="6"/>
      <c r="G692" s="22"/>
      <c r="H692" s="22"/>
      <c r="I692" s="22"/>
      <c r="J692" s="22"/>
      <c r="K692" s="22"/>
      <c r="L692" s="22"/>
      <c r="M692" s="22"/>
      <c r="N692" s="18"/>
      <c r="O692" s="18"/>
      <c r="P692" s="22"/>
      <c r="Q692" s="22"/>
      <c r="R692" s="22"/>
      <c r="S692" s="22"/>
      <c r="T692" s="22"/>
      <c r="U692" s="22"/>
      <c r="V692" s="6"/>
      <c r="W692" s="18"/>
      <c r="X692" s="19"/>
      <c r="Y692" s="18"/>
      <c r="Z692" s="18"/>
      <c r="AA692" s="6"/>
      <c r="AB692" s="6"/>
      <c r="AC692" s="6"/>
      <c r="AD692" s="6"/>
      <c r="AE692" s="6"/>
      <c r="AF692" s="18"/>
      <c r="AG692" s="18"/>
      <c r="AH692" s="18"/>
      <c r="AI692" s="18"/>
      <c r="AK692" s="18"/>
      <c r="AL692" s="18"/>
      <c r="AM692" s="40" t="s">
        <v>118</v>
      </c>
      <c r="AN692" s="18"/>
      <c r="AO692" s="6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6"/>
      <c r="BK692" s="6"/>
      <c r="BL692" s="6" t="s">
        <v>60</v>
      </c>
      <c r="BO692" s="15"/>
    </row>
    <row r="693" spans="1:67" ht="13.25" customHeight="1">
      <c r="A693" s="6" t="s">
        <v>129</v>
      </c>
      <c r="B693" s="6" t="s">
        <v>136</v>
      </c>
      <c r="C693" s="17">
        <v>30756.353650000001</v>
      </c>
      <c r="D693" s="18">
        <v>10.75</v>
      </c>
      <c r="E693" s="6"/>
      <c r="F693" s="6"/>
      <c r="G693" s="22"/>
      <c r="H693" s="22"/>
      <c r="I693" s="22"/>
      <c r="J693" s="22"/>
      <c r="K693" s="22"/>
      <c r="L693" s="22"/>
      <c r="M693" s="22"/>
      <c r="N693" s="18"/>
      <c r="O693" s="18"/>
      <c r="P693" s="22"/>
      <c r="Q693" s="22"/>
      <c r="R693" s="22"/>
      <c r="S693" s="22"/>
      <c r="T693" s="22"/>
      <c r="U693" s="22"/>
      <c r="V693" s="6"/>
      <c r="W693" s="18"/>
      <c r="X693" s="19"/>
      <c r="Y693" s="18"/>
      <c r="Z693" s="18"/>
      <c r="AA693" s="6"/>
      <c r="AB693" s="6"/>
      <c r="AC693" s="6"/>
      <c r="AD693" s="6"/>
      <c r="AE693" s="6"/>
      <c r="AF693" s="18"/>
      <c r="AG693" s="18"/>
      <c r="AH693" s="18"/>
      <c r="AI693" s="18"/>
      <c r="AK693" s="18"/>
      <c r="AL693" s="18"/>
      <c r="AM693" s="40" t="s">
        <v>118</v>
      </c>
      <c r="AN693" s="18"/>
      <c r="AO693" s="6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6"/>
      <c r="BK693" s="6"/>
      <c r="BL693" s="6" t="s">
        <v>60</v>
      </c>
      <c r="BO693" s="15"/>
    </row>
    <row r="694" spans="1:67">
      <c r="A694" s="6" t="s">
        <v>129</v>
      </c>
      <c r="B694" s="6" t="s">
        <v>136</v>
      </c>
      <c r="C694" s="17">
        <v>30847.664199999999</v>
      </c>
      <c r="D694" s="18">
        <v>11</v>
      </c>
      <c r="E694" s="6"/>
      <c r="F694" s="6"/>
      <c r="G694" s="22"/>
      <c r="H694" s="22"/>
      <c r="I694" s="22"/>
      <c r="J694" s="22"/>
      <c r="K694" s="22"/>
      <c r="L694" s="22"/>
      <c r="M694" s="22"/>
      <c r="N694" s="18"/>
      <c r="O694" s="18"/>
      <c r="P694" s="22"/>
      <c r="Q694" s="22"/>
      <c r="R694" s="22"/>
      <c r="S694" s="22"/>
      <c r="T694" s="22"/>
      <c r="U694" s="22"/>
      <c r="V694" s="6"/>
      <c r="W694" s="18"/>
      <c r="X694" s="19"/>
      <c r="Y694" s="18"/>
      <c r="Z694" s="18"/>
      <c r="AA694" s="6"/>
      <c r="AB694" s="6"/>
      <c r="AC694" s="6"/>
      <c r="AD694" s="6"/>
      <c r="AE694" s="6"/>
      <c r="AF694" s="18"/>
      <c r="AG694" s="18"/>
      <c r="AH694" s="18"/>
      <c r="AI694" s="18"/>
      <c r="AK694" s="18"/>
      <c r="AL694" s="18"/>
      <c r="AM694" s="40" t="s">
        <v>118</v>
      </c>
      <c r="AN694" s="18"/>
      <c r="AO694" s="6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6"/>
      <c r="BK694" s="6"/>
      <c r="BL694" s="6" t="s">
        <v>60</v>
      </c>
      <c r="BO694" s="15"/>
    </row>
    <row r="695" spans="1:67" ht="13.25" customHeight="1">
      <c r="A695" s="6" t="s">
        <v>129</v>
      </c>
      <c r="B695" s="6" t="s">
        <v>136</v>
      </c>
      <c r="C695" s="17">
        <v>30938.974750000001</v>
      </c>
      <c r="D695" s="18">
        <v>11.25</v>
      </c>
      <c r="E695" s="6"/>
      <c r="F695" s="6"/>
      <c r="G695" s="22"/>
      <c r="H695" s="22"/>
      <c r="I695" s="22"/>
      <c r="J695" s="22"/>
      <c r="K695" s="22"/>
      <c r="L695" s="22"/>
      <c r="M695" s="22"/>
      <c r="N695" s="18"/>
      <c r="O695" s="18"/>
      <c r="P695" s="22"/>
      <c r="Q695" s="22"/>
      <c r="R695" s="22"/>
      <c r="S695" s="22"/>
      <c r="T695" s="22"/>
      <c r="U695" s="22"/>
      <c r="V695" s="6"/>
      <c r="W695" s="18"/>
      <c r="X695" s="19"/>
      <c r="Y695" s="18"/>
      <c r="Z695" s="18"/>
      <c r="AA695" s="6"/>
      <c r="AB695" s="6"/>
      <c r="AC695" s="6"/>
      <c r="AD695" s="6"/>
      <c r="AE695" s="6"/>
      <c r="AF695" s="18"/>
      <c r="AG695" s="18"/>
      <c r="AH695" s="18"/>
      <c r="AI695" s="18"/>
      <c r="AK695" s="18"/>
      <c r="AL695" s="18"/>
      <c r="AM695" s="40" t="s">
        <v>118</v>
      </c>
      <c r="AN695" s="18"/>
      <c r="AO695" s="6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6"/>
      <c r="BK695" s="6"/>
      <c r="BL695" s="6" t="s">
        <v>60</v>
      </c>
      <c r="BO695" s="15"/>
    </row>
    <row r="696" spans="1:67" ht="13.25" customHeight="1">
      <c r="A696" s="6" t="s">
        <v>129</v>
      </c>
      <c r="B696" s="6" t="s">
        <v>136</v>
      </c>
      <c r="C696" s="17">
        <v>31030.2853</v>
      </c>
      <c r="D696" s="18">
        <v>11.5</v>
      </c>
      <c r="E696" s="6"/>
      <c r="F696" s="6"/>
      <c r="G696" s="22"/>
      <c r="H696" s="22"/>
      <c r="I696" s="22"/>
      <c r="J696" s="22"/>
      <c r="K696" s="22"/>
      <c r="L696" s="22"/>
      <c r="M696" s="22"/>
      <c r="N696" s="18"/>
      <c r="O696" s="18"/>
      <c r="P696" s="22"/>
      <c r="Q696" s="22"/>
      <c r="R696" s="22"/>
      <c r="S696" s="22"/>
      <c r="T696" s="22"/>
      <c r="U696" s="22"/>
      <c r="V696" s="6"/>
      <c r="W696" s="18"/>
      <c r="X696" s="19"/>
      <c r="Y696" s="18"/>
      <c r="Z696" s="18"/>
      <c r="AA696" s="6"/>
      <c r="AB696" s="6"/>
      <c r="AC696" s="6"/>
      <c r="AD696" s="6"/>
      <c r="AE696" s="6"/>
      <c r="AF696" s="18"/>
      <c r="AG696" s="18"/>
      <c r="AH696" s="18"/>
      <c r="AI696" s="18"/>
      <c r="AK696" s="18"/>
      <c r="AL696" s="18"/>
      <c r="AM696" s="40" t="s">
        <v>118</v>
      </c>
      <c r="AN696" s="18"/>
      <c r="AO696" s="6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6"/>
      <c r="BK696" s="6"/>
      <c r="BL696" s="6" t="s">
        <v>60</v>
      </c>
      <c r="BO696" s="15"/>
    </row>
    <row r="697" spans="1:67" ht="13.25" customHeight="1">
      <c r="A697" s="6" t="s">
        <v>129</v>
      </c>
      <c r="B697" s="6" t="s">
        <v>136</v>
      </c>
      <c r="C697" s="17">
        <v>31121.595850000002</v>
      </c>
      <c r="D697" s="18">
        <v>11.75</v>
      </c>
      <c r="E697" s="6"/>
      <c r="F697" s="6"/>
      <c r="G697" s="22"/>
      <c r="H697" s="22"/>
      <c r="I697" s="22"/>
      <c r="J697" s="22"/>
      <c r="K697" s="22"/>
      <c r="L697" s="22"/>
      <c r="M697" s="22"/>
      <c r="N697" s="18"/>
      <c r="O697" s="18"/>
      <c r="P697" s="22"/>
      <c r="Q697" s="22"/>
      <c r="R697" s="22"/>
      <c r="S697" s="22"/>
      <c r="T697" s="22"/>
      <c r="U697" s="22"/>
      <c r="V697" s="6"/>
      <c r="W697" s="18"/>
      <c r="X697" s="19"/>
      <c r="Y697" s="18"/>
      <c r="Z697" s="18"/>
      <c r="AA697" s="6"/>
      <c r="AB697" s="6"/>
      <c r="AC697" s="6"/>
      <c r="AD697" s="6"/>
      <c r="AE697" s="6"/>
      <c r="AF697" s="18"/>
      <c r="AG697" s="18"/>
      <c r="AH697" s="18"/>
      <c r="AI697" s="18"/>
      <c r="AK697" s="18"/>
      <c r="AL697" s="18"/>
      <c r="AM697" s="40" t="s">
        <v>118</v>
      </c>
      <c r="AN697" s="18"/>
      <c r="AO697" s="6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6"/>
      <c r="BK697" s="6"/>
      <c r="BL697" s="6" t="s">
        <v>60</v>
      </c>
      <c r="BO697" s="15"/>
    </row>
    <row r="698" spans="1:67" ht="13.25" customHeight="1">
      <c r="A698" s="6" t="s">
        <v>129</v>
      </c>
      <c r="B698" s="6" t="s">
        <v>136</v>
      </c>
      <c r="C698" s="17">
        <v>31212.9064</v>
      </c>
      <c r="D698" s="18">
        <v>12</v>
      </c>
      <c r="E698" s="6"/>
      <c r="F698" s="6"/>
      <c r="G698" s="22"/>
      <c r="H698" s="22"/>
      <c r="I698" s="22"/>
      <c r="J698" s="22"/>
      <c r="K698" s="22"/>
      <c r="L698" s="22"/>
      <c r="M698" s="22"/>
      <c r="N698" s="18"/>
      <c r="O698" s="18"/>
      <c r="P698" s="22"/>
      <c r="Q698" s="22"/>
      <c r="R698" s="22"/>
      <c r="S698" s="22"/>
      <c r="T698" s="22"/>
      <c r="U698" s="22"/>
      <c r="V698" s="6"/>
      <c r="W698" s="18"/>
      <c r="X698" s="19"/>
      <c r="Y698" s="18"/>
      <c r="Z698" s="18"/>
      <c r="AA698" s="6"/>
      <c r="AB698" s="6"/>
      <c r="AC698" s="6"/>
      <c r="AD698" s="6"/>
      <c r="AE698" s="6"/>
      <c r="AF698" s="18"/>
      <c r="AG698" s="18"/>
      <c r="AH698" s="18"/>
      <c r="AI698" s="18"/>
      <c r="AK698" s="18"/>
      <c r="AL698" s="18"/>
      <c r="AM698" s="40" t="s">
        <v>118</v>
      </c>
      <c r="AN698" s="18"/>
      <c r="AO698" s="6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6"/>
      <c r="BK698" s="6"/>
      <c r="BL698" s="6" t="s">
        <v>60</v>
      </c>
      <c r="BO698" s="15"/>
    </row>
    <row r="699" spans="1:67" ht="13.25" customHeight="1">
      <c r="A699" s="6" t="s">
        <v>129</v>
      </c>
      <c r="B699" s="6" t="s">
        <v>136</v>
      </c>
      <c r="C699" s="17">
        <v>31304.216950000002</v>
      </c>
      <c r="D699" s="18">
        <v>12.25</v>
      </c>
      <c r="E699" s="6"/>
      <c r="F699" s="6"/>
      <c r="G699" s="22"/>
      <c r="H699" s="22"/>
      <c r="I699" s="22"/>
      <c r="J699" s="22"/>
      <c r="K699" s="22"/>
      <c r="L699" s="22"/>
      <c r="M699" s="22"/>
      <c r="N699" s="18"/>
      <c r="O699" s="18"/>
      <c r="P699" s="22"/>
      <c r="Q699" s="22"/>
      <c r="R699" s="22"/>
      <c r="S699" s="22"/>
      <c r="T699" s="22"/>
      <c r="U699" s="22"/>
      <c r="V699" s="6"/>
      <c r="W699" s="18"/>
      <c r="X699" s="19"/>
      <c r="Y699" s="18"/>
      <c r="Z699" s="18"/>
      <c r="AA699" s="6"/>
      <c r="AB699" s="6"/>
      <c r="AC699" s="6"/>
      <c r="AD699" s="6"/>
      <c r="AE699" s="6"/>
      <c r="AF699" s="18"/>
      <c r="AG699" s="18"/>
      <c r="AH699" s="18"/>
      <c r="AI699" s="18"/>
      <c r="AK699" s="18"/>
      <c r="AL699" s="18"/>
      <c r="AM699" s="40" t="s">
        <v>118</v>
      </c>
      <c r="AN699" s="18"/>
      <c r="AO699" s="6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6"/>
      <c r="BK699" s="6"/>
      <c r="BL699" s="6" t="s">
        <v>60</v>
      </c>
      <c r="BO699" s="15"/>
    </row>
    <row r="700" spans="1:67" ht="13.25" customHeight="1">
      <c r="A700" s="6" t="s">
        <v>129</v>
      </c>
      <c r="B700" s="6" t="s">
        <v>136</v>
      </c>
      <c r="C700" s="17">
        <v>31395.5275</v>
      </c>
      <c r="D700" s="18">
        <v>12.5</v>
      </c>
      <c r="E700" s="6"/>
      <c r="F700" s="6"/>
      <c r="G700" s="22"/>
      <c r="H700" s="22"/>
      <c r="I700" s="22"/>
      <c r="J700" s="22"/>
      <c r="K700" s="22"/>
      <c r="L700" s="22"/>
      <c r="M700" s="22"/>
      <c r="N700" s="18"/>
      <c r="O700" s="18"/>
      <c r="P700" s="22"/>
      <c r="Q700" s="22"/>
      <c r="R700" s="22"/>
      <c r="S700" s="22"/>
      <c r="T700" s="22"/>
      <c r="U700" s="22"/>
      <c r="V700" s="6"/>
      <c r="W700" s="18"/>
      <c r="X700" s="19"/>
      <c r="Y700" s="18"/>
      <c r="Z700" s="18"/>
      <c r="AA700" s="6"/>
      <c r="AB700" s="6"/>
      <c r="AC700" s="6"/>
      <c r="AD700" s="6"/>
      <c r="AE700" s="6"/>
      <c r="AF700" s="18"/>
      <c r="AG700" s="18"/>
      <c r="AH700" s="18"/>
      <c r="AI700" s="18"/>
      <c r="AK700" s="18"/>
      <c r="AL700" s="18"/>
      <c r="AM700" s="40" t="s">
        <v>118</v>
      </c>
      <c r="AN700" s="18"/>
      <c r="AO700" s="6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6"/>
      <c r="BK700" s="6"/>
      <c r="BL700" s="6" t="s">
        <v>60</v>
      </c>
      <c r="BO700" s="15"/>
    </row>
    <row r="701" spans="1:67">
      <c r="A701" s="6" t="s">
        <v>129</v>
      </c>
      <c r="B701" s="6" t="s">
        <v>136</v>
      </c>
      <c r="C701" s="17">
        <v>31486.838049999998</v>
      </c>
      <c r="D701" s="18">
        <v>12.75</v>
      </c>
      <c r="E701" s="6"/>
      <c r="F701" s="6"/>
      <c r="G701" s="22"/>
      <c r="H701" s="22"/>
      <c r="I701" s="22"/>
      <c r="J701" s="22"/>
      <c r="K701" s="22"/>
      <c r="L701" s="22"/>
      <c r="M701" s="22"/>
      <c r="N701" s="18"/>
      <c r="O701" s="18"/>
      <c r="P701" s="22"/>
      <c r="Q701" s="22"/>
      <c r="R701" s="22"/>
      <c r="S701" s="22"/>
      <c r="T701" s="22"/>
      <c r="U701" s="22"/>
      <c r="V701" s="6"/>
      <c r="W701" s="18"/>
      <c r="X701" s="19"/>
      <c r="Y701" s="18"/>
      <c r="Z701" s="18"/>
      <c r="AA701" s="6"/>
      <c r="AB701" s="6"/>
      <c r="AC701" s="6"/>
      <c r="AD701" s="6"/>
      <c r="AE701" s="6"/>
      <c r="AF701" s="18"/>
      <c r="AG701" s="18"/>
      <c r="AH701" s="18"/>
      <c r="AI701" s="18"/>
      <c r="AK701" s="18"/>
      <c r="AL701" s="18"/>
      <c r="AM701" s="40" t="s">
        <v>118</v>
      </c>
      <c r="AN701" s="18"/>
      <c r="AO701" s="6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6"/>
      <c r="BK701" s="6"/>
      <c r="BL701" s="6" t="s">
        <v>60</v>
      </c>
      <c r="BO701" s="15"/>
    </row>
    <row r="702" spans="1:67">
      <c r="A702" s="6" t="s">
        <v>129</v>
      </c>
      <c r="B702" s="6" t="s">
        <v>136</v>
      </c>
      <c r="C702" s="17">
        <v>31578.1486</v>
      </c>
      <c r="D702" s="18">
        <v>13</v>
      </c>
      <c r="E702" s="6"/>
      <c r="F702" s="6"/>
      <c r="G702" s="22"/>
      <c r="H702" s="22"/>
      <c r="I702" s="22"/>
      <c r="J702" s="22"/>
      <c r="K702" s="22"/>
      <c r="L702" s="22"/>
      <c r="M702" s="22"/>
      <c r="N702" s="18"/>
      <c r="O702" s="18"/>
      <c r="P702" s="22"/>
      <c r="Q702" s="22"/>
      <c r="R702" s="22"/>
      <c r="S702" s="22"/>
      <c r="T702" s="22"/>
      <c r="U702" s="22"/>
      <c r="V702" s="6"/>
      <c r="W702" s="18"/>
      <c r="X702" s="19"/>
      <c r="Y702" s="18"/>
      <c r="Z702" s="18"/>
      <c r="AA702" s="6"/>
      <c r="AB702" s="6"/>
      <c r="AC702" s="6"/>
      <c r="AD702" s="6"/>
      <c r="AE702" s="6"/>
      <c r="AF702" s="18"/>
      <c r="AG702" s="18"/>
      <c r="AH702" s="18"/>
      <c r="AI702" s="18"/>
      <c r="AK702" s="18"/>
      <c r="AL702" s="18"/>
      <c r="AM702" s="40" t="s">
        <v>118</v>
      </c>
      <c r="AN702" s="18"/>
      <c r="AO702" s="6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6"/>
      <c r="BK702" s="6"/>
      <c r="BL702" s="6" t="s">
        <v>60</v>
      </c>
      <c r="BO702" s="15"/>
    </row>
    <row r="703" spans="1:67">
      <c r="A703" s="6" t="s">
        <v>129</v>
      </c>
      <c r="B703" s="6" t="s">
        <v>136</v>
      </c>
      <c r="C703" s="17">
        <v>31669.459150000002</v>
      </c>
      <c r="D703" s="18">
        <v>13.25</v>
      </c>
      <c r="E703" s="6"/>
      <c r="F703" s="6"/>
      <c r="G703" s="22"/>
      <c r="H703" s="22"/>
      <c r="I703" s="22"/>
      <c r="J703" s="22"/>
      <c r="K703" s="22"/>
      <c r="L703" s="22"/>
      <c r="M703" s="22"/>
      <c r="N703" s="18"/>
      <c r="O703" s="18"/>
      <c r="P703" s="22"/>
      <c r="Q703" s="22"/>
      <c r="R703" s="22"/>
      <c r="S703" s="22"/>
      <c r="T703" s="22"/>
      <c r="U703" s="22"/>
      <c r="V703" s="6"/>
      <c r="W703" s="18"/>
      <c r="X703" s="19"/>
      <c r="Y703" s="18"/>
      <c r="Z703" s="18"/>
      <c r="AA703" s="6"/>
      <c r="AB703" s="6"/>
      <c r="AC703" s="6"/>
      <c r="AD703" s="6"/>
      <c r="AE703" s="6"/>
      <c r="AF703" s="18"/>
      <c r="AG703" s="18"/>
      <c r="AH703" s="18"/>
      <c r="AI703" s="18"/>
      <c r="AK703" s="18"/>
      <c r="AL703" s="18"/>
      <c r="AM703" s="40" t="s">
        <v>118</v>
      </c>
      <c r="AN703" s="18"/>
      <c r="AO703" s="6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6"/>
      <c r="BK703" s="6"/>
      <c r="BL703" s="6" t="s">
        <v>60</v>
      </c>
      <c r="BO703" s="15"/>
    </row>
    <row r="704" spans="1:67" ht="13.25" customHeight="1">
      <c r="A704" s="6" t="s">
        <v>129</v>
      </c>
      <c r="B704" s="6" t="s">
        <v>136</v>
      </c>
      <c r="C704" s="17">
        <v>31760.769700000001</v>
      </c>
      <c r="D704" s="18">
        <v>13.5</v>
      </c>
      <c r="E704" s="6"/>
      <c r="F704" s="6"/>
      <c r="G704" s="22"/>
      <c r="H704" s="22"/>
      <c r="I704" s="22"/>
      <c r="J704" s="22"/>
      <c r="K704" s="22"/>
      <c r="L704" s="22"/>
      <c r="M704" s="22"/>
      <c r="N704" s="18"/>
      <c r="O704" s="18"/>
      <c r="P704" s="22"/>
      <c r="Q704" s="22"/>
      <c r="R704" s="22"/>
      <c r="S704" s="22"/>
      <c r="T704" s="22"/>
      <c r="U704" s="22"/>
      <c r="V704" s="6"/>
      <c r="W704" s="18"/>
      <c r="X704" s="19"/>
      <c r="Y704" s="18"/>
      <c r="Z704" s="18"/>
      <c r="AA704" s="6"/>
      <c r="AB704" s="6"/>
      <c r="AC704" s="6"/>
      <c r="AD704" s="6"/>
      <c r="AE704" s="6"/>
      <c r="AF704" s="18"/>
      <c r="AG704" s="18"/>
      <c r="AH704" s="18"/>
      <c r="AI704" s="18"/>
      <c r="AK704" s="18"/>
      <c r="AL704" s="18"/>
      <c r="AM704" s="40" t="s">
        <v>118</v>
      </c>
      <c r="AN704" s="18"/>
      <c r="AO704" s="6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6"/>
      <c r="BK704" s="6"/>
      <c r="BL704" s="6" t="s">
        <v>60</v>
      </c>
      <c r="BO704" s="15"/>
    </row>
    <row r="705" spans="1:67" ht="13.25" customHeight="1">
      <c r="A705" s="6" t="s">
        <v>129</v>
      </c>
      <c r="B705" s="6" t="s">
        <v>136</v>
      </c>
      <c r="C705" s="17">
        <v>31852.080249999999</v>
      </c>
      <c r="D705" s="18">
        <v>13.75</v>
      </c>
      <c r="E705" s="6"/>
      <c r="F705" s="6"/>
      <c r="G705" s="22"/>
      <c r="H705" s="22"/>
      <c r="I705" s="22"/>
      <c r="J705" s="22"/>
      <c r="K705" s="22"/>
      <c r="L705" s="22"/>
      <c r="M705" s="22"/>
      <c r="N705" s="18"/>
      <c r="O705" s="18"/>
      <c r="P705" s="22"/>
      <c r="Q705" s="22"/>
      <c r="R705" s="22"/>
      <c r="S705" s="22"/>
      <c r="T705" s="22"/>
      <c r="U705" s="22"/>
      <c r="V705" s="6"/>
      <c r="W705" s="18"/>
      <c r="X705" s="19"/>
      <c r="Y705" s="18"/>
      <c r="Z705" s="18"/>
      <c r="AA705" s="6"/>
      <c r="AB705" s="6"/>
      <c r="AC705" s="6"/>
      <c r="AD705" s="6"/>
      <c r="AE705" s="6"/>
      <c r="AF705" s="18"/>
      <c r="AG705" s="18"/>
      <c r="AH705" s="18"/>
      <c r="AI705" s="18"/>
      <c r="AK705" s="18"/>
      <c r="AL705" s="18"/>
      <c r="AM705" s="40" t="s">
        <v>118</v>
      </c>
      <c r="AN705" s="18"/>
      <c r="AO705" s="6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6"/>
      <c r="BK705" s="6"/>
      <c r="BL705" s="6" t="s">
        <v>60</v>
      </c>
      <c r="BO705" s="15"/>
    </row>
    <row r="706" spans="1:67" ht="13.25" customHeight="1">
      <c r="A706" s="6" t="s">
        <v>129</v>
      </c>
      <c r="B706" s="6" t="s">
        <v>136</v>
      </c>
      <c r="C706" s="17">
        <v>31943.390800000001</v>
      </c>
      <c r="D706" s="18">
        <v>14</v>
      </c>
      <c r="E706" s="6"/>
      <c r="F706" s="6"/>
      <c r="G706" s="22"/>
      <c r="H706" s="22"/>
      <c r="I706" s="22"/>
      <c r="J706" s="22"/>
      <c r="K706" s="22"/>
      <c r="L706" s="22"/>
      <c r="M706" s="22"/>
      <c r="N706" s="18"/>
      <c r="O706" s="18"/>
      <c r="P706" s="22"/>
      <c r="Q706" s="22"/>
      <c r="R706" s="22"/>
      <c r="S706" s="22"/>
      <c r="T706" s="22"/>
      <c r="U706" s="22"/>
      <c r="V706" s="6"/>
      <c r="W706" s="18"/>
      <c r="X706" s="19"/>
      <c r="Y706" s="18"/>
      <c r="Z706" s="18"/>
      <c r="AA706" s="6"/>
      <c r="AB706" s="6"/>
      <c r="AC706" s="6"/>
      <c r="AD706" s="6"/>
      <c r="AE706" s="6"/>
      <c r="AF706" s="18"/>
      <c r="AG706" s="18"/>
      <c r="AH706" s="18"/>
      <c r="AI706" s="18"/>
      <c r="AK706" s="18"/>
      <c r="AL706" s="18"/>
      <c r="AM706" s="40" t="s">
        <v>118</v>
      </c>
      <c r="AN706" s="18"/>
      <c r="AO706" s="6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6"/>
      <c r="BK706" s="6"/>
      <c r="BL706" s="6" t="s">
        <v>60</v>
      </c>
      <c r="BO706" s="15"/>
    </row>
    <row r="707" spans="1:67" ht="13.25" customHeight="1">
      <c r="A707" s="6" t="s">
        <v>129</v>
      </c>
      <c r="B707" s="6" t="s">
        <v>136</v>
      </c>
      <c r="C707" s="17">
        <v>32034.701349999999</v>
      </c>
      <c r="D707" s="18">
        <v>14.25</v>
      </c>
      <c r="E707" s="6"/>
      <c r="F707" s="6"/>
      <c r="G707" s="22"/>
      <c r="H707" s="22"/>
      <c r="I707" s="22"/>
      <c r="J707" s="22"/>
      <c r="K707" s="22"/>
      <c r="L707" s="22"/>
      <c r="M707" s="22"/>
      <c r="N707" s="18"/>
      <c r="O707" s="18"/>
      <c r="P707" s="22"/>
      <c r="Q707" s="22"/>
      <c r="R707" s="22"/>
      <c r="S707" s="22"/>
      <c r="T707" s="22"/>
      <c r="U707" s="22"/>
      <c r="V707" s="6"/>
      <c r="W707" s="18"/>
      <c r="X707" s="19"/>
      <c r="Y707" s="18"/>
      <c r="Z707" s="18"/>
      <c r="AA707" s="6"/>
      <c r="AB707" s="6"/>
      <c r="AC707" s="6"/>
      <c r="AD707" s="6"/>
      <c r="AE707" s="6"/>
      <c r="AF707" s="18"/>
      <c r="AG707" s="18"/>
      <c r="AH707" s="18"/>
      <c r="AI707" s="18"/>
      <c r="AK707" s="18"/>
      <c r="AL707" s="18"/>
      <c r="AM707" s="40" t="s">
        <v>118</v>
      </c>
      <c r="AN707" s="18"/>
      <c r="AO707" s="6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6"/>
      <c r="BK707" s="6"/>
      <c r="BL707" s="6" t="s">
        <v>60</v>
      </c>
      <c r="BO707" s="15"/>
    </row>
    <row r="708" spans="1:67" ht="13.25" customHeight="1">
      <c r="A708" s="6" t="s">
        <v>129</v>
      </c>
      <c r="B708" s="6" t="s">
        <v>136</v>
      </c>
      <c r="C708" s="17">
        <v>32126.011900000001</v>
      </c>
      <c r="D708" s="18">
        <v>14.5</v>
      </c>
      <c r="E708" s="6"/>
      <c r="F708" s="6"/>
      <c r="G708" s="22"/>
      <c r="H708" s="22"/>
      <c r="I708" s="22"/>
      <c r="J708" s="22"/>
      <c r="K708" s="22"/>
      <c r="L708" s="22"/>
      <c r="M708" s="22"/>
      <c r="N708" s="18"/>
      <c r="O708" s="18"/>
      <c r="P708" s="22"/>
      <c r="Q708" s="22"/>
      <c r="R708" s="22"/>
      <c r="S708" s="22"/>
      <c r="T708" s="22"/>
      <c r="U708" s="22"/>
      <c r="V708" s="6"/>
      <c r="W708" s="18"/>
      <c r="X708" s="19"/>
      <c r="Y708" s="18"/>
      <c r="Z708" s="18"/>
      <c r="AA708" s="6"/>
      <c r="AB708" s="6"/>
      <c r="AC708" s="6"/>
      <c r="AD708" s="6"/>
      <c r="AE708" s="6"/>
      <c r="AF708" s="18"/>
      <c r="AG708" s="18"/>
      <c r="AH708" s="18"/>
      <c r="AI708" s="18"/>
      <c r="AK708" s="18"/>
      <c r="AL708" s="18"/>
      <c r="AM708" s="40" t="s">
        <v>118</v>
      </c>
      <c r="AN708" s="18"/>
      <c r="AO708" s="6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6"/>
      <c r="BK708" s="6"/>
      <c r="BL708" s="6" t="s">
        <v>60</v>
      </c>
      <c r="BO708" s="15"/>
    </row>
    <row r="709" spans="1:67">
      <c r="A709" s="6" t="s">
        <v>129</v>
      </c>
      <c r="B709" s="6" t="s">
        <v>136</v>
      </c>
      <c r="C709" s="17">
        <v>32217.32245</v>
      </c>
      <c r="D709" s="18">
        <v>14.75</v>
      </c>
      <c r="E709" s="6"/>
      <c r="F709" s="6"/>
      <c r="G709" s="22"/>
      <c r="H709" s="22"/>
      <c r="I709" s="22"/>
      <c r="J709" s="22"/>
      <c r="K709" s="22"/>
      <c r="L709" s="22"/>
      <c r="M709" s="22"/>
      <c r="N709" s="18"/>
      <c r="O709" s="18"/>
      <c r="P709" s="22"/>
      <c r="Q709" s="22"/>
      <c r="R709" s="22"/>
      <c r="S709" s="22"/>
      <c r="T709" s="22"/>
      <c r="U709" s="22"/>
      <c r="V709" s="6"/>
      <c r="W709" s="18"/>
      <c r="X709" s="19"/>
      <c r="Y709" s="18"/>
      <c r="Z709" s="18"/>
      <c r="AA709" s="6"/>
      <c r="AB709" s="6"/>
      <c r="AC709" s="6"/>
      <c r="AD709" s="6"/>
      <c r="AE709" s="6"/>
      <c r="AF709" s="18"/>
      <c r="AG709" s="18"/>
      <c r="AH709" s="18"/>
      <c r="AI709" s="18"/>
      <c r="AK709" s="18"/>
      <c r="AL709" s="18"/>
      <c r="AM709" s="40" t="s">
        <v>118</v>
      </c>
      <c r="AN709" s="18"/>
      <c r="AO709" s="6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6"/>
      <c r="BK709" s="6"/>
      <c r="BL709" s="6" t="s">
        <v>60</v>
      </c>
      <c r="BO709" s="15"/>
    </row>
    <row r="710" spans="1:67">
      <c r="A710" s="6" t="s">
        <v>129</v>
      </c>
      <c r="B710" s="6" t="s">
        <v>136</v>
      </c>
      <c r="C710" s="17">
        <v>32308.633000000002</v>
      </c>
      <c r="D710" s="18">
        <v>15</v>
      </c>
      <c r="E710" s="6"/>
      <c r="F710" s="6"/>
      <c r="G710" s="22"/>
      <c r="H710" s="22"/>
      <c r="I710" s="22"/>
      <c r="J710" s="22"/>
      <c r="K710" s="22"/>
      <c r="L710" s="22"/>
      <c r="M710" s="22"/>
      <c r="N710" s="18"/>
      <c r="O710" s="18"/>
      <c r="P710" s="22"/>
      <c r="Q710" s="22"/>
      <c r="R710" s="22"/>
      <c r="S710" s="22"/>
      <c r="T710" s="22"/>
      <c r="U710" s="22"/>
      <c r="V710" s="6"/>
      <c r="W710" s="18"/>
      <c r="X710" s="19"/>
      <c r="Y710" s="18"/>
      <c r="Z710" s="18"/>
      <c r="AA710" s="6"/>
      <c r="AB710" s="6"/>
      <c r="AC710" s="6"/>
      <c r="AD710" s="6"/>
      <c r="AE710" s="6"/>
      <c r="AF710" s="18"/>
      <c r="AG710" s="18"/>
      <c r="AH710" s="18"/>
      <c r="AI710" s="18"/>
      <c r="AK710" s="18"/>
      <c r="AL710" s="18"/>
      <c r="AM710" s="40" t="s">
        <v>118</v>
      </c>
      <c r="AN710" s="18"/>
      <c r="AO710" s="6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6"/>
      <c r="BK710" s="6"/>
      <c r="BL710" s="6" t="s">
        <v>60</v>
      </c>
      <c r="BO710" s="15"/>
    </row>
    <row r="711" spans="1:67">
      <c r="A711" s="6" t="s">
        <v>129</v>
      </c>
      <c r="B711" s="6" t="s">
        <v>136</v>
      </c>
      <c r="C711" s="17">
        <v>32399.94355</v>
      </c>
      <c r="D711" s="18">
        <v>15.25</v>
      </c>
      <c r="E711" s="6"/>
      <c r="F711" s="6"/>
      <c r="G711" s="22"/>
      <c r="H711" s="22"/>
      <c r="I711" s="22"/>
      <c r="J711" s="22"/>
      <c r="K711" s="22"/>
      <c r="L711" s="22"/>
      <c r="M711" s="22"/>
      <c r="N711" s="18"/>
      <c r="O711" s="18"/>
      <c r="P711" s="22"/>
      <c r="Q711" s="22"/>
      <c r="R711" s="22"/>
      <c r="S711" s="22"/>
      <c r="T711" s="22"/>
      <c r="U711" s="22"/>
      <c r="V711" s="6"/>
      <c r="W711" s="18"/>
      <c r="X711" s="19"/>
      <c r="Y711" s="18"/>
      <c r="Z711" s="18"/>
      <c r="AA711" s="6"/>
      <c r="AB711" s="6"/>
      <c r="AC711" s="6"/>
      <c r="AD711" s="6"/>
      <c r="AE711" s="6"/>
      <c r="AF711" s="18"/>
      <c r="AG711" s="18"/>
      <c r="AH711" s="18"/>
      <c r="AI711" s="18"/>
      <c r="AK711" s="18"/>
      <c r="AL711" s="18"/>
      <c r="AM711" s="40" t="s">
        <v>118</v>
      </c>
      <c r="AN711" s="18"/>
      <c r="AO711" s="6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6"/>
      <c r="BK711" s="6"/>
      <c r="BL711" s="6" t="s">
        <v>60</v>
      </c>
      <c r="BO711" s="15"/>
    </row>
    <row r="712" spans="1:67">
      <c r="A712" s="6" t="s">
        <v>129</v>
      </c>
      <c r="B712" s="6" t="s">
        <v>136</v>
      </c>
      <c r="C712" s="17">
        <v>32491.254099999998</v>
      </c>
      <c r="D712" s="18">
        <v>15.5</v>
      </c>
      <c r="E712" s="6"/>
      <c r="F712" s="6"/>
      <c r="G712" s="22"/>
      <c r="H712" s="22"/>
      <c r="I712" s="22"/>
      <c r="J712" s="22"/>
      <c r="K712" s="22"/>
      <c r="L712" s="22"/>
      <c r="M712" s="22"/>
      <c r="N712" s="18"/>
      <c r="O712" s="18"/>
      <c r="P712" s="22"/>
      <c r="Q712" s="22"/>
      <c r="R712" s="22"/>
      <c r="S712" s="22"/>
      <c r="T712" s="22"/>
      <c r="U712" s="22"/>
      <c r="V712" s="6"/>
      <c r="W712" s="18"/>
      <c r="X712" s="19"/>
      <c r="Y712" s="18"/>
      <c r="Z712" s="18"/>
      <c r="AA712" s="6"/>
      <c r="AB712" s="6"/>
      <c r="AC712" s="6"/>
      <c r="AD712" s="6"/>
      <c r="AE712" s="6"/>
      <c r="AF712" s="18"/>
      <c r="AG712" s="18"/>
      <c r="AH712" s="18"/>
      <c r="AI712" s="18"/>
      <c r="AK712" s="18"/>
      <c r="AL712" s="18"/>
      <c r="AM712" s="40" t="s">
        <v>118</v>
      </c>
      <c r="AN712" s="18"/>
      <c r="AO712" s="6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6"/>
      <c r="BK712" s="6"/>
      <c r="BL712" s="6" t="s">
        <v>60</v>
      </c>
      <c r="BO712" s="15"/>
    </row>
    <row r="713" spans="1:67">
      <c r="A713" s="6" t="s">
        <v>129</v>
      </c>
      <c r="B713" s="6" t="s">
        <v>136</v>
      </c>
      <c r="C713" s="17">
        <v>32582.56465</v>
      </c>
      <c r="D713" s="18">
        <v>15.75</v>
      </c>
      <c r="E713" s="6"/>
      <c r="F713" s="6"/>
      <c r="G713" s="22"/>
      <c r="H713" s="22"/>
      <c r="I713" s="22"/>
      <c r="J713" s="22"/>
      <c r="K713" s="22"/>
      <c r="L713" s="22"/>
      <c r="M713" s="22"/>
      <c r="N713" s="18"/>
      <c r="O713" s="18"/>
      <c r="P713" s="22"/>
      <c r="Q713" s="22"/>
      <c r="R713" s="22"/>
      <c r="S713" s="22"/>
      <c r="T713" s="22"/>
      <c r="U713" s="22"/>
      <c r="V713" s="6"/>
      <c r="W713" s="18"/>
      <c r="X713" s="19"/>
      <c r="Y713" s="18"/>
      <c r="Z713" s="18"/>
      <c r="AA713" s="6"/>
      <c r="AB713" s="6"/>
      <c r="AC713" s="6"/>
      <c r="AD713" s="6"/>
      <c r="AE713" s="6"/>
      <c r="AF713" s="18"/>
      <c r="AG713" s="18"/>
      <c r="AH713" s="18"/>
      <c r="AI713" s="18"/>
      <c r="AK713" s="18"/>
      <c r="AL713" s="18"/>
      <c r="AM713" s="40" t="s">
        <v>118</v>
      </c>
      <c r="AN713" s="18"/>
      <c r="AO713" s="6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6"/>
      <c r="BK713" s="6"/>
      <c r="BL713" s="6" t="s">
        <v>60</v>
      </c>
      <c r="BO713" s="15"/>
    </row>
    <row r="714" spans="1:67">
      <c r="A714" s="6" t="s">
        <v>129</v>
      </c>
      <c r="B714" s="6" t="s">
        <v>136</v>
      </c>
      <c r="C714" s="17">
        <v>32673.875200000002</v>
      </c>
      <c r="D714" s="18">
        <v>16</v>
      </c>
      <c r="E714" s="6"/>
      <c r="F714" s="6"/>
      <c r="G714" s="22"/>
      <c r="H714" s="22"/>
      <c r="I714" s="22"/>
      <c r="J714" s="22"/>
      <c r="K714" s="22"/>
      <c r="L714" s="22"/>
      <c r="M714" s="22"/>
      <c r="N714" s="18"/>
      <c r="O714" s="18"/>
      <c r="P714" s="22"/>
      <c r="Q714" s="22"/>
      <c r="R714" s="22"/>
      <c r="S714" s="22"/>
      <c r="T714" s="22"/>
      <c r="U714" s="22"/>
      <c r="V714" s="6"/>
      <c r="W714" s="18"/>
      <c r="X714" s="19"/>
      <c r="Y714" s="18"/>
      <c r="Z714" s="18"/>
      <c r="AA714" s="6"/>
      <c r="AB714" s="6"/>
      <c r="AC714" s="6"/>
      <c r="AD714" s="6"/>
      <c r="AE714" s="6"/>
      <c r="AF714" s="18"/>
      <c r="AG714" s="18"/>
      <c r="AH714" s="18"/>
      <c r="AI714" s="18"/>
      <c r="AK714" s="18"/>
      <c r="AL714" s="18"/>
      <c r="AM714" s="40" t="s">
        <v>118</v>
      </c>
      <c r="AN714" s="18"/>
      <c r="AO714" s="6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6"/>
      <c r="BK714" s="6"/>
      <c r="BL714" s="6" t="s">
        <v>60</v>
      </c>
      <c r="BO714" s="15"/>
    </row>
    <row r="715" spans="1:67">
      <c r="A715" s="6" t="s">
        <v>129</v>
      </c>
      <c r="B715" s="6" t="s">
        <v>136</v>
      </c>
      <c r="C715" s="17">
        <v>32765.185750000001</v>
      </c>
      <c r="D715" s="18">
        <v>16.25</v>
      </c>
      <c r="E715" s="6"/>
      <c r="F715" s="6"/>
      <c r="G715" s="22"/>
      <c r="H715" s="22"/>
      <c r="I715" s="22"/>
      <c r="J715" s="22"/>
      <c r="K715" s="22"/>
      <c r="L715" s="22"/>
      <c r="M715" s="22"/>
      <c r="N715" s="18"/>
      <c r="O715" s="18"/>
      <c r="P715" s="22"/>
      <c r="Q715" s="22"/>
      <c r="R715" s="22"/>
      <c r="S715" s="22"/>
      <c r="T715" s="22"/>
      <c r="U715" s="22"/>
      <c r="V715" s="6"/>
      <c r="W715" s="18"/>
      <c r="X715" s="19"/>
      <c r="Y715" s="18"/>
      <c r="Z715" s="18"/>
      <c r="AA715" s="6"/>
      <c r="AB715" s="6"/>
      <c r="AC715" s="6"/>
      <c r="AD715" s="6"/>
      <c r="AE715" s="6"/>
      <c r="AF715" s="18"/>
      <c r="AG715" s="18"/>
      <c r="AH715" s="18"/>
      <c r="AI715" s="18"/>
      <c r="AK715" s="18"/>
      <c r="AL715" s="18"/>
      <c r="AM715" s="40" t="s">
        <v>118</v>
      </c>
      <c r="AN715" s="18"/>
      <c r="AO715" s="6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6"/>
      <c r="BK715" s="6"/>
      <c r="BL715" s="6" t="s">
        <v>60</v>
      </c>
      <c r="BO715" s="15"/>
    </row>
    <row r="716" spans="1:67">
      <c r="A716" s="6" t="s">
        <v>129</v>
      </c>
      <c r="B716" s="6" t="s">
        <v>136</v>
      </c>
      <c r="C716" s="17">
        <v>32856.496299999999</v>
      </c>
      <c r="D716" s="18">
        <v>16.5</v>
      </c>
      <c r="E716" s="6"/>
      <c r="F716" s="6"/>
      <c r="G716" s="22"/>
      <c r="H716" s="22"/>
      <c r="I716" s="22"/>
      <c r="J716" s="22"/>
      <c r="K716" s="22"/>
      <c r="L716" s="22"/>
      <c r="M716" s="22"/>
      <c r="N716" s="18"/>
      <c r="O716" s="18"/>
      <c r="P716" s="22"/>
      <c r="Q716" s="22"/>
      <c r="R716" s="22"/>
      <c r="S716" s="22"/>
      <c r="T716" s="22"/>
      <c r="U716" s="22"/>
      <c r="V716" s="6"/>
      <c r="W716" s="18"/>
      <c r="X716" s="19"/>
      <c r="Y716" s="18"/>
      <c r="Z716" s="18"/>
      <c r="AA716" s="6"/>
      <c r="AB716" s="6"/>
      <c r="AC716" s="6"/>
      <c r="AD716" s="6"/>
      <c r="AE716" s="6"/>
      <c r="AF716" s="18"/>
      <c r="AG716" s="18"/>
      <c r="AH716" s="18"/>
      <c r="AI716" s="18"/>
      <c r="AK716" s="18"/>
      <c r="AL716" s="18"/>
      <c r="AM716" s="40" t="s">
        <v>118</v>
      </c>
      <c r="AN716" s="18"/>
      <c r="AO716" s="6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6"/>
      <c r="BK716" s="6"/>
      <c r="BL716" s="6" t="s">
        <v>60</v>
      </c>
      <c r="BO716" s="15"/>
    </row>
    <row r="717" spans="1:67">
      <c r="A717" s="6" t="s">
        <v>129</v>
      </c>
      <c r="B717" s="6" t="s">
        <v>136</v>
      </c>
      <c r="C717" s="17">
        <v>32947.806850000001</v>
      </c>
      <c r="D717" s="18">
        <v>16.75</v>
      </c>
      <c r="E717" s="6"/>
      <c r="F717" s="6"/>
      <c r="G717" s="22"/>
      <c r="H717" s="22"/>
      <c r="I717" s="22"/>
      <c r="J717" s="22"/>
      <c r="K717" s="22"/>
      <c r="L717" s="22"/>
      <c r="M717" s="22"/>
      <c r="N717" s="18"/>
      <c r="O717" s="18"/>
      <c r="P717" s="22"/>
      <c r="Q717" s="22"/>
      <c r="R717" s="22"/>
      <c r="S717" s="22"/>
      <c r="T717" s="22"/>
      <c r="U717" s="22"/>
      <c r="V717" s="6"/>
      <c r="W717" s="18"/>
      <c r="X717" s="19"/>
      <c r="Y717" s="18"/>
      <c r="Z717" s="18"/>
      <c r="AA717" s="6"/>
      <c r="AB717" s="6"/>
      <c r="AC717" s="6"/>
      <c r="AD717" s="6"/>
      <c r="AE717" s="6"/>
      <c r="AF717" s="18"/>
      <c r="AG717" s="18"/>
      <c r="AH717" s="18"/>
      <c r="AI717" s="18"/>
      <c r="AK717" s="18"/>
      <c r="AL717" s="18"/>
      <c r="AM717" s="40" t="s">
        <v>118</v>
      </c>
      <c r="AN717" s="18"/>
      <c r="AO717" s="6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6"/>
      <c r="BK717" s="6"/>
      <c r="BL717" s="6" t="s">
        <v>60</v>
      </c>
      <c r="BO717" s="15"/>
    </row>
    <row r="718" spans="1:67">
      <c r="A718" s="6" t="s">
        <v>129</v>
      </c>
      <c r="B718" s="6" t="s">
        <v>136</v>
      </c>
      <c r="C718" s="17">
        <v>33039.117400000003</v>
      </c>
      <c r="D718" s="18">
        <v>17</v>
      </c>
      <c r="E718" s="6"/>
      <c r="F718" s="6"/>
      <c r="G718" s="22"/>
      <c r="H718" s="22"/>
      <c r="I718" s="22"/>
      <c r="J718" s="22"/>
      <c r="K718" s="22"/>
      <c r="L718" s="22"/>
      <c r="M718" s="22"/>
      <c r="N718" s="18"/>
      <c r="O718" s="18"/>
      <c r="P718" s="22"/>
      <c r="Q718" s="22"/>
      <c r="R718" s="22"/>
      <c r="S718" s="22"/>
      <c r="T718" s="22"/>
      <c r="U718" s="22"/>
      <c r="V718" s="6"/>
      <c r="W718" s="18"/>
      <c r="X718" s="19"/>
      <c r="Y718" s="18"/>
      <c r="Z718" s="18"/>
      <c r="AA718" s="6"/>
      <c r="AB718" s="6"/>
      <c r="AC718" s="6"/>
      <c r="AD718" s="6"/>
      <c r="AE718" s="6"/>
      <c r="AF718" s="18"/>
      <c r="AG718" s="18"/>
      <c r="AH718" s="18"/>
      <c r="AI718" s="18"/>
      <c r="AK718" s="18"/>
      <c r="AL718" s="18"/>
      <c r="AM718" s="40" t="s">
        <v>118</v>
      </c>
      <c r="AN718" s="18"/>
      <c r="AO718" s="6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6"/>
      <c r="BK718" s="6"/>
      <c r="BL718" s="6" t="s">
        <v>60</v>
      </c>
      <c r="BO718" s="15"/>
    </row>
    <row r="719" spans="1:67">
      <c r="A719" s="6" t="s">
        <v>129</v>
      </c>
      <c r="B719" s="6" t="s">
        <v>136</v>
      </c>
      <c r="C719" s="17">
        <v>33130.427949999998</v>
      </c>
      <c r="D719" s="18">
        <v>17.25</v>
      </c>
      <c r="E719" s="6"/>
      <c r="F719" s="6"/>
      <c r="G719" s="22"/>
      <c r="H719" s="22"/>
      <c r="I719" s="22"/>
      <c r="J719" s="22"/>
      <c r="K719" s="22"/>
      <c r="L719" s="22"/>
      <c r="M719" s="22"/>
      <c r="N719" s="18"/>
      <c r="O719" s="18"/>
      <c r="P719" s="22"/>
      <c r="Q719" s="22"/>
      <c r="R719" s="22"/>
      <c r="S719" s="22"/>
      <c r="T719" s="22"/>
      <c r="U719" s="22"/>
      <c r="V719" s="6"/>
      <c r="W719" s="18"/>
      <c r="X719" s="19"/>
      <c r="Y719" s="18"/>
      <c r="Z719" s="18"/>
      <c r="AA719" s="6"/>
      <c r="AB719" s="6"/>
      <c r="AC719" s="6"/>
      <c r="AD719" s="6"/>
      <c r="AE719" s="6"/>
      <c r="AF719" s="18"/>
      <c r="AG719" s="18"/>
      <c r="AH719" s="18"/>
      <c r="AI719" s="18"/>
      <c r="AK719" s="18"/>
      <c r="AL719" s="18"/>
      <c r="AM719" s="40" t="s">
        <v>118</v>
      </c>
      <c r="AN719" s="18"/>
      <c r="AO719" s="6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6"/>
      <c r="BK719" s="6"/>
      <c r="BL719" s="6" t="s">
        <v>60</v>
      </c>
      <c r="BO719" s="15"/>
    </row>
    <row r="720" spans="1:67">
      <c r="A720" s="6" t="s">
        <v>129</v>
      </c>
      <c r="B720" s="6" t="s">
        <v>136</v>
      </c>
      <c r="C720" s="17">
        <v>33221.738499999999</v>
      </c>
      <c r="D720" s="18">
        <v>17.5</v>
      </c>
      <c r="E720" s="6"/>
      <c r="F720" s="6"/>
      <c r="G720" s="22"/>
      <c r="H720" s="22"/>
      <c r="I720" s="22"/>
      <c r="J720" s="22"/>
      <c r="K720" s="22"/>
      <c r="L720" s="22"/>
      <c r="M720" s="22"/>
      <c r="N720" s="18"/>
      <c r="O720" s="18"/>
      <c r="P720" s="22"/>
      <c r="Q720" s="22"/>
      <c r="R720" s="22"/>
      <c r="S720" s="22"/>
      <c r="T720" s="22"/>
      <c r="U720" s="22"/>
      <c r="V720" s="6"/>
      <c r="W720" s="18"/>
      <c r="X720" s="19"/>
      <c r="Y720" s="18"/>
      <c r="Z720" s="18"/>
      <c r="AA720" s="6"/>
      <c r="AB720" s="6"/>
      <c r="AC720" s="6"/>
      <c r="AD720" s="6"/>
      <c r="AE720" s="6"/>
      <c r="AF720" s="18"/>
      <c r="AG720" s="18"/>
      <c r="AH720" s="18"/>
      <c r="AI720" s="18"/>
      <c r="AK720" s="18"/>
      <c r="AL720" s="18"/>
      <c r="AM720" s="40" t="s">
        <v>118</v>
      </c>
      <c r="AN720" s="18"/>
      <c r="AO720" s="6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6"/>
      <c r="BK720" s="6"/>
      <c r="BL720" s="6" t="s">
        <v>60</v>
      </c>
      <c r="BO720" s="15"/>
    </row>
    <row r="721" spans="1:67">
      <c r="A721" s="6" t="s">
        <v>129</v>
      </c>
      <c r="B721" s="6" t="s">
        <v>136</v>
      </c>
      <c r="C721" s="17">
        <v>33313.049050000001</v>
      </c>
      <c r="D721" s="18">
        <v>17.75</v>
      </c>
      <c r="E721" s="6"/>
      <c r="F721" s="6"/>
      <c r="G721" s="22"/>
      <c r="H721" s="22"/>
      <c r="I721" s="22"/>
      <c r="J721" s="22"/>
      <c r="K721" s="22"/>
      <c r="L721" s="22"/>
      <c r="M721" s="22"/>
      <c r="N721" s="18"/>
      <c r="O721" s="18"/>
      <c r="P721" s="22"/>
      <c r="Q721" s="22"/>
      <c r="R721" s="22"/>
      <c r="S721" s="22"/>
      <c r="T721" s="22"/>
      <c r="U721" s="22"/>
      <c r="V721" s="6"/>
      <c r="W721" s="18"/>
      <c r="X721" s="19"/>
      <c r="Y721" s="18"/>
      <c r="Z721" s="18"/>
      <c r="AA721" s="6"/>
      <c r="AB721" s="6"/>
      <c r="AC721" s="6"/>
      <c r="AD721" s="6"/>
      <c r="AE721" s="6"/>
      <c r="AF721" s="18"/>
      <c r="AG721" s="18"/>
      <c r="AH721" s="18"/>
      <c r="AI721" s="18"/>
      <c r="AK721" s="18"/>
      <c r="AL721" s="18"/>
      <c r="AM721" s="40" t="s">
        <v>118</v>
      </c>
      <c r="AN721" s="18"/>
      <c r="AO721" s="6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6"/>
      <c r="BK721" s="6"/>
      <c r="BL721" s="6" t="s">
        <v>60</v>
      </c>
      <c r="BO721" s="15"/>
    </row>
    <row r="722" spans="1:67">
      <c r="A722" s="6" t="s">
        <v>129</v>
      </c>
      <c r="B722" s="6" t="s">
        <v>136</v>
      </c>
      <c r="C722" s="17">
        <v>33404.359600000003</v>
      </c>
      <c r="D722" s="18">
        <v>18</v>
      </c>
      <c r="E722" s="6"/>
      <c r="F722" s="6"/>
      <c r="G722" s="22"/>
      <c r="H722" s="22"/>
      <c r="I722" s="22"/>
      <c r="J722" s="22"/>
      <c r="K722" s="22"/>
      <c r="L722" s="22"/>
      <c r="M722" s="22"/>
      <c r="N722" s="18"/>
      <c r="O722" s="18"/>
      <c r="P722" s="22"/>
      <c r="Q722" s="22"/>
      <c r="R722" s="22"/>
      <c r="S722" s="22"/>
      <c r="T722" s="22"/>
      <c r="U722" s="22"/>
      <c r="V722" s="6"/>
      <c r="W722" s="18"/>
      <c r="X722" s="19"/>
      <c r="Y722" s="18"/>
      <c r="Z722" s="18"/>
      <c r="AA722" s="6"/>
      <c r="AB722" s="6"/>
      <c r="AC722" s="6"/>
      <c r="AD722" s="6"/>
      <c r="AE722" s="6"/>
      <c r="AF722" s="18"/>
      <c r="AG722" s="18"/>
      <c r="AH722" s="18"/>
      <c r="AI722" s="18"/>
      <c r="AK722" s="18"/>
      <c r="AL722" s="18"/>
      <c r="AM722" s="40" t="s">
        <v>118</v>
      </c>
      <c r="AN722" s="18"/>
      <c r="AO722" s="6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6"/>
      <c r="BK722" s="6"/>
      <c r="BL722" s="6" t="s">
        <v>60</v>
      </c>
      <c r="BO722" s="15"/>
    </row>
    <row r="723" spans="1:67">
      <c r="A723" s="6" t="s">
        <v>129</v>
      </c>
      <c r="B723" s="6" t="s">
        <v>136</v>
      </c>
      <c r="C723" s="17">
        <v>33495.670149999998</v>
      </c>
      <c r="D723" s="18">
        <v>18.25</v>
      </c>
      <c r="E723" s="6"/>
      <c r="F723" s="6"/>
      <c r="G723" s="22"/>
      <c r="H723" s="22"/>
      <c r="I723" s="22"/>
      <c r="J723" s="22"/>
      <c r="K723" s="22"/>
      <c r="L723" s="22"/>
      <c r="M723" s="22"/>
      <c r="N723" s="18"/>
      <c r="O723" s="18"/>
      <c r="P723" s="22"/>
      <c r="Q723" s="22"/>
      <c r="R723" s="22"/>
      <c r="S723" s="22"/>
      <c r="T723" s="22"/>
      <c r="U723" s="22"/>
      <c r="V723" s="6"/>
      <c r="W723" s="18"/>
      <c r="X723" s="19"/>
      <c r="Y723" s="18"/>
      <c r="Z723" s="18"/>
      <c r="AA723" s="6"/>
      <c r="AB723" s="6"/>
      <c r="AC723" s="6"/>
      <c r="AD723" s="6"/>
      <c r="AE723" s="6"/>
      <c r="AF723" s="18"/>
      <c r="AG723" s="18"/>
      <c r="AH723" s="18"/>
      <c r="AI723" s="18"/>
      <c r="AK723" s="18"/>
      <c r="AL723" s="18"/>
      <c r="AM723" s="40" t="s">
        <v>118</v>
      </c>
      <c r="AN723" s="18"/>
      <c r="AO723" s="6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6"/>
      <c r="BK723" s="6"/>
      <c r="BL723" s="6" t="s">
        <v>60</v>
      </c>
      <c r="BO723" s="15"/>
    </row>
    <row r="724" spans="1:67">
      <c r="A724" s="6" t="s">
        <v>129</v>
      </c>
      <c r="B724" s="6" t="s">
        <v>136</v>
      </c>
      <c r="C724" s="17">
        <v>33586.9807</v>
      </c>
      <c r="D724" s="18">
        <v>18.5</v>
      </c>
      <c r="E724" s="6"/>
      <c r="F724" s="6"/>
      <c r="G724" s="22"/>
      <c r="H724" s="22"/>
      <c r="I724" s="22"/>
      <c r="J724" s="22"/>
      <c r="K724" s="22"/>
      <c r="L724" s="22"/>
      <c r="M724" s="22"/>
      <c r="N724" s="18"/>
      <c r="O724" s="18"/>
      <c r="P724" s="22"/>
      <c r="Q724" s="22"/>
      <c r="R724" s="22"/>
      <c r="S724" s="22"/>
      <c r="T724" s="22"/>
      <c r="U724" s="22"/>
      <c r="V724" s="6"/>
      <c r="W724" s="18"/>
      <c r="X724" s="19"/>
      <c r="Y724" s="18"/>
      <c r="Z724" s="18"/>
      <c r="AA724" s="6"/>
      <c r="AB724" s="6"/>
      <c r="AC724" s="6"/>
      <c r="AD724" s="6"/>
      <c r="AE724" s="6"/>
      <c r="AF724" s="18"/>
      <c r="AG724" s="18"/>
      <c r="AH724" s="18"/>
      <c r="AI724" s="18"/>
      <c r="AK724" s="18"/>
      <c r="AL724" s="18"/>
      <c r="AM724" s="40" t="s">
        <v>118</v>
      </c>
      <c r="AN724" s="18"/>
      <c r="AO724" s="6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6"/>
      <c r="BK724" s="6"/>
      <c r="BL724" s="6" t="s">
        <v>60</v>
      </c>
      <c r="BO724" s="15"/>
    </row>
    <row r="725" spans="1:67">
      <c r="A725" s="6" t="s">
        <v>129</v>
      </c>
      <c r="B725" s="6" t="s">
        <v>136</v>
      </c>
      <c r="C725" s="17">
        <v>33678.291250000002</v>
      </c>
      <c r="D725" s="18">
        <v>18.75</v>
      </c>
      <c r="E725" s="6"/>
      <c r="F725" s="6"/>
      <c r="G725" s="22"/>
      <c r="H725" s="22"/>
      <c r="I725" s="22"/>
      <c r="J725" s="22"/>
      <c r="K725" s="22"/>
      <c r="L725" s="22"/>
      <c r="M725" s="22"/>
      <c r="N725" s="18"/>
      <c r="O725" s="18"/>
      <c r="P725" s="22"/>
      <c r="Q725" s="22"/>
      <c r="R725" s="22"/>
      <c r="S725" s="22"/>
      <c r="T725" s="22"/>
      <c r="U725" s="22"/>
      <c r="V725" s="6"/>
      <c r="W725" s="18"/>
      <c r="X725" s="19"/>
      <c r="Y725" s="18"/>
      <c r="Z725" s="18"/>
      <c r="AA725" s="6"/>
      <c r="AB725" s="6"/>
      <c r="AC725" s="6"/>
      <c r="AD725" s="6"/>
      <c r="AE725" s="6"/>
      <c r="AF725" s="18"/>
      <c r="AG725" s="18"/>
      <c r="AH725" s="18"/>
      <c r="AI725" s="18"/>
      <c r="AK725" s="18"/>
      <c r="AL725" s="18"/>
      <c r="AM725" s="40" t="s">
        <v>118</v>
      </c>
      <c r="AN725" s="18"/>
      <c r="AO725" s="6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6"/>
      <c r="BK725" s="6"/>
      <c r="BL725" s="6" t="s">
        <v>60</v>
      </c>
      <c r="BO725" s="15"/>
    </row>
    <row r="726" spans="1:67">
      <c r="A726" s="6" t="s">
        <v>129</v>
      </c>
      <c r="B726" s="6" t="s">
        <v>136</v>
      </c>
      <c r="C726" s="17">
        <v>33769.601800000004</v>
      </c>
      <c r="D726" s="18">
        <v>19</v>
      </c>
      <c r="E726" s="6"/>
      <c r="F726" s="6"/>
      <c r="G726" s="22"/>
      <c r="H726" s="22"/>
      <c r="I726" s="22"/>
      <c r="J726" s="22"/>
      <c r="K726" s="22"/>
      <c r="L726" s="22"/>
      <c r="M726" s="22"/>
      <c r="N726" s="18"/>
      <c r="O726" s="18"/>
      <c r="P726" s="22"/>
      <c r="Q726" s="22"/>
      <c r="R726" s="22"/>
      <c r="S726" s="22"/>
      <c r="T726" s="22"/>
      <c r="U726" s="22"/>
      <c r="V726" s="6"/>
      <c r="W726" s="18"/>
      <c r="X726" s="19"/>
      <c r="Y726" s="18"/>
      <c r="Z726" s="18"/>
      <c r="AA726" s="6"/>
      <c r="AB726" s="6"/>
      <c r="AC726" s="6"/>
      <c r="AD726" s="6"/>
      <c r="AE726" s="6"/>
      <c r="AF726" s="18"/>
      <c r="AG726" s="18"/>
      <c r="AH726" s="18"/>
      <c r="AI726" s="18"/>
      <c r="AK726" s="18"/>
      <c r="AL726" s="18"/>
      <c r="AM726" s="40" t="s">
        <v>118</v>
      </c>
      <c r="AN726" s="18"/>
      <c r="AO726" s="6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6"/>
      <c r="BK726" s="6"/>
      <c r="BL726" s="6" t="s">
        <v>60</v>
      </c>
      <c r="BO726" s="15"/>
    </row>
    <row r="727" spans="1:67">
      <c r="A727" s="6" t="s">
        <v>129</v>
      </c>
      <c r="B727" s="6" t="s">
        <v>136</v>
      </c>
      <c r="C727" s="17">
        <v>34134.843999999997</v>
      </c>
      <c r="D727" s="18">
        <v>20</v>
      </c>
      <c r="E727" s="6"/>
      <c r="F727" s="6"/>
      <c r="G727" s="22"/>
      <c r="H727" s="22"/>
      <c r="I727" s="22"/>
      <c r="J727" s="22"/>
      <c r="K727" s="22"/>
      <c r="L727" s="22"/>
      <c r="M727" s="22"/>
      <c r="N727" s="18"/>
      <c r="O727" s="18"/>
      <c r="P727" s="22"/>
      <c r="Q727" s="22"/>
      <c r="R727" s="22"/>
      <c r="S727" s="22"/>
      <c r="T727" s="22"/>
      <c r="U727" s="22"/>
      <c r="V727" s="6"/>
      <c r="W727" s="18"/>
      <c r="X727" s="19"/>
      <c r="Y727" s="18"/>
      <c r="Z727" s="18"/>
      <c r="AA727" s="6"/>
      <c r="AB727" s="6"/>
      <c r="AC727" s="6"/>
      <c r="AD727" s="6"/>
      <c r="AE727" s="6"/>
      <c r="AF727" s="18"/>
      <c r="AG727" s="18"/>
      <c r="AH727" s="18"/>
      <c r="AI727" s="18"/>
      <c r="AK727" s="18"/>
      <c r="AL727" s="18"/>
      <c r="AM727" s="40" t="s">
        <v>118</v>
      </c>
      <c r="AN727" s="18"/>
      <c r="AO727" s="6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6"/>
      <c r="BK727" s="6"/>
      <c r="BL727" s="6" t="s">
        <v>60</v>
      </c>
      <c r="BO727" s="15"/>
    </row>
    <row r="728" spans="1:67">
      <c r="A728" s="6" t="s">
        <v>130</v>
      </c>
      <c r="B728" s="6" t="s">
        <v>137</v>
      </c>
      <c r="C728" s="17">
        <v>30573.732550000001</v>
      </c>
      <c r="D728" s="18">
        <v>10.25</v>
      </c>
      <c r="E728" s="6"/>
      <c r="F728" s="6"/>
      <c r="G728" s="22"/>
      <c r="H728" s="22"/>
      <c r="I728" s="22"/>
      <c r="J728" s="22"/>
      <c r="K728" s="22"/>
      <c r="L728" s="22"/>
      <c r="M728" s="22"/>
      <c r="N728" s="18"/>
      <c r="O728" s="18"/>
      <c r="P728" s="22"/>
      <c r="Q728" s="22"/>
      <c r="R728" s="22"/>
      <c r="S728" s="22"/>
      <c r="T728" s="22"/>
      <c r="U728" s="22"/>
      <c r="V728" s="6"/>
      <c r="W728" s="18"/>
      <c r="X728" s="19"/>
      <c r="Y728" s="18"/>
      <c r="Z728" s="18"/>
      <c r="AA728" s="6"/>
      <c r="AB728" s="6"/>
      <c r="AC728" s="6"/>
      <c r="AD728" s="6"/>
      <c r="AE728" s="6"/>
      <c r="AF728" s="18"/>
      <c r="AG728" s="18"/>
      <c r="AH728" s="18"/>
      <c r="AI728" s="18"/>
      <c r="AK728" s="18"/>
      <c r="AL728" s="18"/>
      <c r="AM728" s="40" t="s">
        <v>118</v>
      </c>
      <c r="AN728" s="18"/>
      <c r="AO728" s="6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6"/>
      <c r="BK728" s="6"/>
      <c r="BL728" s="6" t="s">
        <v>60</v>
      </c>
      <c r="BO728" s="15"/>
    </row>
    <row r="729" spans="1:67">
      <c r="A729" s="6" t="s">
        <v>130</v>
      </c>
      <c r="B729" s="6" t="s">
        <v>137</v>
      </c>
      <c r="C729" s="17">
        <v>30665.043099999999</v>
      </c>
      <c r="D729" s="18">
        <v>10.5</v>
      </c>
      <c r="E729" s="6"/>
      <c r="F729" s="6"/>
      <c r="G729" s="22"/>
      <c r="H729" s="22"/>
      <c r="I729" s="22"/>
      <c r="J729" s="22"/>
      <c r="K729" s="22"/>
      <c r="L729" s="22"/>
      <c r="M729" s="22"/>
      <c r="N729" s="18"/>
      <c r="O729" s="18"/>
      <c r="P729" s="22"/>
      <c r="Q729" s="22"/>
      <c r="R729" s="22"/>
      <c r="S729" s="22"/>
      <c r="T729" s="22"/>
      <c r="U729" s="22"/>
      <c r="V729" s="6"/>
      <c r="W729" s="18"/>
      <c r="X729" s="19"/>
      <c r="Y729" s="18"/>
      <c r="Z729" s="18"/>
      <c r="AA729" s="6"/>
      <c r="AB729" s="6"/>
      <c r="AC729" s="6"/>
      <c r="AD729" s="6"/>
      <c r="AE729" s="6"/>
      <c r="AF729" s="18"/>
      <c r="AG729" s="18"/>
      <c r="AH729" s="18"/>
      <c r="AI729" s="18"/>
      <c r="AK729" s="18"/>
      <c r="AL729" s="18"/>
      <c r="AM729" s="40" t="s">
        <v>118</v>
      </c>
      <c r="AN729" s="18"/>
      <c r="AO729" s="6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6"/>
      <c r="BK729" s="6"/>
      <c r="BL729" s="6" t="s">
        <v>60</v>
      </c>
      <c r="BO729" s="15"/>
    </row>
    <row r="730" spans="1:67">
      <c r="A730" s="6" t="s">
        <v>130</v>
      </c>
      <c r="B730" s="6" t="s">
        <v>137</v>
      </c>
      <c r="C730" s="17">
        <v>30756.353650000001</v>
      </c>
      <c r="D730" s="18">
        <v>10.75</v>
      </c>
      <c r="E730" s="6"/>
      <c r="F730" s="6"/>
      <c r="G730" s="22"/>
      <c r="H730" s="22"/>
      <c r="I730" s="22"/>
      <c r="J730" s="22"/>
      <c r="K730" s="22"/>
      <c r="L730" s="22"/>
      <c r="M730" s="22"/>
      <c r="N730" s="18"/>
      <c r="O730" s="18"/>
      <c r="P730" s="22"/>
      <c r="Q730" s="22"/>
      <c r="R730" s="22"/>
      <c r="S730" s="22"/>
      <c r="T730" s="22"/>
      <c r="U730" s="22"/>
      <c r="V730" s="6"/>
      <c r="W730" s="18"/>
      <c r="X730" s="19"/>
      <c r="Y730" s="18"/>
      <c r="Z730" s="18"/>
      <c r="AA730" s="6"/>
      <c r="AB730" s="6"/>
      <c r="AC730" s="6"/>
      <c r="AD730" s="6"/>
      <c r="AE730" s="6"/>
      <c r="AF730" s="18"/>
      <c r="AG730" s="18"/>
      <c r="AH730" s="18"/>
      <c r="AI730" s="18"/>
      <c r="AK730" s="18"/>
      <c r="AL730" s="18"/>
      <c r="AM730" s="40" t="s">
        <v>118</v>
      </c>
      <c r="AN730" s="18"/>
      <c r="AO730" s="6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6"/>
      <c r="BK730" s="6"/>
      <c r="BL730" s="6" t="s">
        <v>60</v>
      </c>
      <c r="BO730" s="15"/>
    </row>
    <row r="731" spans="1:67">
      <c r="A731" s="6" t="s">
        <v>130</v>
      </c>
      <c r="B731" s="6" t="s">
        <v>137</v>
      </c>
      <c r="C731" s="17">
        <v>30847.664199999999</v>
      </c>
      <c r="D731" s="18">
        <v>11</v>
      </c>
      <c r="E731" s="6"/>
      <c r="F731" s="6"/>
      <c r="G731" s="22"/>
      <c r="H731" s="22"/>
      <c r="I731" s="22"/>
      <c r="J731" s="22"/>
      <c r="K731" s="22"/>
      <c r="L731" s="22"/>
      <c r="M731" s="22"/>
      <c r="N731" s="18"/>
      <c r="O731" s="18"/>
      <c r="P731" s="22"/>
      <c r="Q731" s="22"/>
      <c r="R731" s="22"/>
      <c r="S731" s="22"/>
      <c r="T731" s="22"/>
      <c r="U731" s="22"/>
      <c r="V731" s="6"/>
      <c r="W731" s="18"/>
      <c r="X731" s="19"/>
      <c r="Y731" s="18"/>
      <c r="Z731" s="18"/>
      <c r="AA731" s="6"/>
      <c r="AB731" s="6"/>
      <c r="AC731" s="6"/>
      <c r="AD731" s="6"/>
      <c r="AE731" s="6"/>
      <c r="AF731" s="18"/>
      <c r="AG731" s="18"/>
      <c r="AH731" s="18"/>
      <c r="AI731" s="18"/>
      <c r="AK731" s="18"/>
      <c r="AL731" s="18"/>
      <c r="AM731" s="40" t="s">
        <v>118</v>
      </c>
      <c r="AN731" s="18"/>
      <c r="AO731" s="6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6"/>
      <c r="BK731" s="6"/>
      <c r="BL731" s="6" t="s">
        <v>60</v>
      </c>
      <c r="BO731" s="15"/>
    </row>
    <row r="732" spans="1:67" ht="13.25" customHeight="1">
      <c r="A732" s="6" t="s">
        <v>130</v>
      </c>
      <c r="B732" s="6" t="s">
        <v>137</v>
      </c>
      <c r="C732" s="17">
        <v>30938.974750000001</v>
      </c>
      <c r="D732" s="18">
        <v>11.25</v>
      </c>
      <c r="E732" s="6"/>
      <c r="F732" s="6"/>
      <c r="G732" s="22"/>
      <c r="H732" s="22"/>
      <c r="I732" s="22"/>
      <c r="J732" s="22"/>
      <c r="K732" s="22"/>
      <c r="L732" s="22"/>
      <c r="M732" s="22"/>
      <c r="N732" s="18"/>
      <c r="O732" s="18"/>
      <c r="P732" s="22"/>
      <c r="Q732" s="22"/>
      <c r="R732" s="22"/>
      <c r="S732" s="22"/>
      <c r="T732" s="22"/>
      <c r="U732" s="22"/>
      <c r="V732" s="6"/>
      <c r="W732" s="18"/>
      <c r="X732" s="19"/>
      <c r="Y732" s="18"/>
      <c r="Z732" s="18"/>
      <c r="AA732" s="6"/>
      <c r="AB732" s="6"/>
      <c r="AC732" s="6"/>
      <c r="AD732" s="6"/>
      <c r="AE732" s="6"/>
      <c r="AF732" s="18"/>
      <c r="AG732" s="18"/>
      <c r="AH732" s="18"/>
      <c r="AI732" s="18"/>
      <c r="AK732" s="18"/>
      <c r="AL732" s="18"/>
      <c r="AM732" s="40" t="s">
        <v>118</v>
      </c>
      <c r="AN732" s="18"/>
      <c r="AO732" s="6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6"/>
      <c r="BK732" s="6"/>
      <c r="BL732" s="6" t="s">
        <v>60</v>
      </c>
      <c r="BO732" s="15"/>
    </row>
    <row r="733" spans="1:67" ht="13.25" customHeight="1">
      <c r="A733" s="6" t="s">
        <v>130</v>
      </c>
      <c r="B733" s="6" t="s">
        <v>137</v>
      </c>
      <c r="C733" s="17">
        <v>31030.2853</v>
      </c>
      <c r="D733" s="18">
        <v>11.5</v>
      </c>
      <c r="E733" s="6"/>
      <c r="F733" s="6"/>
      <c r="G733" s="22"/>
      <c r="H733" s="22"/>
      <c r="I733" s="22"/>
      <c r="J733" s="22"/>
      <c r="K733" s="22"/>
      <c r="L733" s="22"/>
      <c r="M733" s="22"/>
      <c r="N733" s="18"/>
      <c r="O733" s="18"/>
      <c r="P733" s="22"/>
      <c r="Q733" s="22"/>
      <c r="R733" s="22"/>
      <c r="S733" s="22"/>
      <c r="T733" s="22"/>
      <c r="U733" s="22"/>
      <c r="V733" s="6"/>
      <c r="W733" s="18"/>
      <c r="X733" s="19"/>
      <c r="Y733" s="18"/>
      <c r="Z733" s="18"/>
      <c r="AA733" s="6"/>
      <c r="AB733" s="6"/>
      <c r="AC733" s="6"/>
      <c r="AD733" s="6"/>
      <c r="AE733" s="6"/>
      <c r="AF733" s="18"/>
      <c r="AG733" s="18"/>
      <c r="AH733" s="18"/>
      <c r="AI733" s="18"/>
      <c r="AK733" s="18"/>
      <c r="AL733" s="18"/>
      <c r="AM733" s="40" t="s">
        <v>118</v>
      </c>
      <c r="AN733" s="18"/>
      <c r="AO733" s="6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6"/>
      <c r="BK733" s="6"/>
      <c r="BL733" s="6" t="s">
        <v>60</v>
      </c>
      <c r="BO733" s="15"/>
    </row>
    <row r="734" spans="1:67">
      <c r="A734" s="6" t="s">
        <v>130</v>
      </c>
      <c r="B734" s="6" t="s">
        <v>137</v>
      </c>
      <c r="C734" s="17">
        <v>31121.595850000002</v>
      </c>
      <c r="D734" s="18">
        <v>11.75</v>
      </c>
      <c r="E734" s="6"/>
      <c r="F734" s="6"/>
      <c r="G734" s="22"/>
      <c r="H734" s="22"/>
      <c r="I734" s="22"/>
      <c r="J734" s="22"/>
      <c r="K734" s="22"/>
      <c r="L734" s="22"/>
      <c r="M734" s="22"/>
      <c r="N734" s="18"/>
      <c r="O734" s="18"/>
      <c r="P734" s="22"/>
      <c r="Q734" s="22"/>
      <c r="R734" s="22"/>
      <c r="S734" s="22"/>
      <c r="T734" s="22"/>
      <c r="U734" s="22"/>
      <c r="V734" s="6"/>
      <c r="W734" s="18"/>
      <c r="X734" s="19"/>
      <c r="Y734" s="18"/>
      <c r="Z734" s="18"/>
      <c r="AA734" s="6"/>
      <c r="AB734" s="6"/>
      <c r="AC734" s="6"/>
      <c r="AD734" s="6"/>
      <c r="AE734" s="6"/>
      <c r="AF734" s="18"/>
      <c r="AG734" s="18"/>
      <c r="AH734" s="18"/>
      <c r="AI734" s="18"/>
      <c r="AK734" s="18"/>
      <c r="AL734" s="18"/>
      <c r="AM734" s="40" t="s">
        <v>118</v>
      </c>
      <c r="AN734" s="18"/>
      <c r="AO734" s="6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6"/>
      <c r="BK734" s="6"/>
      <c r="BL734" s="6" t="s">
        <v>60</v>
      </c>
      <c r="BO734" s="15"/>
    </row>
    <row r="735" spans="1:67" ht="13.25" customHeight="1">
      <c r="A735" s="6" t="s">
        <v>130</v>
      </c>
      <c r="B735" s="6" t="s">
        <v>137</v>
      </c>
      <c r="C735" s="17">
        <v>31212.9064</v>
      </c>
      <c r="D735" s="18">
        <v>12</v>
      </c>
      <c r="E735" s="6"/>
      <c r="F735" s="6"/>
      <c r="G735" s="22"/>
      <c r="H735" s="22"/>
      <c r="I735" s="22"/>
      <c r="J735" s="22"/>
      <c r="K735" s="22"/>
      <c r="L735" s="22"/>
      <c r="M735" s="22"/>
      <c r="N735" s="18"/>
      <c r="O735" s="18"/>
      <c r="P735" s="22"/>
      <c r="Q735" s="22"/>
      <c r="R735" s="22"/>
      <c r="S735" s="22"/>
      <c r="T735" s="22"/>
      <c r="U735" s="22"/>
      <c r="V735" s="6"/>
      <c r="W735" s="18"/>
      <c r="X735" s="19"/>
      <c r="Y735" s="18"/>
      <c r="Z735" s="18"/>
      <c r="AA735" s="6"/>
      <c r="AB735" s="6"/>
      <c r="AC735" s="6"/>
      <c r="AD735" s="6"/>
      <c r="AE735" s="6"/>
      <c r="AF735" s="18"/>
      <c r="AG735" s="18"/>
      <c r="AH735" s="18"/>
      <c r="AI735" s="18"/>
      <c r="AK735" s="18"/>
      <c r="AL735" s="18"/>
      <c r="AM735" s="40" t="s">
        <v>118</v>
      </c>
      <c r="AN735" s="18"/>
      <c r="AO735" s="6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6"/>
      <c r="BK735" s="6"/>
      <c r="BL735" s="6" t="s">
        <v>60</v>
      </c>
      <c r="BO735" s="15"/>
    </row>
    <row r="736" spans="1:67" ht="13.25" customHeight="1">
      <c r="A736" s="6" t="s">
        <v>130</v>
      </c>
      <c r="B736" s="6" t="s">
        <v>137</v>
      </c>
      <c r="C736" s="17">
        <v>31304.216950000002</v>
      </c>
      <c r="D736" s="18">
        <v>12.25</v>
      </c>
      <c r="E736" s="6"/>
      <c r="F736" s="6"/>
      <c r="G736" s="22"/>
      <c r="H736" s="22"/>
      <c r="I736" s="22"/>
      <c r="J736" s="22"/>
      <c r="K736" s="22"/>
      <c r="L736" s="22"/>
      <c r="M736" s="22"/>
      <c r="N736" s="18"/>
      <c r="O736" s="18"/>
      <c r="P736" s="22"/>
      <c r="Q736" s="22"/>
      <c r="R736" s="22"/>
      <c r="S736" s="22"/>
      <c r="T736" s="22"/>
      <c r="U736" s="22"/>
      <c r="V736" s="6"/>
      <c r="W736" s="18"/>
      <c r="X736" s="19"/>
      <c r="Y736" s="18"/>
      <c r="Z736" s="18"/>
      <c r="AA736" s="6"/>
      <c r="AB736" s="6"/>
      <c r="AC736" s="6"/>
      <c r="AD736" s="6"/>
      <c r="AE736" s="6"/>
      <c r="AF736" s="18"/>
      <c r="AG736" s="18"/>
      <c r="AH736" s="18"/>
      <c r="AI736" s="18"/>
      <c r="AK736" s="18"/>
      <c r="AL736" s="18"/>
      <c r="AM736" s="40" t="s">
        <v>118</v>
      </c>
      <c r="AN736" s="18"/>
      <c r="AO736" s="6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6"/>
      <c r="BK736" s="6"/>
      <c r="BL736" s="6" t="s">
        <v>60</v>
      </c>
      <c r="BO736" s="15"/>
    </row>
    <row r="737" spans="1:67">
      <c r="A737" s="6" t="s">
        <v>130</v>
      </c>
      <c r="B737" s="6" t="s">
        <v>137</v>
      </c>
      <c r="C737" s="17">
        <v>31395.5275</v>
      </c>
      <c r="D737" s="18">
        <v>12.5</v>
      </c>
      <c r="E737" s="6"/>
      <c r="F737" s="6"/>
      <c r="G737" s="22"/>
      <c r="H737" s="22"/>
      <c r="I737" s="22"/>
      <c r="J737" s="22"/>
      <c r="K737" s="22"/>
      <c r="L737" s="22"/>
      <c r="M737" s="22"/>
      <c r="N737" s="18"/>
      <c r="O737" s="18"/>
      <c r="P737" s="22"/>
      <c r="Q737" s="22"/>
      <c r="R737" s="22"/>
      <c r="S737" s="22"/>
      <c r="T737" s="22"/>
      <c r="U737" s="22"/>
      <c r="V737" s="6"/>
      <c r="W737" s="18"/>
      <c r="X737" s="19"/>
      <c r="Y737" s="18"/>
      <c r="Z737" s="18"/>
      <c r="AA737" s="6"/>
      <c r="AB737" s="6"/>
      <c r="AC737" s="6"/>
      <c r="AD737" s="6"/>
      <c r="AE737" s="6"/>
      <c r="AF737" s="18"/>
      <c r="AG737" s="18"/>
      <c r="AH737" s="18"/>
      <c r="AI737" s="18"/>
      <c r="AK737" s="18"/>
      <c r="AL737" s="18"/>
      <c r="AM737" s="40" t="s">
        <v>118</v>
      </c>
      <c r="AN737" s="18"/>
      <c r="AO737" s="6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6"/>
      <c r="BK737" s="6"/>
      <c r="BL737" s="6" t="s">
        <v>60</v>
      </c>
      <c r="BO737" s="15"/>
    </row>
    <row r="738" spans="1:67">
      <c r="A738" s="6" t="s">
        <v>130</v>
      </c>
      <c r="B738" s="6" t="s">
        <v>137</v>
      </c>
      <c r="C738" s="17">
        <v>31486.838049999998</v>
      </c>
      <c r="D738" s="18">
        <v>12.75</v>
      </c>
      <c r="E738" s="6"/>
      <c r="F738" s="6"/>
      <c r="G738" s="22"/>
      <c r="H738" s="22"/>
      <c r="I738" s="22"/>
      <c r="J738" s="22"/>
      <c r="K738" s="22"/>
      <c r="L738" s="22"/>
      <c r="M738" s="22"/>
      <c r="N738" s="18"/>
      <c r="O738" s="18"/>
      <c r="P738" s="22"/>
      <c r="Q738" s="22"/>
      <c r="R738" s="22"/>
      <c r="S738" s="22"/>
      <c r="T738" s="22"/>
      <c r="U738" s="22"/>
      <c r="V738" s="6"/>
      <c r="W738" s="18"/>
      <c r="X738" s="19"/>
      <c r="Y738" s="18"/>
      <c r="Z738" s="18"/>
      <c r="AA738" s="6"/>
      <c r="AB738" s="6"/>
      <c r="AC738" s="6"/>
      <c r="AD738" s="6"/>
      <c r="AE738" s="6"/>
      <c r="AF738" s="18"/>
      <c r="AG738" s="18"/>
      <c r="AH738" s="18"/>
      <c r="AI738" s="18"/>
      <c r="AK738" s="18"/>
      <c r="AL738" s="18"/>
      <c r="AM738" s="40" t="s">
        <v>118</v>
      </c>
      <c r="AN738" s="18"/>
      <c r="AO738" s="6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6"/>
      <c r="BK738" s="6"/>
      <c r="BL738" s="6" t="s">
        <v>60</v>
      </c>
      <c r="BO738" s="15"/>
    </row>
    <row r="739" spans="1:67">
      <c r="A739" s="6" t="s">
        <v>130</v>
      </c>
      <c r="B739" s="6" t="s">
        <v>137</v>
      </c>
      <c r="C739" s="17">
        <v>31578.1486</v>
      </c>
      <c r="D739" s="18">
        <v>13</v>
      </c>
      <c r="E739" s="6"/>
      <c r="F739" s="6"/>
      <c r="G739" s="22"/>
      <c r="H739" s="22"/>
      <c r="I739" s="22"/>
      <c r="J739" s="22"/>
      <c r="K739" s="22"/>
      <c r="L739" s="22"/>
      <c r="M739" s="22"/>
      <c r="N739" s="18"/>
      <c r="O739" s="18"/>
      <c r="P739" s="22"/>
      <c r="Q739" s="22"/>
      <c r="R739" s="22"/>
      <c r="S739" s="22"/>
      <c r="T739" s="22"/>
      <c r="U739" s="22"/>
      <c r="V739" s="6"/>
      <c r="W739" s="18"/>
      <c r="X739" s="19"/>
      <c r="Y739" s="18"/>
      <c r="Z739" s="18"/>
      <c r="AA739" s="6"/>
      <c r="AB739" s="6"/>
      <c r="AC739" s="6"/>
      <c r="AD739" s="6"/>
      <c r="AE739" s="6"/>
      <c r="AF739" s="18"/>
      <c r="AG739" s="18"/>
      <c r="AH739" s="18"/>
      <c r="AI739" s="18"/>
      <c r="AK739" s="18"/>
      <c r="AL739" s="18"/>
      <c r="AM739" s="40" t="s">
        <v>118</v>
      </c>
      <c r="AN739" s="18"/>
      <c r="AO739" s="6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6"/>
      <c r="BK739" s="6"/>
      <c r="BL739" s="6" t="s">
        <v>60</v>
      </c>
      <c r="BO739" s="15"/>
    </row>
    <row r="740" spans="1:67">
      <c r="A740" s="6" t="s">
        <v>130</v>
      </c>
      <c r="B740" s="6" t="s">
        <v>137</v>
      </c>
      <c r="C740" s="17">
        <v>31669.459150000002</v>
      </c>
      <c r="D740" s="18">
        <v>13.25</v>
      </c>
      <c r="E740" s="6"/>
      <c r="F740" s="6"/>
      <c r="G740" s="22"/>
      <c r="H740" s="22"/>
      <c r="I740" s="22"/>
      <c r="J740" s="22"/>
      <c r="K740" s="22"/>
      <c r="L740" s="22"/>
      <c r="M740" s="22"/>
      <c r="N740" s="18"/>
      <c r="O740" s="18"/>
      <c r="P740" s="22"/>
      <c r="Q740" s="22"/>
      <c r="R740" s="22"/>
      <c r="S740" s="22"/>
      <c r="T740" s="22"/>
      <c r="U740" s="22"/>
      <c r="V740" s="6"/>
      <c r="W740" s="18"/>
      <c r="X740" s="19"/>
      <c r="Y740" s="18"/>
      <c r="Z740" s="18"/>
      <c r="AA740" s="6"/>
      <c r="AB740" s="6"/>
      <c r="AC740" s="6"/>
      <c r="AD740" s="6"/>
      <c r="AE740" s="6"/>
      <c r="AF740" s="18"/>
      <c r="AG740" s="18"/>
      <c r="AH740" s="18"/>
      <c r="AI740" s="18"/>
      <c r="AK740" s="18"/>
      <c r="AL740" s="18"/>
      <c r="AM740" s="40" t="s">
        <v>118</v>
      </c>
      <c r="AN740" s="18"/>
      <c r="AO740" s="6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6"/>
      <c r="BK740" s="6"/>
      <c r="BL740" s="6" t="s">
        <v>60</v>
      </c>
      <c r="BO740" s="15"/>
    </row>
    <row r="741" spans="1:67" ht="13.25" customHeight="1">
      <c r="A741" s="6" t="s">
        <v>130</v>
      </c>
      <c r="B741" s="6" t="s">
        <v>137</v>
      </c>
      <c r="C741" s="17">
        <v>31760.769700000001</v>
      </c>
      <c r="D741" s="18">
        <v>13.5</v>
      </c>
      <c r="E741" s="6"/>
      <c r="F741" s="6"/>
      <c r="G741" s="22"/>
      <c r="H741" s="22"/>
      <c r="I741" s="22"/>
      <c r="J741" s="22"/>
      <c r="K741" s="22"/>
      <c r="L741" s="22"/>
      <c r="M741" s="22"/>
      <c r="N741" s="18"/>
      <c r="O741" s="18"/>
      <c r="P741" s="22"/>
      <c r="Q741" s="22"/>
      <c r="R741" s="22"/>
      <c r="S741" s="22"/>
      <c r="T741" s="22"/>
      <c r="U741" s="22"/>
      <c r="V741" s="6"/>
      <c r="W741" s="18"/>
      <c r="X741" s="19"/>
      <c r="Y741" s="18"/>
      <c r="Z741" s="18"/>
      <c r="AA741" s="6"/>
      <c r="AB741" s="6"/>
      <c r="AC741" s="6"/>
      <c r="AD741" s="6"/>
      <c r="AE741" s="6"/>
      <c r="AF741" s="18"/>
      <c r="AG741" s="18"/>
      <c r="AH741" s="18"/>
      <c r="AI741" s="18"/>
      <c r="AK741" s="18"/>
      <c r="AL741" s="18"/>
      <c r="AM741" s="40" t="s">
        <v>118</v>
      </c>
      <c r="AN741" s="18"/>
      <c r="AO741" s="6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6"/>
      <c r="BK741" s="6"/>
      <c r="BL741" s="6" t="s">
        <v>60</v>
      </c>
      <c r="BO741" s="15"/>
    </row>
    <row r="742" spans="1:67">
      <c r="A742" s="6" t="s">
        <v>130</v>
      </c>
      <c r="B742" s="6" t="s">
        <v>137</v>
      </c>
      <c r="C742" s="17">
        <v>31852.080249999999</v>
      </c>
      <c r="D742" s="18">
        <v>13.75</v>
      </c>
      <c r="E742" s="6"/>
      <c r="F742" s="6"/>
      <c r="G742" s="22"/>
      <c r="H742" s="22"/>
      <c r="I742" s="22"/>
      <c r="J742" s="22"/>
      <c r="K742" s="22"/>
      <c r="L742" s="22"/>
      <c r="M742" s="22"/>
      <c r="N742" s="18"/>
      <c r="O742" s="18"/>
      <c r="P742" s="22"/>
      <c r="Q742" s="22"/>
      <c r="R742" s="22"/>
      <c r="S742" s="22"/>
      <c r="T742" s="22"/>
      <c r="U742" s="22"/>
      <c r="V742" s="6"/>
      <c r="W742" s="18"/>
      <c r="X742" s="19"/>
      <c r="Y742" s="18"/>
      <c r="Z742" s="18"/>
      <c r="AA742" s="6"/>
      <c r="AB742" s="6"/>
      <c r="AC742" s="6"/>
      <c r="AD742" s="6"/>
      <c r="AE742" s="6"/>
      <c r="AF742" s="18"/>
      <c r="AG742" s="18"/>
      <c r="AH742" s="18"/>
      <c r="AI742" s="18"/>
      <c r="AK742" s="18"/>
      <c r="AL742" s="18"/>
      <c r="AM742" s="40" t="s">
        <v>118</v>
      </c>
      <c r="AN742" s="18"/>
      <c r="AO742" s="6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6"/>
      <c r="BK742" s="6"/>
      <c r="BL742" s="6" t="s">
        <v>60</v>
      </c>
      <c r="BO742" s="15"/>
    </row>
    <row r="743" spans="1:67">
      <c r="A743" s="6" t="s">
        <v>130</v>
      </c>
      <c r="B743" s="6" t="s">
        <v>137</v>
      </c>
      <c r="C743" s="17">
        <v>31943.390800000001</v>
      </c>
      <c r="D743" s="18">
        <v>14</v>
      </c>
      <c r="E743" s="6"/>
      <c r="F743" s="6"/>
      <c r="G743" s="22"/>
      <c r="H743" s="22"/>
      <c r="I743" s="22"/>
      <c r="J743" s="22"/>
      <c r="K743" s="22"/>
      <c r="L743" s="22"/>
      <c r="M743" s="22"/>
      <c r="N743" s="18"/>
      <c r="O743" s="18"/>
      <c r="P743" s="22"/>
      <c r="Q743" s="22"/>
      <c r="R743" s="22"/>
      <c r="S743" s="22"/>
      <c r="T743" s="22"/>
      <c r="U743" s="22"/>
      <c r="V743" s="6"/>
      <c r="W743" s="18"/>
      <c r="X743" s="19"/>
      <c r="Y743" s="18"/>
      <c r="Z743" s="18"/>
      <c r="AA743" s="6"/>
      <c r="AB743" s="6"/>
      <c r="AC743" s="6"/>
      <c r="AD743" s="6"/>
      <c r="AE743" s="6"/>
      <c r="AF743" s="18"/>
      <c r="AG743" s="18"/>
      <c r="AH743" s="18"/>
      <c r="AI743" s="18"/>
      <c r="AK743" s="18"/>
      <c r="AL743" s="18"/>
      <c r="AM743" s="40" t="s">
        <v>118</v>
      </c>
      <c r="AN743" s="18"/>
      <c r="AO743" s="6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6"/>
      <c r="BK743" s="6"/>
      <c r="BL743" s="6" t="s">
        <v>60</v>
      </c>
      <c r="BO743" s="15"/>
    </row>
    <row r="744" spans="1:67">
      <c r="A744" s="6" t="s">
        <v>130</v>
      </c>
      <c r="B744" s="6" t="s">
        <v>137</v>
      </c>
      <c r="C744" s="17">
        <v>32034.701349999999</v>
      </c>
      <c r="D744" s="18">
        <v>14.25</v>
      </c>
      <c r="E744" s="6"/>
      <c r="F744" s="6"/>
      <c r="G744" s="22"/>
      <c r="H744" s="22"/>
      <c r="I744" s="22"/>
      <c r="J744" s="22"/>
      <c r="K744" s="22"/>
      <c r="L744" s="22"/>
      <c r="M744" s="22"/>
      <c r="N744" s="18"/>
      <c r="O744" s="18"/>
      <c r="P744" s="22"/>
      <c r="Q744" s="22"/>
      <c r="R744" s="22"/>
      <c r="S744" s="22"/>
      <c r="T744" s="22"/>
      <c r="U744" s="22"/>
      <c r="V744" s="6"/>
      <c r="W744" s="18"/>
      <c r="X744" s="19"/>
      <c r="Y744" s="18"/>
      <c r="Z744" s="18"/>
      <c r="AA744" s="6"/>
      <c r="AB744" s="6"/>
      <c r="AC744" s="6"/>
      <c r="AD744" s="6"/>
      <c r="AE744" s="6"/>
      <c r="AF744" s="18"/>
      <c r="AG744" s="18"/>
      <c r="AH744" s="18"/>
      <c r="AI744" s="18"/>
      <c r="AK744" s="18"/>
      <c r="AL744" s="18"/>
      <c r="AM744" s="40" t="s">
        <v>118</v>
      </c>
      <c r="AN744" s="18"/>
      <c r="AO744" s="6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6"/>
      <c r="BK744" s="6"/>
      <c r="BL744" s="6" t="s">
        <v>60</v>
      </c>
      <c r="BO744" s="15"/>
    </row>
    <row r="745" spans="1:67">
      <c r="A745" s="6" t="s">
        <v>130</v>
      </c>
      <c r="B745" s="6" t="s">
        <v>137</v>
      </c>
      <c r="C745" s="17">
        <v>32126.011900000001</v>
      </c>
      <c r="D745" s="18">
        <v>14.5</v>
      </c>
      <c r="E745" s="6"/>
      <c r="F745" s="6"/>
      <c r="G745" s="22"/>
      <c r="H745" s="22"/>
      <c r="I745" s="22"/>
      <c r="J745" s="22"/>
      <c r="K745" s="22"/>
      <c r="L745" s="22"/>
      <c r="M745" s="22"/>
      <c r="N745" s="18"/>
      <c r="O745" s="18"/>
      <c r="P745" s="22"/>
      <c r="Q745" s="22"/>
      <c r="R745" s="22"/>
      <c r="S745" s="22"/>
      <c r="T745" s="22"/>
      <c r="U745" s="22"/>
      <c r="V745" s="6"/>
      <c r="W745" s="18"/>
      <c r="X745" s="19"/>
      <c r="Y745" s="18"/>
      <c r="Z745" s="18"/>
      <c r="AA745" s="6"/>
      <c r="AB745" s="6"/>
      <c r="AC745" s="6"/>
      <c r="AD745" s="6"/>
      <c r="AE745" s="6"/>
      <c r="AF745" s="18"/>
      <c r="AG745" s="18"/>
      <c r="AH745" s="18"/>
      <c r="AI745" s="18"/>
      <c r="AK745" s="18"/>
      <c r="AL745" s="18"/>
      <c r="AM745" s="40" t="s">
        <v>118</v>
      </c>
      <c r="AN745" s="18"/>
      <c r="AO745" s="6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6"/>
      <c r="BK745" s="6"/>
      <c r="BL745" s="6" t="s">
        <v>60</v>
      </c>
      <c r="BO745" s="15"/>
    </row>
    <row r="746" spans="1:67">
      <c r="A746" s="6" t="s">
        <v>130</v>
      </c>
      <c r="B746" s="6" t="s">
        <v>137</v>
      </c>
      <c r="C746" s="17">
        <v>32217.32245</v>
      </c>
      <c r="D746" s="18">
        <v>14.75</v>
      </c>
      <c r="E746" s="6"/>
      <c r="F746" s="6"/>
      <c r="G746" s="22"/>
      <c r="H746" s="22"/>
      <c r="I746" s="22"/>
      <c r="J746" s="22"/>
      <c r="K746" s="22"/>
      <c r="L746" s="22"/>
      <c r="M746" s="22"/>
      <c r="N746" s="18"/>
      <c r="O746" s="18"/>
      <c r="P746" s="22"/>
      <c r="Q746" s="22"/>
      <c r="R746" s="22"/>
      <c r="S746" s="22"/>
      <c r="T746" s="22"/>
      <c r="U746" s="22"/>
      <c r="V746" s="6"/>
      <c r="W746" s="18"/>
      <c r="X746" s="19"/>
      <c r="Y746" s="18"/>
      <c r="Z746" s="18"/>
      <c r="AA746" s="6"/>
      <c r="AB746" s="6"/>
      <c r="AC746" s="6"/>
      <c r="AD746" s="6"/>
      <c r="AE746" s="6"/>
      <c r="AF746" s="18"/>
      <c r="AG746" s="18"/>
      <c r="AH746" s="18"/>
      <c r="AI746" s="18"/>
      <c r="AK746" s="18"/>
      <c r="AL746" s="18"/>
      <c r="AM746" s="40" t="s">
        <v>118</v>
      </c>
      <c r="AN746" s="18"/>
      <c r="AO746" s="6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6"/>
      <c r="BK746" s="6"/>
      <c r="BL746" s="6" t="s">
        <v>60</v>
      </c>
      <c r="BO746" s="15"/>
    </row>
    <row r="747" spans="1:67">
      <c r="A747" s="6" t="s">
        <v>130</v>
      </c>
      <c r="B747" s="6" t="s">
        <v>137</v>
      </c>
      <c r="C747" s="17">
        <v>32308.633000000002</v>
      </c>
      <c r="D747" s="18">
        <v>15</v>
      </c>
      <c r="E747" s="6"/>
      <c r="F747" s="6"/>
      <c r="G747" s="22"/>
      <c r="H747" s="22"/>
      <c r="I747" s="22"/>
      <c r="J747" s="22"/>
      <c r="K747" s="22"/>
      <c r="L747" s="22"/>
      <c r="M747" s="22"/>
      <c r="N747" s="18"/>
      <c r="O747" s="18"/>
      <c r="P747" s="22"/>
      <c r="Q747" s="22"/>
      <c r="R747" s="22"/>
      <c r="S747" s="22"/>
      <c r="T747" s="22"/>
      <c r="U747" s="22"/>
      <c r="V747" s="6"/>
      <c r="W747" s="18"/>
      <c r="X747" s="19"/>
      <c r="Y747" s="18"/>
      <c r="Z747" s="18"/>
      <c r="AA747" s="6"/>
      <c r="AB747" s="6"/>
      <c r="AC747" s="6"/>
      <c r="AD747" s="6"/>
      <c r="AE747" s="6"/>
      <c r="AF747" s="18"/>
      <c r="AG747" s="18"/>
      <c r="AH747" s="18"/>
      <c r="AI747" s="18"/>
      <c r="AK747" s="18"/>
      <c r="AL747" s="18"/>
      <c r="AM747" s="40" t="s">
        <v>118</v>
      </c>
      <c r="AN747" s="18"/>
      <c r="AO747" s="6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6"/>
      <c r="BK747" s="6"/>
      <c r="BL747" s="6" t="s">
        <v>60</v>
      </c>
      <c r="BO747" s="15"/>
    </row>
    <row r="748" spans="1:67">
      <c r="A748" s="6" t="s">
        <v>130</v>
      </c>
      <c r="B748" s="6" t="s">
        <v>137</v>
      </c>
      <c r="C748" s="17">
        <v>32399.94355</v>
      </c>
      <c r="D748" s="18">
        <v>15.25</v>
      </c>
      <c r="E748" s="6"/>
      <c r="F748" s="6"/>
      <c r="G748" s="22"/>
      <c r="H748" s="22"/>
      <c r="I748" s="22"/>
      <c r="J748" s="22"/>
      <c r="K748" s="22"/>
      <c r="L748" s="22"/>
      <c r="M748" s="22"/>
      <c r="N748" s="18"/>
      <c r="O748" s="18"/>
      <c r="P748" s="22"/>
      <c r="Q748" s="22"/>
      <c r="R748" s="22"/>
      <c r="S748" s="22"/>
      <c r="T748" s="22"/>
      <c r="U748" s="22"/>
      <c r="V748" s="6"/>
      <c r="W748" s="18"/>
      <c r="X748" s="19"/>
      <c r="Y748" s="18"/>
      <c r="Z748" s="18"/>
      <c r="AA748" s="6"/>
      <c r="AB748" s="6"/>
      <c r="AC748" s="6"/>
      <c r="AD748" s="6"/>
      <c r="AE748" s="6"/>
      <c r="AF748" s="18"/>
      <c r="AG748" s="18"/>
      <c r="AH748" s="18"/>
      <c r="AI748" s="18"/>
      <c r="AK748" s="18"/>
      <c r="AL748" s="18"/>
      <c r="AM748" s="40" t="s">
        <v>118</v>
      </c>
      <c r="AN748" s="18"/>
      <c r="AO748" s="6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6"/>
      <c r="BK748" s="6"/>
      <c r="BL748" s="6" t="s">
        <v>60</v>
      </c>
      <c r="BO748" s="15"/>
    </row>
    <row r="749" spans="1:67">
      <c r="A749" s="6" t="s">
        <v>130</v>
      </c>
      <c r="B749" s="6" t="s">
        <v>137</v>
      </c>
      <c r="C749" s="17">
        <v>32491.254099999998</v>
      </c>
      <c r="D749" s="18">
        <v>15.5</v>
      </c>
      <c r="E749" s="6"/>
      <c r="F749" s="6"/>
      <c r="G749" s="22"/>
      <c r="H749" s="22"/>
      <c r="I749" s="22"/>
      <c r="J749" s="22"/>
      <c r="K749" s="22"/>
      <c r="L749" s="22"/>
      <c r="M749" s="22"/>
      <c r="N749" s="18"/>
      <c r="O749" s="18"/>
      <c r="P749" s="22"/>
      <c r="Q749" s="22"/>
      <c r="R749" s="22"/>
      <c r="S749" s="22"/>
      <c r="T749" s="22"/>
      <c r="U749" s="22"/>
      <c r="V749" s="6"/>
      <c r="W749" s="18"/>
      <c r="X749" s="19"/>
      <c r="Y749" s="18"/>
      <c r="Z749" s="18"/>
      <c r="AA749" s="6"/>
      <c r="AB749" s="6"/>
      <c r="AC749" s="6"/>
      <c r="AD749" s="6"/>
      <c r="AE749" s="6"/>
      <c r="AF749" s="18"/>
      <c r="AG749" s="18"/>
      <c r="AH749" s="18"/>
      <c r="AI749" s="18"/>
      <c r="AK749" s="18"/>
      <c r="AL749" s="18"/>
      <c r="AM749" s="40" t="s">
        <v>118</v>
      </c>
      <c r="AN749" s="18"/>
      <c r="AO749" s="6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6"/>
      <c r="BK749" s="6"/>
      <c r="BL749" s="6" t="s">
        <v>60</v>
      </c>
      <c r="BO749" s="15"/>
    </row>
    <row r="750" spans="1:67" ht="13.25" customHeight="1">
      <c r="A750" s="6" t="s">
        <v>130</v>
      </c>
      <c r="B750" s="6" t="s">
        <v>137</v>
      </c>
      <c r="C750" s="17">
        <v>32582.56465</v>
      </c>
      <c r="D750" s="18">
        <v>15.75</v>
      </c>
      <c r="E750" s="6"/>
      <c r="F750" s="6"/>
      <c r="G750" s="22"/>
      <c r="H750" s="22"/>
      <c r="I750" s="22"/>
      <c r="J750" s="22"/>
      <c r="K750" s="22"/>
      <c r="L750" s="22"/>
      <c r="M750" s="22"/>
      <c r="N750" s="18"/>
      <c r="O750" s="18"/>
      <c r="P750" s="22"/>
      <c r="Q750" s="22"/>
      <c r="R750" s="22"/>
      <c r="S750" s="22"/>
      <c r="T750" s="22"/>
      <c r="U750" s="22"/>
      <c r="V750" s="6"/>
      <c r="W750" s="18"/>
      <c r="X750" s="19"/>
      <c r="Y750" s="18"/>
      <c r="Z750" s="18"/>
      <c r="AA750" s="6"/>
      <c r="AB750" s="6"/>
      <c r="AC750" s="6"/>
      <c r="AD750" s="6"/>
      <c r="AE750" s="6"/>
      <c r="AF750" s="18"/>
      <c r="AG750" s="18"/>
      <c r="AH750" s="18"/>
      <c r="AI750" s="18"/>
      <c r="AK750" s="18"/>
      <c r="AL750" s="18"/>
      <c r="AM750" s="40" t="s">
        <v>118</v>
      </c>
      <c r="AN750" s="18"/>
      <c r="AO750" s="6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6"/>
      <c r="BK750" s="6"/>
      <c r="BL750" s="6" t="s">
        <v>60</v>
      </c>
      <c r="BO750" s="15"/>
    </row>
    <row r="751" spans="1:67">
      <c r="A751" s="6" t="s">
        <v>130</v>
      </c>
      <c r="B751" s="6" t="s">
        <v>137</v>
      </c>
      <c r="C751" s="17">
        <v>32673.875200000002</v>
      </c>
      <c r="D751" s="18">
        <v>16</v>
      </c>
      <c r="E751" s="6"/>
      <c r="F751" s="6"/>
      <c r="G751" s="22"/>
      <c r="H751" s="22"/>
      <c r="I751" s="22"/>
      <c r="J751" s="22"/>
      <c r="K751" s="22"/>
      <c r="L751" s="22"/>
      <c r="M751" s="22"/>
      <c r="N751" s="18"/>
      <c r="O751" s="18"/>
      <c r="P751" s="22"/>
      <c r="Q751" s="22"/>
      <c r="R751" s="22"/>
      <c r="S751" s="22"/>
      <c r="T751" s="22"/>
      <c r="U751" s="22"/>
      <c r="V751" s="6"/>
      <c r="W751" s="18"/>
      <c r="X751" s="19"/>
      <c r="Y751" s="18"/>
      <c r="Z751" s="18"/>
      <c r="AA751" s="6"/>
      <c r="AB751" s="6"/>
      <c r="AC751" s="6"/>
      <c r="AD751" s="6"/>
      <c r="AE751" s="6"/>
      <c r="AF751" s="18"/>
      <c r="AG751" s="18"/>
      <c r="AH751" s="18"/>
      <c r="AI751" s="18"/>
      <c r="AK751" s="18"/>
      <c r="AL751" s="18"/>
      <c r="AM751" s="40" t="s">
        <v>118</v>
      </c>
      <c r="AN751" s="18"/>
      <c r="AO751" s="6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6"/>
      <c r="BK751" s="6"/>
      <c r="BL751" s="6" t="s">
        <v>60</v>
      </c>
      <c r="BO751" s="15"/>
    </row>
    <row r="752" spans="1:67">
      <c r="A752" s="6" t="s">
        <v>130</v>
      </c>
      <c r="B752" s="6" t="s">
        <v>137</v>
      </c>
      <c r="C752" s="17">
        <v>32765.185750000001</v>
      </c>
      <c r="D752" s="18">
        <v>16.25</v>
      </c>
      <c r="E752" s="6"/>
      <c r="F752" s="6"/>
      <c r="G752" s="22"/>
      <c r="H752" s="22"/>
      <c r="I752" s="22"/>
      <c r="J752" s="22"/>
      <c r="K752" s="22"/>
      <c r="L752" s="22"/>
      <c r="M752" s="22"/>
      <c r="N752" s="18"/>
      <c r="O752" s="18"/>
      <c r="P752" s="22"/>
      <c r="Q752" s="22"/>
      <c r="R752" s="22"/>
      <c r="S752" s="22"/>
      <c r="T752" s="22"/>
      <c r="U752" s="22"/>
      <c r="V752" s="6"/>
      <c r="W752" s="18"/>
      <c r="X752" s="19"/>
      <c r="Y752" s="18"/>
      <c r="Z752" s="18"/>
      <c r="AA752" s="6"/>
      <c r="AB752" s="6"/>
      <c r="AC752" s="6"/>
      <c r="AD752" s="6"/>
      <c r="AE752" s="6"/>
      <c r="AF752" s="18"/>
      <c r="AG752" s="18"/>
      <c r="AH752" s="18"/>
      <c r="AI752" s="18"/>
      <c r="AK752" s="18"/>
      <c r="AL752" s="18"/>
      <c r="AM752" s="40" t="s">
        <v>118</v>
      </c>
      <c r="AN752" s="18"/>
      <c r="AO752" s="6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6"/>
      <c r="BK752" s="6"/>
      <c r="BL752" s="6" t="s">
        <v>60</v>
      </c>
      <c r="BO752" s="15"/>
    </row>
    <row r="753" spans="1:67">
      <c r="A753" s="6" t="s">
        <v>130</v>
      </c>
      <c r="B753" s="6" t="s">
        <v>137</v>
      </c>
      <c r="C753" s="17">
        <v>32856.496299999999</v>
      </c>
      <c r="D753" s="18">
        <v>16.5</v>
      </c>
      <c r="E753" s="6"/>
      <c r="F753" s="6"/>
      <c r="G753" s="22"/>
      <c r="H753" s="22"/>
      <c r="I753" s="22"/>
      <c r="J753" s="22"/>
      <c r="K753" s="22"/>
      <c r="L753" s="22"/>
      <c r="M753" s="22"/>
      <c r="N753" s="18"/>
      <c r="O753" s="18"/>
      <c r="P753" s="22"/>
      <c r="Q753" s="22"/>
      <c r="R753" s="22"/>
      <c r="S753" s="22"/>
      <c r="T753" s="22"/>
      <c r="U753" s="22"/>
      <c r="V753" s="6"/>
      <c r="W753" s="18"/>
      <c r="X753" s="19"/>
      <c r="Y753" s="18"/>
      <c r="Z753" s="18"/>
      <c r="AA753" s="6"/>
      <c r="AB753" s="6"/>
      <c r="AC753" s="6"/>
      <c r="AD753" s="6"/>
      <c r="AE753" s="6"/>
      <c r="AF753" s="18"/>
      <c r="AG753" s="18"/>
      <c r="AH753" s="18"/>
      <c r="AI753" s="18"/>
      <c r="AK753" s="18"/>
      <c r="AL753" s="18"/>
      <c r="AM753" s="40" t="s">
        <v>118</v>
      </c>
      <c r="AN753" s="18"/>
      <c r="AO753" s="6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6"/>
      <c r="BK753" s="6"/>
      <c r="BL753" s="6" t="s">
        <v>60</v>
      </c>
      <c r="BO753" s="15"/>
    </row>
    <row r="754" spans="1:67">
      <c r="A754" s="6" t="s">
        <v>130</v>
      </c>
      <c r="B754" s="6" t="s">
        <v>137</v>
      </c>
      <c r="C754" s="17">
        <v>32947.806850000001</v>
      </c>
      <c r="D754" s="18">
        <v>16.75</v>
      </c>
      <c r="E754" s="6"/>
      <c r="F754" s="6"/>
      <c r="G754" s="22"/>
      <c r="H754" s="22"/>
      <c r="I754" s="22"/>
      <c r="J754" s="22"/>
      <c r="K754" s="22"/>
      <c r="L754" s="22"/>
      <c r="M754" s="22"/>
      <c r="N754" s="18"/>
      <c r="O754" s="18"/>
      <c r="P754" s="22"/>
      <c r="Q754" s="22"/>
      <c r="R754" s="22"/>
      <c r="S754" s="22"/>
      <c r="T754" s="22"/>
      <c r="U754" s="22"/>
      <c r="V754" s="6"/>
      <c r="W754" s="18"/>
      <c r="X754" s="19"/>
      <c r="Y754" s="18"/>
      <c r="Z754" s="18"/>
      <c r="AA754" s="6"/>
      <c r="AB754" s="6"/>
      <c r="AC754" s="6"/>
      <c r="AD754" s="6"/>
      <c r="AE754" s="6"/>
      <c r="AF754" s="18"/>
      <c r="AG754" s="18"/>
      <c r="AH754" s="18"/>
      <c r="AI754" s="18"/>
      <c r="AK754" s="18"/>
      <c r="AL754" s="18"/>
      <c r="AM754" s="40" t="s">
        <v>118</v>
      </c>
      <c r="AN754" s="18"/>
      <c r="AO754" s="6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6"/>
      <c r="BK754" s="6"/>
      <c r="BL754" s="6" t="s">
        <v>60</v>
      </c>
      <c r="BO754" s="15"/>
    </row>
    <row r="755" spans="1:67">
      <c r="A755" s="6" t="s">
        <v>130</v>
      </c>
      <c r="B755" s="6" t="s">
        <v>137</v>
      </c>
      <c r="C755" s="17">
        <v>33039.117400000003</v>
      </c>
      <c r="D755" s="18">
        <v>17</v>
      </c>
      <c r="E755" s="6"/>
      <c r="F755" s="6"/>
      <c r="G755" s="22"/>
      <c r="H755" s="22"/>
      <c r="I755" s="22"/>
      <c r="J755" s="22"/>
      <c r="K755" s="22"/>
      <c r="L755" s="22"/>
      <c r="M755" s="22"/>
      <c r="N755" s="18"/>
      <c r="O755" s="18"/>
      <c r="P755" s="22"/>
      <c r="Q755" s="22"/>
      <c r="R755" s="22"/>
      <c r="S755" s="22"/>
      <c r="T755" s="22"/>
      <c r="U755" s="22"/>
      <c r="V755" s="6"/>
      <c r="W755" s="18"/>
      <c r="X755" s="19"/>
      <c r="Y755" s="18"/>
      <c r="Z755" s="18"/>
      <c r="AA755" s="6"/>
      <c r="AB755" s="6"/>
      <c r="AC755" s="6"/>
      <c r="AD755" s="6"/>
      <c r="AE755" s="6"/>
      <c r="AF755" s="18"/>
      <c r="AG755" s="18"/>
      <c r="AH755" s="18"/>
      <c r="AI755" s="18"/>
      <c r="AK755" s="18"/>
      <c r="AL755" s="18"/>
      <c r="AM755" s="40" t="s">
        <v>118</v>
      </c>
      <c r="AN755" s="18"/>
      <c r="AO755" s="6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6"/>
      <c r="BK755" s="6"/>
      <c r="BL755" s="6" t="s">
        <v>60</v>
      </c>
      <c r="BO755" s="15"/>
    </row>
    <row r="756" spans="1:67">
      <c r="A756" s="6" t="s">
        <v>130</v>
      </c>
      <c r="B756" s="6" t="s">
        <v>137</v>
      </c>
      <c r="C756" s="17">
        <v>33130.427949999998</v>
      </c>
      <c r="D756" s="18">
        <v>17.25</v>
      </c>
      <c r="E756" s="6"/>
      <c r="F756" s="6"/>
      <c r="G756" s="22"/>
      <c r="H756" s="22"/>
      <c r="I756" s="22"/>
      <c r="J756" s="22"/>
      <c r="K756" s="22"/>
      <c r="L756" s="22"/>
      <c r="M756" s="22"/>
      <c r="N756" s="18"/>
      <c r="O756" s="18"/>
      <c r="P756" s="22"/>
      <c r="Q756" s="22"/>
      <c r="R756" s="22"/>
      <c r="S756" s="22"/>
      <c r="T756" s="22"/>
      <c r="U756" s="22"/>
      <c r="V756" s="6"/>
      <c r="W756" s="18"/>
      <c r="X756" s="19"/>
      <c r="Y756" s="18"/>
      <c r="Z756" s="18"/>
      <c r="AA756" s="6"/>
      <c r="AB756" s="6"/>
      <c r="AC756" s="6"/>
      <c r="AD756" s="6"/>
      <c r="AE756" s="6"/>
      <c r="AF756" s="18"/>
      <c r="AG756" s="18"/>
      <c r="AH756" s="18"/>
      <c r="AI756" s="18"/>
      <c r="AK756" s="18"/>
      <c r="AL756" s="18"/>
      <c r="AM756" s="40" t="s">
        <v>118</v>
      </c>
      <c r="AN756" s="18"/>
      <c r="AO756" s="6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6"/>
      <c r="BK756" s="6"/>
      <c r="BL756" s="6" t="s">
        <v>60</v>
      </c>
      <c r="BO756" s="15"/>
    </row>
    <row r="757" spans="1:67">
      <c r="A757" s="6" t="s">
        <v>130</v>
      </c>
      <c r="B757" s="6" t="s">
        <v>137</v>
      </c>
      <c r="C757" s="17">
        <v>33221.738499999999</v>
      </c>
      <c r="D757" s="18">
        <v>17.5</v>
      </c>
      <c r="E757" s="6"/>
      <c r="F757" s="6"/>
      <c r="G757" s="22"/>
      <c r="H757" s="22"/>
      <c r="I757" s="22"/>
      <c r="J757" s="22"/>
      <c r="K757" s="22"/>
      <c r="L757" s="22"/>
      <c r="M757" s="22"/>
      <c r="N757" s="18"/>
      <c r="O757" s="18"/>
      <c r="P757" s="22"/>
      <c r="Q757" s="22"/>
      <c r="R757" s="22"/>
      <c r="S757" s="22"/>
      <c r="T757" s="22"/>
      <c r="U757" s="22"/>
      <c r="V757" s="6"/>
      <c r="W757" s="18"/>
      <c r="X757" s="19"/>
      <c r="Y757" s="18"/>
      <c r="Z757" s="18"/>
      <c r="AA757" s="6"/>
      <c r="AB757" s="6"/>
      <c r="AC757" s="6"/>
      <c r="AD757" s="6"/>
      <c r="AE757" s="6"/>
      <c r="AF757" s="18"/>
      <c r="AG757" s="18"/>
      <c r="AH757" s="18"/>
      <c r="AI757" s="18"/>
      <c r="AK757" s="18"/>
      <c r="AL757" s="18"/>
      <c r="AM757" s="40" t="s">
        <v>118</v>
      </c>
      <c r="AN757" s="18"/>
      <c r="AO757" s="6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6"/>
      <c r="BK757" s="6"/>
      <c r="BL757" s="6" t="s">
        <v>60</v>
      </c>
      <c r="BO757" s="15"/>
    </row>
    <row r="758" spans="1:67" ht="13.25" customHeight="1">
      <c r="A758" s="6" t="s">
        <v>130</v>
      </c>
      <c r="B758" s="6" t="s">
        <v>137</v>
      </c>
      <c r="C758" s="17">
        <v>33313.049050000001</v>
      </c>
      <c r="D758" s="18">
        <v>17.75</v>
      </c>
      <c r="E758" s="6"/>
      <c r="F758" s="6"/>
      <c r="G758" s="22"/>
      <c r="H758" s="22"/>
      <c r="I758" s="22"/>
      <c r="J758" s="22"/>
      <c r="K758" s="22"/>
      <c r="L758" s="22"/>
      <c r="M758" s="22"/>
      <c r="N758" s="18"/>
      <c r="O758" s="18"/>
      <c r="P758" s="22"/>
      <c r="Q758" s="22"/>
      <c r="R758" s="22"/>
      <c r="S758" s="22"/>
      <c r="T758" s="22"/>
      <c r="U758" s="22"/>
      <c r="V758" s="6"/>
      <c r="W758" s="18"/>
      <c r="X758" s="19"/>
      <c r="Y758" s="18"/>
      <c r="Z758" s="18"/>
      <c r="AA758" s="6"/>
      <c r="AB758" s="6"/>
      <c r="AC758" s="6"/>
      <c r="AD758" s="6"/>
      <c r="AE758" s="6"/>
      <c r="AF758" s="18"/>
      <c r="AG758" s="18"/>
      <c r="AH758" s="18"/>
      <c r="AI758" s="18"/>
      <c r="AK758" s="18"/>
      <c r="AL758" s="18"/>
      <c r="AM758" s="40" t="s">
        <v>118</v>
      </c>
      <c r="AN758" s="18"/>
      <c r="AO758" s="6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6"/>
      <c r="BK758" s="6"/>
      <c r="BL758" s="6" t="s">
        <v>60</v>
      </c>
      <c r="BO758" s="15"/>
    </row>
    <row r="759" spans="1:67">
      <c r="A759" s="6" t="s">
        <v>130</v>
      </c>
      <c r="B759" s="6" t="s">
        <v>137</v>
      </c>
      <c r="C759" s="17">
        <v>33404.359600000003</v>
      </c>
      <c r="D759" s="18">
        <v>18</v>
      </c>
      <c r="E759" s="6"/>
      <c r="F759" s="6"/>
      <c r="G759" s="22"/>
      <c r="H759" s="22"/>
      <c r="I759" s="22"/>
      <c r="J759" s="22"/>
      <c r="K759" s="22"/>
      <c r="L759" s="22"/>
      <c r="M759" s="22"/>
      <c r="N759" s="18"/>
      <c r="O759" s="18"/>
      <c r="P759" s="22"/>
      <c r="Q759" s="22"/>
      <c r="R759" s="22"/>
      <c r="S759" s="22"/>
      <c r="T759" s="22"/>
      <c r="U759" s="22"/>
      <c r="V759" s="6"/>
      <c r="W759" s="18"/>
      <c r="X759" s="19"/>
      <c r="Y759" s="18"/>
      <c r="Z759" s="18"/>
      <c r="AA759" s="6"/>
      <c r="AB759" s="6"/>
      <c r="AC759" s="6"/>
      <c r="AD759" s="6"/>
      <c r="AE759" s="6"/>
      <c r="AF759" s="18"/>
      <c r="AG759" s="18"/>
      <c r="AH759" s="18"/>
      <c r="AI759" s="18"/>
      <c r="AK759" s="18"/>
      <c r="AL759" s="18"/>
      <c r="AM759" s="40" t="s">
        <v>118</v>
      </c>
      <c r="AN759" s="18"/>
      <c r="AO759" s="6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6"/>
      <c r="BK759" s="6"/>
      <c r="BL759" s="6" t="s">
        <v>60</v>
      </c>
      <c r="BO759" s="15"/>
    </row>
    <row r="760" spans="1:67">
      <c r="A760" s="6" t="s">
        <v>130</v>
      </c>
      <c r="B760" s="6" t="s">
        <v>137</v>
      </c>
      <c r="C760" s="17">
        <v>33495.670149999998</v>
      </c>
      <c r="D760" s="18">
        <v>18.25</v>
      </c>
      <c r="E760" s="6"/>
      <c r="F760" s="6"/>
      <c r="G760" s="22"/>
      <c r="H760" s="22"/>
      <c r="I760" s="22"/>
      <c r="J760" s="22"/>
      <c r="K760" s="22"/>
      <c r="L760" s="22"/>
      <c r="M760" s="22"/>
      <c r="N760" s="18"/>
      <c r="O760" s="18"/>
      <c r="P760" s="22"/>
      <c r="Q760" s="22"/>
      <c r="R760" s="22"/>
      <c r="S760" s="22"/>
      <c r="T760" s="22"/>
      <c r="U760" s="22"/>
      <c r="V760" s="6"/>
      <c r="W760" s="18"/>
      <c r="X760" s="19"/>
      <c r="Y760" s="18"/>
      <c r="Z760" s="18"/>
      <c r="AA760" s="6"/>
      <c r="AB760" s="6"/>
      <c r="AC760" s="6"/>
      <c r="AD760" s="6"/>
      <c r="AE760" s="6"/>
      <c r="AF760" s="18"/>
      <c r="AG760" s="18"/>
      <c r="AH760" s="18"/>
      <c r="AI760" s="18"/>
      <c r="AK760" s="18"/>
      <c r="AL760" s="18"/>
      <c r="AM760" s="40" t="s">
        <v>118</v>
      </c>
      <c r="AN760" s="18"/>
      <c r="AO760" s="6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6"/>
      <c r="BK760" s="6"/>
      <c r="BL760" s="6" t="s">
        <v>60</v>
      </c>
      <c r="BO760" s="15"/>
    </row>
    <row r="761" spans="1:67">
      <c r="A761" s="6" t="s">
        <v>130</v>
      </c>
      <c r="B761" s="6" t="s">
        <v>137</v>
      </c>
      <c r="C761" s="17">
        <v>33586.9807</v>
      </c>
      <c r="D761" s="18">
        <v>18.5</v>
      </c>
      <c r="E761" s="6"/>
      <c r="F761" s="6"/>
      <c r="G761" s="22"/>
      <c r="H761" s="22"/>
      <c r="I761" s="22"/>
      <c r="J761" s="22"/>
      <c r="K761" s="22"/>
      <c r="L761" s="22"/>
      <c r="M761" s="22"/>
      <c r="N761" s="18"/>
      <c r="O761" s="18"/>
      <c r="P761" s="22"/>
      <c r="Q761" s="22"/>
      <c r="R761" s="22"/>
      <c r="S761" s="22"/>
      <c r="T761" s="22"/>
      <c r="U761" s="22"/>
      <c r="V761" s="6"/>
      <c r="W761" s="18"/>
      <c r="X761" s="19"/>
      <c r="Y761" s="18"/>
      <c r="Z761" s="18"/>
      <c r="AA761" s="6"/>
      <c r="AB761" s="6"/>
      <c r="AC761" s="6"/>
      <c r="AD761" s="6"/>
      <c r="AE761" s="6"/>
      <c r="AF761" s="18"/>
      <c r="AG761" s="18"/>
      <c r="AH761" s="18"/>
      <c r="AI761" s="18"/>
      <c r="AK761" s="18"/>
      <c r="AL761" s="18"/>
      <c r="AM761" s="40" t="s">
        <v>118</v>
      </c>
      <c r="AN761" s="18"/>
      <c r="AO761" s="6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6"/>
      <c r="BK761" s="6"/>
      <c r="BL761" s="6" t="s">
        <v>60</v>
      </c>
      <c r="BO761" s="15"/>
    </row>
    <row r="762" spans="1:67">
      <c r="A762" s="6" t="s">
        <v>130</v>
      </c>
      <c r="B762" s="6" t="s">
        <v>137</v>
      </c>
      <c r="C762" s="17">
        <v>33678.291250000002</v>
      </c>
      <c r="D762" s="18">
        <v>18.75</v>
      </c>
      <c r="E762" s="6"/>
      <c r="F762" s="6"/>
      <c r="G762" s="22"/>
      <c r="H762" s="22"/>
      <c r="I762" s="22"/>
      <c r="J762" s="22"/>
      <c r="K762" s="22"/>
      <c r="L762" s="22"/>
      <c r="M762" s="22"/>
      <c r="N762" s="18"/>
      <c r="O762" s="18"/>
      <c r="P762" s="22"/>
      <c r="Q762" s="22"/>
      <c r="R762" s="22"/>
      <c r="S762" s="22"/>
      <c r="T762" s="22"/>
      <c r="U762" s="22"/>
      <c r="V762" s="6"/>
      <c r="W762" s="18"/>
      <c r="X762" s="19"/>
      <c r="Y762" s="18"/>
      <c r="Z762" s="18"/>
      <c r="AA762" s="6"/>
      <c r="AB762" s="6"/>
      <c r="AC762" s="6"/>
      <c r="AD762" s="6"/>
      <c r="AE762" s="6"/>
      <c r="AF762" s="18"/>
      <c r="AG762" s="18"/>
      <c r="AH762" s="18"/>
      <c r="AI762" s="18"/>
      <c r="AK762" s="18"/>
      <c r="AL762" s="18"/>
      <c r="AM762" s="40" t="s">
        <v>118</v>
      </c>
      <c r="AN762" s="18"/>
      <c r="AO762" s="6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6"/>
      <c r="BK762" s="6"/>
      <c r="BL762" s="6" t="s">
        <v>60</v>
      </c>
      <c r="BO762" s="15"/>
    </row>
    <row r="763" spans="1:67">
      <c r="A763" s="6" t="s">
        <v>130</v>
      </c>
      <c r="B763" s="6" t="s">
        <v>137</v>
      </c>
      <c r="C763" s="17">
        <v>33769.601800000004</v>
      </c>
      <c r="D763" s="18">
        <v>19</v>
      </c>
      <c r="E763" s="6"/>
      <c r="F763" s="6"/>
      <c r="G763" s="22"/>
      <c r="H763" s="22"/>
      <c r="I763" s="22"/>
      <c r="J763" s="22"/>
      <c r="K763" s="22"/>
      <c r="L763" s="22"/>
      <c r="M763" s="22"/>
      <c r="N763" s="18"/>
      <c r="O763" s="18"/>
      <c r="P763" s="22"/>
      <c r="Q763" s="22"/>
      <c r="R763" s="22"/>
      <c r="S763" s="22"/>
      <c r="T763" s="22"/>
      <c r="U763" s="22"/>
      <c r="V763" s="6"/>
      <c r="W763" s="18"/>
      <c r="X763" s="19"/>
      <c r="Y763" s="18"/>
      <c r="Z763" s="18"/>
      <c r="AA763" s="6"/>
      <c r="AB763" s="6"/>
      <c r="AC763" s="6"/>
      <c r="AD763" s="6"/>
      <c r="AE763" s="6"/>
      <c r="AF763" s="18"/>
      <c r="AG763" s="18"/>
      <c r="AH763" s="18"/>
      <c r="AI763" s="18"/>
      <c r="AK763" s="18"/>
      <c r="AL763" s="18"/>
      <c r="AM763" s="40" t="s">
        <v>118</v>
      </c>
      <c r="AN763" s="18"/>
      <c r="AO763" s="6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6"/>
      <c r="BK763" s="6"/>
      <c r="BL763" s="6" t="s">
        <v>60</v>
      </c>
      <c r="BO763" s="15"/>
    </row>
    <row r="764" spans="1:67">
      <c r="A764" s="6" t="s">
        <v>130</v>
      </c>
      <c r="B764" s="6" t="s">
        <v>137</v>
      </c>
      <c r="C764" s="17">
        <v>34134.843999999997</v>
      </c>
      <c r="D764" s="18">
        <v>20</v>
      </c>
      <c r="E764" s="6"/>
      <c r="F764" s="6"/>
      <c r="G764" s="22"/>
      <c r="H764" s="22"/>
      <c r="I764" s="22"/>
      <c r="J764" s="22"/>
      <c r="K764" s="22"/>
      <c r="L764" s="22"/>
      <c r="M764" s="22"/>
      <c r="N764" s="18"/>
      <c r="O764" s="18"/>
      <c r="P764" s="22"/>
      <c r="Q764" s="22"/>
      <c r="R764" s="22"/>
      <c r="S764" s="22"/>
      <c r="T764" s="22"/>
      <c r="U764" s="22"/>
      <c r="V764" s="6"/>
      <c r="W764" s="18"/>
      <c r="X764" s="19"/>
      <c r="Y764" s="18"/>
      <c r="Z764" s="18"/>
      <c r="AA764" s="6"/>
      <c r="AB764" s="6"/>
      <c r="AC764" s="6"/>
      <c r="AD764" s="6"/>
      <c r="AE764" s="6"/>
      <c r="AF764" s="18"/>
      <c r="AG764" s="18"/>
      <c r="AH764" s="18"/>
      <c r="AI764" s="18"/>
      <c r="AK764" s="18"/>
      <c r="AL764" s="18"/>
      <c r="AM764" s="40" t="s">
        <v>118</v>
      </c>
      <c r="AN764" s="18"/>
      <c r="AO764" s="6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6"/>
      <c r="BK764" s="6"/>
      <c r="BL764" s="6" t="s">
        <v>60</v>
      </c>
      <c r="BO764" s="15"/>
    </row>
    <row r="765" spans="1:67">
      <c r="A765" s="6" t="s">
        <v>131</v>
      </c>
      <c r="B765" s="6" t="s">
        <v>138</v>
      </c>
      <c r="C765" s="17">
        <v>30573.732550000001</v>
      </c>
      <c r="D765" s="18">
        <v>10.25</v>
      </c>
      <c r="E765" s="6"/>
      <c r="F765" s="6"/>
      <c r="G765" s="22"/>
      <c r="H765" s="22"/>
      <c r="I765" s="22"/>
      <c r="J765" s="22"/>
      <c r="K765" s="22"/>
      <c r="L765" s="22"/>
      <c r="M765" s="22"/>
      <c r="N765" s="18"/>
      <c r="O765" s="18"/>
      <c r="P765" s="22"/>
      <c r="Q765" s="22"/>
      <c r="R765" s="22"/>
      <c r="S765" s="22"/>
      <c r="T765" s="22"/>
      <c r="U765" s="22"/>
      <c r="V765" s="6"/>
      <c r="W765" s="18"/>
      <c r="X765" s="19"/>
      <c r="Y765" s="18"/>
      <c r="Z765" s="18"/>
      <c r="AA765" s="6"/>
      <c r="AB765" s="6"/>
      <c r="AC765" s="6"/>
      <c r="AD765" s="6"/>
      <c r="AE765" s="6"/>
      <c r="AF765" s="18"/>
      <c r="AG765" s="18"/>
      <c r="AH765" s="18"/>
      <c r="AI765" s="18"/>
      <c r="AK765" s="18"/>
      <c r="AL765" s="18"/>
      <c r="AM765" s="40" t="s">
        <v>118</v>
      </c>
      <c r="AN765" s="18"/>
      <c r="AO765" s="6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6"/>
      <c r="BK765" s="6"/>
      <c r="BL765" s="6" t="s">
        <v>60</v>
      </c>
      <c r="BO765" s="15"/>
    </row>
    <row r="766" spans="1:67">
      <c r="A766" s="6" t="s">
        <v>131</v>
      </c>
      <c r="B766" s="6" t="s">
        <v>138</v>
      </c>
      <c r="C766" s="17">
        <v>30665.043099999999</v>
      </c>
      <c r="D766" s="18">
        <v>10.5</v>
      </c>
      <c r="E766" s="6"/>
      <c r="F766" s="6"/>
      <c r="G766" s="22"/>
      <c r="H766" s="22"/>
      <c r="I766" s="22"/>
      <c r="J766" s="22"/>
      <c r="K766" s="22"/>
      <c r="L766" s="22"/>
      <c r="M766" s="22"/>
      <c r="N766" s="18"/>
      <c r="O766" s="18"/>
      <c r="P766" s="22"/>
      <c r="Q766" s="22"/>
      <c r="R766" s="22"/>
      <c r="S766" s="22"/>
      <c r="T766" s="22"/>
      <c r="U766" s="22"/>
      <c r="V766" s="6"/>
      <c r="W766" s="18"/>
      <c r="X766" s="19"/>
      <c r="Y766" s="18"/>
      <c r="Z766" s="18"/>
      <c r="AA766" s="6"/>
      <c r="AB766" s="6"/>
      <c r="AC766" s="6"/>
      <c r="AD766" s="6"/>
      <c r="AE766" s="6"/>
      <c r="AF766" s="18"/>
      <c r="AG766" s="18"/>
      <c r="AH766" s="18"/>
      <c r="AI766" s="18"/>
      <c r="AK766" s="18"/>
      <c r="AL766" s="18"/>
      <c r="AM766" s="40" t="s">
        <v>118</v>
      </c>
      <c r="AN766" s="18"/>
      <c r="AO766" s="6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6"/>
      <c r="BK766" s="6"/>
      <c r="BL766" s="6" t="s">
        <v>60</v>
      </c>
      <c r="BO766" s="15"/>
    </row>
    <row r="767" spans="1:67">
      <c r="A767" s="6" t="s">
        <v>131</v>
      </c>
      <c r="B767" s="6" t="s">
        <v>138</v>
      </c>
      <c r="C767" s="17">
        <v>30756.353650000001</v>
      </c>
      <c r="D767" s="18">
        <v>10.75</v>
      </c>
      <c r="E767" s="6"/>
      <c r="F767" s="6"/>
      <c r="G767" s="22"/>
      <c r="H767" s="22"/>
      <c r="I767" s="22"/>
      <c r="J767" s="22"/>
      <c r="K767" s="22"/>
      <c r="L767" s="22"/>
      <c r="M767" s="22"/>
      <c r="N767" s="18"/>
      <c r="O767" s="18"/>
      <c r="P767" s="22"/>
      <c r="Q767" s="22"/>
      <c r="R767" s="22"/>
      <c r="S767" s="22"/>
      <c r="T767" s="22"/>
      <c r="U767" s="22"/>
      <c r="V767" s="6"/>
      <c r="W767" s="18"/>
      <c r="X767" s="19"/>
      <c r="Y767" s="18"/>
      <c r="Z767" s="18"/>
      <c r="AA767" s="6"/>
      <c r="AB767" s="6"/>
      <c r="AC767" s="6"/>
      <c r="AD767" s="6"/>
      <c r="AE767" s="6"/>
      <c r="AF767" s="18"/>
      <c r="AG767" s="18"/>
      <c r="AH767" s="18"/>
      <c r="AI767" s="18"/>
      <c r="AK767" s="18"/>
      <c r="AL767" s="18"/>
      <c r="AM767" s="40" t="s">
        <v>118</v>
      </c>
      <c r="AN767" s="18"/>
      <c r="AO767" s="6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6"/>
      <c r="BK767" s="6"/>
      <c r="BL767" s="6" t="s">
        <v>60</v>
      </c>
      <c r="BO767" s="15"/>
    </row>
    <row r="768" spans="1:67">
      <c r="A768" s="6" t="s">
        <v>131</v>
      </c>
      <c r="B768" s="6" t="s">
        <v>138</v>
      </c>
      <c r="C768" s="17">
        <v>30847.664199999999</v>
      </c>
      <c r="D768" s="18">
        <v>11</v>
      </c>
      <c r="E768" s="6"/>
      <c r="F768" s="6"/>
      <c r="G768" s="22"/>
      <c r="H768" s="22"/>
      <c r="I768" s="22"/>
      <c r="J768" s="22"/>
      <c r="K768" s="22"/>
      <c r="L768" s="22"/>
      <c r="M768" s="22"/>
      <c r="N768" s="18"/>
      <c r="O768" s="18"/>
      <c r="P768" s="22"/>
      <c r="Q768" s="22"/>
      <c r="R768" s="22"/>
      <c r="S768" s="22"/>
      <c r="T768" s="22"/>
      <c r="U768" s="22"/>
      <c r="V768" s="6"/>
      <c r="W768" s="18"/>
      <c r="X768" s="19"/>
      <c r="Y768" s="18"/>
      <c r="Z768" s="18"/>
      <c r="AA768" s="6"/>
      <c r="AB768" s="6"/>
      <c r="AC768" s="6"/>
      <c r="AD768" s="6"/>
      <c r="AE768" s="6"/>
      <c r="AF768" s="18"/>
      <c r="AG768" s="18"/>
      <c r="AH768" s="18"/>
      <c r="AI768" s="18"/>
      <c r="AK768" s="18"/>
      <c r="AL768" s="18"/>
      <c r="AM768" s="40" t="s">
        <v>118</v>
      </c>
      <c r="AN768" s="18"/>
      <c r="AO768" s="6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6"/>
      <c r="BK768" s="6"/>
      <c r="BL768" s="6" t="s">
        <v>60</v>
      </c>
      <c r="BO768" s="15"/>
    </row>
    <row r="769" spans="1:67" ht="13.25" customHeight="1">
      <c r="A769" s="6" t="s">
        <v>131</v>
      </c>
      <c r="B769" s="6" t="s">
        <v>138</v>
      </c>
      <c r="C769" s="17">
        <v>30938.974750000001</v>
      </c>
      <c r="D769" s="18">
        <v>11.25</v>
      </c>
      <c r="E769" s="6"/>
      <c r="F769" s="6"/>
      <c r="G769" s="22"/>
      <c r="H769" s="22"/>
      <c r="I769" s="22"/>
      <c r="J769" s="22"/>
      <c r="K769" s="22"/>
      <c r="L769" s="22"/>
      <c r="M769" s="22"/>
      <c r="N769" s="18"/>
      <c r="O769" s="18"/>
      <c r="P769" s="22"/>
      <c r="Q769" s="22"/>
      <c r="R769" s="22"/>
      <c r="S769" s="22"/>
      <c r="T769" s="22"/>
      <c r="U769" s="22"/>
      <c r="V769" s="6"/>
      <c r="W769" s="18"/>
      <c r="X769" s="19"/>
      <c r="Y769" s="18"/>
      <c r="Z769" s="18"/>
      <c r="AA769" s="6"/>
      <c r="AB769" s="6"/>
      <c r="AC769" s="6"/>
      <c r="AD769" s="6"/>
      <c r="AE769" s="6"/>
      <c r="AF769" s="18"/>
      <c r="AG769" s="18"/>
      <c r="AH769" s="18"/>
      <c r="AI769" s="18"/>
      <c r="AK769" s="18"/>
      <c r="AL769" s="18"/>
      <c r="AM769" s="40" t="s">
        <v>118</v>
      </c>
      <c r="AN769" s="18"/>
      <c r="AO769" s="6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6"/>
      <c r="BK769" s="6"/>
      <c r="BL769" s="6" t="s">
        <v>60</v>
      </c>
      <c r="BO769" s="15"/>
    </row>
    <row r="770" spans="1:67">
      <c r="A770" s="6" t="s">
        <v>131</v>
      </c>
      <c r="B770" s="6" t="s">
        <v>138</v>
      </c>
      <c r="C770" s="17">
        <v>31030.2853</v>
      </c>
      <c r="D770" s="18">
        <v>11.5</v>
      </c>
      <c r="E770" s="6"/>
      <c r="F770" s="6"/>
      <c r="G770" s="22"/>
      <c r="H770" s="22"/>
      <c r="I770" s="22"/>
      <c r="J770" s="22"/>
      <c r="K770" s="22"/>
      <c r="L770" s="22"/>
      <c r="M770" s="22"/>
      <c r="N770" s="18"/>
      <c r="O770" s="18"/>
      <c r="P770" s="22"/>
      <c r="Q770" s="22"/>
      <c r="R770" s="22"/>
      <c r="S770" s="22"/>
      <c r="T770" s="22"/>
      <c r="U770" s="22"/>
      <c r="V770" s="6"/>
      <c r="W770" s="18"/>
      <c r="X770" s="19"/>
      <c r="Y770" s="18"/>
      <c r="Z770" s="18"/>
      <c r="AA770" s="6"/>
      <c r="AB770" s="6"/>
      <c r="AC770" s="6"/>
      <c r="AD770" s="6"/>
      <c r="AE770" s="6"/>
      <c r="AF770" s="18"/>
      <c r="AG770" s="18"/>
      <c r="AH770" s="18"/>
      <c r="AI770" s="18"/>
      <c r="AK770" s="18"/>
      <c r="AL770" s="18"/>
      <c r="AM770" s="40" t="s">
        <v>118</v>
      </c>
      <c r="AN770" s="18"/>
      <c r="AO770" s="6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6"/>
      <c r="BK770" s="6"/>
      <c r="BL770" s="6" t="s">
        <v>60</v>
      </c>
      <c r="BO770" s="15"/>
    </row>
    <row r="771" spans="1:67">
      <c r="A771" s="6" t="s">
        <v>131</v>
      </c>
      <c r="B771" s="6" t="s">
        <v>138</v>
      </c>
      <c r="C771" s="17">
        <v>31121.595850000002</v>
      </c>
      <c r="D771" s="18">
        <v>11.75</v>
      </c>
      <c r="E771" s="6"/>
      <c r="F771" s="6"/>
      <c r="G771" s="22"/>
      <c r="H771" s="22"/>
      <c r="I771" s="22"/>
      <c r="J771" s="22"/>
      <c r="K771" s="22"/>
      <c r="L771" s="22"/>
      <c r="M771" s="22"/>
      <c r="N771" s="18"/>
      <c r="O771" s="18"/>
      <c r="P771" s="22"/>
      <c r="Q771" s="22"/>
      <c r="R771" s="22"/>
      <c r="S771" s="22"/>
      <c r="T771" s="22"/>
      <c r="U771" s="22"/>
      <c r="V771" s="6"/>
      <c r="W771" s="18"/>
      <c r="X771" s="19"/>
      <c r="Y771" s="18"/>
      <c r="Z771" s="18"/>
      <c r="AA771" s="6"/>
      <c r="AB771" s="6"/>
      <c r="AC771" s="6"/>
      <c r="AD771" s="6"/>
      <c r="AE771" s="6"/>
      <c r="AF771" s="18"/>
      <c r="AG771" s="18"/>
      <c r="AH771" s="18"/>
      <c r="AI771" s="18"/>
      <c r="AK771" s="18"/>
      <c r="AL771" s="18"/>
      <c r="AM771" s="40" t="s">
        <v>118</v>
      </c>
      <c r="AN771" s="18"/>
      <c r="AO771" s="6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6"/>
      <c r="BK771" s="6"/>
      <c r="BL771" s="6" t="s">
        <v>60</v>
      </c>
      <c r="BO771" s="15"/>
    </row>
    <row r="772" spans="1:67">
      <c r="A772" s="6" t="s">
        <v>131</v>
      </c>
      <c r="B772" s="6" t="s">
        <v>138</v>
      </c>
      <c r="C772" s="17">
        <v>31212.9064</v>
      </c>
      <c r="D772" s="18">
        <v>12</v>
      </c>
      <c r="E772" s="6"/>
      <c r="F772" s="6"/>
      <c r="G772" s="22"/>
      <c r="H772" s="22"/>
      <c r="I772" s="22"/>
      <c r="J772" s="22"/>
      <c r="K772" s="22"/>
      <c r="L772" s="22"/>
      <c r="M772" s="22"/>
      <c r="N772" s="18"/>
      <c r="O772" s="18"/>
      <c r="P772" s="22"/>
      <c r="Q772" s="22"/>
      <c r="R772" s="22"/>
      <c r="S772" s="22"/>
      <c r="T772" s="22"/>
      <c r="U772" s="22"/>
      <c r="V772" s="6"/>
      <c r="W772" s="18"/>
      <c r="X772" s="19"/>
      <c r="Y772" s="18"/>
      <c r="Z772" s="18"/>
      <c r="AA772" s="6"/>
      <c r="AB772" s="6"/>
      <c r="AC772" s="6"/>
      <c r="AD772" s="6"/>
      <c r="AE772" s="6"/>
      <c r="AF772" s="18"/>
      <c r="AG772" s="18"/>
      <c r="AH772" s="18"/>
      <c r="AI772" s="18"/>
      <c r="AK772" s="18"/>
      <c r="AL772" s="18"/>
      <c r="AM772" s="40" t="s">
        <v>118</v>
      </c>
      <c r="AN772" s="18"/>
      <c r="AO772" s="6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6"/>
      <c r="BK772" s="6"/>
      <c r="BL772" s="6" t="s">
        <v>60</v>
      </c>
      <c r="BO772" s="15"/>
    </row>
    <row r="773" spans="1:67" ht="13.25" customHeight="1">
      <c r="A773" s="6" t="s">
        <v>131</v>
      </c>
      <c r="B773" s="6" t="s">
        <v>138</v>
      </c>
      <c r="C773" s="17">
        <v>31304.216950000002</v>
      </c>
      <c r="D773" s="18">
        <v>12.25</v>
      </c>
      <c r="E773" s="6"/>
      <c r="F773" s="6"/>
      <c r="G773" s="22"/>
      <c r="H773" s="22"/>
      <c r="I773" s="22"/>
      <c r="J773" s="22"/>
      <c r="K773" s="22"/>
      <c r="L773" s="22"/>
      <c r="M773" s="22"/>
      <c r="N773" s="18"/>
      <c r="O773" s="18"/>
      <c r="P773" s="22"/>
      <c r="Q773" s="22"/>
      <c r="R773" s="22"/>
      <c r="S773" s="22"/>
      <c r="T773" s="22"/>
      <c r="U773" s="22"/>
      <c r="V773" s="6"/>
      <c r="W773" s="18"/>
      <c r="X773" s="19"/>
      <c r="Y773" s="18"/>
      <c r="Z773" s="18"/>
      <c r="AA773" s="6"/>
      <c r="AB773" s="6"/>
      <c r="AC773" s="6"/>
      <c r="AD773" s="6"/>
      <c r="AE773" s="6"/>
      <c r="AF773" s="18"/>
      <c r="AG773" s="18"/>
      <c r="AH773" s="18"/>
      <c r="AI773" s="18"/>
      <c r="AK773" s="18"/>
      <c r="AL773" s="18"/>
      <c r="AM773" s="40" t="s">
        <v>118</v>
      </c>
      <c r="AN773" s="18"/>
      <c r="AO773" s="6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6"/>
      <c r="BK773" s="6"/>
      <c r="BL773" s="6" t="s">
        <v>60</v>
      </c>
      <c r="BO773" s="15"/>
    </row>
    <row r="774" spans="1:67" ht="13.25" customHeight="1">
      <c r="A774" s="6" t="s">
        <v>131</v>
      </c>
      <c r="B774" s="6" t="s">
        <v>138</v>
      </c>
      <c r="C774" s="17">
        <v>31395.5275</v>
      </c>
      <c r="D774" s="18">
        <v>12.5</v>
      </c>
      <c r="E774" s="6"/>
      <c r="F774" s="6"/>
      <c r="G774" s="22"/>
      <c r="H774" s="22"/>
      <c r="I774" s="22"/>
      <c r="J774" s="22"/>
      <c r="K774" s="22"/>
      <c r="L774" s="22"/>
      <c r="M774" s="22"/>
      <c r="N774" s="18"/>
      <c r="O774" s="18"/>
      <c r="P774" s="22"/>
      <c r="Q774" s="22"/>
      <c r="R774" s="22"/>
      <c r="S774" s="22"/>
      <c r="T774" s="22"/>
      <c r="U774" s="22"/>
      <c r="V774" s="6"/>
      <c r="W774" s="18"/>
      <c r="X774" s="19"/>
      <c r="Y774" s="18"/>
      <c r="Z774" s="18"/>
      <c r="AA774" s="6"/>
      <c r="AB774" s="6"/>
      <c r="AC774" s="6"/>
      <c r="AD774" s="6"/>
      <c r="AE774" s="6"/>
      <c r="AF774" s="18"/>
      <c r="AG774" s="18"/>
      <c r="AH774" s="18"/>
      <c r="AI774" s="18"/>
      <c r="AK774" s="18"/>
      <c r="AL774" s="18"/>
      <c r="AM774" s="40" t="s">
        <v>118</v>
      </c>
      <c r="AN774" s="18"/>
      <c r="AO774" s="6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6"/>
      <c r="BK774" s="6"/>
      <c r="BL774" s="6" t="s">
        <v>60</v>
      </c>
      <c r="BO774" s="15"/>
    </row>
    <row r="775" spans="1:67">
      <c r="A775" s="6" t="s">
        <v>131</v>
      </c>
      <c r="B775" s="6" t="s">
        <v>138</v>
      </c>
      <c r="C775" s="17">
        <v>31486.838049999998</v>
      </c>
      <c r="D775" s="18">
        <v>12.75</v>
      </c>
      <c r="E775" s="6"/>
      <c r="F775" s="6"/>
      <c r="G775" s="22"/>
      <c r="H775" s="22"/>
      <c r="I775" s="22"/>
      <c r="J775" s="22"/>
      <c r="K775" s="22"/>
      <c r="L775" s="22"/>
      <c r="M775" s="22"/>
      <c r="N775" s="18"/>
      <c r="O775" s="18"/>
      <c r="P775" s="22"/>
      <c r="Q775" s="22"/>
      <c r="R775" s="22"/>
      <c r="S775" s="22"/>
      <c r="T775" s="22"/>
      <c r="U775" s="22"/>
      <c r="V775" s="6"/>
      <c r="W775" s="18"/>
      <c r="X775" s="19"/>
      <c r="Y775" s="18"/>
      <c r="Z775" s="18"/>
      <c r="AA775" s="6"/>
      <c r="AB775" s="6"/>
      <c r="AC775" s="6"/>
      <c r="AD775" s="6"/>
      <c r="AE775" s="6"/>
      <c r="AF775" s="18"/>
      <c r="AG775" s="18"/>
      <c r="AH775" s="18"/>
      <c r="AI775" s="18"/>
      <c r="AK775" s="18"/>
      <c r="AL775" s="18"/>
      <c r="AM775" s="40" t="s">
        <v>118</v>
      </c>
      <c r="AN775" s="18"/>
      <c r="AO775" s="6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6"/>
      <c r="BK775" s="6"/>
      <c r="BL775" s="6" t="s">
        <v>60</v>
      </c>
      <c r="BO775" s="15"/>
    </row>
    <row r="776" spans="1:67">
      <c r="A776" s="6" t="s">
        <v>131</v>
      </c>
      <c r="B776" s="6" t="s">
        <v>138</v>
      </c>
      <c r="C776" s="17">
        <v>31578.1486</v>
      </c>
      <c r="D776" s="18">
        <v>13</v>
      </c>
      <c r="E776" s="6"/>
      <c r="F776" s="6"/>
      <c r="G776" s="22"/>
      <c r="H776" s="22"/>
      <c r="I776" s="22"/>
      <c r="J776" s="22"/>
      <c r="K776" s="22"/>
      <c r="L776" s="22"/>
      <c r="M776" s="22"/>
      <c r="N776" s="18"/>
      <c r="O776" s="18"/>
      <c r="P776" s="22"/>
      <c r="Q776" s="22"/>
      <c r="R776" s="22"/>
      <c r="S776" s="22"/>
      <c r="T776" s="22"/>
      <c r="U776" s="22"/>
      <c r="V776" s="6"/>
      <c r="W776" s="18"/>
      <c r="X776" s="19"/>
      <c r="Y776" s="18"/>
      <c r="Z776" s="18"/>
      <c r="AA776" s="6"/>
      <c r="AB776" s="6"/>
      <c r="AC776" s="6"/>
      <c r="AD776" s="6"/>
      <c r="AE776" s="6"/>
      <c r="AF776" s="18"/>
      <c r="AG776" s="18"/>
      <c r="AH776" s="18"/>
      <c r="AI776" s="18"/>
      <c r="AK776" s="18"/>
      <c r="AL776" s="18"/>
      <c r="AM776" s="40" t="s">
        <v>118</v>
      </c>
      <c r="AN776" s="18"/>
      <c r="AO776" s="6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6"/>
      <c r="BK776" s="6"/>
      <c r="BL776" s="6" t="s">
        <v>60</v>
      </c>
      <c r="BO776" s="15"/>
    </row>
    <row r="777" spans="1:67" ht="13.25" customHeight="1">
      <c r="A777" s="6" t="s">
        <v>131</v>
      </c>
      <c r="B777" s="6" t="s">
        <v>138</v>
      </c>
      <c r="C777" s="17">
        <v>31669.459150000002</v>
      </c>
      <c r="D777" s="18">
        <v>13.25</v>
      </c>
      <c r="E777" s="6"/>
      <c r="F777" s="6"/>
      <c r="G777" s="22"/>
      <c r="H777" s="22"/>
      <c r="I777" s="22"/>
      <c r="J777" s="22"/>
      <c r="K777" s="22"/>
      <c r="L777" s="22"/>
      <c r="M777" s="22"/>
      <c r="N777" s="18"/>
      <c r="O777" s="18"/>
      <c r="P777" s="22"/>
      <c r="Q777" s="22"/>
      <c r="R777" s="22"/>
      <c r="S777" s="22"/>
      <c r="T777" s="22"/>
      <c r="U777" s="22"/>
      <c r="V777" s="6"/>
      <c r="W777" s="18"/>
      <c r="X777" s="19"/>
      <c r="Y777" s="18"/>
      <c r="Z777" s="18"/>
      <c r="AA777" s="6"/>
      <c r="AB777" s="6"/>
      <c r="AC777" s="6"/>
      <c r="AD777" s="6"/>
      <c r="AE777" s="6"/>
      <c r="AF777" s="18"/>
      <c r="AG777" s="18"/>
      <c r="AH777" s="18"/>
      <c r="AI777" s="18"/>
      <c r="AK777" s="18"/>
      <c r="AL777" s="18"/>
      <c r="AM777" s="40" t="s">
        <v>118</v>
      </c>
      <c r="AN777" s="18"/>
      <c r="AO777" s="6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6"/>
      <c r="BK777" s="6"/>
      <c r="BL777" s="6" t="s">
        <v>60</v>
      </c>
      <c r="BO777" s="15"/>
    </row>
    <row r="778" spans="1:67" ht="13.25" customHeight="1">
      <c r="A778" s="6" t="s">
        <v>131</v>
      </c>
      <c r="B778" s="6" t="s">
        <v>138</v>
      </c>
      <c r="C778" s="17">
        <v>31760.769700000001</v>
      </c>
      <c r="D778" s="18">
        <v>13.5</v>
      </c>
      <c r="E778" s="6"/>
      <c r="F778" s="6"/>
      <c r="G778" s="22"/>
      <c r="H778" s="22"/>
      <c r="I778" s="22"/>
      <c r="J778" s="22"/>
      <c r="K778" s="22"/>
      <c r="L778" s="22"/>
      <c r="M778" s="22"/>
      <c r="N778" s="18"/>
      <c r="O778" s="18"/>
      <c r="P778" s="22"/>
      <c r="Q778" s="22"/>
      <c r="R778" s="22"/>
      <c r="S778" s="22"/>
      <c r="T778" s="22"/>
      <c r="U778" s="22"/>
      <c r="V778" s="6"/>
      <c r="W778" s="18"/>
      <c r="X778" s="19"/>
      <c r="Y778" s="18"/>
      <c r="Z778" s="18"/>
      <c r="AA778" s="6"/>
      <c r="AB778" s="6"/>
      <c r="AC778" s="6"/>
      <c r="AD778" s="6"/>
      <c r="AE778" s="6"/>
      <c r="AF778" s="18"/>
      <c r="AG778" s="18"/>
      <c r="AH778" s="18"/>
      <c r="AI778" s="18"/>
      <c r="AK778" s="18"/>
      <c r="AL778" s="18"/>
      <c r="AM778" s="40" t="s">
        <v>118</v>
      </c>
      <c r="AN778" s="18"/>
      <c r="AO778" s="6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6"/>
      <c r="BK778" s="6"/>
      <c r="BL778" s="6" t="s">
        <v>60</v>
      </c>
      <c r="BO778" s="15"/>
    </row>
    <row r="779" spans="1:67">
      <c r="A779" s="6" t="s">
        <v>131</v>
      </c>
      <c r="B779" s="6" t="s">
        <v>138</v>
      </c>
      <c r="C779" s="17">
        <v>31852.080249999999</v>
      </c>
      <c r="D779" s="18">
        <v>13.75</v>
      </c>
      <c r="E779" s="6"/>
      <c r="F779" s="6"/>
      <c r="G779" s="22"/>
      <c r="H779" s="22"/>
      <c r="I779" s="22"/>
      <c r="J779" s="22"/>
      <c r="K779" s="22"/>
      <c r="L779" s="22"/>
      <c r="M779" s="22"/>
      <c r="N779" s="18"/>
      <c r="O779" s="18"/>
      <c r="P779" s="22"/>
      <c r="Q779" s="22"/>
      <c r="R779" s="22"/>
      <c r="S779" s="22"/>
      <c r="T779" s="22"/>
      <c r="U779" s="22"/>
      <c r="V779" s="6"/>
      <c r="W779" s="18"/>
      <c r="X779" s="19"/>
      <c r="Y779" s="18"/>
      <c r="Z779" s="18"/>
      <c r="AA779" s="6"/>
      <c r="AB779" s="6"/>
      <c r="AC779" s="6"/>
      <c r="AD779" s="6"/>
      <c r="AE779" s="6"/>
      <c r="AF779" s="18"/>
      <c r="AG779" s="18"/>
      <c r="AH779" s="18"/>
      <c r="AI779" s="18"/>
      <c r="AK779" s="18"/>
      <c r="AL779" s="18"/>
      <c r="AM779" s="40" t="s">
        <v>118</v>
      </c>
      <c r="AN779" s="18"/>
      <c r="AO779" s="6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6"/>
      <c r="BK779" s="6"/>
      <c r="BL779" s="6" t="s">
        <v>60</v>
      </c>
      <c r="BO779" s="15"/>
    </row>
    <row r="780" spans="1:67">
      <c r="A780" s="6" t="s">
        <v>131</v>
      </c>
      <c r="B780" s="6" t="s">
        <v>138</v>
      </c>
      <c r="C780" s="17">
        <v>31943.390800000001</v>
      </c>
      <c r="D780" s="18">
        <v>14</v>
      </c>
      <c r="E780" s="6"/>
      <c r="F780" s="6"/>
      <c r="G780" s="22"/>
      <c r="H780" s="22"/>
      <c r="I780" s="22"/>
      <c r="J780" s="22"/>
      <c r="K780" s="22"/>
      <c r="L780" s="22"/>
      <c r="M780" s="22"/>
      <c r="N780" s="18"/>
      <c r="O780" s="18"/>
      <c r="P780" s="22"/>
      <c r="Q780" s="22"/>
      <c r="R780" s="22"/>
      <c r="S780" s="22"/>
      <c r="T780" s="22"/>
      <c r="U780" s="22"/>
      <c r="V780" s="6"/>
      <c r="W780" s="18"/>
      <c r="X780" s="19"/>
      <c r="Y780" s="18"/>
      <c r="Z780" s="18"/>
      <c r="AA780" s="6"/>
      <c r="AB780" s="6"/>
      <c r="AC780" s="6"/>
      <c r="AD780" s="6"/>
      <c r="AE780" s="6"/>
      <c r="AF780" s="18"/>
      <c r="AG780" s="18"/>
      <c r="AH780" s="18"/>
      <c r="AI780" s="18"/>
      <c r="AK780" s="18"/>
      <c r="AL780" s="18"/>
      <c r="AM780" s="40" t="s">
        <v>118</v>
      </c>
      <c r="AN780" s="18"/>
      <c r="AO780" s="6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6"/>
      <c r="BK780" s="6"/>
      <c r="BL780" s="6" t="s">
        <v>60</v>
      </c>
      <c r="BO780" s="15"/>
    </row>
    <row r="781" spans="1:67">
      <c r="A781" s="6" t="s">
        <v>131</v>
      </c>
      <c r="B781" s="6" t="s">
        <v>138</v>
      </c>
      <c r="C781" s="17">
        <v>32034.701349999999</v>
      </c>
      <c r="D781" s="18">
        <v>14.25</v>
      </c>
      <c r="E781" s="6"/>
      <c r="F781" s="6"/>
      <c r="G781" s="22"/>
      <c r="H781" s="22"/>
      <c r="I781" s="22"/>
      <c r="J781" s="22"/>
      <c r="K781" s="22"/>
      <c r="L781" s="22"/>
      <c r="M781" s="22"/>
      <c r="N781" s="18"/>
      <c r="O781" s="18"/>
      <c r="P781" s="22"/>
      <c r="Q781" s="22"/>
      <c r="R781" s="22"/>
      <c r="S781" s="22"/>
      <c r="T781" s="22"/>
      <c r="U781" s="22"/>
      <c r="V781" s="6"/>
      <c r="W781" s="18"/>
      <c r="X781" s="19"/>
      <c r="Y781" s="18"/>
      <c r="Z781" s="18"/>
      <c r="AA781" s="6"/>
      <c r="AB781" s="6"/>
      <c r="AC781" s="6"/>
      <c r="AD781" s="6"/>
      <c r="AE781" s="6"/>
      <c r="AF781" s="18"/>
      <c r="AG781" s="18"/>
      <c r="AH781" s="18"/>
      <c r="AI781" s="18"/>
      <c r="AK781" s="18"/>
      <c r="AL781" s="18"/>
      <c r="AM781" s="40" t="s">
        <v>118</v>
      </c>
      <c r="AN781" s="18"/>
      <c r="AO781" s="6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6"/>
      <c r="BK781" s="6"/>
      <c r="BL781" s="6" t="s">
        <v>60</v>
      </c>
      <c r="BO781" s="15"/>
    </row>
    <row r="782" spans="1:67" ht="13.25" customHeight="1">
      <c r="A782" s="6" t="s">
        <v>131</v>
      </c>
      <c r="B782" s="6" t="s">
        <v>138</v>
      </c>
      <c r="C782" s="17">
        <v>32126.011900000001</v>
      </c>
      <c r="D782" s="18">
        <v>14.5</v>
      </c>
      <c r="E782" s="6"/>
      <c r="F782" s="6"/>
      <c r="G782" s="22"/>
      <c r="H782" s="22"/>
      <c r="I782" s="22"/>
      <c r="J782" s="22"/>
      <c r="K782" s="22"/>
      <c r="L782" s="22"/>
      <c r="M782" s="22"/>
      <c r="N782" s="18"/>
      <c r="O782" s="18"/>
      <c r="P782" s="22"/>
      <c r="Q782" s="22"/>
      <c r="R782" s="22"/>
      <c r="S782" s="22"/>
      <c r="T782" s="22"/>
      <c r="U782" s="22"/>
      <c r="V782" s="6"/>
      <c r="W782" s="18"/>
      <c r="X782" s="19"/>
      <c r="Y782" s="18"/>
      <c r="Z782" s="18"/>
      <c r="AA782" s="6"/>
      <c r="AB782" s="6"/>
      <c r="AC782" s="6"/>
      <c r="AD782" s="6"/>
      <c r="AE782" s="6"/>
      <c r="AF782" s="18"/>
      <c r="AG782" s="18"/>
      <c r="AH782" s="18"/>
      <c r="AI782" s="18"/>
      <c r="AK782" s="18"/>
      <c r="AL782" s="18"/>
      <c r="AM782" s="40" t="s">
        <v>118</v>
      </c>
      <c r="AN782" s="18"/>
      <c r="AO782" s="6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6"/>
      <c r="BK782" s="6"/>
      <c r="BL782" s="6" t="s">
        <v>60</v>
      </c>
      <c r="BO782" s="15"/>
    </row>
    <row r="783" spans="1:67">
      <c r="A783" s="6" t="s">
        <v>131</v>
      </c>
      <c r="B783" s="6" t="s">
        <v>138</v>
      </c>
      <c r="C783" s="17">
        <v>32217.32245</v>
      </c>
      <c r="D783" s="18">
        <v>14.75</v>
      </c>
      <c r="E783" s="6"/>
      <c r="F783" s="6"/>
      <c r="G783" s="22"/>
      <c r="H783" s="22"/>
      <c r="I783" s="22"/>
      <c r="J783" s="22"/>
      <c r="K783" s="22"/>
      <c r="L783" s="22"/>
      <c r="M783" s="22"/>
      <c r="N783" s="18"/>
      <c r="O783" s="18"/>
      <c r="P783" s="22"/>
      <c r="Q783" s="22"/>
      <c r="R783" s="22"/>
      <c r="S783" s="22"/>
      <c r="T783" s="22"/>
      <c r="U783" s="22"/>
      <c r="V783" s="6"/>
      <c r="W783" s="18"/>
      <c r="X783" s="19"/>
      <c r="Y783" s="18"/>
      <c r="Z783" s="18"/>
      <c r="AA783" s="6"/>
      <c r="AB783" s="6"/>
      <c r="AC783" s="6"/>
      <c r="AD783" s="6"/>
      <c r="AE783" s="6"/>
      <c r="AF783" s="18"/>
      <c r="AG783" s="18"/>
      <c r="AH783" s="18"/>
      <c r="AI783" s="18"/>
      <c r="AK783" s="18"/>
      <c r="AL783" s="18"/>
      <c r="AM783" s="40" t="s">
        <v>118</v>
      </c>
      <c r="AN783" s="18"/>
      <c r="AO783" s="6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6"/>
      <c r="BK783" s="6"/>
      <c r="BL783" s="6" t="s">
        <v>60</v>
      </c>
      <c r="BO783" s="15"/>
    </row>
    <row r="784" spans="1:67">
      <c r="A784" s="6" t="s">
        <v>131</v>
      </c>
      <c r="B784" s="6" t="s">
        <v>138</v>
      </c>
      <c r="C784" s="17">
        <v>32308.633000000002</v>
      </c>
      <c r="D784" s="18">
        <v>15</v>
      </c>
      <c r="E784" s="6"/>
      <c r="F784" s="6"/>
      <c r="G784" s="22"/>
      <c r="H784" s="22"/>
      <c r="I784" s="22"/>
      <c r="J784" s="22"/>
      <c r="K784" s="22"/>
      <c r="L784" s="22"/>
      <c r="M784" s="22"/>
      <c r="N784" s="18"/>
      <c r="O784" s="18"/>
      <c r="P784" s="22"/>
      <c r="Q784" s="22"/>
      <c r="R784" s="22"/>
      <c r="S784" s="22"/>
      <c r="T784" s="22"/>
      <c r="U784" s="22"/>
      <c r="V784" s="6"/>
      <c r="W784" s="18"/>
      <c r="X784" s="19"/>
      <c r="Y784" s="18"/>
      <c r="Z784" s="18"/>
      <c r="AA784" s="6"/>
      <c r="AB784" s="6"/>
      <c r="AC784" s="6"/>
      <c r="AD784" s="6"/>
      <c r="AE784" s="6"/>
      <c r="AF784" s="18"/>
      <c r="AG784" s="18"/>
      <c r="AH784" s="18"/>
      <c r="AI784" s="18"/>
      <c r="AK784" s="18"/>
      <c r="AL784" s="18"/>
      <c r="AM784" s="40" t="s">
        <v>118</v>
      </c>
      <c r="AN784" s="18"/>
      <c r="AO784" s="6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6"/>
      <c r="BK784" s="6"/>
      <c r="BL784" s="6" t="s">
        <v>60</v>
      </c>
      <c r="BO784" s="15"/>
    </row>
    <row r="785" spans="1:67">
      <c r="A785" s="6" t="s">
        <v>131</v>
      </c>
      <c r="B785" s="6" t="s">
        <v>138</v>
      </c>
      <c r="C785" s="17">
        <v>32399.94355</v>
      </c>
      <c r="D785" s="18">
        <v>15.25</v>
      </c>
      <c r="E785" s="6"/>
      <c r="F785" s="6"/>
      <c r="G785" s="22"/>
      <c r="H785" s="22"/>
      <c r="I785" s="22"/>
      <c r="J785" s="22"/>
      <c r="K785" s="22"/>
      <c r="L785" s="22"/>
      <c r="M785" s="22"/>
      <c r="N785" s="18"/>
      <c r="O785" s="18"/>
      <c r="P785" s="22"/>
      <c r="Q785" s="22"/>
      <c r="R785" s="22"/>
      <c r="S785" s="22"/>
      <c r="T785" s="22"/>
      <c r="U785" s="22"/>
      <c r="V785" s="6"/>
      <c r="W785" s="18"/>
      <c r="X785" s="19"/>
      <c r="Y785" s="18"/>
      <c r="Z785" s="18"/>
      <c r="AA785" s="6"/>
      <c r="AB785" s="6"/>
      <c r="AC785" s="6"/>
      <c r="AD785" s="6"/>
      <c r="AE785" s="6"/>
      <c r="AF785" s="18"/>
      <c r="AG785" s="18"/>
      <c r="AH785" s="18"/>
      <c r="AI785" s="18"/>
      <c r="AK785" s="18"/>
      <c r="AL785" s="18"/>
      <c r="AM785" s="40" t="s">
        <v>118</v>
      </c>
      <c r="AN785" s="18"/>
      <c r="AO785" s="6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6"/>
      <c r="BK785" s="6"/>
      <c r="BL785" s="6" t="s">
        <v>60</v>
      </c>
      <c r="BO785" s="15"/>
    </row>
    <row r="786" spans="1:67">
      <c r="A786" s="6" t="s">
        <v>131</v>
      </c>
      <c r="B786" s="6" t="s">
        <v>138</v>
      </c>
      <c r="C786" s="17">
        <v>32491.254099999998</v>
      </c>
      <c r="D786" s="18">
        <v>15.5</v>
      </c>
      <c r="E786" s="6"/>
      <c r="F786" s="6"/>
      <c r="G786" s="22"/>
      <c r="H786" s="22"/>
      <c r="I786" s="22"/>
      <c r="J786" s="22"/>
      <c r="K786" s="22"/>
      <c r="L786" s="22"/>
      <c r="M786" s="22"/>
      <c r="N786" s="18"/>
      <c r="O786" s="18"/>
      <c r="P786" s="22"/>
      <c r="Q786" s="22"/>
      <c r="R786" s="22"/>
      <c r="S786" s="22"/>
      <c r="T786" s="22"/>
      <c r="U786" s="22"/>
      <c r="V786" s="6"/>
      <c r="W786" s="18"/>
      <c r="X786" s="19"/>
      <c r="Y786" s="18"/>
      <c r="Z786" s="18"/>
      <c r="AA786" s="6"/>
      <c r="AB786" s="6"/>
      <c r="AC786" s="6"/>
      <c r="AD786" s="6"/>
      <c r="AE786" s="6"/>
      <c r="AF786" s="18"/>
      <c r="AG786" s="18"/>
      <c r="AH786" s="18"/>
      <c r="AI786" s="18"/>
      <c r="AK786" s="18"/>
      <c r="AL786" s="18"/>
      <c r="AM786" s="40" t="s">
        <v>118</v>
      </c>
      <c r="AN786" s="18"/>
      <c r="AO786" s="6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6"/>
      <c r="BK786" s="6"/>
      <c r="BL786" s="6" t="s">
        <v>60</v>
      </c>
      <c r="BO786" s="15"/>
    </row>
    <row r="787" spans="1:67">
      <c r="A787" s="6" t="s">
        <v>131</v>
      </c>
      <c r="B787" s="6" t="s">
        <v>138</v>
      </c>
      <c r="C787" s="17">
        <v>32582.56465</v>
      </c>
      <c r="D787" s="18">
        <v>15.75</v>
      </c>
      <c r="E787" s="6"/>
      <c r="F787" s="6"/>
      <c r="G787" s="22"/>
      <c r="H787" s="22"/>
      <c r="I787" s="22"/>
      <c r="J787" s="22"/>
      <c r="K787" s="22"/>
      <c r="L787" s="22"/>
      <c r="M787" s="22"/>
      <c r="N787" s="18"/>
      <c r="O787" s="18"/>
      <c r="P787" s="22"/>
      <c r="Q787" s="22"/>
      <c r="R787" s="22"/>
      <c r="S787" s="22"/>
      <c r="T787" s="22"/>
      <c r="U787" s="22"/>
      <c r="V787" s="6"/>
      <c r="W787" s="18"/>
      <c r="X787" s="19"/>
      <c r="Y787" s="18"/>
      <c r="Z787" s="18"/>
      <c r="AA787" s="6"/>
      <c r="AB787" s="6"/>
      <c r="AC787" s="6"/>
      <c r="AD787" s="6"/>
      <c r="AE787" s="6"/>
      <c r="AF787" s="18"/>
      <c r="AG787" s="18"/>
      <c r="AH787" s="18"/>
      <c r="AI787" s="18"/>
      <c r="AK787" s="18"/>
      <c r="AL787" s="18"/>
      <c r="AM787" s="40" t="s">
        <v>118</v>
      </c>
      <c r="AN787" s="18"/>
      <c r="AO787" s="6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6"/>
      <c r="BK787" s="6"/>
      <c r="BL787" s="6" t="s">
        <v>60</v>
      </c>
      <c r="BO787" s="15"/>
    </row>
    <row r="788" spans="1:67">
      <c r="A788" s="6" t="s">
        <v>131</v>
      </c>
      <c r="B788" s="6" t="s">
        <v>138</v>
      </c>
      <c r="C788" s="17">
        <v>32673.875200000002</v>
      </c>
      <c r="D788" s="18">
        <v>16</v>
      </c>
      <c r="E788" s="6"/>
      <c r="F788" s="6"/>
      <c r="G788" s="22"/>
      <c r="H788" s="22"/>
      <c r="I788" s="22"/>
      <c r="J788" s="22"/>
      <c r="K788" s="22"/>
      <c r="L788" s="22"/>
      <c r="M788" s="22"/>
      <c r="N788" s="18"/>
      <c r="O788" s="18"/>
      <c r="P788" s="22"/>
      <c r="Q788" s="22"/>
      <c r="R788" s="22"/>
      <c r="S788" s="22"/>
      <c r="T788" s="22"/>
      <c r="U788" s="22"/>
      <c r="V788" s="6"/>
      <c r="W788" s="18"/>
      <c r="X788" s="19"/>
      <c r="Y788" s="18"/>
      <c r="Z788" s="18"/>
      <c r="AA788" s="6"/>
      <c r="AB788" s="6"/>
      <c r="AC788" s="6"/>
      <c r="AD788" s="6"/>
      <c r="AE788" s="6"/>
      <c r="AF788" s="18"/>
      <c r="AG788" s="18"/>
      <c r="AH788" s="18"/>
      <c r="AI788" s="18"/>
      <c r="AK788" s="18"/>
      <c r="AL788" s="18"/>
      <c r="AM788" s="40" t="s">
        <v>118</v>
      </c>
      <c r="AN788" s="18"/>
      <c r="AO788" s="6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6"/>
      <c r="BK788" s="6"/>
      <c r="BL788" s="6" t="s">
        <v>60</v>
      </c>
      <c r="BO788" s="15"/>
    </row>
    <row r="789" spans="1:67">
      <c r="A789" s="6" t="s">
        <v>131</v>
      </c>
      <c r="B789" s="6" t="s">
        <v>138</v>
      </c>
      <c r="C789" s="17">
        <v>32765.185750000001</v>
      </c>
      <c r="D789" s="18">
        <v>16.25</v>
      </c>
      <c r="E789" s="6"/>
      <c r="F789" s="6"/>
      <c r="G789" s="22"/>
      <c r="H789" s="22"/>
      <c r="I789" s="22"/>
      <c r="J789" s="22"/>
      <c r="K789" s="22"/>
      <c r="L789" s="22"/>
      <c r="M789" s="22"/>
      <c r="N789" s="18"/>
      <c r="O789" s="18"/>
      <c r="P789" s="22"/>
      <c r="Q789" s="22"/>
      <c r="R789" s="22"/>
      <c r="S789" s="22"/>
      <c r="T789" s="22"/>
      <c r="U789" s="22"/>
      <c r="V789" s="6"/>
      <c r="W789" s="18"/>
      <c r="X789" s="19"/>
      <c r="Y789" s="18"/>
      <c r="Z789" s="18"/>
      <c r="AA789" s="6"/>
      <c r="AB789" s="6"/>
      <c r="AC789" s="6"/>
      <c r="AD789" s="6"/>
      <c r="AE789" s="6"/>
      <c r="AF789" s="18"/>
      <c r="AG789" s="18"/>
      <c r="AH789" s="18"/>
      <c r="AI789" s="18"/>
      <c r="AK789" s="18"/>
      <c r="AL789" s="18"/>
      <c r="AM789" s="40" t="s">
        <v>118</v>
      </c>
      <c r="AN789" s="18"/>
      <c r="AO789" s="6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6"/>
      <c r="BK789" s="6"/>
      <c r="BL789" s="6" t="s">
        <v>60</v>
      </c>
      <c r="BO789" s="15"/>
    </row>
    <row r="790" spans="1:67">
      <c r="A790" s="6" t="s">
        <v>131</v>
      </c>
      <c r="B790" s="6" t="s">
        <v>138</v>
      </c>
      <c r="C790" s="17">
        <v>32856.496299999999</v>
      </c>
      <c r="D790" s="18">
        <v>16.5</v>
      </c>
      <c r="E790" s="6"/>
      <c r="F790" s="6"/>
      <c r="G790" s="22"/>
      <c r="H790" s="22"/>
      <c r="I790" s="22"/>
      <c r="J790" s="22"/>
      <c r="K790" s="22"/>
      <c r="L790" s="22"/>
      <c r="M790" s="22"/>
      <c r="N790" s="18"/>
      <c r="O790" s="18"/>
      <c r="P790" s="22"/>
      <c r="Q790" s="22"/>
      <c r="R790" s="22"/>
      <c r="S790" s="22"/>
      <c r="T790" s="22"/>
      <c r="U790" s="22"/>
      <c r="V790" s="6"/>
      <c r="W790" s="18"/>
      <c r="X790" s="19"/>
      <c r="Y790" s="18"/>
      <c r="Z790" s="18"/>
      <c r="AA790" s="6"/>
      <c r="AB790" s="6"/>
      <c r="AC790" s="6"/>
      <c r="AD790" s="6"/>
      <c r="AE790" s="6"/>
      <c r="AF790" s="18"/>
      <c r="AG790" s="18"/>
      <c r="AH790" s="18"/>
      <c r="AI790" s="18"/>
      <c r="AK790" s="18"/>
      <c r="AL790" s="18"/>
      <c r="AM790" s="40" t="s">
        <v>118</v>
      </c>
      <c r="AN790" s="18"/>
      <c r="AO790" s="6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6"/>
      <c r="BK790" s="6"/>
      <c r="BL790" s="6" t="s">
        <v>60</v>
      </c>
      <c r="BO790" s="15"/>
    </row>
    <row r="791" spans="1:67">
      <c r="A791" s="6" t="s">
        <v>131</v>
      </c>
      <c r="B791" s="6" t="s">
        <v>138</v>
      </c>
      <c r="C791" s="17">
        <v>32947.806850000001</v>
      </c>
      <c r="D791" s="18">
        <v>16.75</v>
      </c>
      <c r="E791" s="6"/>
      <c r="F791" s="6"/>
      <c r="G791" s="22"/>
      <c r="H791" s="22"/>
      <c r="I791" s="22"/>
      <c r="J791" s="22"/>
      <c r="K791" s="22"/>
      <c r="L791" s="22"/>
      <c r="M791" s="22"/>
      <c r="N791" s="18"/>
      <c r="O791" s="18"/>
      <c r="P791" s="22"/>
      <c r="Q791" s="22"/>
      <c r="R791" s="22"/>
      <c r="S791" s="22"/>
      <c r="T791" s="22"/>
      <c r="U791" s="22"/>
      <c r="V791" s="6"/>
      <c r="W791" s="18"/>
      <c r="X791" s="19"/>
      <c r="Y791" s="18"/>
      <c r="Z791" s="18"/>
      <c r="AA791" s="6"/>
      <c r="AB791" s="6"/>
      <c r="AC791" s="6"/>
      <c r="AD791" s="6"/>
      <c r="AE791" s="6"/>
      <c r="AF791" s="18"/>
      <c r="AG791" s="18"/>
      <c r="AH791" s="18"/>
      <c r="AI791" s="18"/>
      <c r="AK791" s="18"/>
      <c r="AL791" s="18"/>
      <c r="AM791" s="40" t="s">
        <v>118</v>
      </c>
      <c r="AN791" s="18"/>
      <c r="AO791" s="6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6"/>
      <c r="BK791" s="6"/>
      <c r="BL791" s="6" t="s">
        <v>60</v>
      </c>
      <c r="BO791" s="15"/>
    </row>
    <row r="792" spans="1:67">
      <c r="A792" s="6" t="s">
        <v>131</v>
      </c>
      <c r="B792" s="6" t="s">
        <v>138</v>
      </c>
      <c r="C792" s="17">
        <v>33039.117400000003</v>
      </c>
      <c r="D792" s="18">
        <v>17</v>
      </c>
      <c r="E792" s="6"/>
      <c r="F792" s="6"/>
      <c r="G792" s="22"/>
      <c r="H792" s="22"/>
      <c r="I792" s="22"/>
      <c r="J792" s="22"/>
      <c r="K792" s="22"/>
      <c r="L792" s="22"/>
      <c r="M792" s="22"/>
      <c r="N792" s="18"/>
      <c r="O792" s="18"/>
      <c r="P792" s="22"/>
      <c r="Q792" s="22"/>
      <c r="R792" s="22"/>
      <c r="S792" s="22"/>
      <c r="T792" s="22"/>
      <c r="U792" s="22"/>
      <c r="V792" s="6"/>
      <c r="W792" s="18"/>
      <c r="X792" s="19"/>
      <c r="Y792" s="18"/>
      <c r="Z792" s="18"/>
      <c r="AA792" s="6"/>
      <c r="AB792" s="6"/>
      <c r="AC792" s="6"/>
      <c r="AD792" s="6"/>
      <c r="AE792" s="6"/>
      <c r="AF792" s="18"/>
      <c r="AG792" s="18"/>
      <c r="AH792" s="18"/>
      <c r="AI792" s="18"/>
      <c r="AK792" s="18"/>
      <c r="AL792" s="18"/>
      <c r="AM792" s="40" t="s">
        <v>118</v>
      </c>
      <c r="AN792" s="18"/>
      <c r="AO792" s="6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6"/>
      <c r="BK792" s="6"/>
      <c r="BL792" s="6" t="s">
        <v>60</v>
      </c>
      <c r="BO792" s="15"/>
    </row>
    <row r="793" spans="1:67" ht="13.25" customHeight="1">
      <c r="A793" s="6" t="s">
        <v>131</v>
      </c>
      <c r="B793" s="6" t="s">
        <v>138</v>
      </c>
      <c r="C793" s="17">
        <v>33130.427949999998</v>
      </c>
      <c r="D793" s="18">
        <v>17.25</v>
      </c>
      <c r="E793" s="6"/>
      <c r="F793" s="6"/>
      <c r="G793" s="22"/>
      <c r="H793" s="22"/>
      <c r="I793" s="22"/>
      <c r="J793" s="22"/>
      <c r="K793" s="22"/>
      <c r="L793" s="22"/>
      <c r="M793" s="22"/>
      <c r="N793" s="18"/>
      <c r="O793" s="18"/>
      <c r="P793" s="22"/>
      <c r="Q793" s="22"/>
      <c r="R793" s="22"/>
      <c r="S793" s="22"/>
      <c r="T793" s="22"/>
      <c r="U793" s="22"/>
      <c r="V793" s="6"/>
      <c r="W793" s="18"/>
      <c r="X793" s="19"/>
      <c r="Y793" s="18"/>
      <c r="Z793" s="18"/>
      <c r="AA793" s="6"/>
      <c r="AB793" s="6"/>
      <c r="AC793" s="6"/>
      <c r="AD793" s="6"/>
      <c r="AE793" s="6"/>
      <c r="AF793" s="18"/>
      <c r="AG793" s="18"/>
      <c r="AH793" s="18"/>
      <c r="AI793" s="18"/>
      <c r="AK793" s="18"/>
      <c r="AL793" s="18"/>
      <c r="AM793" s="40" t="s">
        <v>118</v>
      </c>
      <c r="AN793" s="18"/>
      <c r="AO793" s="6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6"/>
      <c r="BK793" s="6"/>
      <c r="BL793" s="6" t="s">
        <v>60</v>
      </c>
      <c r="BO793" s="15"/>
    </row>
    <row r="794" spans="1:67">
      <c r="A794" s="6" t="s">
        <v>131</v>
      </c>
      <c r="B794" s="6" t="s">
        <v>138</v>
      </c>
      <c r="C794" s="17">
        <v>33221.738499999999</v>
      </c>
      <c r="D794" s="18">
        <v>17.5</v>
      </c>
      <c r="E794" s="6"/>
      <c r="F794" s="6"/>
      <c r="G794" s="22"/>
      <c r="H794" s="22"/>
      <c r="I794" s="22"/>
      <c r="J794" s="22"/>
      <c r="K794" s="22"/>
      <c r="L794" s="22"/>
      <c r="M794" s="22"/>
      <c r="N794" s="18"/>
      <c r="O794" s="18"/>
      <c r="P794" s="22"/>
      <c r="Q794" s="22"/>
      <c r="R794" s="22"/>
      <c r="S794" s="22"/>
      <c r="T794" s="22"/>
      <c r="U794" s="22"/>
      <c r="V794" s="6"/>
      <c r="W794" s="18"/>
      <c r="X794" s="19"/>
      <c r="Y794" s="18"/>
      <c r="Z794" s="18"/>
      <c r="AA794" s="6"/>
      <c r="AB794" s="6"/>
      <c r="AC794" s="6"/>
      <c r="AD794" s="6"/>
      <c r="AE794" s="6"/>
      <c r="AF794" s="18"/>
      <c r="AG794" s="18"/>
      <c r="AH794" s="18"/>
      <c r="AI794" s="18"/>
      <c r="AK794" s="18"/>
      <c r="AL794" s="18"/>
      <c r="AM794" s="40" t="s">
        <v>118</v>
      </c>
      <c r="AN794" s="18"/>
      <c r="AO794" s="6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6"/>
      <c r="BK794" s="6"/>
      <c r="BL794" s="6" t="s">
        <v>60</v>
      </c>
      <c r="BO794" s="15"/>
    </row>
    <row r="795" spans="1:67">
      <c r="A795" s="6" t="s">
        <v>131</v>
      </c>
      <c r="B795" s="6" t="s">
        <v>138</v>
      </c>
      <c r="C795" s="17">
        <v>33313.049050000001</v>
      </c>
      <c r="D795" s="18">
        <v>17.75</v>
      </c>
      <c r="E795" s="6"/>
      <c r="F795" s="6"/>
      <c r="G795" s="22"/>
      <c r="H795" s="22"/>
      <c r="I795" s="22"/>
      <c r="J795" s="22"/>
      <c r="K795" s="22"/>
      <c r="L795" s="22"/>
      <c r="M795" s="22"/>
      <c r="N795" s="18"/>
      <c r="O795" s="18"/>
      <c r="P795" s="22"/>
      <c r="Q795" s="22"/>
      <c r="R795" s="22"/>
      <c r="S795" s="22"/>
      <c r="T795" s="22"/>
      <c r="U795" s="22"/>
      <c r="V795" s="6"/>
      <c r="W795" s="18"/>
      <c r="X795" s="19"/>
      <c r="Y795" s="18"/>
      <c r="Z795" s="18"/>
      <c r="AA795" s="6"/>
      <c r="AB795" s="6"/>
      <c r="AC795" s="6"/>
      <c r="AD795" s="6"/>
      <c r="AE795" s="6"/>
      <c r="AF795" s="18"/>
      <c r="AG795" s="18"/>
      <c r="AH795" s="18"/>
      <c r="AI795" s="18"/>
      <c r="AK795" s="18"/>
      <c r="AL795" s="18"/>
      <c r="AM795" s="40" t="s">
        <v>118</v>
      </c>
      <c r="AN795" s="18"/>
      <c r="AO795" s="6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6"/>
      <c r="BK795" s="6"/>
      <c r="BL795" s="6" t="s">
        <v>60</v>
      </c>
      <c r="BO795" s="15"/>
    </row>
    <row r="796" spans="1:67">
      <c r="A796" s="6" t="s">
        <v>131</v>
      </c>
      <c r="B796" s="6" t="s">
        <v>138</v>
      </c>
      <c r="C796" s="17">
        <v>33404.359600000003</v>
      </c>
      <c r="D796" s="18">
        <v>18</v>
      </c>
      <c r="E796" s="6"/>
      <c r="F796" s="6"/>
      <c r="G796" s="22"/>
      <c r="H796" s="22"/>
      <c r="I796" s="22"/>
      <c r="J796" s="22"/>
      <c r="K796" s="22"/>
      <c r="L796" s="22"/>
      <c r="M796" s="22"/>
      <c r="N796" s="18"/>
      <c r="O796" s="18"/>
      <c r="P796" s="22"/>
      <c r="Q796" s="22"/>
      <c r="R796" s="22"/>
      <c r="S796" s="22"/>
      <c r="T796" s="22"/>
      <c r="U796" s="22"/>
      <c r="V796" s="6"/>
      <c r="W796" s="18"/>
      <c r="X796" s="19"/>
      <c r="Y796" s="18"/>
      <c r="Z796" s="18"/>
      <c r="AA796" s="6"/>
      <c r="AB796" s="6"/>
      <c r="AC796" s="6"/>
      <c r="AD796" s="6"/>
      <c r="AE796" s="6"/>
      <c r="AF796" s="18"/>
      <c r="AG796" s="18"/>
      <c r="AH796" s="18"/>
      <c r="AI796" s="18"/>
      <c r="AK796" s="18"/>
      <c r="AL796" s="18"/>
      <c r="AM796" s="40" t="s">
        <v>118</v>
      </c>
      <c r="AN796" s="18"/>
      <c r="AO796" s="6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6"/>
      <c r="BK796" s="6"/>
      <c r="BL796" s="6" t="s">
        <v>60</v>
      </c>
      <c r="BO796" s="15"/>
    </row>
    <row r="797" spans="1:67">
      <c r="A797" s="6" t="s">
        <v>131</v>
      </c>
      <c r="B797" s="6" t="s">
        <v>138</v>
      </c>
      <c r="C797" s="17">
        <v>33495.670149999998</v>
      </c>
      <c r="D797" s="18">
        <v>18.25</v>
      </c>
      <c r="E797" s="6"/>
      <c r="F797" s="6"/>
      <c r="G797" s="22"/>
      <c r="H797" s="22"/>
      <c r="I797" s="22"/>
      <c r="J797" s="22"/>
      <c r="K797" s="22"/>
      <c r="L797" s="22"/>
      <c r="M797" s="22"/>
      <c r="N797" s="18"/>
      <c r="O797" s="18"/>
      <c r="P797" s="22"/>
      <c r="Q797" s="22"/>
      <c r="R797" s="22"/>
      <c r="S797" s="22"/>
      <c r="T797" s="22"/>
      <c r="U797" s="22"/>
      <c r="V797" s="6"/>
      <c r="W797" s="18"/>
      <c r="X797" s="19"/>
      <c r="Y797" s="18"/>
      <c r="Z797" s="18"/>
      <c r="AA797" s="6"/>
      <c r="AB797" s="6"/>
      <c r="AC797" s="6"/>
      <c r="AD797" s="6"/>
      <c r="AE797" s="6"/>
      <c r="AF797" s="18"/>
      <c r="AG797" s="18"/>
      <c r="AH797" s="18"/>
      <c r="AI797" s="18"/>
      <c r="AK797" s="18"/>
      <c r="AL797" s="18"/>
      <c r="AM797" s="40" t="s">
        <v>118</v>
      </c>
      <c r="AN797" s="18"/>
      <c r="AO797" s="6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6"/>
      <c r="BK797" s="6"/>
      <c r="BL797" s="6" t="s">
        <v>60</v>
      </c>
      <c r="BO797" s="15"/>
    </row>
    <row r="798" spans="1:67">
      <c r="A798" s="6" t="s">
        <v>131</v>
      </c>
      <c r="B798" s="6" t="s">
        <v>138</v>
      </c>
      <c r="C798" s="17">
        <v>33586.9807</v>
      </c>
      <c r="D798" s="18">
        <v>18.5</v>
      </c>
      <c r="E798" s="6"/>
      <c r="F798" s="6"/>
      <c r="G798" s="22"/>
      <c r="H798" s="22"/>
      <c r="I798" s="22"/>
      <c r="J798" s="22"/>
      <c r="K798" s="22"/>
      <c r="L798" s="22"/>
      <c r="M798" s="22"/>
      <c r="N798" s="18"/>
      <c r="O798" s="18"/>
      <c r="P798" s="22"/>
      <c r="Q798" s="22"/>
      <c r="R798" s="22"/>
      <c r="S798" s="22"/>
      <c r="T798" s="22"/>
      <c r="U798" s="22"/>
      <c r="V798" s="6"/>
      <c r="W798" s="18"/>
      <c r="X798" s="19"/>
      <c r="Y798" s="18"/>
      <c r="Z798" s="18"/>
      <c r="AA798" s="6"/>
      <c r="AB798" s="6"/>
      <c r="AC798" s="6"/>
      <c r="AD798" s="6"/>
      <c r="AE798" s="6"/>
      <c r="AF798" s="18"/>
      <c r="AG798" s="18"/>
      <c r="AH798" s="18"/>
      <c r="AI798" s="18"/>
      <c r="AK798" s="18"/>
      <c r="AL798" s="18"/>
      <c r="AM798" s="40" t="s">
        <v>118</v>
      </c>
      <c r="AN798" s="18"/>
      <c r="AO798" s="6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6"/>
      <c r="BK798" s="6"/>
      <c r="BL798" s="6" t="s">
        <v>60</v>
      </c>
      <c r="BO798" s="15"/>
    </row>
    <row r="799" spans="1:67">
      <c r="A799" s="6" t="s">
        <v>131</v>
      </c>
      <c r="B799" s="6" t="s">
        <v>138</v>
      </c>
      <c r="C799" s="17">
        <v>33678.291250000002</v>
      </c>
      <c r="D799" s="18">
        <v>18.75</v>
      </c>
      <c r="E799" s="6"/>
      <c r="F799" s="6"/>
      <c r="G799" s="22"/>
      <c r="H799" s="22"/>
      <c r="I799" s="22"/>
      <c r="J799" s="22"/>
      <c r="K799" s="22"/>
      <c r="L799" s="22"/>
      <c r="M799" s="22"/>
      <c r="N799" s="18"/>
      <c r="O799" s="18"/>
      <c r="P799" s="22"/>
      <c r="Q799" s="22"/>
      <c r="R799" s="22"/>
      <c r="S799" s="22"/>
      <c r="T799" s="22"/>
      <c r="U799" s="22"/>
      <c r="V799" s="6"/>
      <c r="W799" s="18"/>
      <c r="X799" s="19"/>
      <c r="Y799" s="18"/>
      <c r="Z799" s="18"/>
      <c r="AA799" s="6"/>
      <c r="AB799" s="6"/>
      <c r="AC799" s="6"/>
      <c r="AD799" s="6"/>
      <c r="AE799" s="6"/>
      <c r="AF799" s="18"/>
      <c r="AG799" s="18"/>
      <c r="AH799" s="18"/>
      <c r="AI799" s="18"/>
      <c r="AK799" s="18"/>
      <c r="AL799" s="18"/>
      <c r="AM799" s="40" t="s">
        <v>118</v>
      </c>
      <c r="AN799" s="18"/>
      <c r="AO799" s="6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6"/>
      <c r="BK799" s="6"/>
      <c r="BL799" s="6" t="s">
        <v>60</v>
      </c>
      <c r="BO799" s="15"/>
    </row>
    <row r="800" spans="1:67">
      <c r="A800" s="6" t="s">
        <v>131</v>
      </c>
      <c r="B800" s="6" t="s">
        <v>138</v>
      </c>
      <c r="C800" s="17">
        <v>33769.601800000004</v>
      </c>
      <c r="D800" s="18">
        <v>19</v>
      </c>
      <c r="E800" s="6"/>
      <c r="F800" s="6"/>
      <c r="G800" s="22"/>
      <c r="H800" s="22"/>
      <c r="I800" s="22"/>
      <c r="J800" s="22"/>
      <c r="K800" s="22"/>
      <c r="L800" s="22"/>
      <c r="M800" s="22"/>
      <c r="N800" s="18"/>
      <c r="O800" s="18"/>
      <c r="P800" s="22"/>
      <c r="Q800" s="22"/>
      <c r="R800" s="22"/>
      <c r="S800" s="22"/>
      <c r="T800" s="22"/>
      <c r="U800" s="22"/>
      <c r="V800" s="6"/>
      <c r="W800" s="18"/>
      <c r="X800" s="19"/>
      <c r="Y800" s="18"/>
      <c r="Z800" s="18"/>
      <c r="AA800" s="6"/>
      <c r="AB800" s="6"/>
      <c r="AC800" s="6"/>
      <c r="AD800" s="6"/>
      <c r="AE800" s="6"/>
      <c r="AF800" s="18"/>
      <c r="AG800" s="18"/>
      <c r="AH800" s="18"/>
      <c r="AI800" s="18"/>
      <c r="AK800" s="18"/>
      <c r="AL800" s="18"/>
      <c r="AM800" s="40" t="s">
        <v>118</v>
      </c>
      <c r="AN800" s="18"/>
      <c r="AO800" s="6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6"/>
      <c r="BK800" s="6"/>
      <c r="BL800" s="6" t="s">
        <v>60</v>
      </c>
      <c r="BO800" s="15"/>
    </row>
    <row r="801" spans="1:67">
      <c r="A801" s="6" t="s">
        <v>131</v>
      </c>
      <c r="B801" s="6" t="s">
        <v>138</v>
      </c>
      <c r="C801" s="17">
        <v>34134.843999999997</v>
      </c>
      <c r="D801" s="18">
        <v>20</v>
      </c>
      <c r="E801" s="6"/>
      <c r="F801" s="6"/>
      <c r="G801" s="22"/>
      <c r="H801" s="22"/>
      <c r="I801" s="22"/>
      <c r="J801" s="22"/>
      <c r="K801" s="22"/>
      <c r="L801" s="22"/>
      <c r="M801" s="22"/>
      <c r="N801" s="18"/>
      <c r="O801" s="18"/>
      <c r="P801" s="22"/>
      <c r="Q801" s="22"/>
      <c r="R801" s="22"/>
      <c r="S801" s="22"/>
      <c r="T801" s="22"/>
      <c r="U801" s="22"/>
      <c r="V801" s="6"/>
      <c r="W801" s="18"/>
      <c r="X801" s="19"/>
      <c r="Y801" s="18"/>
      <c r="Z801" s="18"/>
      <c r="AA801" s="6"/>
      <c r="AB801" s="6"/>
      <c r="AC801" s="6"/>
      <c r="AD801" s="6"/>
      <c r="AE801" s="6"/>
      <c r="AF801" s="18"/>
      <c r="AG801" s="18"/>
      <c r="AH801" s="18"/>
      <c r="AI801" s="18"/>
      <c r="AK801" s="18"/>
      <c r="AL801" s="18"/>
      <c r="AM801" s="40" t="s">
        <v>118</v>
      </c>
      <c r="AN801" s="18"/>
      <c r="AO801" s="6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6"/>
      <c r="BK801" s="6"/>
      <c r="BL801" s="6" t="s">
        <v>60</v>
      </c>
      <c r="BO801" s="15"/>
    </row>
    <row r="802" spans="1:67" ht="13.25" customHeight="1">
      <c r="A802" s="6" t="s">
        <v>132</v>
      </c>
      <c r="B802" s="6" t="s">
        <v>139</v>
      </c>
      <c r="C802" s="17">
        <v>30573.732550000001</v>
      </c>
      <c r="D802" s="18">
        <v>10.25</v>
      </c>
      <c r="E802" s="6"/>
      <c r="F802" s="6"/>
      <c r="G802" s="22"/>
      <c r="H802" s="22"/>
      <c r="I802" s="22"/>
      <c r="J802" s="22"/>
      <c r="K802" s="22"/>
      <c r="L802" s="22"/>
      <c r="M802" s="22"/>
      <c r="N802" s="18"/>
      <c r="O802" s="18"/>
      <c r="P802" s="22"/>
      <c r="Q802" s="22"/>
      <c r="R802" s="22"/>
      <c r="S802" s="22"/>
      <c r="T802" s="22"/>
      <c r="U802" s="22"/>
      <c r="V802" s="6"/>
      <c r="W802" s="18"/>
      <c r="X802" s="19"/>
      <c r="Y802" s="18"/>
      <c r="Z802" s="18"/>
      <c r="AA802" s="6"/>
      <c r="AB802" s="6"/>
      <c r="AC802" s="6"/>
      <c r="AD802" s="6"/>
      <c r="AE802" s="6"/>
      <c r="AF802" s="18"/>
      <c r="AG802" s="18"/>
      <c r="AH802" s="18"/>
      <c r="AI802" s="18"/>
      <c r="AK802" s="18"/>
      <c r="AL802" s="18"/>
      <c r="AM802" s="40" t="s">
        <v>118</v>
      </c>
      <c r="AN802" s="18"/>
      <c r="AO802" s="6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6"/>
      <c r="BK802" s="6"/>
      <c r="BL802" s="6" t="s">
        <v>60</v>
      </c>
      <c r="BO802" s="15"/>
    </row>
    <row r="803" spans="1:67">
      <c r="A803" s="6" t="s">
        <v>132</v>
      </c>
      <c r="B803" s="6" t="s">
        <v>139</v>
      </c>
      <c r="C803" s="17">
        <v>30665.043099999999</v>
      </c>
      <c r="D803" s="18">
        <v>10.5</v>
      </c>
      <c r="E803" s="6"/>
      <c r="F803" s="6"/>
      <c r="G803" s="22"/>
      <c r="H803" s="22"/>
      <c r="I803" s="22"/>
      <c r="J803" s="22"/>
      <c r="K803" s="22"/>
      <c r="L803" s="22"/>
      <c r="M803" s="22"/>
      <c r="N803" s="18"/>
      <c r="O803" s="18"/>
      <c r="P803" s="22"/>
      <c r="Q803" s="22"/>
      <c r="R803" s="22"/>
      <c r="S803" s="22"/>
      <c r="T803" s="22"/>
      <c r="U803" s="22"/>
      <c r="V803" s="6"/>
      <c r="W803" s="18"/>
      <c r="X803" s="19"/>
      <c r="Y803" s="18"/>
      <c r="Z803" s="18"/>
      <c r="AA803" s="6"/>
      <c r="AB803" s="6"/>
      <c r="AC803" s="6"/>
      <c r="AD803" s="6"/>
      <c r="AE803" s="6"/>
      <c r="AF803" s="18"/>
      <c r="AG803" s="18"/>
      <c r="AH803" s="18"/>
      <c r="AI803" s="18"/>
      <c r="AK803" s="18"/>
      <c r="AL803" s="18"/>
      <c r="AM803" s="40" t="s">
        <v>118</v>
      </c>
      <c r="AN803" s="18"/>
      <c r="AO803" s="6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6"/>
      <c r="BK803" s="6"/>
      <c r="BL803" s="6" t="s">
        <v>60</v>
      </c>
      <c r="BO803" s="15"/>
    </row>
    <row r="804" spans="1:67">
      <c r="A804" s="6" t="s">
        <v>132</v>
      </c>
      <c r="B804" s="6" t="s">
        <v>139</v>
      </c>
      <c r="C804" s="17">
        <v>30756.353650000001</v>
      </c>
      <c r="D804" s="18">
        <v>10.75</v>
      </c>
      <c r="E804" s="6"/>
      <c r="F804" s="6"/>
      <c r="G804" s="22"/>
      <c r="H804" s="22"/>
      <c r="I804" s="22"/>
      <c r="J804" s="22"/>
      <c r="K804" s="22"/>
      <c r="L804" s="22"/>
      <c r="M804" s="22"/>
      <c r="N804" s="18"/>
      <c r="O804" s="18"/>
      <c r="P804" s="22"/>
      <c r="Q804" s="22"/>
      <c r="R804" s="22"/>
      <c r="S804" s="22"/>
      <c r="T804" s="22"/>
      <c r="U804" s="22"/>
      <c r="V804" s="6"/>
      <c r="W804" s="18"/>
      <c r="X804" s="19"/>
      <c r="Y804" s="18"/>
      <c r="Z804" s="18"/>
      <c r="AA804" s="6"/>
      <c r="AB804" s="6"/>
      <c r="AC804" s="6"/>
      <c r="AD804" s="6"/>
      <c r="AE804" s="6"/>
      <c r="AF804" s="18"/>
      <c r="AG804" s="18"/>
      <c r="AH804" s="18"/>
      <c r="AI804" s="18"/>
      <c r="AK804" s="18"/>
      <c r="AL804" s="18"/>
      <c r="AM804" s="40" t="s">
        <v>118</v>
      </c>
      <c r="AN804" s="18"/>
      <c r="AO804" s="6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6"/>
      <c r="BK804" s="6"/>
      <c r="BL804" s="6" t="s">
        <v>60</v>
      </c>
      <c r="BO804" s="15"/>
    </row>
    <row r="805" spans="1:67">
      <c r="A805" s="6" t="s">
        <v>132</v>
      </c>
      <c r="B805" s="6" t="s">
        <v>139</v>
      </c>
      <c r="C805" s="17">
        <v>30847.664199999999</v>
      </c>
      <c r="D805" s="18">
        <v>11</v>
      </c>
      <c r="E805" s="6"/>
      <c r="F805" s="6"/>
      <c r="G805" s="22"/>
      <c r="H805" s="22"/>
      <c r="I805" s="22"/>
      <c r="J805" s="22"/>
      <c r="K805" s="22"/>
      <c r="L805" s="22"/>
      <c r="M805" s="22"/>
      <c r="N805" s="18"/>
      <c r="O805" s="18"/>
      <c r="P805" s="22"/>
      <c r="Q805" s="22"/>
      <c r="R805" s="22"/>
      <c r="S805" s="22"/>
      <c r="T805" s="22"/>
      <c r="U805" s="22"/>
      <c r="V805" s="6"/>
      <c r="W805" s="18"/>
      <c r="X805" s="19"/>
      <c r="Y805" s="18"/>
      <c r="Z805" s="18"/>
      <c r="AA805" s="6"/>
      <c r="AB805" s="6"/>
      <c r="AC805" s="6"/>
      <c r="AD805" s="6"/>
      <c r="AE805" s="6"/>
      <c r="AF805" s="18"/>
      <c r="AG805" s="18"/>
      <c r="AH805" s="18"/>
      <c r="AI805" s="18"/>
      <c r="AK805" s="18"/>
      <c r="AL805" s="18"/>
      <c r="AM805" s="40" t="s">
        <v>118</v>
      </c>
      <c r="AN805" s="18"/>
      <c r="AO805" s="6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6"/>
      <c r="BK805" s="6"/>
      <c r="BL805" s="6" t="s">
        <v>60</v>
      </c>
      <c r="BO805" s="15"/>
    </row>
    <row r="806" spans="1:67">
      <c r="A806" s="6" t="s">
        <v>132</v>
      </c>
      <c r="B806" s="6" t="s">
        <v>139</v>
      </c>
      <c r="C806" s="17">
        <v>30938.974750000001</v>
      </c>
      <c r="D806" s="18">
        <v>11.25</v>
      </c>
      <c r="E806" s="6"/>
      <c r="F806" s="6"/>
      <c r="G806" s="22"/>
      <c r="H806" s="22"/>
      <c r="I806" s="22"/>
      <c r="J806" s="22"/>
      <c r="K806" s="22"/>
      <c r="L806" s="22"/>
      <c r="M806" s="22"/>
      <c r="N806" s="18"/>
      <c r="O806" s="18"/>
      <c r="P806" s="22"/>
      <c r="Q806" s="22"/>
      <c r="R806" s="22"/>
      <c r="S806" s="22"/>
      <c r="T806" s="22"/>
      <c r="U806" s="22"/>
      <c r="V806" s="6"/>
      <c r="W806" s="18"/>
      <c r="X806" s="19"/>
      <c r="Y806" s="18"/>
      <c r="Z806" s="18"/>
      <c r="AA806" s="6"/>
      <c r="AB806" s="6"/>
      <c r="AC806" s="6"/>
      <c r="AD806" s="6"/>
      <c r="AE806" s="6"/>
      <c r="AF806" s="18"/>
      <c r="AG806" s="18"/>
      <c r="AH806" s="18"/>
      <c r="AI806" s="18"/>
      <c r="AK806" s="18"/>
      <c r="AL806" s="18"/>
      <c r="AM806" s="40" t="s">
        <v>118</v>
      </c>
      <c r="AN806" s="18"/>
      <c r="AO806" s="6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6"/>
      <c r="BK806" s="6"/>
      <c r="BL806" s="6" t="s">
        <v>60</v>
      </c>
      <c r="BO806" s="15"/>
    </row>
    <row r="807" spans="1:67">
      <c r="A807" s="6" t="s">
        <v>132</v>
      </c>
      <c r="B807" s="6" t="s">
        <v>139</v>
      </c>
      <c r="C807" s="17">
        <v>31030.2853</v>
      </c>
      <c r="D807" s="18">
        <v>11.5</v>
      </c>
      <c r="E807" s="6"/>
      <c r="F807" s="6"/>
      <c r="G807" s="22"/>
      <c r="H807" s="22"/>
      <c r="I807" s="22"/>
      <c r="J807" s="22"/>
      <c r="K807" s="22"/>
      <c r="L807" s="22"/>
      <c r="M807" s="22"/>
      <c r="N807" s="18"/>
      <c r="O807" s="18"/>
      <c r="P807" s="22"/>
      <c r="Q807" s="22"/>
      <c r="R807" s="22"/>
      <c r="S807" s="22"/>
      <c r="T807" s="22"/>
      <c r="U807" s="22"/>
      <c r="V807" s="6"/>
      <c r="W807" s="18"/>
      <c r="X807" s="19"/>
      <c r="Y807" s="18"/>
      <c r="Z807" s="18"/>
      <c r="AA807" s="6"/>
      <c r="AB807" s="6"/>
      <c r="AC807" s="6"/>
      <c r="AD807" s="6"/>
      <c r="AE807" s="6"/>
      <c r="AF807" s="18"/>
      <c r="AG807" s="18"/>
      <c r="AH807" s="18"/>
      <c r="AI807" s="18"/>
      <c r="AK807" s="18"/>
      <c r="AL807" s="18"/>
      <c r="AM807" s="40" t="s">
        <v>118</v>
      </c>
      <c r="AN807" s="18"/>
      <c r="AO807" s="6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6"/>
      <c r="BK807" s="6"/>
      <c r="BL807" s="6" t="s">
        <v>60</v>
      </c>
      <c r="BO807" s="15"/>
    </row>
    <row r="808" spans="1:67">
      <c r="A808" s="6" t="s">
        <v>132</v>
      </c>
      <c r="B808" s="6" t="s">
        <v>139</v>
      </c>
      <c r="C808" s="17">
        <v>31121.595850000002</v>
      </c>
      <c r="D808" s="18">
        <v>11.75</v>
      </c>
      <c r="E808" s="6"/>
      <c r="F808" s="6"/>
      <c r="G808" s="22"/>
      <c r="H808" s="22"/>
      <c r="I808" s="22"/>
      <c r="J808" s="22"/>
      <c r="K808" s="22"/>
      <c r="L808" s="22"/>
      <c r="M808" s="22"/>
      <c r="N808" s="18"/>
      <c r="O808" s="18"/>
      <c r="P808" s="22"/>
      <c r="Q808" s="22"/>
      <c r="R808" s="22"/>
      <c r="S808" s="22"/>
      <c r="T808" s="22"/>
      <c r="U808" s="22"/>
      <c r="V808" s="6"/>
      <c r="W808" s="18"/>
      <c r="X808" s="19"/>
      <c r="Y808" s="18"/>
      <c r="Z808" s="18"/>
      <c r="AA808" s="6"/>
      <c r="AB808" s="6"/>
      <c r="AC808" s="6"/>
      <c r="AD808" s="6"/>
      <c r="AE808" s="6"/>
      <c r="AF808" s="18"/>
      <c r="AG808" s="18"/>
      <c r="AH808" s="18"/>
      <c r="AI808" s="18"/>
      <c r="AK808" s="18"/>
      <c r="AL808" s="18"/>
      <c r="AM808" s="40" t="s">
        <v>118</v>
      </c>
      <c r="AN808" s="18"/>
      <c r="AO808" s="6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6"/>
      <c r="BK808" s="6"/>
      <c r="BL808" s="6" t="s">
        <v>60</v>
      </c>
      <c r="BO808" s="15"/>
    </row>
    <row r="809" spans="1:67">
      <c r="A809" s="6" t="s">
        <v>132</v>
      </c>
      <c r="B809" s="6" t="s">
        <v>139</v>
      </c>
      <c r="C809" s="17">
        <v>31212.9064</v>
      </c>
      <c r="D809" s="18">
        <v>12</v>
      </c>
      <c r="E809" s="6"/>
      <c r="F809" s="6"/>
      <c r="G809" s="22"/>
      <c r="H809" s="22"/>
      <c r="I809" s="22"/>
      <c r="J809" s="22"/>
      <c r="K809" s="22"/>
      <c r="L809" s="22"/>
      <c r="M809" s="22"/>
      <c r="N809" s="18"/>
      <c r="O809" s="18"/>
      <c r="P809" s="22"/>
      <c r="Q809" s="22"/>
      <c r="R809" s="22"/>
      <c r="S809" s="22"/>
      <c r="T809" s="22"/>
      <c r="U809" s="22"/>
      <c r="V809" s="6"/>
      <c r="W809" s="18"/>
      <c r="X809" s="19"/>
      <c r="Y809" s="18"/>
      <c r="Z809" s="18"/>
      <c r="AA809" s="6"/>
      <c r="AB809" s="6"/>
      <c r="AC809" s="6"/>
      <c r="AD809" s="6"/>
      <c r="AE809" s="6"/>
      <c r="AF809" s="18"/>
      <c r="AG809" s="18"/>
      <c r="AH809" s="18"/>
      <c r="AI809" s="18"/>
      <c r="AK809" s="18"/>
      <c r="AL809" s="18"/>
      <c r="AM809" s="40" t="s">
        <v>118</v>
      </c>
      <c r="AN809" s="18"/>
      <c r="AO809" s="6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6"/>
      <c r="BK809" s="6"/>
      <c r="BL809" s="6" t="s">
        <v>60</v>
      </c>
      <c r="BO809" s="15"/>
    </row>
    <row r="810" spans="1:67">
      <c r="A810" s="6" t="s">
        <v>132</v>
      </c>
      <c r="B810" s="6" t="s">
        <v>139</v>
      </c>
      <c r="C810" s="17">
        <v>31304.216950000002</v>
      </c>
      <c r="D810" s="18">
        <v>12.25</v>
      </c>
      <c r="E810" s="6"/>
      <c r="F810" s="6"/>
      <c r="G810" s="22"/>
      <c r="H810" s="22"/>
      <c r="I810" s="22"/>
      <c r="J810" s="22"/>
      <c r="K810" s="22"/>
      <c r="L810" s="22"/>
      <c r="M810" s="22"/>
      <c r="N810" s="18"/>
      <c r="O810" s="18"/>
      <c r="P810" s="22"/>
      <c r="Q810" s="22"/>
      <c r="R810" s="22"/>
      <c r="S810" s="22"/>
      <c r="T810" s="22"/>
      <c r="U810" s="22"/>
      <c r="V810" s="6"/>
      <c r="W810" s="18"/>
      <c r="X810" s="19"/>
      <c r="Y810" s="18"/>
      <c r="Z810" s="18"/>
      <c r="AA810" s="6"/>
      <c r="AB810" s="6"/>
      <c r="AC810" s="6"/>
      <c r="AD810" s="6"/>
      <c r="AE810" s="6"/>
      <c r="AF810" s="18"/>
      <c r="AG810" s="18"/>
      <c r="AH810" s="18"/>
      <c r="AI810" s="18"/>
      <c r="AK810" s="18"/>
      <c r="AL810" s="18"/>
      <c r="AM810" s="40" t="s">
        <v>118</v>
      </c>
      <c r="AN810" s="18"/>
      <c r="AO810" s="6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6"/>
      <c r="BK810" s="6"/>
      <c r="BL810" s="6" t="s">
        <v>60</v>
      </c>
      <c r="BO810" s="15"/>
    </row>
    <row r="811" spans="1:67">
      <c r="A811" s="6" t="s">
        <v>132</v>
      </c>
      <c r="B811" s="6" t="s">
        <v>139</v>
      </c>
      <c r="C811" s="17">
        <v>31395.5275</v>
      </c>
      <c r="D811" s="18">
        <v>12.5</v>
      </c>
      <c r="E811" s="6"/>
      <c r="F811" s="6"/>
      <c r="G811" s="22"/>
      <c r="H811" s="22"/>
      <c r="I811" s="22"/>
      <c r="J811" s="22"/>
      <c r="K811" s="22"/>
      <c r="L811" s="22"/>
      <c r="M811" s="22"/>
      <c r="N811" s="18"/>
      <c r="O811" s="18"/>
      <c r="P811" s="22"/>
      <c r="Q811" s="22"/>
      <c r="R811" s="22"/>
      <c r="S811" s="22"/>
      <c r="T811" s="22"/>
      <c r="U811" s="22"/>
      <c r="V811" s="6"/>
      <c r="W811" s="18"/>
      <c r="X811" s="19"/>
      <c r="Y811" s="18"/>
      <c r="Z811" s="18"/>
      <c r="AA811" s="6"/>
      <c r="AB811" s="6"/>
      <c r="AC811" s="6"/>
      <c r="AD811" s="6"/>
      <c r="AE811" s="6"/>
      <c r="AF811" s="18"/>
      <c r="AG811" s="18"/>
      <c r="AH811" s="18"/>
      <c r="AI811" s="18"/>
      <c r="AK811" s="18"/>
      <c r="AL811" s="18"/>
      <c r="AM811" s="40" t="s">
        <v>118</v>
      </c>
      <c r="AN811" s="18"/>
      <c r="AO811" s="6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6"/>
      <c r="BK811" s="6"/>
      <c r="BL811" s="6" t="s">
        <v>60</v>
      </c>
      <c r="BO811" s="15"/>
    </row>
    <row r="812" spans="1:67">
      <c r="A812" s="6" t="s">
        <v>132</v>
      </c>
      <c r="B812" s="6" t="s">
        <v>139</v>
      </c>
      <c r="C812" s="17">
        <v>31486.838049999998</v>
      </c>
      <c r="D812" s="18">
        <v>12.75</v>
      </c>
      <c r="E812" s="6"/>
      <c r="F812" s="6"/>
      <c r="G812" s="22"/>
      <c r="H812" s="22"/>
      <c r="I812" s="22"/>
      <c r="J812" s="22"/>
      <c r="K812" s="22"/>
      <c r="L812" s="22"/>
      <c r="M812" s="22"/>
      <c r="N812" s="18"/>
      <c r="O812" s="18"/>
      <c r="P812" s="22"/>
      <c r="Q812" s="22"/>
      <c r="R812" s="22"/>
      <c r="S812" s="22"/>
      <c r="T812" s="22"/>
      <c r="U812" s="22"/>
      <c r="V812" s="6"/>
      <c r="W812" s="18"/>
      <c r="X812" s="19"/>
      <c r="Y812" s="18"/>
      <c r="Z812" s="18"/>
      <c r="AA812" s="6"/>
      <c r="AB812" s="6"/>
      <c r="AC812" s="6"/>
      <c r="AD812" s="6"/>
      <c r="AE812" s="6"/>
      <c r="AF812" s="18"/>
      <c r="AG812" s="18"/>
      <c r="AH812" s="18"/>
      <c r="AI812" s="18"/>
      <c r="AK812" s="18"/>
      <c r="AL812" s="18"/>
      <c r="AM812" s="40" t="s">
        <v>118</v>
      </c>
      <c r="AN812" s="18"/>
      <c r="AO812" s="6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6"/>
      <c r="BK812" s="6"/>
      <c r="BL812" s="6" t="s">
        <v>60</v>
      </c>
      <c r="BO812" s="15"/>
    </row>
    <row r="813" spans="1:67" ht="13.25" customHeight="1">
      <c r="A813" s="6" t="s">
        <v>132</v>
      </c>
      <c r="B813" s="6" t="s">
        <v>139</v>
      </c>
      <c r="C813" s="17">
        <v>31578.1486</v>
      </c>
      <c r="D813" s="18">
        <v>13</v>
      </c>
      <c r="E813" s="6"/>
      <c r="F813" s="6"/>
      <c r="G813" s="22"/>
      <c r="H813" s="22"/>
      <c r="I813" s="22"/>
      <c r="J813" s="22"/>
      <c r="K813" s="22"/>
      <c r="L813" s="22"/>
      <c r="M813" s="22"/>
      <c r="N813" s="18"/>
      <c r="O813" s="18"/>
      <c r="P813" s="22"/>
      <c r="Q813" s="22"/>
      <c r="R813" s="22"/>
      <c r="S813" s="22"/>
      <c r="T813" s="22"/>
      <c r="U813" s="22"/>
      <c r="V813" s="6"/>
      <c r="W813" s="18"/>
      <c r="X813" s="19"/>
      <c r="Y813" s="18"/>
      <c r="Z813" s="18"/>
      <c r="AA813" s="6"/>
      <c r="AB813" s="6"/>
      <c r="AC813" s="6"/>
      <c r="AD813" s="6"/>
      <c r="AE813" s="6"/>
      <c r="AF813" s="18"/>
      <c r="AG813" s="18"/>
      <c r="AH813" s="18"/>
      <c r="AI813" s="18"/>
      <c r="AK813" s="18"/>
      <c r="AL813" s="18"/>
      <c r="AM813" s="40" t="s">
        <v>118</v>
      </c>
      <c r="AN813" s="18"/>
      <c r="AO813" s="6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6"/>
      <c r="BK813" s="6"/>
      <c r="BL813" s="6" t="s">
        <v>60</v>
      </c>
      <c r="BO813" s="15"/>
    </row>
    <row r="814" spans="1:67">
      <c r="A814" s="6" t="s">
        <v>132</v>
      </c>
      <c r="B814" s="6" t="s">
        <v>139</v>
      </c>
      <c r="C814" s="17">
        <v>31669.459150000002</v>
      </c>
      <c r="D814" s="18">
        <v>13.25</v>
      </c>
      <c r="E814" s="6"/>
      <c r="F814" s="6"/>
      <c r="G814" s="22"/>
      <c r="H814" s="22"/>
      <c r="I814" s="22"/>
      <c r="J814" s="22"/>
      <c r="K814" s="22"/>
      <c r="L814" s="22"/>
      <c r="M814" s="22"/>
      <c r="N814" s="18"/>
      <c r="O814" s="18"/>
      <c r="P814" s="22"/>
      <c r="Q814" s="22"/>
      <c r="R814" s="22"/>
      <c r="S814" s="22"/>
      <c r="T814" s="22"/>
      <c r="U814" s="22"/>
      <c r="V814" s="6"/>
      <c r="W814" s="18"/>
      <c r="X814" s="19"/>
      <c r="Y814" s="18"/>
      <c r="Z814" s="18"/>
      <c r="AA814" s="6"/>
      <c r="AB814" s="6"/>
      <c r="AC814" s="6"/>
      <c r="AD814" s="6"/>
      <c r="AE814" s="6"/>
      <c r="AF814" s="18"/>
      <c r="AG814" s="18"/>
      <c r="AH814" s="18"/>
      <c r="AI814" s="18"/>
      <c r="AK814" s="18"/>
      <c r="AL814" s="18"/>
      <c r="AM814" s="40" t="s">
        <v>118</v>
      </c>
      <c r="AN814" s="18"/>
      <c r="AO814" s="6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6"/>
      <c r="BK814" s="6"/>
      <c r="BL814" s="6" t="s">
        <v>60</v>
      </c>
      <c r="BO814" s="15"/>
    </row>
    <row r="815" spans="1:67">
      <c r="A815" s="6" t="s">
        <v>132</v>
      </c>
      <c r="B815" s="6" t="s">
        <v>139</v>
      </c>
      <c r="C815" s="17">
        <v>31760.769700000001</v>
      </c>
      <c r="D815" s="18">
        <v>13.5</v>
      </c>
      <c r="E815" s="6"/>
      <c r="F815" s="6"/>
      <c r="G815" s="22"/>
      <c r="H815" s="22"/>
      <c r="I815" s="22"/>
      <c r="J815" s="22"/>
      <c r="K815" s="22"/>
      <c r="L815" s="22"/>
      <c r="M815" s="22"/>
      <c r="N815" s="18"/>
      <c r="O815" s="18"/>
      <c r="P815" s="22"/>
      <c r="Q815" s="22"/>
      <c r="R815" s="22"/>
      <c r="S815" s="22"/>
      <c r="T815" s="22"/>
      <c r="U815" s="22"/>
      <c r="V815" s="6"/>
      <c r="W815" s="18"/>
      <c r="X815" s="19"/>
      <c r="Y815" s="18"/>
      <c r="Z815" s="18"/>
      <c r="AA815" s="6"/>
      <c r="AB815" s="6"/>
      <c r="AC815" s="6"/>
      <c r="AD815" s="6"/>
      <c r="AE815" s="6"/>
      <c r="AF815" s="18"/>
      <c r="AG815" s="18"/>
      <c r="AH815" s="18"/>
      <c r="AI815" s="18"/>
      <c r="AK815" s="18"/>
      <c r="AL815" s="18"/>
      <c r="AM815" s="40" t="s">
        <v>118</v>
      </c>
      <c r="AN815" s="18"/>
      <c r="AO815" s="6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6"/>
      <c r="BK815" s="6"/>
      <c r="BL815" s="6" t="s">
        <v>60</v>
      </c>
      <c r="BO815" s="15"/>
    </row>
    <row r="816" spans="1:67">
      <c r="A816" s="6" t="s">
        <v>132</v>
      </c>
      <c r="B816" s="6" t="s">
        <v>139</v>
      </c>
      <c r="C816" s="17">
        <v>31852.080249999999</v>
      </c>
      <c r="D816" s="18">
        <v>13.75</v>
      </c>
      <c r="E816" s="6"/>
      <c r="F816" s="6"/>
      <c r="G816" s="22"/>
      <c r="H816" s="22"/>
      <c r="I816" s="22"/>
      <c r="J816" s="22"/>
      <c r="K816" s="22"/>
      <c r="L816" s="22"/>
      <c r="M816" s="22"/>
      <c r="N816" s="18"/>
      <c r="O816" s="18"/>
      <c r="P816" s="22"/>
      <c r="Q816" s="22"/>
      <c r="R816" s="22"/>
      <c r="S816" s="22"/>
      <c r="T816" s="22"/>
      <c r="U816" s="22"/>
      <c r="V816" s="6"/>
      <c r="W816" s="18"/>
      <c r="X816" s="19"/>
      <c r="Y816" s="18"/>
      <c r="Z816" s="18"/>
      <c r="AA816" s="6"/>
      <c r="AB816" s="6"/>
      <c r="AC816" s="6"/>
      <c r="AD816" s="6"/>
      <c r="AE816" s="6"/>
      <c r="AF816" s="18"/>
      <c r="AG816" s="18"/>
      <c r="AH816" s="18"/>
      <c r="AI816" s="18"/>
      <c r="AK816" s="18"/>
      <c r="AL816" s="18"/>
      <c r="AM816" s="40" t="s">
        <v>118</v>
      </c>
      <c r="AN816" s="18"/>
      <c r="AO816" s="6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6"/>
      <c r="BK816" s="6"/>
      <c r="BL816" s="6" t="s">
        <v>60</v>
      </c>
      <c r="BO816" s="15"/>
    </row>
    <row r="817" spans="1:67" ht="13.25" customHeight="1">
      <c r="A817" s="6" t="s">
        <v>132</v>
      </c>
      <c r="B817" s="6" t="s">
        <v>139</v>
      </c>
      <c r="C817" s="17">
        <v>31943.390800000001</v>
      </c>
      <c r="D817" s="18">
        <v>14</v>
      </c>
      <c r="E817" s="6"/>
      <c r="F817" s="6"/>
      <c r="G817" s="22"/>
      <c r="H817" s="22"/>
      <c r="I817" s="22"/>
      <c r="J817" s="22"/>
      <c r="K817" s="22"/>
      <c r="L817" s="22"/>
      <c r="M817" s="22"/>
      <c r="N817" s="18"/>
      <c r="O817" s="18"/>
      <c r="P817" s="22"/>
      <c r="Q817" s="22"/>
      <c r="R817" s="22"/>
      <c r="S817" s="22"/>
      <c r="T817" s="22"/>
      <c r="U817" s="22"/>
      <c r="V817" s="6"/>
      <c r="W817" s="18"/>
      <c r="X817" s="19"/>
      <c r="Y817" s="18"/>
      <c r="Z817" s="18"/>
      <c r="AA817" s="6"/>
      <c r="AB817" s="6"/>
      <c r="AC817" s="6"/>
      <c r="AD817" s="6"/>
      <c r="AE817" s="6"/>
      <c r="AF817" s="18"/>
      <c r="AG817" s="18"/>
      <c r="AH817" s="18"/>
      <c r="AI817" s="18"/>
      <c r="AK817" s="18"/>
      <c r="AL817" s="18"/>
      <c r="AM817" s="40" t="s">
        <v>118</v>
      </c>
      <c r="AN817" s="18"/>
      <c r="AO817" s="6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6"/>
      <c r="BK817" s="6"/>
      <c r="BL817" s="6" t="s">
        <v>60</v>
      </c>
      <c r="BO817" s="15"/>
    </row>
    <row r="818" spans="1:67" ht="13.25" customHeight="1">
      <c r="A818" s="6" t="s">
        <v>132</v>
      </c>
      <c r="B818" s="6" t="s">
        <v>139</v>
      </c>
      <c r="C818" s="17">
        <v>32034.701349999999</v>
      </c>
      <c r="D818" s="18">
        <v>14.25</v>
      </c>
      <c r="E818" s="6"/>
      <c r="F818" s="6"/>
      <c r="G818" s="22"/>
      <c r="H818" s="22"/>
      <c r="I818" s="22"/>
      <c r="J818" s="22"/>
      <c r="K818" s="22"/>
      <c r="L818" s="22"/>
      <c r="M818" s="22"/>
      <c r="N818" s="18"/>
      <c r="O818" s="18"/>
      <c r="P818" s="22"/>
      <c r="Q818" s="22"/>
      <c r="R818" s="22"/>
      <c r="S818" s="22"/>
      <c r="T818" s="22"/>
      <c r="U818" s="22"/>
      <c r="V818" s="6"/>
      <c r="W818" s="18"/>
      <c r="X818" s="19"/>
      <c r="Y818" s="18"/>
      <c r="Z818" s="18"/>
      <c r="AA818" s="6"/>
      <c r="AB818" s="6"/>
      <c r="AC818" s="6"/>
      <c r="AD818" s="6"/>
      <c r="AE818" s="6"/>
      <c r="AF818" s="18"/>
      <c r="AG818" s="18"/>
      <c r="AH818" s="18"/>
      <c r="AI818" s="18"/>
      <c r="AK818" s="18"/>
      <c r="AL818" s="18"/>
      <c r="AM818" s="40" t="s">
        <v>118</v>
      </c>
      <c r="AN818" s="18"/>
      <c r="AO818" s="6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6"/>
      <c r="BK818" s="6"/>
      <c r="BL818" s="6" t="s">
        <v>60</v>
      </c>
      <c r="BO818" s="15"/>
    </row>
    <row r="819" spans="1:67">
      <c r="A819" s="6" t="s">
        <v>132</v>
      </c>
      <c r="B819" s="6" t="s">
        <v>139</v>
      </c>
      <c r="C819" s="17">
        <v>32126.011900000001</v>
      </c>
      <c r="D819" s="18">
        <v>14.5</v>
      </c>
      <c r="E819" s="6"/>
      <c r="F819" s="6"/>
      <c r="G819" s="22"/>
      <c r="H819" s="22"/>
      <c r="I819" s="22"/>
      <c r="J819" s="22"/>
      <c r="K819" s="22"/>
      <c r="L819" s="22"/>
      <c r="M819" s="22"/>
      <c r="N819" s="18"/>
      <c r="O819" s="18"/>
      <c r="P819" s="22"/>
      <c r="Q819" s="22"/>
      <c r="R819" s="22"/>
      <c r="S819" s="22"/>
      <c r="T819" s="22"/>
      <c r="U819" s="22"/>
      <c r="V819" s="6"/>
      <c r="W819" s="18"/>
      <c r="X819" s="19"/>
      <c r="Y819" s="18"/>
      <c r="Z819" s="18"/>
      <c r="AA819" s="6"/>
      <c r="AB819" s="6"/>
      <c r="AC819" s="6"/>
      <c r="AD819" s="6"/>
      <c r="AE819" s="6"/>
      <c r="AF819" s="18"/>
      <c r="AG819" s="18"/>
      <c r="AH819" s="18"/>
      <c r="AI819" s="18"/>
      <c r="AK819" s="18"/>
      <c r="AL819" s="18"/>
      <c r="AM819" s="40" t="s">
        <v>118</v>
      </c>
      <c r="AN819" s="18"/>
      <c r="AO819" s="6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6"/>
      <c r="BK819" s="6"/>
      <c r="BL819" s="6" t="s">
        <v>60</v>
      </c>
      <c r="BO819" s="15"/>
    </row>
    <row r="820" spans="1:67">
      <c r="A820" s="6" t="s">
        <v>132</v>
      </c>
      <c r="B820" s="6" t="s">
        <v>139</v>
      </c>
      <c r="C820" s="17">
        <v>32217.32245</v>
      </c>
      <c r="D820" s="18">
        <v>14.75</v>
      </c>
      <c r="E820" s="6"/>
      <c r="F820" s="6"/>
      <c r="G820" s="22"/>
      <c r="H820" s="22"/>
      <c r="I820" s="22"/>
      <c r="J820" s="22"/>
      <c r="K820" s="22"/>
      <c r="L820" s="22"/>
      <c r="M820" s="22"/>
      <c r="N820" s="18"/>
      <c r="O820" s="18"/>
      <c r="P820" s="22"/>
      <c r="Q820" s="22"/>
      <c r="R820" s="22"/>
      <c r="S820" s="22"/>
      <c r="T820" s="22"/>
      <c r="U820" s="22"/>
      <c r="V820" s="6"/>
      <c r="W820" s="18"/>
      <c r="X820" s="19"/>
      <c r="Y820" s="18"/>
      <c r="Z820" s="18"/>
      <c r="AA820" s="6"/>
      <c r="AB820" s="6"/>
      <c r="AC820" s="6"/>
      <c r="AD820" s="6"/>
      <c r="AE820" s="6"/>
      <c r="AF820" s="18"/>
      <c r="AG820" s="18"/>
      <c r="AH820" s="18"/>
      <c r="AI820" s="18"/>
      <c r="AK820" s="18"/>
      <c r="AL820" s="18"/>
      <c r="AM820" s="40" t="s">
        <v>118</v>
      </c>
      <c r="AN820" s="18"/>
      <c r="AO820" s="6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6"/>
      <c r="BK820" s="6"/>
      <c r="BL820" s="6" t="s">
        <v>60</v>
      </c>
      <c r="BO820" s="15"/>
    </row>
    <row r="821" spans="1:67" ht="13.25" customHeight="1">
      <c r="A821" s="6" t="s">
        <v>132</v>
      </c>
      <c r="B821" s="6" t="s">
        <v>139</v>
      </c>
      <c r="C821" s="17">
        <v>32308.633000000002</v>
      </c>
      <c r="D821" s="18">
        <v>15</v>
      </c>
      <c r="E821" s="6"/>
      <c r="F821" s="6"/>
      <c r="G821" s="22"/>
      <c r="H821" s="22"/>
      <c r="I821" s="22"/>
      <c r="J821" s="22"/>
      <c r="K821" s="22"/>
      <c r="L821" s="22"/>
      <c r="M821" s="22"/>
      <c r="N821" s="18"/>
      <c r="O821" s="18"/>
      <c r="P821" s="22"/>
      <c r="Q821" s="22"/>
      <c r="R821" s="22"/>
      <c r="S821" s="22"/>
      <c r="T821" s="22"/>
      <c r="U821" s="22"/>
      <c r="V821" s="6"/>
      <c r="W821" s="18"/>
      <c r="X821" s="19"/>
      <c r="Y821" s="18"/>
      <c r="Z821" s="18"/>
      <c r="AA821" s="6"/>
      <c r="AB821" s="6"/>
      <c r="AC821" s="6"/>
      <c r="AD821" s="6"/>
      <c r="AE821" s="6"/>
      <c r="AF821" s="18"/>
      <c r="AG821" s="18"/>
      <c r="AH821" s="18"/>
      <c r="AI821" s="18"/>
      <c r="AK821" s="18"/>
      <c r="AL821" s="18"/>
      <c r="AM821" s="40" t="s">
        <v>118</v>
      </c>
      <c r="AN821" s="18"/>
      <c r="AO821" s="6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6"/>
      <c r="BK821" s="6"/>
      <c r="BL821" s="6" t="s">
        <v>60</v>
      </c>
      <c r="BO821" s="15"/>
    </row>
    <row r="822" spans="1:67" ht="13.25" customHeight="1">
      <c r="A822" s="6" t="s">
        <v>132</v>
      </c>
      <c r="B822" s="6" t="s">
        <v>139</v>
      </c>
      <c r="C822" s="17">
        <v>32399.94355</v>
      </c>
      <c r="D822" s="18">
        <v>15.25</v>
      </c>
      <c r="E822" s="6"/>
      <c r="F822" s="6"/>
      <c r="G822" s="22"/>
      <c r="H822" s="22"/>
      <c r="I822" s="22"/>
      <c r="J822" s="22"/>
      <c r="K822" s="22"/>
      <c r="L822" s="22"/>
      <c r="M822" s="22"/>
      <c r="N822" s="18"/>
      <c r="O822" s="18"/>
      <c r="P822" s="22"/>
      <c r="Q822" s="22"/>
      <c r="R822" s="22"/>
      <c r="S822" s="22"/>
      <c r="T822" s="22"/>
      <c r="U822" s="22"/>
      <c r="V822" s="6"/>
      <c r="W822" s="18"/>
      <c r="X822" s="19"/>
      <c r="Y822" s="18"/>
      <c r="Z822" s="18"/>
      <c r="AA822" s="6"/>
      <c r="AB822" s="6"/>
      <c r="AC822" s="6"/>
      <c r="AD822" s="6"/>
      <c r="AE822" s="6"/>
      <c r="AF822" s="18"/>
      <c r="AG822" s="18"/>
      <c r="AH822" s="18"/>
      <c r="AI822" s="18"/>
      <c r="AK822" s="18"/>
      <c r="AL822" s="18"/>
      <c r="AM822" s="40" t="s">
        <v>118</v>
      </c>
      <c r="AN822" s="18"/>
      <c r="AO822" s="6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6"/>
      <c r="BK822" s="6"/>
      <c r="BL822" s="6" t="s">
        <v>60</v>
      </c>
      <c r="BO822" s="15"/>
    </row>
    <row r="823" spans="1:67">
      <c r="A823" s="6" t="s">
        <v>132</v>
      </c>
      <c r="B823" s="6" t="s">
        <v>139</v>
      </c>
      <c r="C823" s="17">
        <v>32491.254099999998</v>
      </c>
      <c r="D823" s="18">
        <v>15.5</v>
      </c>
      <c r="E823" s="6"/>
      <c r="F823" s="6"/>
      <c r="G823" s="22"/>
      <c r="H823" s="22"/>
      <c r="I823" s="22"/>
      <c r="J823" s="22"/>
      <c r="K823" s="22"/>
      <c r="L823" s="22"/>
      <c r="M823" s="22"/>
      <c r="N823" s="18"/>
      <c r="O823" s="18"/>
      <c r="P823" s="22"/>
      <c r="Q823" s="22"/>
      <c r="R823" s="22"/>
      <c r="S823" s="22"/>
      <c r="T823" s="22"/>
      <c r="U823" s="22"/>
      <c r="V823" s="6"/>
      <c r="W823" s="18"/>
      <c r="X823" s="19"/>
      <c r="Y823" s="18"/>
      <c r="Z823" s="18"/>
      <c r="AA823" s="6"/>
      <c r="AB823" s="6"/>
      <c r="AC823" s="6"/>
      <c r="AD823" s="6"/>
      <c r="AE823" s="6"/>
      <c r="AF823" s="18"/>
      <c r="AG823" s="18"/>
      <c r="AH823" s="18"/>
      <c r="AI823" s="18"/>
      <c r="AK823" s="18"/>
      <c r="AL823" s="18"/>
      <c r="AM823" s="40" t="s">
        <v>118</v>
      </c>
      <c r="AN823" s="18"/>
      <c r="AO823" s="6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6"/>
      <c r="BK823" s="6"/>
      <c r="BL823" s="6" t="s">
        <v>60</v>
      </c>
      <c r="BO823" s="15"/>
    </row>
    <row r="824" spans="1:67">
      <c r="A824" s="6" t="s">
        <v>132</v>
      </c>
      <c r="B824" s="6" t="s">
        <v>139</v>
      </c>
      <c r="C824" s="17">
        <v>32582.56465</v>
      </c>
      <c r="D824" s="18">
        <v>15.75</v>
      </c>
      <c r="E824" s="6"/>
      <c r="F824" s="6"/>
      <c r="G824" s="22"/>
      <c r="H824" s="22"/>
      <c r="I824" s="22"/>
      <c r="J824" s="22"/>
      <c r="K824" s="22"/>
      <c r="L824" s="22"/>
      <c r="M824" s="22"/>
      <c r="N824" s="18"/>
      <c r="O824" s="18"/>
      <c r="P824" s="22"/>
      <c r="Q824" s="22"/>
      <c r="R824" s="22"/>
      <c r="S824" s="22"/>
      <c r="T824" s="22"/>
      <c r="U824" s="22"/>
      <c r="V824" s="6"/>
      <c r="W824" s="18"/>
      <c r="X824" s="19"/>
      <c r="Y824" s="18"/>
      <c r="Z824" s="18"/>
      <c r="AA824" s="6"/>
      <c r="AB824" s="6"/>
      <c r="AC824" s="6"/>
      <c r="AD824" s="6"/>
      <c r="AE824" s="6"/>
      <c r="AF824" s="18"/>
      <c r="AG824" s="18"/>
      <c r="AH824" s="18"/>
      <c r="AI824" s="18"/>
      <c r="AK824" s="18"/>
      <c r="AL824" s="18"/>
      <c r="AM824" s="40" t="s">
        <v>118</v>
      </c>
      <c r="AN824" s="18"/>
      <c r="AO824" s="6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6"/>
      <c r="BK824" s="6"/>
      <c r="BL824" s="6" t="s">
        <v>60</v>
      </c>
      <c r="BO824" s="15"/>
    </row>
    <row r="825" spans="1:67">
      <c r="A825" s="6" t="s">
        <v>132</v>
      </c>
      <c r="B825" s="6" t="s">
        <v>139</v>
      </c>
      <c r="C825" s="17">
        <v>32673.875200000002</v>
      </c>
      <c r="D825" s="18">
        <v>16</v>
      </c>
      <c r="E825" s="6"/>
      <c r="F825" s="6"/>
      <c r="G825" s="22"/>
      <c r="H825" s="22"/>
      <c r="I825" s="22"/>
      <c r="J825" s="22"/>
      <c r="K825" s="22"/>
      <c r="L825" s="22"/>
      <c r="M825" s="22"/>
      <c r="N825" s="18"/>
      <c r="O825" s="18"/>
      <c r="P825" s="22"/>
      <c r="Q825" s="22"/>
      <c r="R825" s="22"/>
      <c r="S825" s="22"/>
      <c r="T825" s="22"/>
      <c r="U825" s="22"/>
      <c r="V825" s="6"/>
      <c r="W825" s="18"/>
      <c r="X825" s="19"/>
      <c r="Y825" s="18"/>
      <c r="Z825" s="18"/>
      <c r="AA825" s="6"/>
      <c r="AB825" s="6"/>
      <c r="AC825" s="6"/>
      <c r="AD825" s="6"/>
      <c r="AE825" s="6"/>
      <c r="AF825" s="18"/>
      <c r="AG825" s="18"/>
      <c r="AH825" s="18"/>
      <c r="AI825" s="18"/>
      <c r="AK825" s="18"/>
      <c r="AL825" s="18"/>
      <c r="AM825" s="40" t="s">
        <v>118</v>
      </c>
      <c r="AN825" s="18"/>
      <c r="AO825" s="6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6"/>
      <c r="BK825" s="6"/>
      <c r="BL825" s="6" t="s">
        <v>60</v>
      </c>
      <c r="BO825" s="15"/>
    </row>
    <row r="826" spans="1:67" ht="13.25" customHeight="1">
      <c r="A826" s="6" t="s">
        <v>132</v>
      </c>
      <c r="B826" s="6" t="s">
        <v>139</v>
      </c>
      <c r="C826" s="17">
        <v>32765.185750000001</v>
      </c>
      <c r="D826" s="18">
        <v>16.25</v>
      </c>
      <c r="E826" s="6"/>
      <c r="F826" s="6"/>
      <c r="G826" s="22"/>
      <c r="H826" s="22"/>
      <c r="I826" s="22"/>
      <c r="J826" s="22"/>
      <c r="K826" s="22"/>
      <c r="L826" s="22"/>
      <c r="M826" s="22"/>
      <c r="N826" s="18"/>
      <c r="O826" s="18"/>
      <c r="P826" s="22"/>
      <c r="Q826" s="22"/>
      <c r="R826" s="22"/>
      <c r="S826" s="22"/>
      <c r="T826" s="22"/>
      <c r="U826" s="22"/>
      <c r="V826" s="6"/>
      <c r="W826" s="18"/>
      <c r="X826" s="19"/>
      <c r="Y826" s="18"/>
      <c r="Z826" s="18"/>
      <c r="AA826" s="6"/>
      <c r="AB826" s="6"/>
      <c r="AC826" s="6"/>
      <c r="AD826" s="6"/>
      <c r="AE826" s="6"/>
      <c r="AF826" s="18"/>
      <c r="AG826" s="18"/>
      <c r="AH826" s="18"/>
      <c r="AI826" s="18"/>
      <c r="AK826" s="18"/>
      <c r="AL826" s="18"/>
      <c r="AM826" s="40" t="s">
        <v>118</v>
      </c>
      <c r="AN826" s="18"/>
      <c r="AO826" s="6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6"/>
      <c r="BK826" s="6"/>
      <c r="BL826" s="6" t="s">
        <v>60</v>
      </c>
      <c r="BO826" s="15"/>
    </row>
    <row r="827" spans="1:67">
      <c r="A827" s="6" t="s">
        <v>132</v>
      </c>
      <c r="B827" s="6" t="s">
        <v>139</v>
      </c>
      <c r="C827" s="17">
        <v>32856.496299999999</v>
      </c>
      <c r="D827" s="18">
        <v>16.5</v>
      </c>
      <c r="E827" s="6"/>
      <c r="F827" s="6"/>
      <c r="G827" s="22"/>
      <c r="H827" s="22"/>
      <c r="I827" s="22"/>
      <c r="J827" s="22"/>
      <c r="K827" s="22"/>
      <c r="L827" s="22"/>
      <c r="M827" s="22"/>
      <c r="N827" s="18"/>
      <c r="O827" s="18"/>
      <c r="P827" s="22"/>
      <c r="Q827" s="22"/>
      <c r="R827" s="22"/>
      <c r="S827" s="22"/>
      <c r="T827" s="22"/>
      <c r="U827" s="22"/>
      <c r="V827" s="6"/>
      <c r="W827" s="18"/>
      <c r="X827" s="19"/>
      <c r="Y827" s="18"/>
      <c r="Z827" s="18"/>
      <c r="AA827" s="6"/>
      <c r="AB827" s="6"/>
      <c r="AC827" s="6"/>
      <c r="AD827" s="6"/>
      <c r="AE827" s="6"/>
      <c r="AF827" s="18"/>
      <c r="AG827" s="18"/>
      <c r="AH827" s="18"/>
      <c r="AI827" s="18"/>
      <c r="AK827" s="18"/>
      <c r="AL827" s="18"/>
      <c r="AM827" s="40" t="s">
        <v>118</v>
      </c>
      <c r="AN827" s="18"/>
      <c r="AO827" s="6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6"/>
      <c r="BK827" s="6"/>
      <c r="BL827" s="6" t="s">
        <v>60</v>
      </c>
      <c r="BO827" s="15"/>
    </row>
    <row r="828" spans="1:67">
      <c r="A828" s="6" t="s">
        <v>132</v>
      </c>
      <c r="B828" s="6" t="s">
        <v>139</v>
      </c>
      <c r="C828" s="17">
        <v>32947.806850000001</v>
      </c>
      <c r="D828" s="18">
        <v>16.75</v>
      </c>
      <c r="E828" s="6"/>
      <c r="F828" s="6"/>
      <c r="G828" s="22"/>
      <c r="H828" s="22"/>
      <c r="I828" s="22"/>
      <c r="J828" s="22"/>
      <c r="K828" s="22"/>
      <c r="L828" s="22"/>
      <c r="M828" s="22"/>
      <c r="N828" s="18"/>
      <c r="O828" s="18"/>
      <c r="P828" s="22"/>
      <c r="Q828" s="22"/>
      <c r="R828" s="22"/>
      <c r="S828" s="22"/>
      <c r="T828" s="22"/>
      <c r="U828" s="22"/>
      <c r="V828" s="6"/>
      <c r="W828" s="18"/>
      <c r="X828" s="19"/>
      <c r="Y828" s="18"/>
      <c r="Z828" s="18"/>
      <c r="AA828" s="6"/>
      <c r="AB828" s="6"/>
      <c r="AC828" s="6"/>
      <c r="AD828" s="6"/>
      <c r="AE828" s="6"/>
      <c r="AF828" s="18"/>
      <c r="AG828" s="18"/>
      <c r="AH828" s="18"/>
      <c r="AI828" s="18"/>
      <c r="AK828" s="18"/>
      <c r="AL828" s="18"/>
      <c r="AM828" s="40" t="s">
        <v>118</v>
      </c>
      <c r="AN828" s="18"/>
      <c r="AO828" s="6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6"/>
      <c r="BK828" s="6"/>
      <c r="BL828" s="6" t="s">
        <v>60</v>
      </c>
      <c r="BO828" s="15"/>
    </row>
    <row r="829" spans="1:67">
      <c r="A829" s="6" t="s">
        <v>132</v>
      </c>
      <c r="B829" s="6" t="s">
        <v>139</v>
      </c>
      <c r="C829" s="17">
        <v>33039.117400000003</v>
      </c>
      <c r="D829" s="18">
        <v>17</v>
      </c>
      <c r="E829" s="6"/>
      <c r="F829" s="6"/>
      <c r="G829" s="22"/>
      <c r="H829" s="22"/>
      <c r="I829" s="22"/>
      <c r="J829" s="22"/>
      <c r="K829" s="22"/>
      <c r="L829" s="22"/>
      <c r="M829" s="22"/>
      <c r="N829" s="18"/>
      <c r="O829" s="18"/>
      <c r="P829" s="22"/>
      <c r="Q829" s="22"/>
      <c r="R829" s="22"/>
      <c r="S829" s="22"/>
      <c r="T829" s="22"/>
      <c r="U829" s="22"/>
      <c r="V829" s="6"/>
      <c r="W829" s="18"/>
      <c r="X829" s="19"/>
      <c r="Y829" s="18"/>
      <c r="Z829" s="18"/>
      <c r="AA829" s="6"/>
      <c r="AB829" s="6"/>
      <c r="AC829" s="6"/>
      <c r="AD829" s="6"/>
      <c r="AE829" s="6"/>
      <c r="AF829" s="18"/>
      <c r="AG829" s="18"/>
      <c r="AH829" s="18"/>
      <c r="AI829" s="18"/>
      <c r="AK829" s="18"/>
      <c r="AL829" s="18"/>
      <c r="AM829" s="40" t="s">
        <v>118</v>
      </c>
      <c r="AN829" s="18"/>
      <c r="AO829" s="6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6"/>
      <c r="BK829" s="6"/>
      <c r="BL829" s="6" t="s">
        <v>60</v>
      </c>
      <c r="BO829" s="15"/>
    </row>
    <row r="830" spans="1:67">
      <c r="A830" s="6" t="s">
        <v>132</v>
      </c>
      <c r="B830" s="6" t="s">
        <v>139</v>
      </c>
      <c r="C830" s="17">
        <v>33130.427949999998</v>
      </c>
      <c r="D830" s="18">
        <v>17.25</v>
      </c>
      <c r="E830" s="6"/>
      <c r="F830" s="6"/>
      <c r="G830" s="22"/>
      <c r="H830" s="22"/>
      <c r="I830" s="22"/>
      <c r="J830" s="22"/>
      <c r="K830" s="22"/>
      <c r="L830" s="22"/>
      <c r="M830" s="22"/>
      <c r="N830" s="18"/>
      <c r="O830" s="18"/>
      <c r="P830" s="22"/>
      <c r="Q830" s="22"/>
      <c r="R830" s="22"/>
      <c r="S830" s="22"/>
      <c r="T830" s="22"/>
      <c r="U830" s="22"/>
      <c r="V830" s="6"/>
      <c r="W830" s="18"/>
      <c r="X830" s="19"/>
      <c r="Y830" s="18"/>
      <c r="Z830" s="18"/>
      <c r="AA830" s="6"/>
      <c r="AB830" s="6"/>
      <c r="AC830" s="6"/>
      <c r="AD830" s="6"/>
      <c r="AE830" s="6"/>
      <c r="AF830" s="18"/>
      <c r="AG830" s="18"/>
      <c r="AH830" s="18"/>
      <c r="AI830" s="18"/>
      <c r="AK830" s="18"/>
      <c r="AL830" s="18"/>
      <c r="AM830" s="40" t="s">
        <v>118</v>
      </c>
      <c r="AN830" s="18"/>
      <c r="AO830" s="6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6"/>
      <c r="BK830" s="6"/>
      <c r="BL830" s="6" t="s">
        <v>60</v>
      </c>
      <c r="BO830" s="15"/>
    </row>
    <row r="831" spans="1:67">
      <c r="A831" s="6" t="s">
        <v>132</v>
      </c>
      <c r="B831" s="6" t="s">
        <v>139</v>
      </c>
      <c r="C831" s="17">
        <v>33221.738499999999</v>
      </c>
      <c r="D831" s="18">
        <v>17.5</v>
      </c>
      <c r="E831" s="6"/>
      <c r="F831" s="6"/>
      <c r="G831" s="22"/>
      <c r="H831" s="22"/>
      <c r="I831" s="22"/>
      <c r="J831" s="22"/>
      <c r="K831" s="22"/>
      <c r="L831" s="22"/>
      <c r="M831" s="22"/>
      <c r="N831" s="18"/>
      <c r="O831" s="18"/>
      <c r="P831" s="22"/>
      <c r="Q831" s="22"/>
      <c r="R831" s="22"/>
      <c r="S831" s="22"/>
      <c r="T831" s="22"/>
      <c r="U831" s="22"/>
      <c r="V831" s="6"/>
      <c r="W831" s="18"/>
      <c r="X831" s="19"/>
      <c r="Y831" s="18"/>
      <c r="Z831" s="18"/>
      <c r="AA831" s="6"/>
      <c r="AB831" s="6"/>
      <c r="AC831" s="6"/>
      <c r="AD831" s="6"/>
      <c r="AE831" s="6"/>
      <c r="AF831" s="18"/>
      <c r="AG831" s="18"/>
      <c r="AH831" s="18"/>
      <c r="AI831" s="18"/>
      <c r="AK831" s="18"/>
      <c r="AL831" s="18"/>
      <c r="AM831" s="40" t="s">
        <v>118</v>
      </c>
      <c r="AN831" s="18"/>
      <c r="AO831" s="6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6"/>
      <c r="BK831" s="6"/>
      <c r="BL831" s="6" t="s">
        <v>60</v>
      </c>
      <c r="BO831" s="15"/>
    </row>
    <row r="832" spans="1:67">
      <c r="A832" s="6" t="s">
        <v>132</v>
      </c>
      <c r="B832" s="6" t="s">
        <v>139</v>
      </c>
      <c r="C832" s="17">
        <v>33313.049050000001</v>
      </c>
      <c r="D832" s="18">
        <v>17.75</v>
      </c>
      <c r="E832" s="6"/>
      <c r="F832" s="6"/>
      <c r="G832" s="22"/>
      <c r="H832" s="22"/>
      <c r="I832" s="22"/>
      <c r="J832" s="22"/>
      <c r="K832" s="22"/>
      <c r="L832" s="22"/>
      <c r="M832" s="22"/>
      <c r="N832" s="18"/>
      <c r="O832" s="18"/>
      <c r="P832" s="22"/>
      <c r="Q832" s="22"/>
      <c r="R832" s="22"/>
      <c r="S832" s="22"/>
      <c r="T832" s="22"/>
      <c r="U832" s="22"/>
      <c r="V832" s="6"/>
      <c r="W832" s="18"/>
      <c r="X832" s="19"/>
      <c r="Y832" s="18"/>
      <c r="Z832" s="18"/>
      <c r="AA832" s="6"/>
      <c r="AB832" s="6"/>
      <c r="AC832" s="6"/>
      <c r="AD832" s="6"/>
      <c r="AE832" s="6"/>
      <c r="AF832" s="18"/>
      <c r="AG832" s="18"/>
      <c r="AH832" s="18"/>
      <c r="AI832" s="18"/>
      <c r="AK832" s="18"/>
      <c r="AL832" s="18"/>
      <c r="AM832" s="40" t="s">
        <v>118</v>
      </c>
      <c r="AN832" s="18"/>
      <c r="AO832" s="6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6"/>
      <c r="BK832" s="6"/>
      <c r="BL832" s="6" t="s">
        <v>60</v>
      </c>
      <c r="BO832" s="15"/>
    </row>
    <row r="833" spans="1:67">
      <c r="A833" s="6" t="s">
        <v>132</v>
      </c>
      <c r="B833" s="6" t="s">
        <v>139</v>
      </c>
      <c r="C833" s="17">
        <v>33404.359600000003</v>
      </c>
      <c r="D833" s="18">
        <v>18</v>
      </c>
      <c r="E833" s="6"/>
      <c r="F833" s="6"/>
      <c r="G833" s="22"/>
      <c r="H833" s="22"/>
      <c r="I833" s="22"/>
      <c r="J833" s="22"/>
      <c r="K833" s="22"/>
      <c r="L833" s="22"/>
      <c r="M833" s="22"/>
      <c r="N833" s="18"/>
      <c r="O833" s="18"/>
      <c r="P833" s="22"/>
      <c r="Q833" s="22"/>
      <c r="R833" s="22"/>
      <c r="S833" s="22"/>
      <c r="T833" s="22"/>
      <c r="U833" s="22"/>
      <c r="V833" s="6"/>
      <c r="W833" s="18"/>
      <c r="X833" s="19"/>
      <c r="Y833" s="18"/>
      <c r="Z833" s="18"/>
      <c r="AA833" s="6"/>
      <c r="AB833" s="6"/>
      <c r="AC833" s="6"/>
      <c r="AD833" s="6"/>
      <c r="AE833" s="6"/>
      <c r="AF833" s="18"/>
      <c r="AG833" s="18"/>
      <c r="AH833" s="18"/>
      <c r="AI833" s="18"/>
      <c r="AK833" s="18"/>
      <c r="AL833" s="18"/>
      <c r="AM833" s="40" t="s">
        <v>118</v>
      </c>
      <c r="AN833" s="18"/>
      <c r="AO833" s="6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6"/>
      <c r="BK833" s="6"/>
      <c r="BL833" s="6" t="s">
        <v>60</v>
      </c>
      <c r="BO833" s="15"/>
    </row>
    <row r="834" spans="1:67">
      <c r="A834" s="6" t="s">
        <v>132</v>
      </c>
      <c r="B834" s="6" t="s">
        <v>139</v>
      </c>
      <c r="C834" s="17">
        <v>33495.670149999998</v>
      </c>
      <c r="D834" s="18">
        <v>18.25</v>
      </c>
      <c r="E834" s="6"/>
      <c r="F834" s="6"/>
      <c r="G834" s="22"/>
      <c r="H834" s="22"/>
      <c r="I834" s="22"/>
      <c r="J834" s="22"/>
      <c r="K834" s="22"/>
      <c r="L834" s="22"/>
      <c r="M834" s="22"/>
      <c r="N834" s="18"/>
      <c r="O834" s="18"/>
      <c r="P834" s="22"/>
      <c r="Q834" s="22"/>
      <c r="R834" s="22"/>
      <c r="S834" s="22"/>
      <c r="T834" s="22"/>
      <c r="U834" s="22"/>
      <c r="V834" s="6"/>
      <c r="W834" s="18"/>
      <c r="X834" s="19"/>
      <c r="Y834" s="18"/>
      <c r="Z834" s="18"/>
      <c r="AA834" s="6"/>
      <c r="AB834" s="6"/>
      <c r="AC834" s="6"/>
      <c r="AD834" s="6"/>
      <c r="AE834" s="6"/>
      <c r="AF834" s="18"/>
      <c r="AG834" s="18"/>
      <c r="AH834" s="18"/>
      <c r="AI834" s="18"/>
      <c r="AK834" s="18"/>
      <c r="AL834" s="18"/>
      <c r="AM834" s="40" t="s">
        <v>118</v>
      </c>
      <c r="AN834" s="18"/>
      <c r="AO834" s="6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6"/>
      <c r="BK834" s="6"/>
      <c r="BL834" s="6" t="s">
        <v>60</v>
      </c>
      <c r="BO834" s="15"/>
    </row>
    <row r="835" spans="1:67">
      <c r="A835" s="6" t="s">
        <v>132</v>
      </c>
      <c r="B835" s="6" t="s">
        <v>139</v>
      </c>
      <c r="C835" s="17">
        <v>33586.9807</v>
      </c>
      <c r="D835" s="18">
        <v>18.5</v>
      </c>
      <c r="E835" s="6"/>
      <c r="F835" s="6"/>
      <c r="G835" s="22"/>
      <c r="H835" s="22"/>
      <c r="I835" s="22"/>
      <c r="J835" s="22"/>
      <c r="K835" s="22"/>
      <c r="L835" s="22"/>
      <c r="M835" s="22"/>
      <c r="N835" s="18"/>
      <c r="O835" s="18"/>
      <c r="P835" s="22"/>
      <c r="Q835" s="22"/>
      <c r="R835" s="22"/>
      <c r="S835" s="22"/>
      <c r="T835" s="22"/>
      <c r="U835" s="22"/>
      <c r="V835" s="6"/>
      <c r="W835" s="18"/>
      <c r="X835" s="19"/>
      <c r="Y835" s="18"/>
      <c r="Z835" s="18"/>
      <c r="AA835" s="6"/>
      <c r="AB835" s="6"/>
      <c r="AC835" s="6"/>
      <c r="AD835" s="6"/>
      <c r="AE835" s="6"/>
      <c r="AF835" s="18"/>
      <c r="AG835" s="18"/>
      <c r="AH835" s="18"/>
      <c r="AI835" s="18"/>
      <c r="AK835" s="18"/>
      <c r="AL835" s="18"/>
      <c r="AM835" s="40" t="s">
        <v>118</v>
      </c>
      <c r="AN835" s="18"/>
      <c r="AO835" s="6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6"/>
      <c r="BK835" s="6"/>
      <c r="BL835" s="6" t="s">
        <v>60</v>
      </c>
      <c r="BO835" s="15"/>
    </row>
    <row r="836" spans="1:67" ht="13.25" customHeight="1">
      <c r="A836" s="6" t="s">
        <v>132</v>
      </c>
      <c r="B836" s="6" t="s">
        <v>139</v>
      </c>
      <c r="C836" s="17">
        <v>33678.291250000002</v>
      </c>
      <c r="D836" s="18">
        <v>18.75</v>
      </c>
      <c r="E836" s="6"/>
      <c r="F836" s="6"/>
      <c r="G836" s="22"/>
      <c r="H836" s="22"/>
      <c r="I836" s="22"/>
      <c r="J836" s="22"/>
      <c r="K836" s="22"/>
      <c r="L836" s="22"/>
      <c r="M836" s="22"/>
      <c r="N836" s="18"/>
      <c r="O836" s="18"/>
      <c r="P836" s="22"/>
      <c r="Q836" s="22"/>
      <c r="R836" s="22"/>
      <c r="S836" s="22"/>
      <c r="T836" s="22"/>
      <c r="U836" s="22"/>
      <c r="V836" s="6"/>
      <c r="W836" s="18"/>
      <c r="X836" s="19"/>
      <c r="Y836" s="18"/>
      <c r="Z836" s="18"/>
      <c r="AA836" s="6"/>
      <c r="AB836" s="6"/>
      <c r="AC836" s="6"/>
      <c r="AD836" s="6"/>
      <c r="AE836" s="6"/>
      <c r="AF836" s="18"/>
      <c r="AG836" s="18"/>
      <c r="AH836" s="18"/>
      <c r="AI836" s="18"/>
      <c r="AK836" s="18"/>
      <c r="AL836" s="18"/>
      <c r="AM836" s="40" t="s">
        <v>118</v>
      </c>
      <c r="AN836" s="18"/>
      <c r="AO836" s="6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6"/>
      <c r="BK836" s="6"/>
      <c r="BL836" s="6" t="s">
        <v>60</v>
      </c>
      <c r="BO836" s="15"/>
    </row>
    <row r="837" spans="1:67">
      <c r="A837" s="6" t="s">
        <v>132</v>
      </c>
      <c r="B837" s="6" t="s">
        <v>139</v>
      </c>
      <c r="C837" s="17">
        <v>33769.601800000004</v>
      </c>
      <c r="D837" s="18">
        <v>19</v>
      </c>
      <c r="E837" s="6"/>
      <c r="F837" s="6"/>
      <c r="G837" s="22"/>
      <c r="H837" s="22"/>
      <c r="I837" s="22"/>
      <c r="J837" s="22"/>
      <c r="K837" s="22"/>
      <c r="L837" s="22"/>
      <c r="M837" s="22"/>
      <c r="N837" s="18"/>
      <c r="O837" s="18"/>
      <c r="P837" s="22"/>
      <c r="Q837" s="22"/>
      <c r="R837" s="22"/>
      <c r="S837" s="22"/>
      <c r="T837" s="22"/>
      <c r="U837" s="22"/>
      <c r="V837" s="6"/>
      <c r="W837" s="18"/>
      <c r="X837" s="19"/>
      <c r="Y837" s="18"/>
      <c r="Z837" s="18"/>
      <c r="AA837" s="6"/>
      <c r="AB837" s="6"/>
      <c r="AC837" s="6"/>
      <c r="AD837" s="6"/>
      <c r="AE837" s="6"/>
      <c r="AF837" s="18"/>
      <c r="AG837" s="18"/>
      <c r="AH837" s="18"/>
      <c r="AI837" s="18"/>
      <c r="AK837" s="18"/>
      <c r="AL837" s="18"/>
      <c r="AM837" s="40" t="s">
        <v>118</v>
      </c>
      <c r="AN837" s="18"/>
      <c r="AO837" s="6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6"/>
      <c r="BK837" s="6"/>
      <c r="BL837" s="6" t="s">
        <v>60</v>
      </c>
      <c r="BO837" s="15"/>
    </row>
    <row r="838" spans="1:67">
      <c r="A838" s="6" t="s">
        <v>132</v>
      </c>
      <c r="B838" s="6" t="s">
        <v>139</v>
      </c>
      <c r="C838" s="17">
        <v>34134.843999999997</v>
      </c>
      <c r="D838" s="18">
        <v>20</v>
      </c>
      <c r="E838" s="6"/>
      <c r="F838" s="6"/>
      <c r="G838" s="22"/>
      <c r="H838" s="22"/>
      <c r="I838" s="22"/>
      <c r="J838" s="22"/>
      <c r="K838" s="22"/>
      <c r="L838" s="22"/>
      <c r="M838" s="22"/>
      <c r="N838" s="18"/>
      <c r="O838" s="18"/>
      <c r="P838" s="22"/>
      <c r="Q838" s="22"/>
      <c r="R838" s="22"/>
      <c r="S838" s="22"/>
      <c r="T838" s="22"/>
      <c r="U838" s="22"/>
      <c r="V838" s="6"/>
      <c r="W838" s="6"/>
      <c r="X838" s="19"/>
      <c r="Y838" s="6"/>
      <c r="Z838" s="6"/>
      <c r="AA838" s="6"/>
      <c r="AB838" s="6"/>
      <c r="AC838" s="6"/>
      <c r="AD838" s="6"/>
      <c r="AE838" s="6"/>
      <c r="AF838" s="18"/>
      <c r="AG838" s="18"/>
      <c r="AH838" s="18"/>
      <c r="AI838" s="18"/>
      <c r="AK838" s="18"/>
      <c r="AL838" s="18"/>
      <c r="AM838" s="40" t="s">
        <v>118</v>
      </c>
      <c r="AN838" s="18"/>
      <c r="AO838" s="6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6"/>
      <c r="BK838" s="6"/>
      <c r="BL838" s="6" t="s">
        <v>60</v>
      </c>
      <c r="BO838" s="15"/>
    </row>
    <row r="839" spans="1:67">
      <c r="A839" s="6" t="s">
        <v>133</v>
      </c>
      <c r="B839" s="6" t="s">
        <v>140</v>
      </c>
      <c r="C839" s="17">
        <v>30573.732550000001</v>
      </c>
      <c r="D839" s="18">
        <v>10.25</v>
      </c>
      <c r="E839" s="6"/>
      <c r="F839" s="6"/>
      <c r="G839" s="22"/>
      <c r="H839" s="22"/>
      <c r="I839" s="22"/>
      <c r="J839" s="22"/>
      <c r="K839" s="22"/>
      <c r="L839" s="22"/>
      <c r="M839" s="22"/>
      <c r="N839" s="18"/>
      <c r="O839" s="18"/>
      <c r="P839" s="22"/>
      <c r="Q839" s="22"/>
      <c r="R839" s="22"/>
      <c r="S839" s="22"/>
      <c r="T839" s="22"/>
      <c r="U839" s="22"/>
      <c r="V839" s="6"/>
      <c r="W839" s="18"/>
      <c r="X839" s="19"/>
      <c r="Y839" s="18"/>
      <c r="Z839" s="18"/>
      <c r="AA839" s="6"/>
      <c r="AB839" s="6"/>
      <c r="AC839" s="6"/>
      <c r="AD839" s="6"/>
      <c r="AE839" s="6"/>
      <c r="AF839" s="18"/>
      <c r="AG839" s="18"/>
      <c r="AH839" s="18"/>
      <c r="AI839" s="18"/>
      <c r="AK839" s="18"/>
      <c r="AL839" s="18"/>
      <c r="AM839" s="40" t="s">
        <v>118</v>
      </c>
      <c r="AN839" s="18"/>
      <c r="AO839" s="6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6"/>
      <c r="BK839" s="6"/>
      <c r="BL839" s="6" t="s">
        <v>60</v>
      </c>
      <c r="BO839" s="15"/>
    </row>
    <row r="840" spans="1:67">
      <c r="A840" s="6" t="s">
        <v>133</v>
      </c>
      <c r="B840" s="6" t="s">
        <v>140</v>
      </c>
      <c r="C840" s="17">
        <v>30665.043099999999</v>
      </c>
      <c r="D840" s="18">
        <v>10.5</v>
      </c>
      <c r="E840" s="6"/>
      <c r="F840" s="6"/>
      <c r="G840" s="22"/>
      <c r="H840" s="22"/>
      <c r="I840" s="22"/>
      <c r="J840" s="22"/>
      <c r="K840" s="22"/>
      <c r="L840" s="22"/>
      <c r="M840" s="22"/>
      <c r="N840" s="18"/>
      <c r="O840" s="18"/>
      <c r="P840" s="22"/>
      <c r="Q840" s="22"/>
      <c r="R840" s="22"/>
      <c r="S840" s="22"/>
      <c r="T840" s="22"/>
      <c r="U840" s="22"/>
      <c r="V840" s="6"/>
      <c r="W840" s="18"/>
      <c r="X840" s="19"/>
      <c r="Y840" s="18"/>
      <c r="Z840" s="18"/>
      <c r="AA840" s="6"/>
      <c r="AB840" s="6"/>
      <c r="AC840" s="6"/>
      <c r="AD840" s="6"/>
      <c r="AE840" s="6"/>
      <c r="AF840" s="18"/>
      <c r="AG840" s="18"/>
      <c r="AH840" s="18"/>
      <c r="AI840" s="18"/>
      <c r="AK840" s="18"/>
      <c r="AL840" s="18"/>
      <c r="AM840" s="40" t="s">
        <v>118</v>
      </c>
      <c r="AN840" s="18"/>
      <c r="AO840" s="6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6"/>
      <c r="BK840" s="6"/>
      <c r="BL840" s="6" t="s">
        <v>60</v>
      </c>
      <c r="BO840" s="15"/>
    </row>
    <row r="841" spans="1:67">
      <c r="A841" s="6" t="s">
        <v>133</v>
      </c>
      <c r="B841" s="6" t="s">
        <v>140</v>
      </c>
      <c r="C841" s="17">
        <v>30756.353650000001</v>
      </c>
      <c r="D841" s="18">
        <v>10.75</v>
      </c>
      <c r="E841" s="6"/>
      <c r="F841" s="6"/>
      <c r="G841" s="22"/>
      <c r="H841" s="22"/>
      <c r="I841" s="22"/>
      <c r="J841" s="22"/>
      <c r="K841" s="22"/>
      <c r="L841" s="22"/>
      <c r="M841" s="22"/>
      <c r="N841" s="18"/>
      <c r="O841" s="18"/>
      <c r="P841" s="22"/>
      <c r="Q841" s="22"/>
      <c r="R841" s="22"/>
      <c r="S841" s="22"/>
      <c r="T841" s="22"/>
      <c r="U841" s="22"/>
      <c r="V841" s="6"/>
      <c r="W841" s="18"/>
      <c r="X841" s="19"/>
      <c r="Y841" s="18"/>
      <c r="Z841" s="18"/>
      <c r="AA841" s="6"/>
      <c r="AB841" s="6"/>
      <c r="AC841" s="6"/>
      <c r="AD841" s="6"/>
      <c r="AE841" s="6"/>
      <c r="AF841" s="18"/>
      <c r="AG841" s="18"/>
      <c r="AH841" s="18"/>
      <c r="AI841" s="18"/>
      <c r="AK841" s="18"/>
      <c r="AL841" s="18"/>
      <c r="AM841" s="40" t="s">
        <v>118</v>
      </c>
      <c r="AN841" s="18"/>
      <c r="AO841" s="6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6"/>
      <c r="BK841" s="6"/>
      <c r="BL841" s="6" t="s">
        <v>60</v>
      </c>
      <c r="BO841" s="15"/>
    </row>
    <row r="842" spans="1:67">
      <c r="A842" s="6" t="s">
        <v>133</v>
      </c>
      <c r="B842" s="6" t="s">
        <v>140</v>
      </c>
      <c r="C842" s="17">
        <v>30847.664199999999</v>
      </c>
      <c r="D842" s="18">
        <v>11</v>
      </c>
      <c r="E842" s="6"/>
      <c r="F842" s="6"/>
      <c r="G842" s="22"/>
      <c r="H842" s="22"/>
      <c r="I842" s="22"/>
      <c r="J842" s="22"/>
      <c r="K842" s="22"/>
      <c r="L842" s="22"/>
      <c r="M842" s="22"/>
      <c r="N842" s="18"/>
      <c r="O842" s="18"/>
      <c r="P842" s="22"/>
      <c r="Q842" s="22"/>
      <c r="R842" s="22"/>
      <c r="S842" s="22"/>
      <c r="T842" s="22"/>
      <c r="U842" s="22"/>
      <c r="V842" s="6"/>
      <c r="W842" s="18"/>
      <c r="X842" s="19"/>
      <c r="Y842" s="18"/>
      <c r="Z842" s="18"/>
      <c r="AA842" s="6"/>
      <c r="AB842" s="6"/>
      <c r="AC842" s="6"/>
      <c r="AD842" s="6"/>
      <c r="AE842" s="6"/>
      <c r="AF842" s="18"/>
      <c r="AG842" s="18"/>
      <c r="AH842" s="18"/>
      <c r="AI842" s="18"/>
      <c r="AK842" s="18"/>
      <c r="AL842" s="18"/>
      <c r="AM842" s="40" t="s">
        <v>118</v>
      </c>
      <c r="AN842" s="18"/>
      <c r="AO842" s="6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6"/>
      <c r="BK842" s="6"/>
      <c r="BL842" s="6" t="s">
        <v>60</v>
      </c>
      <c r="BO842" s="15"/>
    </row>
    <row r="843" spans="1:67">
      <c r="A843" s="6" t="s">
        <v>133</v>
      </c>
      <c r="B843" s="6" t="s">
        <v>140</v>
      </c>
      <c r="C843" s="17">
        <v>30938.974750000001</v>
      </c>
      <c r="D843" s="18">
        <v>11.25</v>
      </c>
      <c r="E843" s="6"/>
      <c r="F843" s="6"/>
      <c r="G843" s="22"/>
      <c r="H843" s="22"/>
      <c r="I843" s="22"/>
      <c r="J843" s="22"/>
      <c r="K843" s="22"/>
      <c r="L843" s="22"/>
      <c r="M843" s="22"/>
      <c r="N843" s="18"/>
      <c r="O843" s="18"/>
      <c r="P843" s="22"/>
      <c r="Q843" s="22"/>
      <c r="R843" s="22"/>
      <c r="S843" s="22"/>
      <c r="T843" s="22"/>
      <c r="U843" s="22"/>
      <c r="V843" s="6"/>
      <c r="W843" s="18"/>
      <c r="X843" s="19"/>
      <c r="Y843" s="18"/>
      <c r="Z843" s="18"/>
      <c r="AA843" s="6"/>
      <c r="AB843" s="6"/>
      <c r="AC843" s="6"/>
      <c r="AD843" s="6"/>
      <c r="AE843" s="6"/>
      <c r="AF843" s="18"/>
      <c r="AG843" s="18"/>
      <c r="AH843" s="18"/>
      <c r="AI843" s="18"/>
      <c r="AK843" s="18"/>
      <c r="AL843" s="18"/>
      <c r="AM843" s="40" t="s">
        <v>118</v>
      </c>
      <c r="AN843" s="18"/>
      <c r="AO843" s="6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6"/>
      <c r="BK843" s="6"/>
      <c r="BL843" s="6" t="s">
        <v>60</v>
      </c>
      <c r="BO843" s="15"/>
    </row>
    <row r="844" spans="1:67">
      <c r="A844" s="6" t="s">
        <v>133</v>
      </c>
      <c r="B844" s="6" t="s">
        <v>140</v>
      </c>
      <c r="C844" s="17">
        <v>31030.2853</v>
      </c>
      <c r="D844" s="18">
        <v>11.5</v>
      </c>
      <c r="E844" s="6"/>
      <c r="F844" s="6"/>
      <c r="G844" s="22"/>
      <c r="H844" s="22"/>
      <c r="I844" s="22"/>
      <c r="J844" s="22"/>
      <c r="K844" s="22"/>
      <c r="L844" s="22"/>
      <c r="M844" s="22"/>
      <c r="N844" s="18"/>
      <c r="O844" s="18"/>
      <c r="P844" s="22"/>
      <c r="Q844" s="22"/>
      <c r="R844" s="22"/>
      <c r="S844" s="22"/>
      <c r="T844" s="22"/>
      <c r="U844" s="22"/>
      <c r="V844" s="6"/>
      <c r="W844" s="18"/>
      <c r="X844" s="19"/>
      <c r="Y844" s="18"/>
      <c r="Z844" s="18"/>
      <c r="AA844" s="6"/>
      <c r="AB844" s="6"/>
      <c r="AC844" s="6"/>
      <c r="AD844" s="6"/>
      <c r="AE844" s="6"/>
      <c r="AF844" s="18"/>
      <c r="AG844" s="18"/>
      <c r="AH844" s="18"/>
      <c r="AI844" s="18"/>
      <c r="AK844" s="18"/>
      <c r="AL844" s="18"/>
      <c r="AM844" s="40" t="s">
        <v>118</v>
      </c>
      <c r="AN844" s="18"/>
      <c r="AO844" s="6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6"/>
      <c r="BK844" s="6"/>
      <c r="BL844" s="6" t="s">
        <v>60</v>
      </c>
      <c r="BO844" s="15"/>
    </row>
    <row r="845" spans="1:67">
      <c r="A845" s="6" t="s">
        <v>133</v>
      </c>
      <c r="B845" s="6" t="s">
        <v>140</v>
      </c>
      <c r="C845" s="17">
        <v>31121.595850000002</v>
      </c>
      <c r="D845" s="18">
        <v>11.75</v>
      </c>
      <c r="E845" s="6"/>
      <c r="F845" s="6"/>
      <c r="G845" s="22"/>
      <c r="H845" s="22"/>
      <c r="I845" s="22"/>
      <c r="J845" s="22"/>
      <c r="K845" s="22"/>
      <c r="L845" s="22"/>
      <c r="M845" s="22"/>
      <c r="N845" s="18"/>
      <c r="O845" s="18"/>
      <c r="P845" s="22"/>
      <c r="Q845" s="22"/>
      <c r="R845" s="22"/>
      <c r="S845" s="22"/>
      <c r="T845" s="22"/>
      <c r="U845" s="22"/>
      <c r="V845" s="6"/>
      <c r="W845" s="18"/>
      <c r="X845" s="19"/>
      <c r="Y845" s="18"/>
      <c r="Z845" s="18"/>
      <c r="AA845" s="6"/>
      <c r="AB845" s="6"/>
      <c r="AC845" s="6"/>
      <c r="AD845" s="6"/>
      <c r="AE845" s="6"/>
      <c r="AF845" s="18"/>
      <c r="AG845" s="18"/>
      <c r="AH845" s="18"/>
      <c r="AI845" s="18"/>
      <c r="AK845" s="18"/>
      <c r="AL845" s="18"/>
      <c r="AM845" s="40" t="s">
        <v>118</v>
      </c>
      <c r="AN845" s="18"/>
      <c r="AO845" s="6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6"/>
      <c r="BK845" s="6"/>
      <c r="BL845" s="6" t="s">
        <v>60</v>
      </c>
      <c r="BO845" s="15"/>
    </row>
    <row r="846" spans="1:67">
      <c r="A846" s="6" t="s">
        <v>133</v>
      </c>
      <c r="B846" s="6" t="s">
        <v>140</v>
      </c>
      <c r="C846" s="17">
        <v>31212.9064</v>
      </c>
      <c r="D846" s="18">
        <v>12</v>
      </c>
      <c r="E846" s="6"/>
      <c r="F846" s="6"/>
      <c r="G846" s="22"/>
      <c r="H846" s="22"/>
      <c r="I846" s="22"/>
      <c r="J846" s="22"/>
      <c r="K846" s="22"/>
      <c r="L846" s="22"/>
      <c r="M846" s="22"/>
      <c r="N846" s="18"/>
      <c r="O846" s="18"/>
      <c r="P846" s="22"/>
      <c r="Q846" s="22"/>
      <c r="R846" s="22"/>
      <c r="S846" s="22"/>
      <c r="T846" s="22"/>
      <c r="U846" s="22"/>
      <c r="V846" s="6"/>
      <c r="W846" s="18"/>
      <c r="X846" s="19"/>
      <c r="Y846" s="18"/>
      <c r="Z846" s="18"/>
      <c r="AA846" s="6"/>
      <c r="AB846" s="6"/>
      <c r="AC846" s="6"/>
      <c r="AD846" s="6"/>
      <c r="AE846" s="6"/>
      <c r="AF846" s="18"/>
      <c r="AG846" s="18"/>
      <c r="AH846" s="18"/>
      <c r="AI846" s="18"/>
      <c r="AK846" s="18"/>
      <c r="AL846" s="18"/>
      <c r="AM846" s="40" t="s">
        <v>118</v>
      </c>
      <c r="AN846" s="18"/>
      <c r="AO846" s="6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6"/>
      <c r="BK846" s="6"/>
      <c r="BL846" s="6" t="s">
        <v>60</v>
      </c>
      <c r="BO846" s="15"/>
    </row>
    <row r="847" spans="1:67">
      <c r="A847" s="6" t="s">
        <v>133</v>
      </c>
      <c r="B847" s="6" t="s">
        <v>140</v>
      </c>
      <c r="C847" s="17">
        <v>31304.216950000002</v>
      </c>
      <c r="D847" s="18">
        <v>12.25</v>
      </c>
      <c r="E847" s="6"/>
      <c r="F847" s="6"/>
      <c r="G847" s="22"/>
      <c r="H847" s="22"/>
      <c r="I847" s="22"/>
      <c r="J847" s="22"/>
      <c r="K847" s="22"/>
      <c r="L847" s="22"/>
      <c r="M847" s="22"/>
      <c r="N847" s="18"/>
      <c r="O847" s="18"/>
      <c r="P847" s="22"/>
      <c r="Q847" s="22"/>
      <c r="R847" s="22"/>
      <c r="S847" s="22"/>
      <c r="T847" s="22"/>
      <c r="U847" s="22"/>
      <c r="V847" s="6"/>
      <c r="W847" s="18"/>
      <c r="X847" s="19"/>
      <c r="Y847" s="18"/>
      <c r="Z847" s="18"/>
      <c r="AA847" s="6"/>
      <c r="AB847" s="6"/>
      <c r="AC847" s="6"/>
      <c r="AD847" s="6"/>
      <c r="AE847" s="6"/>
      <c r="AF847" s="18"/>
      <c r="AG847" s="18"/>
      <c r="AH847" s="18"/>
      <c r="AI847" s="18"/>
      <c r="AK847" s="18"/>
      <c r="AL847" s="18"/>
      <c r="AM847" s="40" t="s">
        <v>118</v>
      </c>
      <c r="AN847" s="18"/>
      <c r="AO847" s="6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6"/>
      <c r="BK847" s="6"/>
      <c r="BL847" s="6" t="s">
        <v>60</v>
      </c>
      <c r="BO847" s="15"/>
    </row>
    <row r="848" spans="1:67" ht="13.25" customHeight="1">
      <c r="A848" s="6" t="s">
        <v>133</v>
      </c>
      <c r="B848" s="6" t="s">
        <v>140</v>
      </c>
      <c r="C848" s="17">
        <v>31395.5275</v>
      </c>
      <c r="D848" s="18">
        <v>12.5</v>
      </c>
      <c r="E848" s="6"/>
      <c r="F848" s="6"/>
      <c r="G848" s="22"/>
      <c r="H848" s="22"/>
      <c r="I848" s="22"/>
      <c r="J848" s="22"/>
      <c r="K848" s="22"/>
      <c r="L848" s="22"/>
      <c r="M848" s="22"/>
      <c r="N848" s="18"/>
      <c r="O848" s="18"/>
      <c r="P848" s="22"/>
      <c r="Q848" s="22"/>
      <c r="R848" s="22"/>
      <c r="S848" s="22"/>
      <c r="T848" s="22"/>
      <c r="U848" s="22"/>
      <c r="V848" s="6"/>
      <c r="W848" s="18"/>
      <c r="X848" s="19"/>
      <c r="Y848" s="18"/>
      <c r="Z848" s="18"/>
      <c r="AA848" s="6"/>
      <c r="AB848" s="6"/>
      <c r="AC848" s="6"/>
      <c r="AD848" s="6"/>
      <c r="AE848" s="6"/>
      <c r="AF848" s="18"/>
      <c r="AG848" s="18"/>
      <c r="AH848" s="18"/>
      <c r="AI848" s="18"/>
      <c r="AK848" s="18"/>
      <c r="AL848" s="18"/>
      <c r="AM848" s="40" t="s">
        <v>118</v>
      </c>
      <c r="AN848" s="18"/>
      <c r="AO848" s="6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6"/>
      <c r="BK848" s="6"/>
      <c r="BL848" s="6" t="s">
        <v>60</v>
      </c>
      <c r="BO848" s="15"/>
    </row>
    <row r="849" spans="1:67">
      <c r="A849" s="6" t="s">
        <v>133</v>
      </c>
      <c r="B849" s="6" t="s">
        <v>140</v>
      </c>
      <c r="C849" s="17">
        <v>31486.838049999998</v>
      </c>
      <c r="D849" s="18">
        <v>12.75</v>
      </c>
      <c r="E849" s="6"/>
      <c r="F849" s="6"/>
      <c r="G849" s="22"/>
      <c r="H849" s="22"/>
      <c r="I849" s="22"/>
      <c r="J849" s="22"/>
      <c r="K849" s="22"/>
      <c r="L849" s="22"/>
      <c r="M849" s="22"/>
      <c r="N849" s="18"/>
      <c r="O849" s="18"/>
      <c r="P849" s="22"/>
      <c r="Q849" s="22"/>
      <c r="R849" s="22"/>
      <c r="S849" s="22"/>
      <c r="T849" s="22"/>
      <c r="U849" s="22"/>
      <c r="V849" s="6"/>
      <c r="W849" s="18"/>
      <c r="X849" s="19"/>
      <c r="Y849" s="18"/>
      <c r="Z849" s="18"/>
      <c r="AA849" s="6"/>
      <c r="AB849" s="6"/>
      <c r="AC849" s="6"/>
      <c r="AD849" s="6"/>
      <c r="AE849" s="6"/>
      <c r="AF849" s="18"/>
      <c r="AG849" s="18"/>
      <c r="AH849" s="18"/>
      <c r="AI849" s="18"/>
      <c r="AK849" s="18"/>
      <c r="AL849" s="18"/>
      <c r="AM849" s="40" t="s">
        <v>118</v>
      </c>
      <c r="AN849" s="18"/>
      <c r="AO849" s="6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6"/>
      <c r="BK849" s="6"/>
      <c r="BL849" s="6" t="s">
        <v>60</v>
      </c>
      <c r="BO849" s="15"/>
    </row>
    <row r="850" spans="1:67">
      <c r="A850" s="6" t="s">
        <v>133</v>
      </c>
      <c r="B850" s="6" t="s">
        <v>140</v>
      </c>
      <c r="C850" s="17">
        <v>31578.1486</v>
      </c>
      <c r="D850" s="18">
        <v>13</v>
      </c>
      <c r="E850" s="6"/>
      <c r="F850" s="6"/>
      <c r="G850" s="22"/>
      <c r="H850" s="22"/>
      <c r="I850" s="22"/>
      <c r="J850" s="22"/>
      <c r="K850" s="22"/>
      <c r="L850" s="22"/>
      <c r="M850" s="22"/>
      <c r="N850" s="18"/>
      <c r="O850" s="18"/>
      <c r="P850" s="22"/>
      <c r="Q850" s="22"/>
      <c r="R850" s="22"/>
      <c r="S850" s="22"/>
      <c r="T850" s="22"/>
      <c r="U850" s="22"/>
      <c r="V850" s="6"/>
      <c r="W850" s="18"/>
      <c r="X850" s="19"/>
      <c r="Y850" s="18"/>
      <c r="Z850" s="18"/>
      <c r="AA850" s="6"/>
      <c r="AB850" s="6"/>
      <c r="AC850" s="6"/>
      <c r="AD850" s="6"/>
      <c r="AE850" s="6"/>
      <c r="AF850" s="18"/>
      <c r="AG850" s="18"/>
      <c r="AH850" s="18"/>
      <c r="AI850" s="18"/>
      <c r="AK850" s="18"/>
      <c r="AL850" s="18"/>
      <c r="AM850" s="40" t="s">
        <v>118</v>
      </c>
      <c r="AN850" s="18"/>
      <c r="AO850" s="6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6"/>
      <c r="BK850" s="6"/>
      <c r="BL850" s="6" t="s">
        <v>60</v>
      </c>
      <c r="BO850" s="15"/>
    </row>
    <row r="851" spans="1:67">
      <c r="A851" s="6" t="s">
        <v>133</v>
      </c>
      <c r="B851" s="6" t="s">
        <v>140</v>
      </c>
      <c r="C851" s="17">
        <v>31669.459150000002</v>
      </c>
      <c r="D851" s="18">
        <v>13.25</v>
      </c>
      <c r="E851" s="6"/>
      <c r="F851" s="6"/>
      <c r="G851" s="22"/>
      <c r="H851" s="22"/>
      <c r="I851" s="22"/>
      <c r="J851" s="22"/>
      <c r="K851" s="22"/>
      <c r="L851" s="22"/>
      <c r="M851" s="22"/>
      <c r="N851" s="18"/>
      <c r="O851" s="18"/>
      <c r="P851" s="22"/>
      <c r="Q851" s="22"/>
      <c r="R851" s="22"/>
      <c r="S851" s="22"/>
      <c r="T851" s="22"/>
      <c r="U851" s="22"/>
      <c r="V851" s="6"/>
      <c r="W851" s="18"/>
      <c r="X851" s="19"/>
      <c r="Y851" s="18"/>
      <c r="Z851" s="18"/>
      <c r="AA851" s="6"/>
      <c r="AB851" s="6"/>
      <c r="AC851" s="6"/>
      <c r="AD851" s="6"/>
      <c r="AE851" s="6"/>
      <c r="AF851" s="18"/>
      <c r="AG851" s="18"/>
      <c r="AH851" s="18"/>
      <c r="AI851" s="18"/>
      <c r="AK851" s="18"/>
      <c r="AL851" s="18"/>
      <c r="AM851" s="40" t="s">
        <v>118</v>
      </c>
      <c r="AN851" s="18"/>
      <c r="AO851" s="6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6"/>
      <c r="BK851" s="6"/>
      <c r="BL851" s="6" t="s">
        <v>60</v>
      </c>
      <c r="BO851" s="15"/>
    </row>
    <row r="852" spans="1:67">
      <c r="A852" s="6" t="s">
        <v>133</v>
      </c>
      <c r="B852" s="6" t="s">
        <v>140</v>
      </c>
      <c r="C852" s="17">
        <v>31760.769700000001</v>
      </c>
      <c r="D852" s="18">
        <v>13.5</v>
      </c>
      <c r="E852" s="6"/>
      <c r="F852" s="6"/>
      <c r="G852" s="22"/>
      <c r="H852" s="22"/>
      <c r="I852" s="22"/>
      <c r="J852" s="22"/>
      <c r="K852" s="22"/>
      <c r="L852" s="22"/>
      <c r="M852" s="22"/>
      <c r="N852" s="18"/>
      <c r="O852" s="18"/>
      <c r="P852" s="22"/>
      <c r="Q852" s="22"/>
      <c r="R852" s="22"/>
      <c r="S852" s="22"/>
      <c r="T852" s="22"/>
      <c r="U852" s="22"/>
      <c r="V852" s="6"/>
      <c r="W852" s="18"/>
      <c r="X852" s="19"/>
      <c r="Y852" s="18"/>
      <c r="Z852" s="18"/>
      <c r="AA852" s="6"/>
      <c r="AB852" s="6"/>
      <c r="AC852" s="6"/>
      <c r="AD852" s="6"/>
      <c r="AE852" s="6"/>
      <c r="AF852" s="18"/>
      <c r="AG852" s="18"/>
      <c r="AH852" s="18"/>
      <c r="AI852" s="18"/>
      <c r="AK852" s="18"/>
      <c r="AL852" s="18"/>
      <c r="AM852" s="40" t="s">
        <v>118</v>
      </c>
      <c r="AN852" s="18"/>
      <c r="AO852" s="6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6"/>
      <c r="BK852" s="6"/>
      <c r="BL852" s="6" t="s">
        <v>60</v>
      </c>
      <c r="BO852" s="15"/>
    </row>
    <row r="853" spans="1:67">
      <c r="A853" s="6" t="s">
        <v>133</v>
      </c>
      <c r="B853" s="6" t="s">
        <v>140</v>
      </c>
      <c r="C853" s="17">
        <v>31852.080249999999</v>
      </c>
      <c r="D853" s="18">
        <v>13.75</v>
      </c>
      <c r="E853" s="6"/>
      <c r="F853" s="6"/>
      <c r="G853" s="22"/>
      <c r="H853" s="22"/>
      <c r="I853" s="22"/>
      <c r="J853" s="22"/>
      <c r="K853" s="22"/>
      <c r="L853" s="22"/>
      <c r="M853" s="22"/>
      <c r="N853" s="18"/>
      <c r="O853" s="18"/>
      <c r="P853" s="22"/>
      <c r="Q853" s="22"/>
      <c r="R853" s="22"/>
      <c r="S853" s="22"/>
      <c r="T853" s="22"/>
      <c r="U853" s="22"/>
      <c r="V853" s="6"/>
      <c r="W853" s="18"/>
      <c r="X853" s="19"/>
      <c r="Y853" s="18"/>
      <c r="Z853" s="18"/>
      <c r="AA853" s="6"/>
      <c r="AB853" s="6"/>
      <c r="AC853" s="6"/>
      <c r="AD853" s="6"/>
      <c r="AE853" s="6"/>
      <c r="AF853" s="18"/>
      <c r="AG853" s="18"/>
      <c r="AH853" s="18"/>
      <c r="AI853" s="18"/>
      <c r="AK853" s="18"/>
      <c r="AL853" s="18"/>
      <c r="AM853" s="40" t="s">
        <v>118</v>
      </c>
      <c r="AN853" s="18"/>
      <c r="AO853" s="6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6"/>
      <c r="BK853" s="6"/>
      <c r="BL853" s="6" t="s">
        <v>60</v>
      </c>
      <c r="BO853" s="15"/>
    </row>
    <row r="854" spans="1:67">
      <c r="A854" s="6" t="s">
        <v>133</v>
      </c>
      <c r="B854" s="6" t="s">
        <v>140</v>
      </c>
      <c r="C854" s="17">
        <v>31943.390800000001</v>
      </c>
      <c r="D854" s="18">
        <v>14</v>
      </c>
      <c r="E854" s="6"/>
      <c r="F854" s="6"/>
      <c r="G854" s="22"/>
      <c r="H854" s="22"/>
      <c r="I854" s="22"/>
      <c r="J854" s="22"/>
      <c r="K854" s="22"/>
      <c r="L854" s="22"/>
      <c r="M854" s="22"/>
      <c r="N854" s="18"/>
      <c r="O854" s="18"/>
      <c r="P854" s="22"/>
      <c r="Q854" s="22"/>
      <c r="R854" s="22"/>
      <c r="S854" s="22"/>
      <c r="T854" s="22"/>
      <c r="U854" s="22"/>
      <c r="V854" s="6"/>
      <c r="W854" s="18"/>
      <c r="X854" s="19"/>
      <c r="Y854" s="18"/>
      <c r="Z854" s="18"/>
      <c r="AA854" s="6"/>
      <c r="AB854" s="6"/>
      <c r="AC854" s="6"/>
      <c r="AD854" s="6"/>
      <c r="AE854" s="6"/>
      <c r="AF854" s="18"/>
      <c r="AG854" s="18"/>
      <c r="AH854" s="18"/>
      <c r="AI854" s="18"/>
      <c r="AK854" s="18"/>
      <c r="AL854" s="18"/>
      <c r="AM854" s="40" t="s">
        <v>118</v>
      </c>
      <c r="AN854" s="18"/>
      <c r="AO854" s="6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6"/>
      <c r="BK854" s="6"/>
      <c r="BL854" s="6" t="s">
        <v>60</v>
      </c>
      <c r="BO854" s="15"/>
    </row>
    <row r="855" spans="1:67">
      <c r="A855" s="6" t="s">
        <v>133</v>
      </c>
      <c r="B855" s="6" t="s">
        <v>140</v>
      </c>
      <c r="C855" s="17">
        <v>32034.701349999999</v>
      </c>
      <c r="D855" s="18">
        <v>14.25</v>
      </c>
      <c r="E855" s="6"/>
      <c r="F855" s="6"/>
      <c r="G855" s="22"/>
      <c r="H855" s="22"/>
      <c r="I855" s="22"/>
      <c r="J855" s="22"/>
      <c r="K855" s="22"/>
      <c r="L855" s="22"/>
      <c r="M855" s="22"/>
      <c r="N855" s="18"/>
      <c r="O855" s="18"/>
      <c r="P855" s="22"/>
      <c r="Q855" s="22"/>
      <c r="R855" s="22"/>
      <c r="S855" s="22"/>
      <c r="T855" s="22"/>
      <c r="U855" s="22"/>
      <c r="V855" s="6"/>
      <c r="W855" s="18"/>
      <c r="X855" s="19"/>
      <c r="Y855" s="18"/>
      <c r="Z855" s="18"/>
      <c r="AA855" s="6"/>
      <c r="AB855" s="6"/>
      <c r="AC855" s="6"/>
      <c r="AD855" s="6"/>
      <c r="AE855" s="6"/>
      <c r="AF855" s="18"/>
      <c r="AG855" s="18"/>
      <c r="AH855" s="18"/>
      <c r="AI855" s="18"/>
      <c r="AK855" s="18"/>
      <c r="AL855" s="18"/>
      <c r="AM855" s="40" t="s">
        <v>118</v>
      </c>
      <c r="AN855" s="18"/>
      <c r="AO855" s="6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6"/>
      <c r="BK855" s="6"/>
      <c r="BL855" s="6" t="s">
        <v>60</v>
      </c>
      <c r="BO855" s="15"/>
    </row>
    <row r="856" spans="1:67">
      <c r="A856" s="6" t="s">
        <v>133</v>
      </c>
      <c r="B856" s="6" t="s">
        <v>140</v>
      </c>
      <c r="C856" s="17">
        <v>32126.011900000001</v>
      </c>
      <c r="D856" s="18">
        <v>14.5</v>
      </c>
      <c r="E856" s="6"/>
      <c r="F856" s="6"/>
      <c r="G856" s="22"/>
      <c r="H856" s="22"/>
      <c r="I856" s="22"/>
      <c r="J856" s="22"/>
      <c r="K856" s="22"/>
      <c r="L856" s="22"/>
      <c r="M856" s="22"/>
      <c r="N856" s="18"/>
      <c r="O856" s="18"/>
      <c r="P856" s="22"/>
      <c r="Q856" s="22"/>
      <c r="R856" s="22"/>
      <c r="S856" s="22"/>
      <c r="T856" s="22"/>
      <c r="U856" s="22"/>
      <c r="V856" s="6"/>
      <c r="W856" s="18"/>
      <c r="X856" s="19"/>
      <c r="Y856" s="18"/>
      <c r="Z856" s="18"/>
      <c r="AA856" s="6"/>
      <c r="AB856" s="6"/>
      <c r="AC856" s="6"/>
      <c r="AD856" s="6"/>
      <c r="AE856" s="6"/>
      <c r="AF856" s="18"/>
      <c r="AG856" s="18"/>
      <c r="AH856" s="18"/>
      <c r="AI856" s="18"/>
      <c r="AK856" s="18"/>
      <c r="AL856" s="18"/>
      <c r="AM856" s="40" t="s">
        <v>118</v>
      </c>
      <c r="AN856" s="18"/>
      <c r="AO856" s="6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6"/>
      <c r="BK856" s="6"/>
      <c r="BL856" s="6" t="s">
        <v>60</v>
      </c>
      <c r="BO856" s="15"/>
    </row>
    <row r="857" spans="1:67">
      <c r="A857" s="6" t="s">
        <v>133</v>
      </c>
      <c r="B857" s="6" t="s">
        <v>140</v>
      </c>
      <c r="C857" s="17">
        <v>32217.32245</v>
      </c>
      <c r="D857" s="18">
        <v>14.75</v>
      </c>
      <c r="E857" s="6"/>
      <c r="F857" s="6"/>
      <c r="G857" s="22"/>
      <c r="H857" s="22"/>
      <c r="I857" s="22"/>
      <c r="J857" s="22"/>
      <c r="K857" s="22"/>
      <c r="L857" s="22"/>
      <c r="M857" s="22"/>
      <c r="N857" s="18"/>
      <c r="O857" s="18"/>
      <c r="P857" s="22"/>
      <c r="Q857" s="22"/>
      <c r="R857" s="22"/>
      <c r="S857" s="22"/>
      <c r="T857" s="22"/>
      <c r="U857" s="22"/>
      <c r="V857" s="6"/>
      <c r="W857" s="18"/>
      <c r="X857" s="19"/>
      <c r="Y857" s="18"/>
      <c r="Z857" s="18"/>
      <c r="AA857" s="6"/>
      <c r="AB857" s="6"/>
      <c r="AC857" s="6"/>
      <c r="AD857" s="6"/>
      <c r="AE857" s="6"/>
      <c r="AF857" s="18"/>
      <c r="AG857" s="18"/>
      <c r="AH857" s="18"/>
      <c r="AI857" s="18"/>
      <c r="AK857" s="18"/>
      <c r="AL857" s="18"/>
      <c r="AM857" s="40" t="s">
        <v>118</v>
      </c>
      <c r="AN857" s="18"/>
      <c r="AO857" s="6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6"/>
      <c r="BK857" s="6"/>
      <c r="BL857" s="6" t="s">
        <v>60</v>
      </c>
      <c r="BO857" s="15"/>
    </row>
    <row r="858" spans="1:67" ht="13.25" customHeight="1">
      <c r="A858" s="6" t="s">
        <v>133</v>
      </c>
      <c r="B858" s="6" t="s">
        <v>140</v>
      </c>
      <c r="C858" s="17">
        <v>32308.633000000002</v>
      </c>
      <c r="D858" s="18">
        <v>15</v>
      </c>
      <c r="E858" s="6"/>
      <c r="F858" s="6"/>
      <c r="G858" s="22"/>
      <c r="H858" s="22"/>
      <c r="I858" s="22"/>
      <c r="J858" s="22"/>
      <c r="K858" s="22"/>
      <c r="L858" s="22"/>
      <c r="M858" s="22"/>
      <c r="N858" s="18"/>
      <c r="O858" s="18"/>
      <c r="P858" s="22"/>
      <c r="Q858" s="22"/>
      <c r="R858" s="22"/>
      <c r="S858" s="22"/>
      <c r="T858" s="22"/>
      <c r="U858" s="22"/>
      <c r="V858" s="6"/>
      <c r="W858" s="18"/>
      <c r="X858" s="19"/>
      <c r="Y858" s="18"/>
      <c r="Z858" s="18"/>
      <c r="AA858" s="6"/>
      <c r="AB858" s="6"/>
      <c r="AC858" s="6"/>
      <c r="AD858" s="6"/>
      <c r="AE858" s="6"/>
      <c r="AF858" s="18"/>
      <c r="AG858" s="18"/>
      <c r="AH858" s="18"/>
      <c r="AI858" s="18"/>
      <c r="AK858" s="18"/>
      <c r="AL858" s="18"/>
      <c r="AM858" s="40" t="s">
        <v>118</v>
      </c>
      <c r="AN858" s="18"/>
      <c r="AO858" s="6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6"/>
      <c r="BK858" s="6"/>
      <c r="BL858" s="6" t="s">
        <v>60</v>
      </c>
      <c r="BO858" s="15"/>
    </row>
    <row r="859" spans="1:67">
      <c r="A859" s="6" t="s">
        <v>133</v>
      </c>
      <c r="B859" s="6" t="s">
        <v>140</v>
      </c>
      <c r="C859" s="17">
        <v>32399.94355</v>
      </c>
      <c r="D859" s="18">
        <v>15.25</v>
      </c>
      <c r="E859" s="6"/>
      <c r="F859" s="6"/>
      <c r="G859" s="22"/>
      <c r="H859" s="22"/>
      <c r="I859" s="22"/>
      <c r="J859" s="22"/>
      <c r="K859" s="22"/>
      <c r="L859" s="22"/>
      <c r="M859" s="22"/>
      <c r="N859" s="18"/>
      <c r="O859" s="18"/>
      <c r="P859" s="22"/>
      <c r="Q859" s="22"/>
      <c r="R859" s="22"/>
      <c r="S859" s="22"/>
      <c r="T859" s="22"/>
      <c r="U859" s="22"/>
      <c r="V859" s="6"/>
      <c r="W859" s="18"/>
      <c r="X859" s="19"/>
      <c r="Y859" s="18"/>
      <c r="Z859" s="18"/>
      <c r="AA859" s="6"/>
      <c r="AB859" s="6"/>
      <c r="AC859" s="6"/>
      <c r="AD859" s="6"/>
      <c r="AE859" s="6"/>
      <c r="AF859" s="18"/>
      <c r="AG859" s="18"/>
      <c r="AH859" s="18"/>
      <c r="AI859" s="18"/>
      <c r="AK859" s="18"/>
      <c r="AL859" s="18"/>
      <c r="AM859" s="40" t="s">
        <v>118</v>
      </c>
      <c r="AN859" s="18"/>
      <c r="AO859" s="6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6"/>
      <c r="BK859" s="6"/>
      <c r="BL859" s="6" t="s">
        <v>60</v>
      </c>
      <c r="BO859" s="15"/>
    </row>
    <row r="860" spans="1:67">
      <c r="A860" s="6" t="s">
        <v>133</v>
      </c>
      <c r="B860" s="6" t="s">
        <v>140</v>
      </c>
      <c r="C860" s="17">
        <v>32491.254099999998</v>
      </c>
      <c r="D860" s="18">
        <v>15.5</v>
      </c>
      <c r="E860" s="6"/>
      <c r="F860" s="6"/>
      <c r="G860" s="22"/>
      <c r="H860" s="22"/>
      <c r="I860" s="22"/>
      <c r="J860" s="22"/>
      <c r="K860" s="22"/>
      <c r="L860" s="22"/>
      <c r="M860" s="22"/>
      <c r="N860" s="18"/>
      <c r="O860" s="18"/>
      <c r="P860" s="22"/>
      <c r="Q860" s="22"/>
      <c r="R860" s="22"/>
      <c r="S860" s="22"/>
      <c r="T860" s="22"/>
      <c r="U860" s="22"/>
      <c r="V860" s="6"/>
      <c r="W860" s="18"/>
      <c r="X860" s="19"/>
      <c r="Y860" s="18"/>
      <c r="Z860" s="18"/>
      <c r="AA860" s="6"/>
      <c r="AB860" s="6"/>
      <c r="AC860" s="6"/>
      <c r="AD860" s="6"/>
      <c r="AE860" s="6"/>
      <c r="AF860" s="18"/>
      <c r="AG860" s="18"/>
      <c r="AH860" s="18"/>
      <c r="AI860" s="18"/>
      <c r="AK860" s="18"/>
      <c r="AL860" s="18"/>
      <c r="AM860" s="40" t="s">
        <v>118</v>
      </c>
      <c r="AN860" s="18"/>
      <c r="AO860" s="6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6"/>
      <c r="BK860" s="6"/>
      <c r="BL860" s="6" t="s">
        <v>60</v>
      </c>
      <c r="BO860" s="15"/>
    </row>
    <row r="861" spans="1:67">
      <c r="A861" s="6" t="s">
        <v>133</v>
      </c>
      <c r="B861" s="6" t="s">
        <v>140</v>
      </c>
      <c r="C861" s="17">
        <v>32582.56465</v>
      </c>
      <c r="D861" s="18">
        <v>15.75</v>
      </c>
      <c r="E861" s="6"/>
      <c r="F861" s="6"/>
      <c r="G861" s="22"/>
      <c r="H861" s="22"/>
      <c r="I861" s="22"/>
      <c r="J861" s="22"/>
      <c r="K861" s="22"/>
      <c r="L861" s="22"/>
      <c r="M861" s="22"/>
      <c r="N861" s="18"/>
      <c r="O861" s="18"/>
      <c r="P861" s="22"/>
      <c r="Q861" s="22"/>
      <c r="R861" s="22"/>
      <c r="S861" s="22"/>
      <c r="T861" s="22"/>
      <c r="U861" s="22"/>
      <c r="V861" s="6"/>
      <c r="W861" s="18"/>
      <c r="X861" s="19"/>
      <c r="Y861" s="18"/>
      <c r="Z861" s="18"/>
      <c r="AA861" s="6"/>
      <c r="AB861" s="6"/>
      <c r="AC861" s="6"/>
      <c r="AD861" s="6"/>
      <c r="AE861" s="6"/>
      <c r="AF861" s="18"/>
      <c r="AG861" s="18"/>
      <c r="AH861" s="18"/>
      <c r="AI861" s="18"/>
      <c r="AK861" s="18"/>
      <c r="AL861" s="18"/>
      <c r="AM861" s="40" t="s">
        <v>118</v>
      </c>
      <c r="AN861" s="18"/>
      <c r="AO861" s="6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6"/>
      <c r="BK861" s="6"/>
      <c r="BL861" s="6" t="s">
        <v>60</v>
      </c>
      <c r="BO861" s="15"/>
    </row>
    <row r="862" spans="1:67">
      <c r="A862" s="6" t="s">
        <v>133</v>
      </c>
      <c r="B862" s="6" t="s">
        <v>140</v>
      </c>
      <c r="C862" s="17">
        <v>32673.875200000002</v>
      </c>
      <c r="D862" s="18">
        <v>16</v>
      </c>
      <c r="E862" s="6"/>
      <c r="F862" s="6"/>
      <c r="G862" s="22"/>
      <c r="H862" s="22"/>
      <c r="I862" s="22"/>
      <c r="J862" s="22"/>
      <c r="K862" s="22"/>
      <c r="L862" s="22"/>
      <c r="M862" s="22"/>
      <c r="N862" s="18"/>
      <c r="O862" s="18"/>
      <c r="P862" s="22"/>
      <c r="Q862" s="22"/>
      <c r="R862" s="22"/>
      <c r="S862" s="22"/>
      <c r="T862" s="22"/>
      <c r="U862" s="22"/>
      <c r="V862" s="6"/>
      <c r="W862" s="18"/>
      <c r="X862" s="19"/>
      <c r="Y862" s="18"/>
      <c r="Z862" s="18"/>
      <c r="AA862" s="6"/>
      <c r="AB862" s="6"/>
      <c r="AC862" s="6"/>
      <c r="AD862" s="6"/>
      <c r="AE862" s="6"/>
      <c r="AF862" s="18"/>
      <c r="AG862" s="18"/>
      <c r="AH862" s="18"/>
      <c r="AI862" s="18"/>
      <c r="AK862" s="18"/>
      <c r="AL862" s="18"/>
      <c r="AM862" s="40" t="s">
        <v>118</v>
      </c>
      <c r="AN862" s="18"/>
      <c r="AO862" s="6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6"/>
      <c r="BK862" s="6"/>
      <c r="BL862" s="6" t="s">
        <v>60</v>
      </c>
      <c r="BO862" s="15"/>
    </row>
    <row r="863" spans="1:67" ht="13.25" customHeight="1">
      <c r="A863" s="6" t="s">
        <v>133</v>
      </c>
      <c r="B863" s="6" t="s">
        <v>140</v>
      </c>
      <c r="C863" s="17">
        <v>32765.185750000001</v>
      </c>
      <c r="D863" s="18">
        <v>16.25</v>
      </c>
      <c r="E863" s="6"/>
      <c r="F863" s="6"/>
      <c r="G863" s="22"/>
      <c r="H863" s="22"/>
      <c r="I863" s="22"/>
      <c r="J863" s="22"/>
      <c r="K863" s="22"/>
      <c r="L863" s="22"/>
      <c r="M863" s="22"/>
      <c r="N863" s="18"/>
      <c r="O863" s="18"/>
      <c r="P863" s="22"/>
      <c r="Q863" s="22"/>
      <c r="R863" s="22"/>
      <c r="S863" s="22"/>
      <c r="T863" s="22"/>
      <c r="U863" s="22"/>
      <c r="V863" s="6"/>
      <c r="W863" s="18"/>
      <c r="X863" s="19"/>
      <c r="Y863" s="18"/>
      <c r="Z863" s="18"/>
      <c r="AA863" s="6"/>
      <c r="AB863" s="6"/>
      <c r="AC863" s="6"/>
      <c r="AD863" s="6"/>
      <c r="AE863" s="6"/>
      <c r="AF863" s="18"/>
      <c r="AG863" s="18"/>
      <c r="AH863" s="18"/>
      <c r="AI863" s="18"/>
      <c r="AK863" s="18"/>
      <c r="AL863" s="18"/>
      <c r="AM863" s="40" t="s">
        <v>118</v>
      </c>
      <c r="AN863" s="18"/>
      <c r="AO863" s="6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6"/>
      <c r="BK863" s="6"/>
      <c r="BL863" s="6" t="s">
        <v>60</v>
      </c>
      <c r="BO863" s="15"/>
    </row>
    <row r="864" spans="1:67" ht="13.25" customHeight="1">
      <c r="A864" s="6" t="s">
        <v>133</v>
      </c>
      <c r="B864" s="6" t="s">
        <v>140</v>
      </c>
      <c r="C864" s="17">
        <v>32856.496299999999</v>
      </c>
      <c r="D864" s="18">
        <v>16.5</v>
      </c>
      <c r="E864" s="6"/>
      <c r="F864" s="6"/>
      <c r="G864" s="22"/>
      <c r="H864" s="22"/>
      <c r="I864" s="22"/>
      <c r="J864" s="22"/>
      <c r="K864" s="22"/>
      <c r="L864" s="22"/>
      <c r="M864" s="22"/>
      <c r="N864" s="18"/>
      <c r="O864" s="18"/>
      <c r="P864" s="22"/>
      <c r="Q864" s="22"/>
      <c r="R864" s="22"/>
      <c r="S864" s="22"/>
      <c r="T864" s="22"/>
      <c r="U864" s="22"/>
      <c r="V864" s="6"/>
      <c r="W864" s="18"/>
      <c r="X864" s="19"/>
      <c r="Y864" s="18"/>
      <c r="Z864" s="18"/>
      <c r="AA864" s="6"/>
      <c r="AB864" s="6"/>
      <c r="AC864" s="6"/>
      <c r="AD864" s="6"/>
      <c r="AE864" s="6"/>
      <c r="AF864" s="18"/>
      <c r="AG864" s="18"/>
      <c r="AH864" s="18"/>
      <c r="AI864" s="18"/>
      <c r="AK864" s="18"/>
      <c r="AL864" s="18"/>
      <c r="AM864" s="40" t="s">
        <v>118</v>
      </c>
      <c r="AN864" s="18"/>
      <c r="AO864" s="6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6"/>
      <c r="BK864" s="6"/>
      <c r="BL864" s="6" t="s">
        <v>60</v>
      </c>
      <c r="BO864" s="15"/>
    </row>
    <row r="865" spans="1:67">
      <c r="A865" s="6" t="s">
        <v>133</v>
      </c>
      <c r="B865" s="6" t="s">
        <v>140</v>
      </c>
      <c r="C865" s="17">
        <v>32947.806850000001</v>
      </c>
      <c r="D865" s="18">
        <v>16.75</v>
      </c>
      <c r="E865" s="6"/>
      <c r="F865" s="6"/>
      <c r="G865" s="22"/>
      <c r="H865" s="22"/>
      <c r="I865" s="22"/>
      <c r="J865" s="22"/>
      <c r="K865" s="22"/>
      <c r="L865" s="22"/>
      <c r="M865" s="22"/>
      <c r="N865" s="18"/>
      <c r="O865" s="18"/>
      <c r="P865" s="22"/>
      <c r="Q865" s="22"/>
      <c r="R865" s="22"/>
      <c r="S865" s="22"/>
      <c r="T865" s="22"/>
      <c r="U865" s="22"/>
      <c r="V865" s="6"/>
      <c r="W865" s="18"/>
      <c r="X865" s="19"/>
      <c r="Y865" s="18"/>
      <c r="Z865" s="18"/>
      <c r="AA865" s="6"/>
      <c r="AB865" s="6"/>
      <c r="AC865" s="6"/>
      <c r="AD865" s="6"/>
      <c r="AE865" s="6"/>
      <c r="AF865" s="18"/>
      <c r="AG865" s="18"/>
      <c r="AH865" s="18"/>
      <c r="AI865" s="18"/>
      <c r="AK865" s="18"/>
      <c r="AL865" s="18"/>
      <c r="AM865" s="40" t="s">
        <v>118</v>
      </c>
      <c r="AN865" s="18"/>
      <c r="AO865" s="6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6"/>
      <c r="BK865" s="6"/>
      <c r="BL865" s="6" t="s">
        <v>60</v>
      </c>
      <c r="BO865" s="15"/>
    </row>
    <row r="866" spans="1:67" ht="13.25" customHeight="1">
      <c r="A866" s="6" t="s">
        <v>133</v>
      </c>
      <c r="B866" s="6" t="s">
        <v>140</v>
      </c>
      <c r="C866" s="17">
        <v>33039.117400000003</v>
      </c>
      <c r="D866" s="18">
        <v>17</v>
      </c>
      <c r="E866" s="6"/>
      <c r="F866" s="6"/>
      <c r="G866" s="22"/>
      <c r="H866" s="22"/>
      <c r="I866" s="22"/>
      <c r="J866" s="22"/>
      <c r="K866" s="22"/>
      <c r="L866" s="22"/>
      <c r="M866" s="22"/>
      <c r="N866" s="18"/>
      <c r="O866" s="18"/>
      <c r="P866" s="22"/>
      <c r="Q866" s="22"/>
      <c r="R866" s="22"/>
      <c r="S866" s="22"/>
      <c r="T866" s="22"/>
      <c r="U866" s="22"/>
      <c r="V866" s="6"/>
      <c r="W866" s="18"/>
      <c r="X866" s="19"/>
      <c r="Y866" s="18"/>
      <c r="Z866" s="18"/>
      <c r="AA866" s="6"/>
      <c r="AB866" s="6"/>
      <c r="AC866" s="6"/>
      <c r="AD866" s="6"/>
      <c r="AE866" s="6"/>
      <c r="AF866" s="18"/>
      <c r="AG866" s="18"/>
      <c r="AH866" s="18"/>
      <c r="AI866" s="18"/>
      <c r="AK866" s="18"/>
      <c r="AL866" s="18"/>
      <c r="AM866" s="40" t="s">
        <v>118</v>
      </c>
      <c r="AN866" s="18"/>
      <c r="AO866" s="6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6"/>
      <c r="BK866" s="6"/>
      <c r="BL866" s="6" t="s">
        <v>60</v>
      </c>
      <c r="BO866" s="15"/>
    </row>
    <row r="867" spans="1:67" ht="13.25" customHeight="1">
      <c r="A867" s="6" t="s">
        <v>133</v>
      </c>
      <c r="B867" s="6" t="s">
        <v>140</v>
      </c>
      <c r="C867" s="17">
        <v>33130.427949999998</v>
      </c>
      <c r="D867" s="18">
        <v>17.25</v>
      </c>
      <c r="E867" s="6"/>
      <c r="F867" s="6"/>
      <c r="G867" s="22"/>
      <c r="H867" s="22"/>
      <c r="I867" s="22"/>
      <c r="J867" s="22"/>
      <c r="K867" s="22"/>
      <c r="L867" s="22"/>
      <c r="M867" s="22"/>
      <c r="N867" s="18"/>
      <c r="O867" s="18"/>
      <c r="P867" s="22"/>
      <c r="Q867" s="22"/>
      <c r="R867" s="22"/>
      <c r="S867" s="22"/>
      <c r="T867" s="22"/>
      <c r="U867" s="22"/>
      <c r="V867" s="6"/>
      <c r="W867" s="18"/>
      <c r="X867" s="19"/>
      <c r="Y867" s="18"/>
      <c r="Z867" s="18"/>
      <c r="AA867" s="6"/>
      <c r="AB867" s="6"/>
      <c r="AC867" s="6"/>
      <c r="AD867" s="6"/>
      <c r="AE867" s="6"/>
      <c r="AF867" s="18"/>
      <c r="AG867" s="18"/>
      <c r="AH867" s="18"/>
      <c r="AI867" s="18"/>
      <c r="AK867" s="18"/>
      <c r="AL867" s="18"/>
      <c r="AM867" s="40" t="s">
        <v>118</v>
      </c>
      <c r="AN867" s="18"/>
      <c r="AO867" s="6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6"/>
      <c r="BK867" s="6"/>
      <c r="BL867" s="6" t="s">
        <v>60</v>
      </c>
      <c r="BO867" s="15"/>
    </row>
    <row r="868" spans="1:67">
      <c r="A868" s="6" t="s">
        <v>133</v>
      </c>
      <c r="B868" s="6" t="s">
        <v>140</v>
      </c>
      <c r="C868" s="17">
        <v>33221.738499999999</v>
      </c>
      <c r="D868" s="18">
        <v>17.5</v>
      </c>
      <c r="E868" s="6"/>
      <c r="F868" s="6"/>
      <c r="G868" s="22"/>
      <c r="H868" s="22"/>
      <c r="I868" s="22"/>
      <c r="J868" s="22"/>
      <c r="K868" s="22"/>
      <c r="L868" s="22"/>
      <c r="M868" s="22"/>
      <c r="N868" s="18"/>
      <c r="O868" s="18"/>
      <c r="P868" s="22"/>
      <c r="Q868" s="22"/>
      <c r="R868" s="22"/>
      <c r="S868" s="22"/>
      <c r="T868" s="22"/>
      <c r="U868" s="22"/>
      <c r="V868" s="6"/>
      <c r="W868" s="18"/>
      <c r="X868" s="19"/>
      <c r="Y868" s="18"/>
      <c r="Z868" s="18"/>
      <c r="AA868" s="6"/>
      <c r="AB868" s="6"/>
      <c r="AC868" s="6"/>
      <c r="AD868" s="6"/>
      <c r="AE868" s="6"/>
      <c r="AF868" s="18"/>
      <c r="AG868" s="18"/>
      <c r="AH868" s="18"/>
      <c r="AI868" s="18"/>
      <c r="AK868" s="18"/>
      <c r="AL868" s="18"/>
      <c r="AM868" s="40" t="s">
        <v>118</v>
      </c>
      <c r="AN868" s="18"/>
      <c r="AO868" s="6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6"/>
      <c r="BK868" s="6"/>
      <c r="BL868" s="6" t="s">
        <v>60</v>
      </c>
      <c r="BO868" s="15"/>
    </row>
    <row r="869" spans="1:67">
      <c r="A869" s="6" t="s">
        <v>133</v>
      </c>
      <c r="B869" s="6" t="s">
        <v>140</v>
      </c>
      <c r="C869" s="17">
        <v>33313.049050000001</v>
      </c>
      <c r="D869" s="18">
        <v>17.75</v>
      </c>
      <c r="E869" s="6"/>
      <c r="F869" s="6"/>
      <c r="G869" s="22"/>
      <c r="H869" s="22"/>
      <c r="I869" s="22"/>
      <c r="J869" s="22"/>
      <c r="K869" s="22"/>
      <c r="L869" s="22"/>
      <c r="M869" s="22"/>
      <c r="N869" s="18"/>
      <c r="O869" s="18"/>
      <c r="P869" s="22"/>
      <c r="Q869" s="22"/>
      <c r="R869" s="22"/>
      <c r="S869" s="22"/>
      <c r="T869" s="22"/>
      <c r="U869" s="22"/>
      <c r="V869" s="6"/>
      <c r="W869" s="18"/>
      <c r="X869" s="19"/>
      <c r="Y869" s="18"/>
      <c r="Z869" s="18"/>
      <c r="AA869" s="6"/>
      <c r="AB869" s="6"/>
      <c r="AC869" s="6"/>
      <c r="AD869" s="6"/>
      <c r="AE869" s="6"/>
      <c r="AF869" s="18"/>
      <c r="AG869" s="18"/>
      <c r="AH869" s="18"/>
      <c r="AI869" s="18"/>
      <c r="AK869" s="18"/>
      <c r="AL869" s="18"/>
      <c r="AM869" s="40" t="s">
        <v>118</v>
      </c>
      <c r="AN869" s="18"/>
      <c r="AO869" s="6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6"/>
      <c r="BK869" s="6"/>
      <c r="BL869" s="6" t="s">
        <v>60</v>
      </c>
      <c r="BO869" s="15"/>
    </row>
    <row r="870" spans="1:67" ht="13.25" customHeight="1">
      <c r="A870" s="6" t="s">
        <v>133</v>
      </c>
      <c r="B870" s="6" t="s">
        <v>140</v>
      </c>
      <c r="C870" s="17">
        <v>33404.359600000003</v>
      </c>
      <c r="D870" s="18">
        <v>18</v>
      </c>
      <c r="E870" s="6"/>
      <c r="F870" s="6"/>
      <c r="G870" s="22"/>
      <c r="H870" s="22"/>
      <c r="I870" s="22"/>
      <c r="J870" s="22"/>
      <c r="K870" s="22"/>
      <c r="L870" s="22"/>
      <c r="M870" s="22"/>
      <c r="N870" s="18"/>
      <c r="O870" s="18"/>
      <c r="P870" s="22"/>
      <c r="Q870" s="22"/>
      <c r="R870" s="22"/>
      <c r="S870" s="22"/>
      <c r="T870" s="22"/>
      <c r="U870" s="22"/>
      <c r="V870" s="6"/>
      <c r="W870" s="18"/>
      <c r="X870" s="19"/>
      <c r="Y870" s="18"/>
      <c r="Z870" s="18"/>
      <c r="AA870" s="6"/>
      <c r="AB870" s="6"/>
      <c r="AC870" s="6"/>
      <c r="AD870" s="6"/>
      <c r="AE870" s="6"/>
      <c r="AF870" s="18"/>
      <c r="AG870" s="18"/>
      <c r="AH870" s="18"/>
      <c r="AI870" s="18"/>
      <c r="AK870" s="18"/>
      <c r="AL870" s="18"/>
      <c r="AM870" s="40" t="s">
        <v>118</v>
      </c>
      <c r="AN870" s="18"/>
      <c r="AO870" s="6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6"/>
      <c r="BK870" s="6"/>
      <c r="BL870" s="6" t="s">
        <v>60</v>
      </c>
      <c r="BO870" s="15"/>
    </row>
    <row r="871" spans="1:67">
      <c r="A871" s="6" t="s">
        <v>133</v>
      </c>
      <c r="B871" s="6" t="s">
        <v>140</v>
      </c>
      <c r="C871" s="17">
        <v>33495.670149999998</v>
      </c>
      <c r="D871" s="18">
        <v>18.25</v>
      </c>
      <c r="E871" s="6"/>
      <c r="F871" s="6"/>
      <c r="G871" s="22"/>
      <c r="H871" s="22"/>
      <c r="I871" s="22"/>
      <c r="J871" s="22"/>
      <c r="K871" s="22"/>
      <c r="L871" s="22"/>
      <c r="M871" s="22"/>
      <c r="N871" s="18"/>
      <c r="O871" s="18"/>
      <c r="P871" s="22"/>
      <c r="Q871" s="22"/>
      <c r="R871" s="22"/>
      <c r="S871" s="22"/>
      <c r="T871" s="22"/>
      <c r="U871" s="22"/>
      <c r="V871" s="6"/>
      <c r="W871" s="18"/>
      <c r="X871" s="19"/>
      <c r="Y871" s="18"/>
      <c r="Z871" s="18"/>
      <c r="AA871" s="6"/>
      <c r="AB871" s="6"/>
      <c r="AC871" s="6"/>
      <c r="AD871" s="6"/>
      <c r="AE871" s="6"/>
      <c r="AF871" s="18"/>
      <c r="AG871" s="18"/>
      <c r="AH871" s="18"/>
      <c r="AI871" s="18"/>
      <c r="AK871" s="18"/>
      <c r="AL871" s="18"/>
      <c r="AM871" s="40" t="s">
        <v>118</v>
      </c>
      <c r="AN871" s="18"/>
      <c r="AO871" s="6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6"/>
      <c r="BK871" s="6"/>
      <c r="BL871" s="6" t="s">
        <v>60</v>
      </c>
      <c r="BO871" s="15"/>
    </row>
    <row r="872" spans="1:67">
      <c r="A872" s="6" t="s">
        <v>133</v>
      </c>
      <c r="B872" s="6" t="s">
        <v>140</v>
      </c>
      <c r="C872" s="17">
        <v>33586.9807</v>
      </c>
      <c r="D872" s="18">
        <v>18.5</v>
      </c>
      <c r="E872" s="6"/>
      <c r="F872" s="6"/>
      <c r="G872" s="22"/>
      <c r="H872" s="22"/>
      <c r="I872" s="22"/>
      <c r="J872" s="22"/>
      <c r="K872" s="22"/>
      <c r="L872" s="22"/>
      <c r="M872" s="22"/>
      <c r="N872" s="18"/>
      <c r="O872" s="18"/>
      <c r="P872" s="22"/>
      <c r="Q872" s="22"/>
      <c r="R872" s="22"/>
      <c r="S872" s="22"/>
      <c r="T872" s="22"/>
      <c r="U872" s="22"/>
      <c r="V872" s="6"/>
      <c r="W872" s="18"/>
      <c r="X872" s="19"/>
      <c r="Y872" s="18"/>
      <c r="Z872" s="18"/>
      <c r="AA872" s="6"/>
      <c r="AB872" s="6"/>
      <c r="AC872" s="6"/>
      <c r="AD872" s="6"/>
      <c r="AE872" s="6"/>
      <c r="AF872" s="18"/>
      <c r="AG872" s="18"/>
      <c r="AH872" s="18"/>
      <c r="AI872" s="18"/>
      <c r="AK872" s="18"/>
      <c r="AL872" s="18"/>
      <c r="AM872" s="40" t="s">
        <v>118</v>
      </c>
      <c r="AN872" s="18"/>
      <c r="AO872" s="6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6"/>
      <c r="BK872" s="6"/>
      <c r="BL872" s="6" t="s">
        <v>60</v>
      </c>
      <c r="BO872" s="15"/>
    </row>
    <row r="873" spans="1:67">
      <c r="A873" s="6" t="s">
        <v>133</v>
      </c>
      <c r="B873" s="6" t="s">
        <v>140</v>
      </c>
      <c r="C873" s="17">
        <v>33678.291250000002</v>
      </c>
      <c r="D873" s="18">
        <v>18.75</v>
      </c>
      <c r="E873" s="6"/>
      <c r="F873" s="6"/>
      <c r="G873" s="22"/>
      <c r="H873" s="22"/>
      <c r="I873" s="22"/>
      <c r="J873" s="22"/>
      <c r="K873" s="22"/>
      <c r="L873" s="22"/>
      <c r="M873" s="22"/>
      <c r="N873" s="18"/>
      <c r="O873" s="18"/>
      <c r="P873" s="22"/>
      <c r="Q873" s="22"/>
      <c r="R873" s="22"/>
      <c r="S873" s="22"/>
      <c r="T873" s="22"/>
      <c r="U873" s="22"/>
      <c r="V873" s="6"/>
      <c r="W873" s="18"/>
      <c r="X873" s="19"/>
      <c r="Y873" s="18"/>
      <c r="Z873" s="18"/>
      <c r="AA873" s="6"/>
      <c r="AB873" s="6"/>
      <c r="AC873" s="6"/>
      <c r="AD873" s="6"/>
      <c r="AE873" s="6"/>
      <c r="AF873" s="18"/>
      <c r="AG873" s="18"/>
      <c r="AH873" s="18"/>
      <c r="AI873" s="18"/>
      <c r="AK873" s="18"/>
      <c r="AL873" s="18"/>
      <c r="AM873" s="40" t="s">
        <v>118</v>
      </c>
      <c r="AN873" s="18"/>
      <c r="AO873" s="6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6"/>
      <c r="BK873" s="6"/>
      <c r="BL873" s="6" t="s">
        <v>60</v>
      </c>
      <c r="BO873" s="15"/>
    </row>
    <row r="874" spans="1:67">
      <c r="A874" s="6" t="s">
        <v>133</v>
      </c>
      <c r="B874" s="6" t="s">
        <v>140</v>
      </c>
      <c r="C874" s="17">
        <v>33769.601800000004</v>
      </c>
      <c r="D874" s="18">
        <v>19</v>
      </c>
      <c r="E874" s="6"/>
      <c r="F874" s="6"/>
      <c r="G874" s="22"/>
      <c r="H874" s="22"/>
      <c r="I874" s="22"/>
      <c r="J874" s="22"/>
      <c r="K874" s="22"/>
      <c r="L874" s="22"/>
      <c r="M874" s="22"/>
      <c r="N874" s="18"/>
      <c r="O874" s="18"/>
      <c r="P874" s="22"/>
      <c r="Q874" s="22"/>
      <c r="R874" s="22"/>
      <c r="S874" s="22"/>
      <c r="T874" s="22"/>
      <c r="U874" s="22"/>
      <c r="V874" s="6"/>
      <c r="W874" s="18"/>
      <c r="X874" s="19"/>
      <c r="Y874" s="18"/>
      <c r="Z874" s="18"/>
      <c r="AA874" s="6"/>
      <c r="AB874" s="6"/>
      <c r="AC874" s="6"/>
      <c r="AD874" s="6"/>
      <c r="AE874" s="6"/>
      <c r="AF874" s="18"/>
      <c r="AG874" s="18"/>
      <c r="AH874" s="18"/>
      <c r="AI874" s="18"/>
      <c r="AK874" s="18"/>
      <c r="AL874" s="18"/>
      <c r="AM874" s="40" t="s">
        <v>118</v>
      </c>
      <c r="AN874" s="18"/>
      <c r="AO874" s="6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6"/>
      <c r="BK874" s="6"/>
      <c r="BL874" s="6" t="s">
        <v>60</v>
      </c>
      <c r="BO874" s="15"/>
    </row>
    <row r="875" spans="1:67">
      <c r="A875" s="6" t="s">
        <v>133</v>
      </c>
      <c r="B875" s="6" t="s">
        <v>140</v>
      </c>
      <c r="C875" s="17">
        <v>34134.843999999997</v>
      </c>
      <c r="D875" s="18">
        <v>20</v>
      </c>
      <c r="E875" s="6"/>
      <c r="F875" s="6"/>
      <c r="G875" s="22"/>
      <c r="H875" s="22"/>
      <c r="I875" s="22"/>
      <c r="J875" s="22"/>
      <c r="K875" s="22"/>
      <c r="L875" s="22"/>
      <c r="M875" s="22"/>
      <c r="N875" s="18"/>
      <c r="O875" s="18"/>
      <c r="P875" s="22"/>
      <c r="Q875" s="22"/>
      <c r="R875" s="22"/>
      <c r="S875" s="22"/>
      <c r="T875" s="22"/>
      <c r="U875" s="22"/>
      <c r="V875" s="6"/>
      <c r="W875" s="18"/>
      <c r="X875" s="19"/>
      <c r="Y875" s="18"/>
      <c r="Z875" s="18"/>
      <c r="AA875" s="6"/>
      <c r="AB875" s="6"/>
      <c r="AC875" s="6"/>
      <c r="AD875" s="6"/>
      <c r="AE875" s="6"/>
      <c r="AF875" s="18"/>
      <c r="AG875" s="18"/>
      <c r="AH875" s="18"/>
      <c r="AI875" s="18"/>
      <c r="AK875" s="18"/>
      <c r="AL875" s="18"/>
      <c r="AM875" s="40" t="s">
        <v>118</v>
      </c>
      <c r="AN875" s="18"/>
      <c r="AO875" s="6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6"/>
      <c r="BK875" s="6"/>
      <c r="BL875" s="6" t="s">
        <v>60</v>
      </c>
      <c r="BO875" s="15"/>
    </row>
    <row r="876" spans="1:67">
      <c r="A876" s="6" t="s">
        <v>56</v>
      </c>
      <c r="B876" s="6" t="s">
        <v>142</v>
      </c>
      <c r="C876" s="17">
        <v>30573.732550000001</v>
      </c>
      <c r="D876" s="18">
        <v>10.25</v>
      </c>
      <c r="E876" s="6"/>
      <c r="F876" s="6"/>
      <c r="G876" s="22"/>
      <c r="H876" s="22"/>
      <c r="I876" s="22"/>
      <c r="J876" s="22"/>
      <c r="K876" s="22"/>
      <c r="L876" s="22"/>
      <c r="M876" s="22"/>
      <c r="N876" s="18"/>
      <c r="O876" s="18"/>
      <c r="P876" s="22"/>
      <c r="Q876" s="22"/>
      <c r="R876" s="22"/>
      <c r="S876" s="22"/>
      <c r="T876" s="22"/>
      <c r="U876" s="22"/>
      <c r="V876" s="6"/>
      <c r="W876" s="18"/>
      <c r="X876" s="19"/>
      <c r="Y876" s="18"/>
      <c r="Z876" s="18"/>
      <c r="AA876" s="6"/>
      <c r="AB876" s="6"/>
      <c r="AC876" s="6"/>
      <c r="AD876" s="6"/>
      <c r="AE876" s="6"/>
      <c r="AF876" s="18"/>
      <c r="AG876" s="18"/>
      <c r="AH876" s="18"/>
      <c r="AI876" s="18"/>
      <c r="AK876" s="18"/>
      <c r="AL876" s="18"/>
      <c r="AM876" s="40" t="s">
        <v>118</v>
      </c>
      <c r="AN876" s="18"/>
      <c r="AO876" s="6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6"/>
      <c r="BK876" s="6"/>
      <c r="BL876" s="6" t="s">
        <v>60</v>
      </c>
      <c r="BO876" s="15"/>
    </row>
    <row r="877" spans="1:67">
      <c r="A877" s="6" t="s">
        <v>56</v>
      </c>
      <c r="B877" s="6" t="s">
        <v>142</v>
      </c>
      <c r="C877" s="17">
        <v>30665.043099999999</v>
      </c>
      <c r="D877" s="18">
        <v>10.5</v>
      </c>
      <c r="E877" s="6"/>
      <c r="F877" s="6"/>
      <c r="G877" s="22"/>
      <c r="H877" s="22"/>
      <c r="I877" s="22"/>
      <c r="J877" s="22"/>
      <c r="K877" s="22"/>
      <c r="L877" s="22"/>
      <c r="M877" s="22"/>
      <c r="N877" s="18"/>
      <c r="O877" s="18"/>
      <c r="P877" s="22"/>
      <c r="Q877" s="22"/>
      <c r="R877" s="22"/>
      <c r="S877" s="22"/>
      <c r="T877" s="22"/>
      <c r="U877" s="22"/>
      <c r="V877" s="6"/>
      <c r="W877" s="18"/>
      <c r="X877" s="19"/>
      <c r="Y877" s="18"/>
      <c r="Z877" s="18"/>
      <c r="AA877" s="6"/>
      <c r="AB877" s="6"/>
      <c r="AC877" s="6"/>
      <c r="AD877" s="6"/>
      <c r="AE877" s="6"/>
      <c r="AF877" s="18"/>
      <c r="AG877" s="18"/>
      <c r="AH877" s="18"/>
      <c r="AI877" s="18"/>
      <c r="AK877" s="18"/>
      <c r="AL877" s="18"/>
      <c r="AM877" s="40" t="s">
        <v>118</v>
      </c>
      <c r="AN877" s="18"/>
      <c r="AO877" s="6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6"/>
      <c r="BK877" s="6"/>
      <c r="BL877" s="6" t="s">
        <v>60</v>
      </c>
      <c r="BO877" s="15"/>
    </row>
    <row r="878" spans="1:67">
      <c r="A878" s="6" t="s">
        <v>56</v>
      </c>
      <c r="B878" s="6" t="s">
        <v>142</v>
      </c>
      <c r="C878" s="17">
        <v>30756.353650000001</v>
      </c>
      <c r="D878" s="18">
        <v>10.75</v>
      </c>
      <c r="E878" s="6"/>
      <c r="F878" s="6"/>
      <c r="G878" s="22"/>
      <c r="H878" s="22"/>
      <c r="I878" s="22"/>
      <c r="J878" s="22"/>
      <c r="K878" s="22"/>
      <c r="L878" s="22"/>
      <c r="M878" s="22"/>
      <c r="N878" s="18"/>
      <c r="O878" s="18"/>
      <c r="P878" s="22"/>
      <c r="Q878" s="22"/>
      <c r="R878" s="22"/>
      <c r="S878" s="22"/>
      <c r="T878" s="22"/>
      <c r="U878" s="22"/>
      <c r="V878" s="6"/>
      <c r="W878" s="18"/>
      <c r="X878" s="19"/>
      <c r="Y878" s="18"/>
      <c r="Z878" s="18"/>
      <c r="AA878" s="6"/>
      <c r="AB878" s="6"/>
      <c r="AC878" s="6"/>
      <c r="AD878" s="6"/>
      <c r="AE878" s="6"/>
      <c r="AF878" s="18"/>
      <c r="AG878" s="18"/>
      <c r="AH878" s="18"/>
      <c r="AI878" s="18"/>
      <c r="AK878" s="18"/>
      <c r="AL878" s="18"/>
      <c r="AM878" s="40" t="s">
        <v>118</v>
      </c>
      <c r="AN878" s="18"/>
      <c r="AO878" s="6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6"/>
      <c r="BK878" s="6"/>
      <c r="BL878" s="6" t="s">
        <v>60</v>
      </c>
      <c r="BO878" s="15"/>
    </row>
    <row r="879" spans="1:67">
      <c r="A879" s="6" t="s">
        <v>56</v>
      </c>
      <c r="B879" s="6" t="s">
        <v>142</v>
      </c>
      <c r="C879" s="17">
        <v>30847.664199999999</v>
      </c>
      <c r="D879" s="18">
        <v>11</v>
      </c>
      <c r="E879" s="6"/>
      <c r="F879" s="6"/>
      <c r="G879" s="22"/>
      <c r="H879" s="22"/>
      <c r="I879" s="22"/>
      <c r="J879" s="22"/>
      <c r="K879" s="22"/>
      <c r="L879" s="22"/>
      <c r="M879" s="22"/>
      <c r="N879" s="18"/>
      <c r="O879" s="18"/>
      <c r="P879" s="22"/>
      <c r="Q879" s="22"/>
      <c r="R879" s="22"/>
      <c r="S879" s="22"/>
      <c r="T879" s="22"/>
      <c r="U879" s="22"/>
      <c r="V879" s="6"/>
      <c r="W879" s="18"/>
      <c r="X879" s="19"/>
      <c r="Y879" s="18"/>
      <c r="Z879" s="18"/>
      <c r="AA879" s="6"/>
      <c r="AB879" s="6"/>
      <c r="AC879" s="6"/>
      <c r="AD879" s="6"/>
      <c r="AE879" s="6"/>
      <c r="AF879" s="18"/>
      <c r="AG879" s="18"/>
      <c r="AH879" s="18"/>
      <c r="AI879" s="18"/>
      <c r="AK879" s="18"/>
      <c r="AL879" s="18"/>
      <c r="AM879" s="40" t="s">
        <v>118</v>
      </c>
      <c r="AN879" s="18"/>
      <c r="AO879" s="6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6"/>
      <c r="BK879" s="6"/>
      <c r="BL879" s="6" t="s">
        <v>60</v>
      </c>
      <c r="BO879" s="15"/>
    </row>
    <row r="880" spans="1:67">
      <c r="A880" s="6" t="s">
        <v>56</v>
      </c>
      <c r="B880" s="6" t="s">
        <v>142</v>
      </c>
      <c r="C880" s="17">
        <v>30938.974750000001</v>
      </c>
      <c r="D880" s="18">
        <v>11.25</v>
      </c>
      <c r="E880" s="6"/>
      <c r="F880" s="6"/>
      <c r="G880" s="22"/>
      <c r="H880" s="22"/>
      <c r="I880" s="22"/>
      <c r="J880" s="22"/>
      <c r="K880" s="22"/>
      <c r="L880" s="22"/>
      <c r="M880" s="22"/>
      <c r="N880" s="18"/>
      <c r="O880" s="18"/>
      <c r="P880" s="22"/>
      <c r="Q880" s="22"/>
      <c r="R880" s="22"/>
      <c r="S880" s="22"/>
      <c r="T880" s="22"/>
      <c r="U880" s="22"/>
      <c r="V880" s="6"/>
      <c r="W880" s="18"/>
      <c r="X880" s="19"/>
      <c r="Y880" s="18"/>
      <c r="Z880" s="18"/>
      <c r="AA880" s="6"/>
      <c r="AB880" s="6"/>
      <c r="AC880" s="6"/>
      <c r="AD880" s="6"/>
      <c r="AE880" s="6"/>
      <c r="AF880" s="18"/>
      <c r="AG880" s="18"/>
      <c r="AH880" s="18"/>
      <c r="AI880" s="18"/>
      <c r="AK880" s="18"/>
      <c r="AL880" s="18"/>
      <c r="AM880" s="40" t="s">
        <v>118</v>
      </c>
      <c r="AN880" s="18"/>
      <c r="AO880" s="6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6"/>
      <c r="BK880" s="6"/>
      <c r="BL880" s="6" t="s">
        <v>60</v>
      </c>
      <c r="BO880" s="15"/>
    </row>
    <row r="881" spans="1:67">
      <c r="A881" s="6" t="s">
        <v>56</v>
      </c>
      <c r="B881" s="6" t="s">
        <v>142</v>
      </c>
      <c r="C881" s="17">
        <v>31030.2853</v>
      </c>
      <c r="D881" s="18">
        <v>11.5</v>
      </c>
      <c r="E881" s="6"/>
      <c r="F881" s="6"/>
      <c r="G881" s="22"/>
      <c r="H881" s="22"/>
      <c r="I881" s="22"/>
      <c r="J881" s="22"/>
      <c r="K881" s="22"/>
      <c r="L881" s="22"/>
      <c r="M881" s="22"/>
      <c r="N881" s="18"/>
      <c r="O881" s="18"/>
      <c r="P881" s="22"/>
      <c r="Q881" s="22"/>
      <c r="R881" s="22"/>
      <c r="S881" s="22"/>
      <c r="T881" s="22"/>
      <c r="U881" s="22"/>
      <c r="V881" s="6"/>
      <c r="W881" s="18"/>
      <c r="X881" s="19"/>
      <c r="Y881" s="18"/>
      <c r="Z881" s="18"/>
      <c r="AA881" s="6"/>
      <c r="AB881" s="6"/>
      <c r="AC881" s="6"/>
      <c r="AD881" s="6"/>
      <c r="AE881" s="6"/>
      <c r="AF881" s="18"/>
      <c r="AG881" s="18"/>
      <c r="AH881" s="18"/>
      <c r="AI881" s="18"/>
      <c r="AK881" s="18"/>
      <c r="AL881" s="18"/>
      <c r="AM881" s="40" t="s">
        <v>118</v>
      </c>
      <c r="AN881" s="18"/>
      <c r="AO881" s="6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6"/>
      <c r="BK881" s="6"/>
      <c r="BL881" s="6" t="s">
        <v>60</v>
      </c>
      <c r="BO881" s="15"/>
    </row>
    <row r="882" spans="1:67">
      <c r="A882" s="6" t="s">
        <v>56</v>
      </c>
      <c r="B882" s="6" t="s">
        <v>142</v>
      </c>
      <c r="C882" s="17">
        <v>31121.595850000002</v>
      </c>
      <c r="D882" s="18">
        <v>11.75</v>
      </c>
      <c r="E882" s="6"/>
      <c r="F882" s="6"/>
      <c r="G882" s="22"/>
      <c r="H882" s="22"/>
      <c r="I882" s="22"/>
      <c r="J882" s="22"/>
      <c r="K882" s="22"/>
      <c r="L882" s="22"/>
      <c r="M882" s="22"/>
      <c r="N882" s="18"/>
      <c r="O882" s="18"/>
      <c r="P882" s="22"/>
      <c r="Q882" s="22"/>
      <c r="R882" s="22"/>
      <c r="S882" s="22"/>
      <c r="T882" s="22"/>
      <c r="U882" s="22"/>
      <c r="V882" s="6"/>
      <c r="W882" s="18"/>
      <c r="X882" s="19"/>
      <c r="Y882" s="18"/>
      <c r="Z882" s="18"/>
      <c r="AA882" s="6"/>
      <c r="AB882" s="6"/>
      <c r="AC882" s="6"/>
      <c r="AD882" s="6"/>
      <c r="AE882" s="6"/>
      <c r="AF882" s="18"/>
      <c r="AG882" s="18"/>
      <c r="AH882" s="18"/>
      <c r="AI882" s="18"/>
      <c r="AK882" s="18"/>
      <c r="AL882" s="18"/>
      <c r="AM882" s="40" t="s">
        <v>118</v>
      </c>
      <c r="AN882" s="18"/>
      <c r="AO882" s="6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6"/>
      <c r="BK882" s="6"/>
      <c r="BL882" s="6" t="s">
        <v>60</v>
      </c>
      <c r="BO882" s="15"/>
    </row>
    <row r="883" spans="1:67">
      <c r="A883" s="6" t="s">
        <v>56</v>
      </c>
      <c r="B883" s="6" t="s">
        <v>142</v>
      </c>
      <c r="C883" s="17">
        <v>31212.9064</v>
      </c>
      <c r="D883" s="18">
        <v>12</v>
      </c>
      <c r="E883" s="6"/>
      <c r="F883" s="6"/>
      <c r="G883" s="22"/>
      <c r="H883" s="22"/>
      <c r="I883" s="22"/>
      <c r="J883" s="22"/>
      <c r="K883" s="22"/>
      <c r="L883" s="22"/>
      <c r="M883" s="22"/>
      <c r="N883" s="18"/>
      <c r="O883" s="18"/>
      <c r="P883" s="22"/>
      <c r="Q883" s="22"/>
      <c r="R883" s="22"/>
      <c r="S883" s="22"/>
      <c r="T883" s="22"/>
      <c r="U883" s="22"/>
      <c r="V883" s="6"/>
      <c r="W883" s="18"/>
      <c r="X883" s="19"/>
      <c r="Y883" s="18"/>
      <c r="Z883" s="18"/>
      <c r="AA883" s="6"/>
      <c r="AB883" s="6"/>
      <c r="AC883" s="6"/>
      <c r="AD883" s="6"/>
      <c r="AE883" s="6"/>
      <c r="AF883" s="18"/>
      <c r="AG883" s="18"/>
      <c r="AH883" s="18"/>
      <c r="AI883" s="18"/>
      <c r="AK883" s="18"/>
      <c r="AL883" s="18"/>
      <c r="AM883" s="40" t="s">
        <v>118</v>
      </c>
      <c r="AN883" s="18"/>
      <c r="AO883" s="6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6"/>
      <c r="BK883" s="6"/>
      <c r="BL883" s="6" t="s">
        <v>60</v>
      </c>
      <c r="BO883" s="15"/>
    </row>
    <row r="884" spans="1:67" ht="13.25" customHeight="1">
      <c r="A884" s="6" t="s">
        <v>56</v>
      </c>
      <c r="B884" s="6" t="s">
        <v>142</v>
      </c>
      <c r="C884" s="17">
        <v>31304.216950000002</v>
      </c>
      <c r="D884" s="18">
        <v>12.25</v>
      </c>
      <c r="E884" s="6"/>
      <c r="F884" s="6"/>
      <c r="G884" s="22"/>
      <c r="H884" s="22"/>
      <c r="I884" s="22"/>
      <c r="J884" s="22"/>
      <c r="K884" s="22"/>
      <c r="L884" s="22"/>
      <c r="M884" s="22"/>
      <c r="N884" s="18"/>
      <c r="O884" s="18"/>
      <c r="P884" s="22"/>
      <c r="Q884" s="22"/>
      <c r="R884" s="22"/>
      <c r="S884" s="22"/>
      <c r="T884" s="22"/>
      <c r="U884" s="22"/>
      <c r="V884" s="6"/>
      <c r="W884" s="18"/>
      <c r="X884" s="19"/>
      <c r="Y884" s="18"/>
      <c r="Z884" s="18"/>
      <c r="AA884" s="6"/>
      <c r="AB884" s="6"/>
      <c r="AC884" s="6"/>
      <c r="AD884" s="6"/>
      <c r="AE884" s="6"/>
      <c r="AF884" s="18"/>
      <c r="AG884" s="18"/>
      <c r="AH884" s="18"/>
      <c r="AI884" s="18"/>
      <c r="AK884" s="18"/>
      <c r="AL884" s="18"/>
      <c r="AM884" s="40" t="s">
        <v>118</v>
      </c>
      <c r="AN884" s="18"/>
      <c r="AO884" s="6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6"/>
      <c r="BK884" s="6"/>
      <c r="BL884" s="6" t="s">
        <v>60</v>
      </c>
      <c r="BO884" s="15"/>
    </row>
    <row r="885" spans="1:67" ht="13.25" customHeight="1">
      <c r="A885" s="6" t="s">
        <v>56</v>
      </c>
      <c r="B885" s="6" t="s">
        <v>142</v>
      </c>
      <c r="C885" s="17">
        <v>31395.5275</v>
      </c>
      <c r="D885" s="18">
        <v>12.5</v>
      </c>
      <c r="E885" s="6"/>
      <c r="F885" s="6"/>
      <c r="G885" s="22"/>
      <c r="H885" s="22"/>
      <c r="I885" s="22"/>
      <c r="J885" s="22"/>
      <c r="K885" s="22"/>
      <c r="L885" s="22"/>
      <c r="M885" s="22"/>
      <c r="N885" s="18"/>
      <c r="O885" s="18"/>
      <c r="P885" s="22"/>
      <c r="Q885" s="22"/>
      <c r="R885" s="22"/>
      <c r="S885" s="22"/>
      <c r="T885" s="22"/>
      <c r="U885" s="22"/>
      <c r="V885" s="6"/>
      <c r="W885" s="18"/>
      <c r="X885" s="19"/>
      <c r="Y885" s="18"/>
      <c r="Z885" s="18"/>
      <c r="AA885" s="6"/>
      <c r="AB885" s="6"/>
      <c r="AC885" s="6"/>
      <c r="AD885" s="6"/>
      <c r="AE885" s="6"/>
      <c r="AF885" s="18"/>
      <c r="AG885" s="18"/>
      <c r="AH885" s="18"/>
      <c r="AI885" s="18"/>
      <c r="AK885" s="18"/>
      <c r="AL885" s="18"/>
      <c r="AM885" s="40" t="s">
        <v>118</v>
      </c>
      <c r="AN885" s="18"/>
      <c r="AO885" s="6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6"/>
      <c r="BK885" s="6"/>
      <c r="BL885" s="6" t="s">
        <v>60</v>
      </c>
      <c r="BO885" s="15"/>
    </row>
    <row r="886" spans="1:67">
      <c r="A886" s="6" t="s">
        <v>56</v>
      </c>
      <c r="B886" s="6" t="s">
        <v>142</v>
      </c>
      <c r="C886" s="17">
        <v>31486.838049999998</v>
      </c>
      <c r="D886" s="18">
        <v>12.75</v>
      </c>
      <c r="E886" s="6"/>
      <c r="F886" s="6"/>
      <c r="G886" s="22"/>
      <c r="H886" s="22"/>
      <c r="I886" s="22"/>
      <c r="J886" s="22"/>
      <c r="K886" s="22"/>
      <c r="L886" s="22"/>
      <c r="M886" s="22"/>
      <c r="N886" s="18"/>
      <c r="O886" s="18"/>
      <c r="P886" s="22"/>
      <c r="Q886" s="22"/>
      <c r="R886" s="22"/>
      <c r="S886" s="22"/>
      <c r="T886" s="22"/>
      <c r="U886" s="22"/>
      <c r="V886" s="6"/>
      <c r="W886" s="18"/>
      <c r="X886" s="19"/>
      <c r="Y886" s="18"/>
      <c r="Z886" s="18"/>
      <c r="AA886" s="6"/>
      <c r="AB886" s="6"/>
      <c r="AC886" s="6"/>
      <c r="AD886" s="6"/>
      <c r="AE886" s="6"/>
      <c r="AF886" s="18"/>
      <c r="AG886" s="18"/>
      <c r="AH886" s="18"/>
      <c r="AI886" s="18"/>
      <c r="AK886" s="18"/>
      <c r="AL886" s="18"/>
      <c r="AM886" s="40" t="s">
        <v>118</v>
      </c>
      <c r="AN886" s="18"/>
      <c r="AO886" s="6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6"/>
      <c r="BK886" s="6"/>
      <c r="BL886" s="6" t="s">
        <v>60</v>
      </c>
      <c r="BO886" s="15"/>
    </row>
    <row r="887" spans="1:67">
      <c r="A887" s="6" t="s">
        <v>56</v>
      </c>
      <c r="B887" s="6" t="s">
        <v>142</v>
      </c>
      <c r="C887" s="17">
        <v>31578.1486</v>
      </c>
      <c r="D887" s="18">
        <v>13</v>
      </c>
      <c r="E887" s="6"/>
      <c r="F887" s="6"/>
      <c r="G887" s="22"/>
      <c r="H887" s="22"/>
      <c r="I887" s="22"/>
      <c r="J887" s="22"/>
      <c r="K887" s="22"/>
      <c r="L887" s="22"/>
      <c r="M887" s="22"/>
      <c r="N887" s="18"/>
      <c r="O887" s="18"/>
      <c r="P887" s="22"/>
      <c r="Q887" s="22"/>
      <c r="R887" s="22"/>
      <c r="S887" s="22"/>
      <c r="T887" s="22"/>
      <c r="U887" s="22"/>
      <c r="V887" s="6"/>
      <c r="W887" s="18"/>
      <c r="X887" s="19"/>
      <c r="Y887" s="18"/>
      <c r="Z887" s="18"/>
      <c r="AA887" s="6"/>
      <c r="AB887" s="6"/>
      <c r="AC887" s="6"/>
      <c r="AD887" s="6"/>
      <c r="AE887" s="6"/>
      <c r="AF887" s="18"/>
      <c r="AG887" s="18"/>
      <c r="AH887" s="18"/>
      <c r="AI887" s="18"/>
      <c r="AK887" s="18"/>
      <c r="AL887" s="18"/>
      <c r="AM887" s="40" t="s">
        <v>118</v>
      </c>
      <c r="AN887" s="18"/>
      <c r="AO887" s="6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6"/>
      <c r="BK887" s="6"/>
      <c r="BL887" s="6" t="s">
        <v>60</v>
      </c>
      <c r="BO887" s="15"/>
    </row>
    <row r="888" spans="1:67">
      <c r="A888" s="6" t="s">
        <v>56</v>
      </c>
      <c r="B888" s="6" t="s">
        <v>142</v>
      </c>
      <c r="C888" s="17">
        <v>31669.459150000002</v>
      </c>
      <c r="D888" s="18">
        <v>13.25</v>
      </c>
      <c r="E888" s="6"/>
      <c r="F888" s="6"/>
      <c r="G888" s="22"/>
      <c r="H888" s="22"/>
      <c r="I888" s="22"/>
      <c r="J888" s="22"/>
      <c r="K888" s="22"/>
      <c r="L888" s="22"/>
      <c r="M888" s="22"/>
      <c r="N888" s="18"/>
      <c r="O888" s="18"/>
      <c r="P888" s="22"/>
      <c r="Q888" s="22"/>
      <c r="R888" s="22"/>
      <c r="S888" s="22"/>
      <c r="T888" s="22"/>
      <c r="U888" s="22"/>
      <c r="V888" s="6"/>
      <c r="W888" s="18"/>
      <c r="X888" s="19"/>
      <c r="Y888" s="18"/>
      <c r="Z888" s="18"/>
      <c r="AA888" s="6"/>
      <c r="AB888" s="6"/>
      <c r="AC888" s="6"/>
      <c r="AD888" s="6"/>
      <c r="AE888" s="6"/>
      <c r="AF888" s="18"/>
      <c r="AG888" s="18"/>
      <c r="AH888" s="18"/>
      <c r="AI888" s="18"/>
      <c r="AK888" s="18"/>
      <c r="AL888" s="18"/>
      <c r="AM888" s="40" t="s">
        <v>118</v>
      </c>
      <c r="AN888" s="18"/>
      <c r="AO888" s="6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6"/>
      <c r="BK888" s="6"/>
      <c r="BL888" s="6" t="s">
        <v>60</v>
      </c>
      <c r="BO888" s="15"/>
    </row>
    <row r="889" spans="1:67" ht="13.25" customHeight="1">
      <c r="A889" s="6" t="s">
        <v>56</v>
      </c>
      <c r="B889" s="6" t="s">
        <v>142</v>
      </c>
      <c r="C889" s="17">
        <v>31760.769700000001</v>
      </c>
      <c r="D889" s="18">
        <v>13.5</v>
      </c>
      <c r="E889" s="6"/>
      <c r="F889" s="6"/>
      <c r="G889" s="22"/>
      <c r="H889" s="22"/>
      <c r="I889" s="22"/>
      <c r="J889" s="22"/>
      <c r="K889" s="22"/>
      <c r="L889" s="22"/>
      <c r="M889" s="22"/>
      <c r="N889" s="18"/>
      <c r="O889" s="18"/>
      <c r="P889" s="22"/>
      <c r="Q889" s="22"/>
      <c r="R889" s="22"/>
      <c r="S889" s="22"/>
      <c r="T889" s="22"/>
      <c r="U889" s="22"/>
      <c r="V889" s="6"/>
      <c r="W889" s="18"/>
      <c r="X889" s="19"/>
      <c r="Y889" s="18"/>
      <c r="Z889" s="18"/>
      <c r="AA889" s="6"/>
      <c r="AB889" s="6"/>
      <c r="AC889" s="6"/>
      <c r="AD889" s="6"/>
      <c r="AE889" s="6"/>
      <c r="AF889" s="18"/>
      <c r="AG889" s="18"/>
      <c r="AH889" s="18"/>
      <c r="AI889" s="18"/>
      <c r="AK889" s="18"/>
      <c r="AL889" s="18"/>
      <c r="AM889" s="40" t="s">
        <v>118</v>
      </c>
      <c r="AN889" s="18"/>
      <c r="AO889" s="6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6"/>
      <c r="BK889" s="6"/>
      <c r="BL889" s="6" t="s">
        <v>60</v>
      </c>
      <c r="BO889" s="15"/>
    </row>
    <row r="890" spans="1:67" ht="13.25" customHeight="1">
      <c r="A890" s="6" t="s">
        <v>56</v>
      </c>
      <c r="B890" s="6" t="s">
        <v>142</v>
      </c>
      <c r="C890" s="17">
        <v>31852.080249999999</v>
      </c>
      <c r="D890" s="18">
        <v>13.75</v>
      </c>
      <c r="E890" s="6"/>
      <c r="F890" s="6"/>
      <c r="G890" s="22"/>
      <c r="H890" s="22"/>
      <c r="I890" s="22"/>
      <c r="J890" s="22"/>
      <c r="K890" s="22"/>
      <c r="L890" s="22"/>
      <c r="M890" s="22"/>
      <c r="N890" s="18"/>
      <c r="O890" s="18"/>
      <c r="P890" s="22"/>
      <c r="Q890" s="22"/>
      <c r="R890" s="22"/>
      <c r="S890" s="22"/>
      <c r="T890" s="22"/>
      <c r="U890" s="22"/>
      <c r="V890" s="6"/>
      <c r="W890" s="18"/>
      <c r="X890" s="19"/>
      <c r="Y890" s="18"/>
      <c r="Z890" s="18"/>
      <c r="AA890" s="6"/>
      <c r="AB890" s="6"/>
      <c r="AC890" s="6"/>
      <c r="AD890" s="6"/>
      <c r="AE890" s="6"/>
      <c r="AF890" s="18"/>
      <c r="AG890" s="18"/>
      <c r="AH890" s="18"/>
      <c r="AI890" s="18"/>
      <c r="AK890" s="18"/>
      <c r="AL890" s="18"/>
      <c r="AM890" s="40" t="s">
        <v>118</v>
      </c>
      <c r="AN890" s="18"/>
      <c r="AO890" s="6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6"/>
      <c r="BK890" s="6"/>
      <c r="BL890" s="6" t="s">
        <v>60</v>
      </c>
      <c r="BO890" s="15"/>
    </row>
    <row r="891" spans="1:67">
      <c r="A891" s="6" t="s">
        <v>56</v>
      </c>
      <c r="B891" s="6" t="s">
        <v>142</v>
      </c>
      <c r="C891" s="17">
        <v>31943.390800000001</v>
      </c>
      <c r="D891" s="18">
        <v>14</v>
      </c>
      <c r="E891" s="6"/>
      <c r="F891" s="6"/>
      <c r="G891" s="22"/>
      <c r="H891" s="22"/>
      <c r="I891" s="22"/>
      <c r="J891" s="22"/>
      <c r="K891" s="22"/>
      <c r="L891" s="22"/>
      <c r="M891" s="22"/>
      <c r="N891" s="18"/>
      <c r="O891" s="18"/>
      <c r="P891" s="22"/>
      <c r="Q891" s="22"/>
      <c r="R891" s="22"/>
      <c r="S891" s="22"/>
      <c r="T891" s="22"/>
      <c r="U891" s="22"/>
      <c r="V891" s="6"/>
      <c r="W891" s="18"/>
      <c r="X891" s="19"/>
      <c r="Y891" s="18"/>
      <c r="Z891" s="18"/>
      <c r="AA891" s="6"/>
      <c r="AB891" s="6"/>
      <c r="AC891" s="6"/>
      <c r="AD891" s="6"/>
      <c r="AE891" s="6"/>
      <c r="AF891" s="18"/>
      <c r="AG891" s="18"/>
      <c r="AH891" s="18"/>
      <c r="AI891" s="18"/>
      <c r="AK891" s="18"/>
      <c r="AL891" s="18"/>
      <c r="AM891" s="40" t="s">
        <v>118</v>
      </c>
      <c r="AN891" s="18"/>
      <c r="AO891" s="6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6"/>
      <c r="BK891" s="6"/>
      <c r="BL891" s="6" t="s">
        <v>60</v>
      </c>
      <c r="BO891" s="15"/>
    </row>
    <row r="892" spans="1:67">
      <c r="A892" s="6" t="s">
        <v>56</v>
      </c>
      <c r="B892" s="6" t="s">
        <v>142</v>
      </c>
      <c r="C892" s="17">
        <v>32034.701349999999</v>
      </c>
      <c r="D892" s="18">
        <v>14.25</v>
      </c>
      <c r="E892" s="6"/>
      <c r="F892" s="6"/>
      <c r="G892" s="22"/>
      <c r="H892" s="22"/>
      <c r="I892" s="22"/>
      <c r="J892" s="22"/>
      <c r="K892" s="22"/>
      <c r="L892" s="22"/>
      <c r="M892" s="22"/>
      <c r="N892" s="18"/>
      <c r="O892" s="18"/>
      <c r="P892" s="22"/>
      <c r="Q892" s="22"/>
      <c r="R892" s="22"/>
      <c r="S892" s="22"/>
      <c r="T892" s="22"/>
      <c r="U892" s="22"/>
      <c r="V892" s="6"/>
      <c r="W892" s="18"/>
      <c r="X892" s="19"/>
      <c r="Y892" s="18"/>
      <c r="Z892" s="18"/>
      <c r="AA892" s="6"/>
      <c r="AB892" s="6"/>
      <c r="AC892" s="6"/>
      <c r="AD892" s="6"/>
      <c r="AE892" s="6"/>
      <c r="AF892" s="18"/>
      <c r="AG892" s="18"/>
      <c r="AH892" s="18"/>
      <c r="AI892" s="18"/>
      <c r="AK892" s="18"/>
      <c r="AL892" s="18"/>
      <c r="AM892" s="40" t="s">
        <v>118</v>
      </c>
      <c r="AN892" s="18"/>
      <c r="AO892" s="6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6"/>
      <c r="BK892" s="6"/>
      <c r="BL892" s="6" t="s">
        <v>60</v>
      </c>
      <c r="BO892" s="15"/>
    </row>
    <row r="893" spans="1:67">
      <c r="A893" s="6" t="s">
        <v>56</v>
      </c>
      <c r="B893" s="6" t="s">
        <v>142</v>
      </c>
      <c r="C893" s="17">
        <v>32126.011900000001</v>
      </c>
      <c r="D893" s="18">
        <v>14.5</v>
      </c>
      <c r="E893" s="6"/>
      <c r="F893" s="6"/>
      <c r="G893" s="22"/>
      <c r="H893" s="22"/>
      <c r="I893" s="22"/>
      <c r="J893" s="22"/>
      <c r="K893" s="22"/>
      <c r="L893" s="22"/>
      <c r="M893" s="22"/>
      <c r="N893" s="18"/>
      <c r="O893" s="18"/>
      <c r="P893" s="22"/>
      <c r="Q893" s="22"/>
      <c r="R893" s="22"/>
      <c r="S893" s="22"/>
      <c r="T893" s="22"/>
      <c r="U893" s="22"/>
      <c r="V893" s="6"/>
      <c r="W893" s="18"/>
      <c r="X893" s="19"/>
      <c r="Y893" s="18"/>
      <c r="Z893" s="18"/>
      <c r="AA893" s="6"/>
      <c r="AB893" s="6"/>
      <c r="AC893" s="6"/>
      <c r="AD893" s="6"/>
      <c r="AE893" s="6"/>
      <c r="AF893" s="18"/>
      <c r="AG893" s="18"/>
      <c r="AH893" s="18"/>
      <c r="AI893" s="18"/>
      <c r="AK893" s="18"/>
      <c r="AL893" s="18"/>
      <c r="AM893" s="40" t="s">
        <v>118</v>
      </c>
      <c r="AN893" s="18"/>
      <c r="AO893" s="6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6"/>
      <c r="BK893" s="6"/>
      <c r="BL893" s="6" t="s">
        <v>60</v>
      </c>
      <c r="BO893" s="15"/>
    </row>
    <row r="894" spans="1:67">
      <c r="A894" s="6" t="s">
        <v>56</v>
      </c>
      <c r="B894" s="6" t="s">
        <v>142</v>
      </c>
      <c r="C894" s="17">
        <v>32217.32245</v>
      </c>
      <c r="D894" s="18">
        <v>14.75</v>
      </c>
      <c r="E894" s="6"/>
      <c r="F894" s="6"/>
      <c r="G894" s="22"/>
      <c r="H894" s="22"/>
      <c r="I894" s="22"/>
      <c r="J894" s="22"/>
      <c r="K894" s="22"/>
      <c r="L894" s="22"/>
      <c r="M894" s="22"/>
      <c r="N894" s="18"/>
      <c r="O894" s="18"/>
      <c r="P894" s="22"/>
      <c r="Q894" s="22"/>
      <c r="R894" s="22"/>
      <c r="S894" s="22"/>
      <c r="T894" s="22"/>
      <c r="U894" s="22"/>
      <c r="V894" s="6"/>
      <c r="W894" s="18"/>
      <c r="X894" s="19"/>
      <c r="Y894" s="18"/>
      <c r="Z894" s="18"/>
      <c r="AA894" s="6"/>
      <c r="AB894" s="6"/>
      <c r="AC894" s="6"/>
      <c r="AD894" s="6"/>
      <c r="AE894" s="6"/>
      <c r="AF894" s="18"/>
      <c r="AG894" s="18"/>
      <c r="AH894" s="18"/>
      <c r="AI894" s="18"/>
      <c r="AK894" s="18"/>
      <c r="AL894" s="18"/>
      <c r="AM894" s="40" t="s">
        <v>118</v>
      </c>
      <c r="AN894" s="18"/>
      <c r="AO894" s="6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6"/>
      <c r="BK894" s="6"/>
      <c r="BL894" s="6" t="s">
        <v>60</v>
      </c>
      <c r="BO894" s="15"/>
    </row>
    <row r="895" spans="1:67" ht="13.25" customHeight="1">
      <c r="A895" s="6" t="s">
        <v>56</v>
      </c>
      <c r="B895" s="6" t="s">
        <v>142</v>
      </c>
      <c r="C895" s="17">
        <v>32308.633000000002</v>
      </c>
      <c r="D895" s="18">
        <v>15</v>
      </c>
      <c r="E895" s="6"/>
      <c r="F895" s="6"/>
      <c r="G895" s="22"/>
      <c r="H895" s="22"/>
      <c r="I895" s="22"/>
      <c r="J895" s="22"/>
      <c r="K895" s="22"/>
      <c r="L895" s="22"/>
      <c r="M895" s="22"/>
      <c r="N895" s="18"/>
      <c r="O895" s="18"/>
      <c r="P895" s="22"/>
      <c r="Q895" s="22"/>
      <c r="R895" s="22"/>
      <c r="S895" s="22"/>
      <c r="T895" s="22"/>
      <c r="U895" s="22"/>
      <c r="V895" s="6"/>
      <c r="W895" s="18"/>
      <c r="X895" s="19"/>
      <c r="Y895" s="18"/>
      <c r="Z895" s="18"/>
      <c r="AA895" s="6"/>
      <c r="AB895" s="6"/>
      <c r="AC895" s="6"/>
      <c r="AD895" s="6"/>
      <c r="AE895" s="6"/>
      <c r="AF895" s="18"/>
      <c r="AG895" s="18"/>
      <c r="AH895" s="18"/>
      <c r="AI895" s="18"/>
      <c r="AK895" s="18"/>
      <c r="AL895" s="18"/>
      <c r="AM895" s="40" t="s">
        <v>118</v>
      </c>
      <c r="AN895" s="18"/>
      <c r="AO895" s="6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6"/>
      <c r="BK895" s="6"/>
      <c r="BL895" s="6" t="s">
        <v>60</v>
      </c>
      <c r="BO895" s="15"/>
    </row>
    <row r="896" spans="1:67" ht="13.25" customHeight="1">
      <c r="A896" s="6" t="s">
        <v>56</v>
      </c>
      <c r="B896" s="6" t="s">
        <v>142</v>
      </c>
      <c r="C896" s="17">
        <v>32399.94355</v>
      </c>
      <c r="D896" s="18">
        <v>15.25</v>
      </c>
      <c r="E896" s="6"/>
      <c r="F896" s="6"/>
      <c r="G896" s="22"/>
      <c r="H896" s="22"/>
      <c r="I896" s="22"/>
      <c r="J896" s="22"/>
      <c r="K896" s="22"/>
      <c r="L896" s="22"/>
      <c r="M896" s="22"/>
      <c r="N896" s="18"/>
      <c r="O896" s="18"/>
      <c r="P896" s="22"/>
      <c r="Q896" s="22"/>
      <c r="R896" s="22"/>
      <c r="S896" s="22"/>
      <c r="T896" s="22"/>
      <c r="U896" s="22"/>
      <c r="V896" s="6"/>
      <c r="W896" s="18"/>
      <c r="X896" s="19"/>
      <c r="Y896" s="18"/>
      <c r="Z896" s="18"/>
      <c r="AA896" s="6"/>
      <c r="AB896" s="6"/>
      <c r="AC896" s="6"/>
      <c r="AD896" s="6"/>
      <c r="AE896" s="6"/>
      <c r="AF896" s="18"/>
      <c r="AG896" s="18"/>
      <c r="AH896" s="18"/>
      <c r="AI896" s="18"/>
      <c r="AK896" s="18"/>
      <c r="AL896" s="18"/>
      <c r="AM896" s="40" t="s">
        <v>118</v>
      </c>
      <c r="AN896" s="18"/>
      <c r="AO896" s="6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6"/>
      <c r="BK896" s="6"/>
      <c r="BL896" s="6" t="s">
        <v>60</v>
      </c>
      <c r="BO896" s="15"/>
    </row>
    <row r="897" spans="1:67">
      <c r="A897" s="6" t="s">
        <v>56</v>
      </c>
      <c r="B897" s="6" t="s">
        <v>142</v>
      </c>
      <c r="C897" s="17">
        <v>32491.254099999998</v>
      </c>
      <c r="D897" s="18">
        <v>15.5</v>
      </c>
      <c r="E897" s="6"/>
      <c r="F897" s="6"/>
      <c r="G897" s="22"/>
      <c r="H897" s="22"/>
      <c r="I897" s="22"/>
      <c r="J897" s="22"/>
      <c r="K897" s="22"/>
      <c r="L897" s="22"/>
      <c r="M897" s="22"/>
      <c r="N897" s="18"/>
      <c r="O897" s="18"/>
      <c r="P897" s="22"/>
      <c r="Q897" s="22"/>
      <c r="R897" s="22"/>
      <c r="S897" s="22"/>
      <c r="T897" s="22"/>
      <c r="U897" s="22"/>
      <c r="V897" s="6"/>
      <c r="W897" s="18"/>
      <c r="X897" s="19"/>
      <c r="Y897" s="18"/>
      <c r="Z897" s="18"/>
      <c r="AA897" s="6"/>
      <c r="AB897" s="6"/>
      <c r="AC897" s="6"/>
      <c r="AD897" s="6"/>
      <c r="AE897" s="6"/>
      <c r="AF897" s="18"/>
      <c r="AG897" s="18"/>
      <c r="AH897" s="18"/>
      <c r="AI897" s="18"/>
      <c r="AK897" s="18"/>
      <c r="AL897" s="18"/>
      <c r="AM897" s="40" t="s">
        <v>118</v>
      </c>
      <c r="AN897" s="18"/>
      <c r="AO897" s="6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6"/>
      <c r="BK897" s="6"/>
      <c r="BL897" s="6" t="s">
        <v>60</v>
      </c>
      <c r="BO897" s="15"/>
    </row>
    <row r="898" spans="1:67">
      <c r="A898" s="6" t="s">
        <v>56</v>
      </c>
      <c r="B898" s="6" t="s">
        <v>142</v>
      </c>
      <c r="C898" s="17">
        <v>32582.56465</v>
      </c>
      <c r="D898" s="18">
        <v>15.75</v>
      </c>
      <c r="E898" s="6"/>
      <c r="F898" s="6"/>
      <c r="G898" s="22"/>
      <c r="H898" s="22"/>
      <c r="I898" s="22"/>
      <c r="J898" s="22"/>
      <c r="K898" s="22"/>
      <c r="L898" s="22"/>
      <c r="M898" s="22"/>
      <c r="N898" s="18"/>
      <c r="O898" s="18"/>
      <c r="P898" s="22"/>
      <c r="Q898" s="22"/>
      <c r="R898" s="22"/>
      <c r="S898" s="22"/>
      <c r="T898" s="22"/>
      <c r="U898" s="22"/>
      <c r="V898" s="6"/>
      <c r="W898" s="18"/>
      <c r="X898" s="19"/>
      <c r="Y898" s="18"/>
      <c r="Z898" s="18"/>
      <c r="AA898" s="6"/>
      <c r="AB898" s="6"/>
      <c r="AC898" s="6"/>
      <c r="AD898" s="6"/>
      <c r="AE898" s="6"/>
      <c r="AF898" s="18"/>
      <c r="AG898" s="18"/>
      <c r="AH898" s="18"/>
      <c r="AI898" s="18"/>
      <c r="AK898" s="18"/>
      <c r="AL898" s="18"/>
      <c r="AM898" s="40" t="s">
        <v>118</v>
      </c>
      <c r="AN898" s="18"/>
      <c r="AO898" s="6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6"/>
      <c r="BK898" s="6"/>
      <c r="BL898" s="6" t="s">
        <v>60</v>
      </c>
      <c r="BO898" s="15"/>
    </row>
    <row r="899" spans="1:67">
      <c r="A899" s="6" t="s">
        <v>56</v>
      </c>
      <c r="B899" s="6" t="s">
        <v>142</v>
      </c>
      <c r="C899" s="17">
        <v>32673.875200000002</v>
      </c>
      <c r="D899" s="18">
        <v>16</v>
      </c>
      <c r="E899" s="6"/>
      <c r="F899" s="6"/>
      <c r="G899" s="22"/>
      <c r="H899" s="22"/>
      <c r="I899" s="22"/>
      <c r="J899" s="22"/>
      <c r="K899" s="22"/>
      <c r="L899" s="22"/>
      <c r="M899" s="22"/>
      <c r="N899" s="18"/>
      <c r="O899" s="18"/>
      <c r="P899" s="22"/>
      <c r="Q899" s="22"/>
      <c r="R899" s="22"/>
      <c r="S899" s="22"/>
      <c r="T899" s="22"/>
      <c r="U899" s="22"/>
      <c r="V899" s="6"/>
      <c r="W899" s="18"/>
      <c r="X899" s="19"/>
      <c r="Y899" s="18"/>
      <c r="Z899" s="18"/>
      <c r="AA899" s="6"/>
      <c r="AB899" s="6"/>
      <c r="AC899" s="6"/>
      <c r="AD899" s="6"/>
      <c r="AE899" s="6"/>
      <c r="AF899" s="18"/>
      <c r="AG899" s="18"/>
      <c r="AH899" s="18"/>
      <c r="AI899" s="18"/>
      <c r="AK899" s="18"/>
      <c r="AL899" s="18"/>
      <c r="AM899" s="40" t="s">
        <v>118</v>
      </c>
      <c r="AN899" s="18"/>
      <c r="AO899" s="6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6"/>
      <c r="BK899" s="6"/>
      <c r="BL899" s="6" t="s">
        <v>60</v>
      </c>
      <c r="BO899" s="15"/>
    </row>
    <row r="900" spans="1:67">
      <c r="A900" s="6" t="s">
        <v>56</v>
      </c>
      <c r="B900" s="6" t="s">
        <v>142</v>
      </c>
      <c r="C900" s="17">
        <v>32765.185750000001</v>
      </c>
      <c r="D900" s="18">
        <v>16.25</v>
      </c>
      <c r="E900" s="6"/>
      <c r="F900" s="6"/>
      <c r="G900" s="22"/>
      <c r="H900" s="22"/>
      <c r="I900" s="22"/>
      <c r="J900" s="22"/>
      <c r="K900" s="22"/>
      <c r="L900" s="22"/>
      <c r="M900" s="22"/>
      <c r="N900" s="18"/>
      <c r="O900" s="18"/>
      <c r="P900" s="22"/>
      <c r="Q900" s="22"/>
      <c r="R900" s="22"/>
      <c r="S900" s="22"/>
      <c r="T900" s="22"/>
      <c r="U900" s="22"/>
      <c r="V900" s="6"/>
      <c r="W900" s="18"/>
      <c r="X900" s="19"/>
      <c r="Y900" s="18"/>
      <c r="Z900" s="18"/>
      <c r="AA900" s="6"/>
      <c r="AB900" s="6"/>
      <c r="AC900" s="6"/>
      <c r="AD900" s="6"/>
      <c r="AE900" s="6"/>
      <c r="AF900" s="18"/>
      <c r="AG900" s="18"/>
      <c r="AH900" s="18"/>
      <c r="AI900" s="18"/>
      <c r="AK900" s="18"/>
      <c r="AL900" s="18"/>
      <c r="AM900" s="40" t="s">
        <v>118</v>
      </c>
      <c r="AN900" s="18"/>
      <c r="AO900" s="6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6"/>
      <c r="BK900" s="6"/>
      <c r="BL900" s="6" t="s">
        <v>60</v>
      </c>
      <c r="BO900" s="15"/>
    </row>
    <row r="901" spans="1:67" ht="13.25" customHeight="1">
      <c r="A901" s="6" t="s">
        <v>56</v>
      </c>
      <c r="B901" s="6" t="s">
        <v>142</v>
      </c>
      <c r="C901" s="17">
        <v>32856.496299999999</v>
      </c>
      <c r="D901" s="18">
        <v>16.5</v>
      </c>
      <c r="E901" s="6"/>
      <c r="F901" s="6"/>
      <c r="G901" s="22"/>
      <c r="H901" s="22"/>
      <c r="I901" s="22"/>
      <c r="J901" s="22"/>
      <c r="K901" s="22"/>
      <c r="L901" s="22"/>
      <c r="M901" s="22"/>
      <c r="N901" s="18"/>
      <c r="O901" s="18"/>
      <c r="P901" s="22"/>
      <c r="Q901" s="22"/>
      <c r="R901" s="22"/>
      <c r="S901" s="22"/>
      <c r="T901" s="22"/>
      <c r="U901" s="22"/>
      <c r="V901" s="6"/>
      <c r="W901" s="18"/>
      <c r="X901" s="19"/>
      <c r="Y901" s="18"/>
      <c r="Z901" s="18"/>
      <c r="AA901" s="6"/>
      <c r="AB901" s="6"/>
      <c r="AC901" s="6"/>
      <c r="AD901" s="6"/>
      <c r="AE901" s="6"/>
      <c r="AF901" s="18"/>
      <c r="AG901" s="18"/>
      <c r="AH901" s="18"/>
      <c r="AI901" s="18"/>
      <c r="AK901" s="18"/>
      <c r="AL901" s="18"/>
      <c r="AM901" s="40" t="s">
        <v>118</v>
      </c>
      <c r="AN901" s="18"/>
      <c r="AO901" s="6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6"/>
      <c r="BK901" s="6"/>
      <c r="BL901" s="6" t="s">
        <v>60</v>
      </c>
      <c r="BO901" s="15"/>
    </row>
    <row r="902" spans="1:67" ht="13.25" customHeight="1">
      <c r="A902" s="6" t="s">
        <v>56</v>
      </c>
      <c r="B902" s="6" t="s">
        <v>142</v>
      </c>
      <c r="C902" s="17">
        <v>32947.806850000001</v>
      </c>
      <c r="D902" s="18">
        <v>16.75</v>
      </c>
      <c r="E902" s="6"/>
      <c r="F902" s="6"/>
      <c r="G902" s="22"/>
      <c r="H902" s="22"/>
      <c r="I902" s="22"/>
      <c r="J902" s="22"/>
      <c r="K902" s="22"/>
      <c r="L902" s="22"/>
      <c r="M902" s="22"/>
      <c r="N902" s="18"/>
      <c r="O902" s="18"/>
      <c r="P902" s="22"/>
      <c r="Q902" s="22"/>
      <c r="R902" s="22"/>
      <c r="S902" s="22"/>
      <c r="T902" s="22"/>
      <c r="U902" s="22"/>
      <c r="V902" s="6"/>
      <c r="W902" s="18"/>
      <c r="X902" s="19"/>
      <c r="Y902" s="18"/>
      <c r="Z902" s="18"/>
      <c r="AA902" s="6"/>
      <c r="AB902" s="6"/>
      <c r="AC902" s="6"/>
      <c r="AD902" s="6"/>
      <c r="AE902" s="6"/>
      <c r="AF902" s="18"/>
      <c r="AG902" s="18"/>
      <c r="AH902" s="18"/>
      <c r="AI902" s="18"/>
      <c r="AK902" s="18"/>
      <c r="AL902" s="18"/>
      <c r="AM902" s="40" t="s">
        <v>118</v>
      </c>
      <c r="AN902" s="18"/>
      <c r="AO902" s="6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6"/>
      <c r="BK902" s="6"/>
      <c r="BL902" s="6" t="s">
        <v>60</v>
      </c>
      <c r="BO902" s="15"/>
    </row>
    <row r="903" spans="1:67">
      <c r="A903" s="6" t="s">
        <v>56</v>
      </c>
      <c r="B903" s="6" t="s">
        <v>142</v>
      </c>
      <c r="C903" s="17">
        <v>33039.117400000003</v>
      </c>
      <c r="D903" s="18">
        <v>17</v>
      </c>
      <c r="E903" s="6"/>
      <c r="F903" s="6"/>
      <c r="G903" s="22"/>
      <c r="H903" s="22"/>
      <c r="I903" s="22"/>
      <c r="J903" s="22"/>
      <c r="K903" s="22"/>
      <c r="L903" s="22"/>
      <c r="M903" s="22"/>
      <c r="N903" s="18"/>
      <c r="O903" s="18"/>
      <c r="P903" s="22"/>
      <c r="Q903" s="22"/>
      <c r="R903" s="22"/>
      <c r="S903" s="22"/>
      <c r="T903" s="22"/>
      <c r="U903" s="22"/>
      <c r="V903" s="6"/>
      <c r="W903" s="18"/>
      <c r="X903" s="19"/>
      <c r="Y903" s="18"/>
      <c r="Z903" s="18"/>
      <c r="AA903" s="6"/>
      <c r="AB903" s="6"/>
      <c r="AC903" s="6"/>
      <c r="AD903" s="6"/>
      <c r="AE903" s="6"/>
      <c r="AF903" s="18"/>
      <c r="AG903" s="18"/>
      <c r="AH903" s="18"/>
      <c r="AI903" s="18"/>
      <c r="AK903" s="18"/>
      <c r="AL903" s="18"/>
      <c r="AM903" s="40" t="s">
        <v>118</v>
      </c>
      <c r="AN903" s="18"/>
      <c r="AO903" s="6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6"/>
      <c r="BK903" s="6"/>
      <c r="BL903" s="6" t="s">
        <v>60</v>
      </c>
      <c r="BO903" s="15"/>
    </row>
    <row r="904" spans="1:67" ht="13.25" customHeight="1">
      <c r="A904" s="6" t="s">
        <v>56</v>
      </c>
      <c r="B904" s="6" t="s">
        <v>142</v>
      </c>
      <c r="C904" s="17">
        <v>33130.427949999998</v>
      </c>
      <c r="D904" s="18">
        <v>17.25</v>
      </c>
      <c r="E904" s="6"/>
      <c r="F904" s="6"/>
      <c r="G904" s="22"/>
      <c r="H904" s="22"/>
      <c r="I904" s="22"/>
      <c r="J904" s="22"/>
      <c r="K904" s="22"/>
      <c r="L904" s="22"/>
      <c r="M904" s="22"/>
      <c r="N904" s="18"/>
      <c r="O904" s="18"/>
      <c r="P904" s="22"/>
      <c r="Q904" s="22"/>
      <c r="R904" s="22"/>
      <c r="S904" s="22"/>
      <c r="T904" s="22"/>
      <c r="U904" s="22"/>
      <c r="V904" s="6"/>
      <c r="W904" s="18"/>
      <c r="X904" s="19"/>
      <c r="Y904" s="18"/>
      <c r="Z904" s="18"/>
      <c r="AA904" s="6"/>
      <c r="AB904" s="6"/>
      <c r="AC904" s="6"/>
      <c r="AD904" s="6"/>
      <c r="AE904" s="6"/>
      <c r="AF904" s="18"/>
      <c r="AG904" s="18"/>
      <c r="AH904" s="18"/>
      <c r="AI904" s="18"/>
      <c r="AK904" s="18"/>
      <c r="AL904" s="18"/>
      <c r="AM904" s="40" t="s">
        <v>118</v>
      </c>
      <c r="AN904" s="18"/>
      <c r="AO904" s="6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6"/>
      <c r="BK904" s="6"/>
      <c r="BL904" s="6" t="s">
        <v>60</v>
      </c>
      <c r="BO904" s="15"/>
    </row>
    <row r="905" spans="1:67" ht="13.25" customHeight="1">
      <c r="A905" s="6" t="s">
        <v>56</v>
      </c>
      <c r="B905" s="6" t="s">
        <v>142</v>
      </c>
      <c r="C905" s="17">
        <v>33221.738499999999</v>
      </c>
      <c r="D905" s="18">
        <v>17.5</v>
      </c>
      <c r="E905" s="6"/>
      <c r="F905" s="6"/>
      <c r="G905" s="22"/>
      <c r="H905" s="22"/>
      <c r="I905" s="22"/>
      <c r="J905" s="22"/>
      <c r="K905" s="22"/>
      <c r="L905" s="22"/>
      <c r="M905" s="22"/>
      <c r="N905" s="18"/>
      <c r="O905" s="18"/>
      <c r="P905" s="22"/>
      <c r="Q905" s="22"/>
      <c r="R905" s="22"/>
      <c r="S905" s="22"/>
      <c r="T905" s="22"/>
      <c r="U905" s="22"/>
      <c r="V905" s="6"/>
      <c r="W905" s="18"/>
      <c r="X905" s="19"/>
      <c r="Y905" s="18"/>
      <c r="Z905" s="18"/>
      <c r="AA905" s="6"/>
      <c r="AB905" s="6"/>
      <c r="AC905" s="6"/>
      <c r="AD905" s="6"/>
      <c r="AE905" s="6"/>
      <c r="AF905" s="18"/>
      <c r="AG905" s="18"/>
      <c r="AH905" s="18"/>
      <c r="AI905" s="18"/>
      <c r="AK905" s="18"/>
      <c r="AL905" s="18"/>
      <c r="AM905" s="40" t="s">
        <v>118</v>
      </c>
      <c r="AN905" s="18"/>
      <c r="AO905" s="6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6"/>
      <c r="BK905" s="6"/>
      <c r="BL905" s="6" t="s">
        <v>60</v>
      </c>
      <c r="BO905" s="15"/>
    </row>
    <row r="906" spans="1:67">
      <c r="A906" s="6" t="s">
        <v>56</v>
      </c>
      <c r="B906" s="6" t="s">
        <v>142</v>
      </c>
      <c r="C906" s="17">
        <v>33313.049050000001</v>
      </c>
      <c r="D906" s="18">
        <v>17.75</v>
      </c>
      <c r="E906" s="6"/>
      <c r="F906" s="6"/>
      <c r="G906" s="22"/>
      <c r="H906" s="22"/>
      <c r="I906" s="22"/>
      <c r="J906" s="22"/>
      <c r="K906" s="22"/>
      <c r="L906" s="22"/>
      <c r="M906" s="22"/>
      <c r="N906" s="18"/>
      <c r="O906" s="18"/>
      <c r="P906" s="22"/>
      <c r="Q906" s="22"/>
      <c r="R906" s="22"/>
      <c r="S906" s="22"/>
      <c r="T906" s="22"/>
      <c r="U906" s="22"/>
      <c r="V906" s="6"/>
      <c r="W906" s="18"/>
      <c r="X906" s="19"/>
      <c r="Y906" s="18"/>
      <c r="Z906" s="18"/>
      <c r="AA906" s="6"/>
      <c r="AB906" s="6"/>
      <c r="AC906" s="6"/>
      <c r="AD906" s="6"/>
      <c r="AE906" s="6"/>
      <c r="AF906" s="18"/>
      <c r="AG906" s="18"/>
      <c r="AH906" s="18"/>
      <c r="AI906" s="18"/>
      <c r="AK906" s="18"/>
      <c r="AL906" s="18"/>
      <c r="AM906" s="40" t="s">
        <v>118</v>
      </c>
      <c r="AN906" s="18"/>
      <c r="AO906" s="6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6"/>
      <c r="BK906" s="6"/>
      <c r="BL906" s="6" t="s">
        <v>60</v>
      </c>
      <c r="BO906" s="15"/>
    </row>
    <row r="907" spans="1:67">
      <c r="A907" s="6" t="s">
        <v>56</v>
      </c>
      <c r="B907" s="6" t="s">
        <v>142</v>
      </c>
      <c r="C907" s="17">
        <v>33404.359600000003</v>
      </c>
      <c r="D907" s="18">
        <v>18</v>
      </c>
      <c r="E907" s="6"/>
      <c r="F907" s="6"/>
      <c r="G907" s="22"/>
      <c r="H907" s="22"/>
      <c r="I907" s="22"/>
      <c r="J907" s="22"/>
      <c r="K907" s="22"/>
      <c r="L907" s="22"/>
      <c r="M907" s="22"/>
      <c r="N907" s="18"/>
      <c r="O907" s="18"/>
      <c r="P907" s="22"/>
      <c r="Q907" s="22"/>
      <c r="R907" s="22"/>
      <c r="S907" s="22"/>
      <c r="T907" s="22"/>
      <c r="U907" s="22"/>
      <c r="V907" s="6"/>
      <c r="W907" s="18"/>
      <c r="X907" s="19"/>
      <c r="Y907" s="18"/>
      <c r="Z907" s="18"/>
      <c r="AA907" s="6"/>
      <c r="AB907" s="6"/>
      <c r="AC907" s="6"/>
      <c r="AD907" s="6"/>
      <c r="AE907" s="6"/>
      <c r="AF907" s="18"/>
      <c r="AG907" s="18"/>
      <c r="AH907" s="18"/>
      <c r="AI907" s="18"/>
      <c r="AK907" s="18"/>
      <c r="AL907" s="18"/>
      <c r="AM907" s="40" t="s">
        <v>118</v>
      </c>
      <c r="AN907" s="18"/>
      <c r="AO907" s="6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6"/>
      <c r="BK907" s="6"/>
      <c r="BL907" s="6" t="s">
        <v>60</v>
      </c>
      <c r="BO907" s="15"/>
    </row>
    <row r="908" spans="1:67">
      <c r="A908" s="6" t="s">
        <v>56</v>
      </c>
      <c r="B908" s="6" t="s">
        <v>142</v>
      </c>
      <c r="C908" s="17">
        <v>33495.670149999998</v>
      </c>
      <c r="D908" s="18">
        <v>18.25</v>
      </c>
      <c r="E908" s="6"/>
      <c r="F908" s="6"/>
      <c r="G908" s="22"/>
      <c r="H908" s="22"/>
      <c r="I908" s="22"/>
      <c r="J908" s="22"/>
      <c r="K908" s="22"/>
      <c r="L908" s="22"/>
      <c r="M908" s="22"/>
      <c r="N908" s="18"/>
      <c r="O908" s="18"/>
      <c r="P908" s="22"/>
      <c r="Q908" s="22"/>
      <c r="R908" s="22"/>
      <c r="S908" s="22"/>
      <c r="T908" s="22"/>
      <c r="U908" s="22"/>
      <c r="V908" s="6"/>
      <c r="W908" s="18"/>
      <c r="X908" s="19"/>
      <c r="Y908" s="18"/>
      <c r="Z908" s="18"/>
      <c r="AA908" s="6"/>
      <c r="AB908" s="6"/>
      <c r="AC908" s="6"/>
      <c r="AD908" s="6"/>
      <c r="AE908" s="6"/>
      <c r="AF908" s="18"/>
      <c r="AG908" s="18"/>
      <c r="AH908" s="18"/>
      <c r="AI908" s="18"/>
      <c r="AK908" s="18"/>
      <c r="AL908" s="18"/>
      <c r="AM908" s="40" t="s">
        <v>118</v>
      </c>
      <c r="AN908" s="18"/>
      <c r="AO908" s="6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6"/>
      <c r="BK908" s="6"/>
      <c r="BL908" s="6" t="s">
        <v>60</v>
      </c>
      <c r="BO908" s="15"/>
    </row>
    <row r="909" spans="1:67" ht="13.25" customHeight="1">
      <c r="A909" s="6" t="s">
        <v>56</v>
      </c>
      <c r="B909" s="6" t="s">
        <v>142</v>
      </c>
      <c r="C909" s="17">
        <v>33586.9807</v>
      </c>
      <c r="D909" s="18">
        <v>18.5</v>
      </c>
      <c r="E909" s="6"/>
      <c r="F909" s="6"/>
      <c r="G909" s="22"/>
      <c r="H909" s="22"/>
      <c r="I909" s="22"/>
      <c r="J909" s="22"/>
      <c r="K909" s="22"/>
      <c r="L909" s="22"/>
      <c r="M909" s="22"/>
      <c r="N909" s="18"/>
      <c r="O909" s="18"/>
      <c r="P909" s="22"/>
      <c r="Q909" s="22"/>
      <c r="R909" s="22"/>
      <c r="S909" s="22"/>
      <c r="T909" s="22"/>
      <c r="U909" s="22"/>
      <c r="V909" s="6"/>
      <c r="W909" s="18"/>
      <c r="X909" s="19"/>
      <c r="Y909" s="18"/>
      <c r="Z909" s="18"/>
      <c r="AA909" s="6"/>
      <c r="AB909" s="6"/>
      <c r="AC909" s="6"/>
      <c r="AD909" s="6"/>
      <c r="AE909" s="6"/>
      <c r="AF909" s="18"/>
      <c r="AG909" s="18"/>
      <c r="AH909" s="18"/>
      <c r="AI909" s="18"/>
      <c r="AK909" s="18"/>
      <c r="AL909" s="18"/>
      <c r="AM909" s="40" t="s">
        <v>118</v>
      </c>
      <c r="AN909" s="18"/>
      <c r="AO909" s="6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6"/>
      <c r="BK909" s="6"/>
      <c r="BL909" s="6" t="s">
        <v>60</v>
      </c>
      <c r="BO909" s="15"/>
    </row>
    <row r="910" spans="1:67" ht="13.25" customHeight="1">
      <c r="A910" s="6" t="s">
        <v>56</v>
      </c>
      <c r="B910" s="6" t="s">
        <v>142</v>
      </c>
      <c r="C910" s="17">
        <v>33678.291250000002</v>
      </c>
      <c r="D910" s="18">
        <v>18.75</v>
      </c>
      <c r="E910" s="6"/>
      <c r="F910" s="6"/>
      <c r="G910" s="22"/>
      <c r="H910" s="22"/>
      <c r="I910" s="22"/>
      <c r="J910" s="22"/>
      <c r="K910" s="22"/>
      <c r="L910" s="22"/>
      <c r="M910" s="22"/>
      <c r="N910" s="18"/>
      <c r="O910" s="18"/>
      <c r="P910" s="22"/>
      <c r="Q910" s="22"/>
      <c r="R910" s="22"/>
      <c r="S910" s="22"/>
      <c r="T910" s="22"/>
      <c r="U910" s="22"/>
      <c r="V910" s="6"/>
      <c r="W910" s="18"/>
      <c r="X910" s="19"/>
      <c r="Y910" s="18"/>
      <c r="Z910" s="18"/>
      <c r="AA910" s="6"/>
      <c r="AB910" s="6"/>
      <c r="AC910" s="6"/>
      <c r="AD910" s="6"/>
      <c r="AE910" s="6"/>
      <c r="AF910" s="18"/>
      <c r="AG910" s="18"/>
      <c r="AH910" s="18"/>
      <c r="AI910" s="18"/>
      <c r="AK910" s="18"/>
      <c r="AL910" s="18"/>
      <c r="AM910" s="40" t="s">
        <v>118</v>
      </c>
      <c r="AN910" s="18"/>
      <c r="AO910" s="6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6"/>
      <c r="BK910" s="6"/>
      <c r="BL910" s="6" t="s">
        <v>60</v>
      </c>
      <c r="BO910" s="15"/>
    </row>
    <row r="911" spans="1:67">
      <c r="A911" s="6" t="s">
        <v>56</v>
      </c>
      <c r="B911" s="6" t="s">
        <v>142</v>
      </c>
      <c r="C911" s="17">
        <v>33769.601800000004</v>
      </c>
      <c r="D911" s="18">
        <v>19</v>
      </c>
      <c r="E911" s="6"/>
      <c r="F911" s="6"/>
      <c r="G911" s="22"/>
      <c r="H911" s="22"/>
      <c r="I911" s="22"/>
      <c r="J911" s="22"/>
      <c r="K911" s="22"/>
      <c r="L911" s="22"/>
      <c r="M911" s="22"/>
      <c r="N911" s="18"/>
      <c r="O911" s="18"/>
      <c r="P911" s="22"/>
      <c r="Q911" s="22"/>
      <c r="R911" s="22"/>
      <c r="S911" s="22"/>
      <c r="T911" s="22"/>
      <c r="U911" s="22"/>
      <c r="V911" s="6"/>
      <c r="W911" s="18"/>
      <c r="X911" s="19"/>
      <c r="Y911" s="18"/>
      <c r="Z911" s="18"/>
      <c r="AA911" s="6"/>
      <c r="AB911" s="6"/>
      <c r="AC911" s="6"/>
      <c r="AD911" s="6"/>
      <c r="AE911" s="6"/>
      <c r="AF911" s="18"/>
      <c r="AG911" s="18"/>
      <c r="AH911" s="18"/>
      <c r="AI911" s="18"/>
      <c r="AK911" s="18"/>
      <c r="AL911" s="18"/>
      <c r="AM911" s="40" t="s">
        <v>118</v>
      </c>
      <c r="AN911" s="18"/>
      <c r="AO911" s="6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6"/>
      <c r="BK911" s="6"/>
      <c r="BL911" s="6" t="s">
        <v>60</v>
      </c>
      <c r="BO911" s="15"/>
    </row>
    <row r="912" spans="1:67" ht="13.25" customHeight="1">
      <c r="A912" s="6" t="s">
        <v>56</v>
      </c>
      <c r="B912" s="6" t="s">
        <v>142</v>
      </c>
      <c r="C912" s="17">
        <v>34134.843999999997</v>
      </c>
      <c r="D912" s="18">
        <v>20</v>
      </c>
      <c r="E912" s="6"/>
      <c r="F912" s="6"/>
      <c r="G912" s="22"/>
      <c r="H912" s="22"/>
      <c r="I912" s="22"/>
      <c r="J912" s="22"/>
      <c r="K912" s="22"/>
      <c r="L912" s="22"/>
      <c r="M912" s="22"/>
      <c r="N912" s="18"/>
      <c r="O912" s="18"/>
      <c r="P912" s="22"/>
      <c r="Q912" s="22"/>
      <c r="R912" s="22"/>
      <c r="S912" s="22"/>
      <c r="T912" s="22"/>
      <c r="U912" s="22"/>
      <c r="V912" s="6"/>
      <c r="W912" s="6"/>
      <c r="X912" s="19"/>
      <c r="Y912" s="6"/>
      <c r="Z912" s="6"/>
      <c r="AA912" s="6"/>
      <c r="AB912" s="6"/>
      <c r="AC912" s="6"/>
      <c r="AD912" s="6"/>
      <c r="AE912" s="6"/>
      <c r="AF912" s="18"/>
      <c r="AG912" s="18"/>
      <c r="AH912" s="18"/>
      <c r="AI912" s="18"/>
      <c r="AK912" s="18"/>
      <c r="AL912" s="18"/>
      <c r="AM912" s="40" t="s">
        <v>118</v>
      </c>
      <c r="AN912" s="18"/>
      <c r="AO912" s="6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6"/>
      <c r="BK912" s="6"/>
      <c r="BL912" s="6" t="s">
        <v>60</v>
      </c>
      <c r="BO912" s="15"/>
    </row>
    <row r="913" spans="1:67" ht="13.25" customHeight="1">
      <c r="A913" s="6" t="s">
        <v>61</v>
      </c>
      <c r="B913" s="6"/>
      <c r="C913" s="17">
        <v>26861</v>
      </c>
      <c r="D913" s="18">
        <v>0</v>
      </c>
      <c r="E913" s="23">
        <v>100</v>
      </c>
      <c r="F913" s="23">
        <v>2220</v>
      </c>
      <c r="G913" s="22"/>
      <c r="H913" s="22"/>
      <c r="I913" s="22"/>
      <c r="J913" s="22"/>
      <c r="K913" s="22"/>
      <c r="L913" s="22"/>
      <c r="M913" s="22"/>
      <c r="N913" s="18"/>
      <c r="O913" s="18"/>
      <c r="P913" s="22"/>
      <c r="Q913" s="22"/>
      <c r="R913" s="22"/>
      <c r="S913" s="22"/>
      <c r="T913" s="22"/>
      <c r="U913" s="22"/>
      <c r="V913" s="23"/>
      <c r="W913" s="23"/>
      <c r="X913" s="19"/>
      <c r="Y913" s="23"/>
      <c r="Z913" s="23"/>
      <c r="AA913" s="23"/>
      <c r="AB913" s="23"/>
      <c r="AC913" s="23"/>
      <c r="AD913" s="23"/>
      <c r="AE913" s="23">
        <v>0.15</v>
      </c>
      <c r="AF913" s="18"/>
      <c r="AG913" s="18"/>
      <c r="AH913" s="18"/>
      <c r="AI913" s="18"/>
      <c r="AK913" s="18"/>
      <c r="AL913" s="18"/>
      <c r="AM913" s="40" t="s">
        <v>118</v>
      </c>
      <c r="AN913" s="18"/>
      <c r="AO913" s="23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23"/>
      <c r="BK913" s="23"/>
      <c r="BL913" s="6" t="s">
        <v>62</v>
      </c>
      <c r="BO913" s="15"/>
    </row>
    <row r="914" spans="1:67" ht="13.25" customHeight="1">
      <c r="A914" s="6" t="s">
        <v>61</v>
      </c>
      <c r="B914" s="6"/>
      <c r="C914" s="17">
        <v>27590.484400000001</v>
      </c>
      <c r="D914" s="6">
        <v>2</v>
      </c>
      <c r="E914" s="23">
        <v>88.738738738738732</v>
      </c>
      <c r="F914" s="23">
        <v>1970</v>
      </c>
      <c r="G914" s="22">
        <v>0</v>
      </c>
      <c r="H914" s="22">
        <v>90</v>
      </c>
      <c r="I914" s="22"/>
      <c r="J914" s="22">
        <v>50</v>
      </c>
      <c r="K914" s="22">
        <v>50</v>
      </c>
      <c r="L914" s="22">
        <v>20</v>
      </c>
      <c r="M914" s="22">
        <v>50</v>
      </c>
      <c r="N914" s="18"/>
      <c r="O914" s="18"/>
      <c r="P914" s="22">
        <v>70</v>
      </c>
      <c r="Q914" s="22">
        <v>120</v>
      </c>
      <c r="R914" s="22"/>
      <c r="S914" s="22"/>
      <c r="T914" s="22">
        <v>210</v>
      </c>
      <c r="U914" s="22"/>
      <c r="V914" s="6"/>
      <c r="W914" s="23">
        <v>0.57295779513082323</v>
      </c>
      <c r="X914" s="19"/>
      <c r="Y914" s="23"/>
      <c r="Z914" s="23"/>
      <c r="AA914" s="23"/>
      <c r="AB914" s="23"/>
      <c r="AC914" s="23"/>
      <c r="AD914" s="23"/>
      <c r="AE914" s="23"/>
      <c r="AF914" s="18">
        <v>1.6</v>
      </c>
      <c r="AG914" s="18">
        <v>1.3452442528293005</v>
      </c>
      <c r="AH914" s="18"/>
      <c r="AI914" s="18">
        <v>0.28000000000000003</v>
      </c>
      <c r="AK914" s="18"/>
      <c r="AL914" s="18"/>
      <c r="AM914" s="40" t="s">
        <v>118</v>
      </c>
      <c r="AN914" s="18"/>
      <c r="AO914" s="23"/>
      <c r="AP914" s="32"/>
      <c r="AQ914" s="32">
        <v>1.1777777777777778E-2</v>
      </c>
      <c r="AR914" s="32"/>
      <c r="AS914" s="32"/>
      <c r="AT914" s="32"/>
      <c r="AU914" s="32"/>
      <c r="AV914" s="32"/>
      <c r="AW914" s="32"/>
      <c r="AX914" s="32">
        <v>2.3860000000000001</v>
      </c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23"/>
      <c r="BK914" s="23"/>
      <c r="BL914" s="6" t="s">
        <v>62</v>
      </c>
      <c r="BO914" s="15"/>
    </row>
    <row r="915" spans="1:67" ht="13.25" customHeight="1">
      <c r="A915" s="6" t="s">
        <v>61</v>
      </c>
      <c r="B915" s="6"/>
      <c r="C915" s="17">
        <v>27955.726600000002</v>
      </c>
      <c r="D915" s="6">
        <v>3</v>
      </c>
      <c r="E915" s="23">
        <v>88.288288288288285</v>
      </c>
      <c r="F915" s="23">
        <v>1960</v>
      </c>
      <c r="G915" s="22">
        <v>0</v>
      </c>
      <c r="H915" s="22">
        <v>240</v>
      </c>
      <c r="I915" s="22"/>
      <c r="J915" s="22">
        <v>170.00000000000003</v>
      </c>
      <c r="K915" s="22">
        <v>170.00000000000003</v>
      </c>
      <c r="L915" s="22">
        <v>40</v>
      </c>
      <c r="M915" s="22">
        <v>250</v>
      </c>
      <c r="N915" s="18"/>
      <c r="O915" s="18"/>
      <c r="P915" s="22">
        <v>290</v>
      </c>
      <c r="Q915" s="22">
        <v>460</v>
      </c>
      <c r="R915" s="22"/>
      <c r="S915" s="22"/>
      <c r="T915" s="22">
        <v>700</v>
      </c>
      <c r="U915" s="10"/>
      <c r="V915" s="34">
        <v>5.5067610309795789E-3</v>
      </c>
      <c r="W915" s="23">
        <v>1.3369015219719209</v>
      </c>
      <c r="X915" s="19"/>
      <c r="Y915" s="23"/>
      <c r="Z915" s="23"/>
      <c r="AA915" s="23"/>
      <c r="AB915" s="23"/>
      <c r="AC915" s="23"/>
      <c r="AD915" s="23"/>
      <c r="AE915" s="23"/>
      <c r="AF915" s="18">
        <v>2.6</v>
      </c>
      <c r="AG915" s="18">
        <v>3.7975516930514694</v>
      </c>
      <c r="AH915" s="18"/>
      <c r="AI915" s="18">
        <v>2.2200000000000002</v>
      </c>
      <c r="AK915" s="18"/>
      <c r="AL915" s="18"/>
      <c r="AM915" s="40" t="s">
        <v>118</v>
      </c>
      <c r="AN915" s="18"/>
      <c r="AO915" s="23"/>
      <c r="AP915" s="32"/>
      <c r="AQ915" s="32">
        <v>1.4416666666666666E-2</v>
      </c>
      <c r="AR915" s="32"/>
      <c r="AS915" s="32"/>
      <c r="AT915" s="32"/>
      <c r="AU915" s="32"/>
      <c r="AV915" s="32"/>
      <c r="AW915" s="32"/>
      <c r="AX915" s="32">
        <v>5.777000000000001</v>
      </c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23"/>
      <c r="BK915" s="23"/>
      <c r="BL915" s="6" t="s">
        <v>62</v>
      </c>
      <c r="BO915" s="15"/>
    </row>
    <row r="916" spans="1:67">
      <c r="A916" s="6" t="s">
        <v>61</v>
      </c>
      <c r="B916" s="6"/>
      <c r="C916" s="17">
        <v>28320.968799999999</v>
      </c>
      <c r="D916" s="6">
        <v>4</v>
      </c>
      <c r="E916" s="23">
        <v>88.288288288288285</v>
      </c>
      <c r="F916" s="23">
        <v>1960</v>
      </c>
      <c r="G916" s="22">
        <v>0</v>
      </c>
      <c r="H916" s="22">
        <v>800</v>
      </c>
      <c r="I916" s="22"/>
      <c r="J916" s="22">
        <v>700</v>
      </c>
      <c r="K916" s="22">
        <v>700</v>
      </c>
      <c r="L916" s="22">
        <v>130</v>
      </c>
      <c r="M916" s="22">
        <v>730</v>
      </c>
      <c r="N916" s="18"/>
      <c r="O916" s="18"/>
      <c r="P916" s="22">
        <v>860</v>
      </c>
      <c r="Q916" s="22">
        <v>1560</v>
      </c>
      <c r="R916" s="22"/>
      <c r="S916" s="22"/>
      <c r="T916" s="22">
        <v>2360</v>
      </c>
      <c r="U916" s="10"/>
      <c r="V916" s="34">
        <v>6.0478878374920228E-3</v>
      </c>
      <c r="W916" s="23">
        <v>4.45633840657307</v>
      </c>
      <c r="X916" s="19"/>
      <c r="Y916" s="23"/>
      <c r="Z916" s="23"/>
      <c r="AA916" s="23"/>
      <c r="AB916" s="23"/>
      <c r="AC916" s="23"/>
      <c r="AD916" s="23"/>
      <c r="AE916" s="23"/>
      <c r="AF916" s="18">
        <v>3.8</v>
      </c>
      <c r="AG916" s="18">
        <v>6.6316491464530074</v>
      </c>
      <c r="AH916" s="18"/>
      <c r="AI916" s="18">
        <v>6.77</v>
      </c>
      <c r="AK916" s="18"/>
      <c r="AL916" s="18"/>
      <c r="AM916" s="40" t="s">
        <v>118</v>
      </c>
      <c r="AN916" s="18"/>
      <c r="AO916" s="23"/>
      <c r="AP916" s="32"/>
      <c r="AQ916" s="32">
        <v>1.5025000000000002E-2</v>
      </c>
      <c r="AR916" s="32"/>
      <c r="AS916" s="32"/>
      <c r="AT916" s="32"/>
      <c r="AU916" s="32"/>
      <c r="AV916" s="32"/>
      <c r="AW916" s="32"/>
      <c r="AX916" s="32">
        <v>17.087</v>
      </c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23"/>
      <c r="BK916" s="23"/>
      <c r="BL916" s="6" t="s">
        <v>62</v>
      </c>
      <c r="BO916" s="15"/>
    </row>
    <row r="917" spans="1:67" ht="13.25" customHeight="1">
      <c r="A917" s="6" t="s">
        <v>61</v>
      </c>
      <c r="B917" s="6"/>
      <c r="C917" s="17">
        <v>28686.210999999999</v>
      </c>
      <c r="D917" s="6">
        <v>5</v>
      </c>
      <c r="E917" s="23">
        <v>87.837837837837839</v>
      </c>
      <c r="F917" s="23">
        <v>1950</v>
      </c>
      <c r="G917" s="22">
        <v>10</v>
      </c>
      <c r="H917" s="22">
        <v>1250</v>
      </c>
      <c r="I917" s="22"/>
      <c r="J917" s="22">
        <v>1410</v>
      </c>
      <c r="K917" s="22">
        <v>1420</v>
      </c>
      <c r="L917" s="22">
        <v>200</v>
      </c>
      <c r="M917" s="22">
        <v>1510</v>
      </c>
      <c r="N917" s="18"/>
      <c r="O917" s="18"/>
      <c r="P917" s="22">
        <v>1710.0000000000002</v>
      </c>
      <c r="Q917" s="22">
        <v>3120</v>
      </c>
      <c r="R917" s="22"/>
      <c r="S917" s="22"/>
      <c r="T917" s="22">
        <v>4380</v>
      </c>
      <c r="U917" s="10"/>
      <c r="V917" s="34">
        <v>5.8569019057817485E-3</v>
      </c>
      <c r="W917" s="23">
        <v>6.3980287122941935</v>
      </c>
      <c r="X917" s="19"/>
      <c r="Y917" s="23"/>
      <c r="Z917" s="23"/>
      <c r="AA917" s="23"/>
      <c r="AB917" s="23"/>
      <c r="AC917" s="23"/>
      <c r="AD917" s="23"/>
      <c r="AE917" s="23"/>
      <c r="AF917" s="18">
        <v>5.7</v>
      </c>
      <c r="AG917" s="18">
        <v>10.157024044040933</v>
      </c>
      <c r="AH917" s="18"/>
      <c r="AI917" s="18">
        <v>15.8</v>
      </c>
      <c r="AK917" s="18"/>
      <c r="AL917" s="18">
        <v>47.7</v>
      </c>
      <c r="AM917" s="40"/>
      <c r="AN917" s="18"/>
      <c r="AO917" s="23">
        <v>317</v>
      </c>
      <c r="AP917" s="32"/>
      <c r="AQ917" s="32">
        <v>1.5256E-2</v>
      </c>
      <c r="AR917" s="32"/>
      <c r="AS917" s="32"/>
      <c r="AT917" s="32"/>
      <c r="AU917" s="32"/>
      <c r="AV917" s="32"/>
      <c r="AW917" s="32"/>
      <c r="AX917" s="32">
        <v>28.094999999999999</v>
      </c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23"/>
      <c r="BK917" s="23"/>
      <c r="BL917" s="6" t="s">
        <v>62</v>
      </c>
      <c r="BO917" s="15"/>
    </row>
    <row r="918" spans="1:67" ht="13.25" customHeight="1">
      <c r="A918" s="6" t="s">
        <v>61</v>
      </c>
      <c r="B918" s="6"/>
      <c r="C918" s="17">
        <v>29047.800778000001</v>
      </c>
      <c r="D918" s="6">
        <v>5.99</v>
      </c>
      <c r="E918" s="23">
        <v>87.837837837837839</v>
      </c>
      <c r="F918" s="23">
        <v>1950</v>
      </c>
      <c r="G918" s="22">
        <v>0</v>
      </c>
      <c r="H918" s="22">
        <v>1889.9999999999998</v>
      </c>
      <c r="I918" s="22"/>
      <c r="J918" s="22">
        <v>2150</v>
      </c>
      <c r="K918" s="22">
        <v>2150</v>
      </c>
      <c r="L918" s="22">
        <v>380</v>
      </c>
      <c r="M918" s="22">
        <v>2440</v>
      </c>
      <c r="N918" s="18"/>
      <c r="O918" s="18"/>
      <c r="P918" s="22">
        <v>2820</v>
      </c>
      <c r="Q918" s="22">
        <v>4970</v>
      </c>
      <c r="R918" s="22"/>
      <c r="S918" s="22"/>
      <c r="T918" s="22">
        <v>6860</v>
      </c>
      <c r="U918" s="10"/>
      <c r="V918" s="6"/>
      <c r="W918" s="23">
        <v>9.899437460315891</v>
      </c>
      <c r="X918" s="19"/>
      <c r="Y918" s="23"/>
      <c r="Z918" s="23"/>
      <c r="AA918" s="23"/>
      <c r="AB918" s="23"/>
      <c r="AC918" s="23"/>
      <c r="AD918" s="23"/>
      <c r="AE918" s="23"/>
      <c r="AF918" s="18">
        <v>8.4</v>
      </c>
      <c r="AG918" s="18">
        <v>12.570299347501685</v>
      </c>
      <c r="AH918" s="18"/>
      <c r="AI918" s="18">
        <v>24.2</v>
      </c>
      <c r="AK918" s="18"/>
      <c r="AL918" s="18">
        <v>84.3</v>
      </c>
      <c r="AM918" s="40"/>
      <c r="AN918" s="18"/>
      <c r="AO918" s="23">
        <v>289</v>
      </c>
      <c r="AP918" s="32"/>
      <c r="AQ918" s="32">
        <v>1.4523809523809526E-2</v>
      </c>
      <c r="AR918" s="32"/>
      <c r="AS918" s="32"/>
      <c r="AT918" s="32"/>
      <c r="AU918" s="32"/>
      <c r="AV918" s="32"/>
      <c r="AW918" s="32"/>
      <c r="AX918" s="32">
        <v>36.758000000000003</v>
      </c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23"/>
      <c r="BK918" s="23"/>
      <c r="BL918" s="6" t="s">
        <v>62</v>
      </c>
      <c r="BO918" s="15"/>
    </row>
    <row r="919" spans="1:67" ht="13.25" customHeight="1">
      <c r="A919" s="6" t="s">
        <v>61</v>
      </c>
      <c r="B919" s="6"/>
      <c r="C919" s="17">
        <v>29051.4532</v>
      </c>
      <c r="D919" s="6">
        <v>6</v>
      </c>
      <c r="E919" s="23">
        <v>22.297297297297298</v>
      </c>
      <c r="F919" s="23">
        <v>495</v>
      </c>
      <c r="G919" s="22">
        <v>0</v>
      </c>
      <c r="H919" s="22">
        <v>360</v>
      </c>
      <c r="I919" s="22"/>
      <c r="J919" s="22">
        <v>459.99999999999994</v>
      </c>
      <c r="K919" s="22">
        <v>459.99999999999994</v>
      </c>
      <c r="L919" s="22">
        <v>130</v>
      </c>
      <c r="M919" s="22">
        <v>860</v>
      </c>
      <c r="N919" s="18"/>
      <c r="O919" s="18"/>
      <c r="P919" s="22">
        <v>990</v>
      </c>
      <c r="Q919" s="22">
        <v>1450</v>
      </c>
      <c r="R919" s="22"/>
      <c r="S919" s="22"/>
      <c r="T919" s="22">
        <v>1810</v>
      </c>
      <c r="U919" s="10"/>
      <c r="V919" s="34">
        <v>5.8250709171633695E-3</v>
      </c>
      <c r="W919" s="23">
        <v>2.1645072260497766</v>
      </c>
      <c r="X919" s="19"/>
      <c r="Y919" s="23"/>
      <c r="Z919" s="23"/>
      <c r="AA919" s="23"/>
      <c r="AB919" s="23"/>
      <c r="AC919" s="23"/>
      <c r="AD919" s="23"/>
      <c r="AE919" s="23"/>
      <c r="AF919" s="18">
        <v>8.4</v>
      </c>
      <c r="AG919" s="18">
        <v>14.838483756073707</v>
      </c>
      <c r="AH919" s="18"/>
      <c r="AI919" s="18">
        <v>8.56</v>
      </c>
      <c r="AK919" s="18"/>
      <c r="AL919" s="18">
        <v>29.8</v>
      </c>
      <c r="AM919" s="40" t="s">
        <v>118</v>
      </c>
      <c r="AN919" s="18"/>
      <c r="AO919" s="23">
        <v>289</v>
      </c>
      <c r="AP919" s="32"/>
      <c r="AQ919" s="32">
        <v>1.5277777777777777E-2</v>
      </c>
      <c r="AR919" s="32"/>
      <c r="AS919" s="32"/>
      <c r="AT919" s="32"/>
      <c r="AU919" s="32"/>
      <c r="AV919" s="32"/>
      <c r="AW919" s="32"/>
      <c r="AX919" s="32">
        <v>8.995000000000001</v>
      </c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23"/>
      <c r="BK919" s="23"/>
      <c r="BL919" s="6" t="s">
        <v>62</v>
      </c>
      <c r="BO919" s="15"/>
    </row>
    <row r="920" spans="1:67" ht="13.25" customHeight="1">
      <c r="A920" s="6" t="s">
        <v>61</v>
      </c>
      <c r="B920" s="6"/>
      <c r="C920" s="17">
        <v>29416.695400000001</v>
      </c>
      <c r="D920" s="6">
        <v>7</v>
      </c>
      <c r="E920" s="23">
        <v>22.297297297297298</v>
      </c>
      <c r="F920" s="23">
        <v>495</v>
      </c>
      <c r="G920" s="22">
        <v>10</v>
      </c>
      <c r="H920" s="22">
        <v>480</v>
      </c>
      <c r="I920" s="22"/>
      <c r="J920" s="22">
        <v>800</v>
      </c>
      <c r="K920" s="22">
        <v>810</v>
      </c>
      <c r="L920" s="22">
        <v>200</v>
      </c>
      <c r="M920" s="22">
        <v>1630</v>
      </c>
      <c r="N920" s="18"/>
      <c r="O920" s="18"/>
      <c r="P920" s="22">
        <v>1830</v>
      </c>
      <c r="Q920" s="22">
        <v>2630</v>
      </c>
      <c r="R920" s="22"/>
      <c r="S920" s="22"/>
      <c r="T920" s="22">
        <v>3120</v>
      </c>
      <c r="U920" s="10"/>
      <c r="V920" s="6"/>
      <c r="W920" s="23">
        <v>2.5783100780887045</v>
      </c>
      <c r="X920" s="19"/>
      <c r="Y920" s="23"/>
      <c r="Z920" s="23"/>
      <c r="AA920" s="23"/>
      <c r="AB920" s="23"/>
      <c r="AC920" s="23"/>
      <c r="AD920" s="23"/>
      <c r="AE920" s="23"/>
      <c r="AF920" s="18">
        <v>9.6</v>
      </c>
      <c r="AG920" s="18">
        <v>18.426362420514121</v>
      </c>
      <c r="AH920" s="18"/>
      <c r="AI920" s="18">
        <v>13.2</v>
      </c>
      <c r="AK920" s="18"/>
      <c r="AL920" s="18">
        <v>55.1</v>
      </c>
      <c r="AM920" s="40" t="s">
        <v>118</v>
      </c>
      <c r="AN920" s="18"/>
      <c r="AO920" s="23">
        <v>296</v>
      </c>
      <c r="AP920" s="32"/>
      <c r="AQ920" s="32">
        <v>1.497916666666667E-2</v>
      </c>
      <c r="AR920" s="32"/>
      <c r="AS920" s="32"/>
      <c r="AT920" s="32"/>
      <c r="AU920" s="32"/>
      <c r="AV920" s="32"/>
      <c r="AW920" s="32"/>
      <c r="AX920" s="32">
        <v>15.559000000000001</v>
      </c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23"/>
      <c r="BK920" s="23"/>
      <c r="BL920" s="6" t="s">
        <v>62</v>
      </c>
      <c r="BO920" s="15"/>
    </row>
    <row r="921" spans="1:67" ht="13.25" customHeight="1">
      <c r="A921" s="6" t="s">
        <v>61</v>
      </c>
      <c r="B921" s="6"/>
      <c r="C921" s="17">
        <v>29781.937600000001</v>
      </c>
      <c r="D921" s="6">
        <v>8</v>
      </c>
      <c r="E921" s="23">
        <v>22.297297297297298</v>
      </c>
      <c r="F921" s="23">
        <v>495</v>
      </c>
      <c r="G921" s="22">
        <v>0</v>
      </c>
      <c r="H921" s="22">
        <v>860</v>
      </c>
      <c r="I921" s="22"/>
      <c r="J921" s="22">
        <v>1480</v>
      </c>
      <c r="K921" s="22">
        <v>1480</v>
      </c>
      <c r="L921" s="22">
        <v>340</v>
      </c>
      <c r="M921" s="22">
        <v>2880</v>
      </c>
      <c r="N921" s="18"/>
      <c r="O921" s="18"/>
      <c r="P921" s="22">
        <v>3220.0000000000005</v>
      </c>
      <c r="Q921" s="22">
        <v>4700</v>
      </c>
      <c r="R921" s="22"/>
      <c r="S921" s="22"/>
      <c r="T921" s="22">
        <v>5560</v>
      </c>
      <c r="U921" s="10"/>
      <c r="V921" s="34">
        <v>5.0611271903222722E-3</v>
      </c>
      <c r="W921" s="23">
        <v>4.5836623610465859</v>
      </c>
      <c r="X921" s="19"/>
      <c r="Y921" s="23"/>
      <c r="Z921" s="23"/>
      <c r="AA921" s="23"/>
      <c r="AB921" s="23"/>
      <c r="AC921" s="23"/>
      <c r="AD921" s="23"/>
      <c r="AE921" s="23"/>
      <c r="AF921" s="18">
        <v>11.3</v>
      </c>
      <c r="AG921" s="18">
        <v>22.22302923634555</v>
      </c>
      <c r="AH921" s="18"/>
      <c r="AI921" s="18">
        <v>19.2</v>
      </c>
      <c r="AK921" s="18"/>
      <c r="AL921" s="18">
        <v>93.9</v>
      </c>
      <c r="AM921" s="40" t="s">
        <v>118</v>
      </c>
      <c r="AN921" s="18"/>
      <c r="AO921" s="23">
        <v>307</v>
      </c>
      <c r="AP921" s="32"/>
      <c r="AQ921" s="32">
        <v>1.4918604651162794E-2</v>
      </c>
      <c r="AR921" s="32"/>
      <c r="AS921" s="32"/>
      <c r="AT921" s="32"/>
      <c r="AU921" s="32"/>
      <c r="AV921" s="32"/>
      <c r="AW921" s="32"/>
      <c r="AX921" s="32">
        <v>23.824000000000002</v>
      </c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23"/>
      <c r="BK921" s="23"/>
      <c r="BL921" s="6" t="s">
        <v>62</v>
      </c>
      <c r="BO921" s="15"/>
    </row>
    <row r="922" spans="1:67" ht="13.25" customHeight="1">
      <c r="A922" s="6" t="s">
        <v>61</v>
      </c>
      <c r="B922" s="6"/>
      <c r="C922" s="17">
        <v>30147.179800000002</v>
      </c>
      <c r="D922" s="6">
        <v>9</v>
      </c>
      <c r="E922" s="23">
        <v>22.297297297297298</v>
      </c>
      <c r="F922" s="23">
        <v>495</v>
      </c>
      <c r="G922" s="22">
        <v>50</v>
      </c>
      <c r="H922" s="22">
        <v>1170</v>
      </c>
      <c r="I922" s="22"/>
      <c r="J922" s="22">
        <v>2150</v>
      </c>
      <c r="K922" s="22">
        <v>2200</v>
      </c>
      <c r="L922" s="22">
        <v>500</v>
      </c>
      <c r="M922" s="22">
        <v>4560</v>
      </c>
      <c r="N922" s="18"/>
      <c r="O922" s="18"/>
      <c r="P922" s="22">
        <v>5060</v>
      </c>
      <c r="Q922" s="22">
        <v>7210</v>
      </c>
      <c r="R922" s="22"/>
      <c r="S922" s="22"/>
      <c r="T922" s="22">
        <v>8430</v>
      </c>
      <c r="U922" s="10"/>
      <c r="V922" s="34">
        <v>4.7109863155201026E-3</v>
      </c>
      <c r="W922" s="23">
        <v>5.5704230082163368</v>
      </c>
      <c r="X922" s="19"/>
      <c r="Y922" s="23"/>
      <c r="Z922" s="23"/>
      <c r="AA922" s="23"/>
      <c r="AB922" s="23"/>
      <c r="AC922" s="23"/>
      <c r="AD922" s="23"/>
      <c r="AE922" s="23"/>
      <c r="AF922" s="18">
        <v>13.2</v>
      </c>
      <c r="AG922" s="18">
        <v>25.205836793512571</v>
      </c>
      <c r="AH922" s="18"/>
      <c r="AI922" s="18">
        <v>24.7</v>
      </c>
      <c r="AK922" s="18"/>
      <c r="AL922" s="18">
        <v>132.6</v>
      </c>
      <c r="AM922" s="40" t="s">
        <v>118</v>
      </c>
      <c r="AN922" s="18"/>
      <c r="AO922" s="23">
        <v>344</v>
      </c>
      <c r="AP922" s="32"/>
      <c r="AQ922" s="32">
        <v>1.4675213675213678E-2</v>
      </c>
      <c r="AR922" s="32"/>
      <c r="AS922" s="32"/>
      <c r="AT922" s="32"/>
      <c r="AU922" s="32"/>
      <c r="AV922" s="32"/>
      <c r="AW922" s="32"/>
      <c r="AX922" s="32">
        <v>28.786000000000001</v>
      </c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23"/>
      <c r="BK922" s="23"/>
      <c r="BL922" s="6" t="s">
        <v>62</v>
      </c>
      <c r="BO922" s="15"/>
    </row>
    <row r="923" spans="1:67" ht="13.25" customHeight="1">
      <c r="A923" s="6" t="s">
        <v>61</v>
      </c>
      <c r="B923" s="6"/>
      <c r="C923" s="17">
        <v>30508.769577999999</v>
      </c>
      <c r="D923" s="6">
        <v>9.99</v>
      </c>
      <c r="E923" s="23">
        <v>22.297297297297298</v>
      </c>
      <c r="F923" s="23">
        <v>495</v>
      </c>
      <c r="G923" s="22">
        <v>60</v>
      </c>
      <c r="H923" s="22">
        <v>1140</v>
      </c>
      <c r="I923" s="22"/>
      <c r="J923" s="22">
        <v>3270.0000000000005</v>
      </c>
      <c r="K923" s="22">
        <v>3330.0000000000005</v>
      </c>
      <c r="L923" s="22">
        <v>610</v>
      </c>
      <c r="M923" s="22">
        <v>5480</v>
      </c>
      <c r="N923" s="18"/>
      <c r="O923" s="18"/>
      <c r="P923" s="22">
        <v>6090</v>
      </c>
      <c r="Q923" s="22">
        <v>9360</v>
      </c>
      <c r="R923" s="22"/>
      <c r="S923" s="22"/>
      <c r="T923" s="22">
        <v>10560</v>
      </c>
      <c r="U923" s="10"/>
      <c r="V923" s="6"/>
      <c r="W923" s="23">
        <v>5.79323992854499</v>
      </c>
      <c r="X923" s="19"/>
      <c r="Y923" s="23"/>
      <c r="Z923" s="23"/>
      <c r="AA923" s="23"/>
      <c r="AB923" s="23"/>
      <c r="AC923" s="23"/>
      <c r="AD923" s="23"/>
      <c r="AE923" s="23"/>
      <c r="AF923" s="18">
        <v>15.4</v>
      </c>
      <c r="AG923" s="18">
        <v>27.871228686279956</v>
      </c>
      <c r="AH923" s="18"/>
      <c r="AI923" s="18">
        <v>30.2</v>
      </c>
      <c r="AK923" s="18"/>
      <c r="AL923" s="18">
        <v>160.1</v>
      </c>
      <c r="AM923" s="40" t="s">
        <v>118</v>
      </c>
      <c r="AN923" s="18"/>
      <c r="AO923" s="23">
        <v>342</v>
      </c>
      <c r="AP923" s="32"/>
      <c r="AQ923" s="32">
        <v>1.482456140350877E-2</v>
      </c>
      <c r="AR923" s="32"/>
      <c r="AS923" s="32"/>
      <c r="AT923" s="32"/>
      <c r="AU923" s="32"/>
      <c r="AV923" s="32"/>
      <c r="AW923" s="32"/>
      <c r="AX923" s="32">
        <v>32.752000000000002</v>
      </c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23"/>
      <c r="BK923" s="23"/>
      <c r="BL923" s="6" t="s">
        <v>62</v>
      </c>
      <c r="BO923" s="15"/>
    </row>
    <row r="924" spans="1:67" ht="13.25" customHeight="1">
      <c r="A924" s="6" t="s">
        <v>61</v>
      </c>
      <c r="B924" s="6"/>
      <c r="C924" s="17">
        <v>30512.421999999999</v>
      </c>
      <c r="D924" s="6">
        <v>10</v>
      </c>
      <c r="E924" s="23">
        <v>7.1621621621621623</v>
      </c>
      <c r="F924" s="23">
        <v>159</v>
      </c>
      <c r="G924" s="22">
        <v>20</v>
      </c>
      <c r="H924" s="22">
        <v>380</v>
      </c>
      <c r="I924" s="22"/>
      <c r="J924" s="22">
        <v>1090</v>
      </c>
      <c r="K924" s="22">
        <v>1110</v>
      </c>
      <c r="L924" s="22">
        <v>200</v>
      </c>
      <c r="M924" s="22">
        <v>1820</v>
      </c>
      <c r="N924" s="18"/>
      <c r="O924" s="18"/>
      <c r="P924" s="22">
        <v>2020</v>
      </c>
      <c r="Q924" s="22">
        <v>3110</v>
      </c>
      <c r="R924" s="22"/>
      <c r="S924" s="22"/>
      <c r="T924" s="22">
        <v>3510</v>
      </c>
      <c r="U924" s="10"/>
      <c r="V924" s="34">
        <v>5.1566201561774085E-3</v>
      </c>
      <c r="W924" s="23">
        <v>1.941690305721123</v>
      </c>
      <c r="X924" s="19"/>
      <c r="Y924" s="23"/>
      <c r="Z924" s="23"/>
      <c r="AA924" s="23"/>
      <c r="AB924" s="23"/>
      <c r="AC924" s="23"/>
      <c r="AD924" s="23"/>
      <c r="AE924" s="23"/>
      <c r="AF924" s="18">
        <v>15.4</v>
      </c>
      <c r="AG924" s="18">
        <v>28.298061139836122</v>
      </c>
      <c r="AH924" s="18"/>
      <c r="AI924" s="18">
        <v>10</v>
      </c>
      <c r="AK924" s="18"/>
      <c r="AL924" s="18">
        <v>53.2</v>
      </c>
      <c r="AM924" s="40" t="s">
        <v>118</v>
      </c>
      <c r="AN924" s="18"/>
      <c r="AO924" s="23">
        <v>342</v>
      </c>
      <c r="AP924" s="32"/>
      <c r="AQ924" s="32">
        <v>1.4710526315789476E-2</v>
      </c>
      <c r="AR924" s="32"/>
      <c r="AS924" s="32"/>
      <c r="AT924" s="32"/>
      <c r="AU924" s="32"/>
      <c r="AV924" s="32"/>
      <c r="AW924" s="32"/>
      <c r="AX924" s="32">
        <v>10.88</v>
      </c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23"/>
      <c r="BK924" s="23"/>
      <c r="BL924" s="6" t="s">
        <v>62</v>
      </c>
      <c r="BO924" s="15"/>
    </row>
    <row r="925" spans="1:67" ht="13.25" customHeight="1">
      <c r="A925" s="6" t="s">
        <v>61</v>
      </c>
      <c r="B925" s="6"/>
      <c r="C925" s="17">
        <v>30877.664199999999</v>
      </c>
      <c r="D925" s="6">
        <v>11</v>
      </c>
      <c r="E925" s="23">
        <v>7.0270270270270272</v>
      </c>
      <c r="F925" s="23">
        <v>156</v>
      </c>
      <c r="G925" s="22">
        <v>50</v>
      </c>
      <c r="H925" s="22">
        <v>440.00000000000006</v>
      </c>
      <c r="I925" s="22"/>
      <c r="J925" s="22">
        <v>1520</v>
      </c>
      <c r="K925" s="22">
        <v>1570</v>
      </c>
      <c r="L925" s="22">
        <v>300</v>
      </c>
      <c r="M925" s="22">
        <v>3030</v>
      </c>
      <c r="N925" s="18"/>
      <c r="O925" s="18"/>
      <c r="P925" s="22">
        <v>3329.9999999999995</v>
      </c>
      <c r="Q925" s="22">
        <v>4850</v>
      </c>
      <c r="R925" s="22"/>
      <c r="S925" s="22"/>
      <c r="T925" s="22">
        <v>5340</v>
      </c>
      <c r="U925" s="10"/>
      <c r="V925" s="34">
        <v>4.6791553269017227E-3</v>
      </c>
      <c r="W925" s="23">
        <v>1.9735212943395024</v>
      </c>
      <c r="X925" s="19"/>
      <c r="Y925" s="23"/>
      <c r="Z925" s="23"/>
      <c r="AA925" s="23"/>
      <c r="AB925" s="23"/>
      <c r="AC925" s="23"/>
      <c r="AD925" s="23"/>
      <c r="AE925" s="23"/>
      <c r="AF925" s="18">
        <v>17.399999999999999</v>
      </c>
      <c r="AG925" s="18">
        <v>32.573514550366255</v>
      </c>
      <c r="AH925" s="18"/>
      <c r="AI925" s="18">
        <v>13</v>
      </c>
      <c r="AK925" s="18"/>
      <c r="AL925" s="18">
        <v>86.7</v>
      </c>
      <c r="AM925" s="40" t="s">
        <v>118</v>
      </c>
      <c r="AN925" s="18"/>
      <c r="AO925" s="23">
        <v>349</v>
      </c>
      <c r="AP925" s="32"/>
      <c r="AQ925" s="32">
        <v>1.4863636363636364E-2</v>
      </c>
      <c r="AR925" s="32"/>
      <c r="AS925" s="32"/>
      <c r="AT925" s="32"/>
      <c r="AU925" s="32"/>
      <c r="AV925" s="32"/>
      <c r="AW925" s="32"/>
      <c r="AX925" s="32">
        <v>16.393000000000001</v>
      </c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23"/>
      <c r="BK925" s="23"/>
      <c r="BL925" s="6" t="s">
        <v>62</v>
      </c>
      <c r="BO925" s="15"/>
    </row>
    <row r="926" spans="1:67" ht="13.25" customHeight="1">
      <c r="A926" s="6" t="s">
        <v>61</v>
      </c>
      <c r="B926" s="6"/>
      <c r="C926" s="17">
        <v>31242.9064</v>
      </c>
      <c r="D926" s="6">
        <v>12</v>
      </c>
      <c r="E926" s="23">
        <v>7.0270270270270272</v>
      </c>
      <c r="F926" s="23">
        <v>156</v>
      </c>
      <c r="G926" s="22">
        <v>80</v>
      </c>
      <c r="H926" s="22">
        <v>700</v>
      </c>
      <c r="I926" s="22"/>
      <c r="J926" s="22">
        <v>1940.0000000000002</v>
      </c>
      <c r="K926" s="22">
        <v>2020.0000000000002</v>
      </c>
      <c r="L926" s="22">
        <v>450</v>
      </c>
      <c r="M926" s="22">
        <v>4029.9999999999995</v>
      </c>
      <c r="N926" s="18"/>
      <c r="O926" s="18"/>
      <c r="P926" s="22">
        <v>4480</v>
      </c>
      <c r="Q926" s="22">
        <v>6420</v>
      </c>
      <c r="R926" s="22"/>
      <c r="S926" s="22"/>
      <c r="T926" s="22">
        <v>7200</v>
      </c>
      <c r="U926" s="10"/>
      <c r="V926" s="34">
        <v>4.7746482927568598E-3</v>
      </c>
      <c r="W926" s="23">
        <v>3.3740847935481812</v>
      </c>
      <c r="X926" s="19"/>
      <c r="Y926" s="23"/>
      <c r="Z926" s="23"/>
      <c r="AA926" s="23"/>
      <c r="AB926" s="23"/>
      <c r="AC926" s="23"/>
      <c r="AD926" s="23"/>
      <c r="AE926" s="23"/>
      <c r="AF926" s="18">
        <v>19.3</v>
      </c>
      <c r="AG926" s="18">
        <v>36.585994738079251</v>
      </c>
      <c r="AH926" s="18"/>
      <c r="AI926" s="18">
        <v>16.399999999999999</v>
      </c>
      <c r="AK926" s="18"/>
      <c r="AL926" s="18">
        <v>111.6</v>
      </c>
      <c r="AM926" s="40" t="s">
        <v>118</v>
      </c>
      <c r="AN926" s="18"/>
      <c r="AO926" s="23">
        <v>361</v>
      </c>
      <c r="AP926" s="32"/>
      <c r="AQ926" s="32">
        <v>1.4985714285714286E-2</v>
      </c>
      <c r="AR926" s="32"/>
      <c r="AS926" s="32"/>
      <c r="AT926" s="32"/>
      <c r="AU926" s="32"/>
      <c r="AV926" s="32"/>
      <c r="AW926" s="32"/>
      <c r="AX926" s="32">
        <v>21.397000000000002</v>
      </c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23"/>
      <c r="BK926" s="23"/>
      <c r="BL926" s="6" t="s">
        <v>62</v>
      </c>
      <c r="BO926" s="15"/>
    </row>
    <row r="927" spans="1:67" ht="13.25" customHeight="1">
      <c r="A927" s="6" t="s">
        <v>63</v>
      </c>
      <c r="B927" s="6"/>
      <c r="C927" s="17">
        <v>26861</v>
      </c>
      <c r="D927" s="18">
        <v>0</v>
      </c>
      <c r="E927" s="23">
        <v>100</v>
      </c>
      <c r="F927" s="23">
        <v>2220</v>
      </c>
      <c r="G927" s="22"/>
      <c r="H927" s="22"/>
      <c r="I927" s="22"/>
      <c r="J927" s="22"/>
      <c r="K927" s="22"/>
      <c r="L927" s="22"/>
      <c r="M927" s="22"/>
      <c r="N927" s="18"/>
      <c r="O927" s="18"/>
      <c r="P927" s="22"/>
      <c r="Q927" s="22"/>
      <c r="R927" s="22"/>
      <c r="S927" s="22"/>
      <c r="T927" s="22"/>
      <c r="U927" s="10"/>
      <c r="V927" s="23"/>
      <c r="W927" s="6"/>
      <c r="X927" s="19"/>
      <c r="Y927" s="23"/>
      <c r="Z927" s="23"/>
      <c r="AA927" s="23"/>
      <c r="AB927" s="23"/>
      <c r="AC927" s="23"/>
      <c r="AD927" s="23"/>
      <c r="AE927" s="23">
        <v>0.15</v>
      </c>
      <c r="AF927" s="18"/>
      <c r="AG927" s="18"/>
      <c r="AH927" s="18"/>
      <c r="AI927" s="18"/>
      <c r="AK927" s="18"/>
      <c r="AL927" s="18"/>
      <c r="AM927" s="40" t="s">
        <v>118</v>
      </c>
      <c r="AN927" s="18"/>
      <c r="AO927" s="23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23"/>
      <c r="BK927" s="23"/>
      <c r="BL927" s="6" t="s">
        <v>62</v>
      </c>
      <c r="BO927" s="15"/>
    </row>
    <row r="928" spans="1:67" ht="13.25" customHeight="1">
      <c r="A928" s="6" t="s">
        <v>63</v>
      </c>
      <c r="B928" s="6"/>
      <c r="C928" s="17">
        <v>27590.484400000001</v>
      </c>
      <c r="D928" s="6">
        <v>2</v>
      </c>
      <c r="E928" s="23">
        <v>88.963963963963963</v>
      </c>
      <c r="F928" s="23">
        <v>1975</v>
      </c>
      <c r="G928" s="22"/>
      <c r="H928" s="22"/>
      <c r="I928" s="22"/>
      <c r="J928" s="22"/>
      <c r="K928" s="22"/>
      <c r="L928" s="22"/>
      <c r="M928" s="22"/>
      <c r="N928" s="18"/>
      <c r="O928" s="18"/>
      <c r="P928" s="22"/>
      <c r="Q928" s="22"/>
      <c r="R928" s="22"/>
      <c r="S928" s="22"/>
      <c r="T928" s="22"/>
      <c r="U928" s="10"/>
      <c r="V928" s="23"/>
      <c r="W928" s="23"/>
      <c r="X928" s="19"/>
      <c r="Y928" s="23"/>
      <c r="Z928" s="23"/>
      <c r="AA928" s="23"/>
      <c r="AB928" s="23"/>
      <c r="AC928" s="23"/>
      <c r="AD928" s="23"/>
      <c r="AE928" s="23"/>
      <c r="AF928" s="18">
        <v>1.8</v>
      </c>
      <c r="AG928" s="18">
        <v>1.9169426521686781</v>
      </c>
      <c r="AH928" s="18"/>
      <c r="AI928" s="18">
        <v>0.56999999999999995</v>
      </c>
      <c r="AK928" s="18"/>
      <c r="AL928" s="18"/>
      <c r="AM928" s="40" t="s">
        <v>118</v>
      </c>
      <c r="AN928" s="18"/>
      <c r="AO928" s="23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23"/>
      <c r="BK928" s="23"/>
      <c r="BL928" s="6" t="s">
        <v>62</v>
      </c>
      <c r="BO928" s="15"/>
    </row>
    <row r="929" spans="1:67" ht="13.25" customHeight="1">
      <c r="A929" s="6" t="s">
        <v>63</v>
      </c>
      <c r="B929" s="6"/>
      <c r="C929" s="17">
        <v>27955.726600000002</v>
      </c>
      <c r="D929" s="6">
        <v>3</v>
      </c>
      <c r="E929" s="23">
        <v>87.162162162162161</v>
      </c>
      <c r="F929" s="23">
        <v>1935</v>
      </c>
      <c r="G929" s="22"/>
      <c r="H929" s="22"/>
      <c r="I929" s="22"/>
      <c r="J929" s="22"/>
      <c r="K929" s="22"/>
      <c r="L929" s="22"/>
      <c r="M929" s="22"/>
      <c r="N929" s="18"/>
      <c r="O929" s="18"/>
      <c r="P929" s="22"/>
      <c r="Q929" s="22"/>
      <c r="R929" s="22"/>
      <c r="S929" s="22"/>
      <c r="T929" s="22"/>
      <c r="U929" s="10"/>
      <c r="V929" s="23"/>
      <c r="W929" s="23"/>
      <c r="X929" s="19"/>
      <c r="Y929" s="23"/>
      <c r="Z929" s="23"/>
      <c r="AA929" s="23"/>
      <c r="AB929" s="23"/>
      <c r="AC929" s="23"/>
      <c r="AD929" s="23"/>
      <c r="AE929" s="23"/>
      <c r="AF929" s="18">
        <v>2.9</v>
      </c>
      <c r="AG929" s="18">
        <v>4.7714767002648442</v>
      </c>
      <c r="AH929" s="18"/>
      <c r="AI929" s="18">
        <v>3.46</v>
      </c>
      <c r="AK929" s="18"/>
      <c r="AL929" s="18"/>
      <c r="AM929" s="40" t="s">
        <v>118</v>
      </c>
      <c r="AN929" s="18"/>
      <c r="AO929" s="23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23"/>
      <c r="BK929" s="23"/>
      <c r="BL929" s="6" t="s">
        <v>62</v>
      </c>
      <c r="BO929" s="15"/>
    </row>
    <row r="930" spans="1:67" ht="13.25" customHeight="1">
      <c r="A930" s="6" t="s">
        <v>63</v>
      </c>
      <c r="B930" s="6"/>
      <c r="C930" s="17">
        <v>28320.968799999999</v>
      </c>
      <c r="D930" s="6">
        <v>4</v>
      </c>
      <c r="E930" s="23">
        <v>86.936936936936931</v>
      </c>
      <c r="F930" s="23">
        <v>1930</v>
      </c>
      <c r="G930" s="22"/>
      <c r="H930" s="22"/>
      <c r="I930" s="22"/>
      <c r="J930" s="22"/>
      <c r="K930" s="22"/>
      <c r="L930" s="22"/>
      <c r="M930" s="22"/>
      <c r="N930" s="18"/>
      <c r="O930" s="18"/>
      <c r="P930" s="22"/>
      <c r="Q930" s="22"/>
      <c r="R930" s="22"/>
      <c r="S930" s="22"/>
      <c r="T930" s="22"/>
      <c r="U930" s="10"/>
      <c r="V930" s="23"/>
      <c r="W930" s="23"/>
      <c r="X930" s="19"/>
      <c r="Y930" s="23"/>
      <c r="Z930" s="23"/>
      <c r="AA930" s="23"/>
      <c r="AB930" s="23"/>
      <c r="AC930" s="23"/>
      <c r="AD930" s="23"/>
      <c r="AE930" s="23"/>
      <c r="AF930" s="18">
        <v>4.3</v>
      </c>
      <c r="AG930" s="18">
        <v>8.0488221679828911</v>
      </c>
      <c r="AH930" s="18"/>
      <c r="AI930" s="18">
        <v>9.82</v>
      </c>
      <c r="AK930" s="18"/>
      <c r="AL930" s="18"/>
      <c r="AM930" s="40" t="s">
        <v>118</v>
      </c>
      <c r="AN930" s="18"/>
      <c r="AO930" s="23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23"/>
      <c r="BK930" s="23"/>
      <c r="BL930" s="6" t="s">
        <v>62</v>
      </c>
      <c r="BO930" s="15"/>
    </row>
    <row r="931" spans="1:67" ht="13.25" customHeight="1">
      <c r="A931" s="6" t="s">
        <v>63</v>
      </c>
      <c r="B931" s="6"/>
      <c r="C931" s="17">
        <v>28686.210999999999</v>
      </c>
      <c r="D931" s="6">
        <v>5</v>
      </c>
      <c r="E931" s="23">
        <v>86.936936936936931</v>
      </c>
      <c r="F931" s="23">
        <v>1930</v>
      </c>
      <c r="G931" s="22"/>
      <c r="H931" s="22"/>
      <c r="I931" s="22"/>
      <c r="J931" s="22"/>
      <c r="K931" s="22"/>
      <c r="L931" s="22"/>
      <c r="M931" s="22"/>
      <c r="N931" s="18"/>
      <c r="O931" s="18"/>
      <c r="P931" s="22"/>
      <c r="Q931" s="22"/>
      <c r="R931" s="22"/>
      <c r="S931" s="22"/>
      <c r="T931" s="22"/>
      <c r="U931" s="10"/>
      <c r="V931" s="23"/>
      <c r="W931" s="23"/>
      <c r="X931" s="19"/>
      <c r="Y931" s="23"/>
      <c r="Z931" s="23"/>
      <c r="AA931" s="23"/>
      <c r="AB931" s="23"/>
      <c r="AC931" s="23"/>
      <c r="AD931" s="23"/>
      <c r="AE931" s="23"/>
      <c r="AF931" s="18">
        <v>6.3</v>
      </c>
      <c r="AG931" s="18">
        <v>11.543892476660128</v>
      </c>
      <c r="AH931" s="18"/>
      <c r="AI931" s="18">
        <v>20.2</v>
      </c>
      <c r="AK931" s="18"/>
      <c r="AL931" s="18">
        <v>69.5</v>
      </c>
      <c r="AM931" s="40" t="s">
        <v>118</v>
      </c>
      <c r="AN931" s="18"/>
      <c r="AO931" s="23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23"/>
      <c r="BK931" s="23"/>
      <c r="BL931" s="6" t="s">
        <v>62</v>
      </c>
      <c r="BO931" s="15"/>
    </row>
    <row r="932" spans="1:67" ht="13.25" customHeight="1">
      <c r="A932" s="6" t="s">
        <v>63</v>
      </c>
      <c r="B932" s="6"/>
      <c r="C932" s="17">
        <v>29051.4532</v>
      </c>
      <c r="D932" s="6">
        <v>6</v>
      </c>
      <c r="E932" s="23">
        <v>86.036036036036037</v>
      </c>
      <c r="F932" s="23">
        <v>1910</v>
      </c>
      <c r="G932" s="22"/>
      <c r="H932" s="22"/>
      <c r="I932" s="22"/>
      <c r="J932" s="22"/>
      <c r="K932" s="22"/>
      <c r="L932" s="22"/>
      <c r="M932" s="22"/>
      <c r="N932" s="18"/>
      <c r="O932" s="18"/>
      <c r="P932" s="22"/>
      <c r="Q932" s="22"/>
      <c r="R932" s="22"/>
      <c r="S932" s="22"/>
      <c r="T932" s="22"/>
      <c r="U932" s="10"/>
      <c r="V932" s="23"/>
      <c r="W932" s="23"/>
      <c r="X932" s="19"/>
      <c r="Y932" s="23"/>
      <c r="Z932" s="23"/>
      <c r="AA932" s="23"/>
      <c r="AB932" s="23"/>
      <c r="AC932" s="23"/>
      <c r="AD932" s="23"/>
      <c r="AE932" s="23"/>
      <c r="AF932" s="18">
        <v>8.3000000000000007</v>
      </c>
      <c r="AG932" s="18">
        <v>13.975661374215719</v>
      </c>
      <c r="AH932" s="18"/>
      <c r="AI932" s="18">
        <v>29.3</v>
      </c>
      <c r="AK932" s="18"/>
      <c r="AL932" s="18">
        <v>119.6</v>
      </c>
      <c r="AM932" s="40" t="s">
        <v>118</v>
      </c>
      <c r="AN932" s="18"/>
      <c r="AO932" s="23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23"/>
      <c r="BK932" s="23"/>
      <c r="BL932" s="6" t="s">
        <v>62</v>
      </c>
      <c r="BO932" s="15"/>
    </row>
    <row r="933" spans="1:67" ht="13.25" customHeight="1">
      <c r="A933" s="6" t="s">
        <v>63</v>
      </c>
      <c r="B933" s="6"/>
      <c r="C933" s="17">
        <v>29416.695400000001</v>
      </c>
      <c r="D933" s="6">
        <v>7</v>
      </c>
      <c r="E933" s="23">
        <v>85.810810810810807</v>
      </c>
      <c r="F933" s="23">
        <v>1905</v>
      </c>
      <c r="G933" s="22"/>
      <c r="H933" s="22"/>
      <c r="I933" s="22"/>
      <c r="J933" s="22"/>
      <c r="K933" s="22"/>
      <c r="L933" s="22"/>
      <c r="M933" s="22"/>
      <c r="N933" s="18"/>
      <c r="O933" s="18"/>
      <c r="P933" s="22"/>
      <c r="Q933" s="22"/>
      <c r="R933" s="22"/>
      <c r="S933" s="22"/>
      <c r="T933" s="22"/>
      <c r="U933" s="10"/>
      <c r="V933" s="23"/>
      <c r="W933" s="23"/>
      <c r="X933" s="19"/>
      <c r="Y933" s="23"/>
      <c r="Z933" s="23"/>
      <c r="AA933" s="23"/>
      <c r="AB933" s="23"/>
      <c r="AC933" s="23"/>
      <c r="AD933" s="23"/>
      <c r="AE933" s="23"/>
      <c r="AF933" s="18">
        <v>9.6</v>
      </c>
      <c r="AG933" s="18">
        <v>15.915759123580655</v>
      </c>
      <c r="AH933" s="18"/>
      <c r="AI933" s="18">
        <v>37.9</v>
      </c>
      <c r="AK933" s="18"/>
      <c r="AL933" s="18">
        <v>172.5</v>
      </c>
      <c r="AM933" s="40" t="s">
        <v>118</v>
      </c>
      <c r="AN933" s="18"/>
      <c r="AO933" s="23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23"/>
      <c r="BK933" s="23"/>
      <c r="BL933" s="6" t="s">
        <v>62</v>
      </c>
      <c r="BO933" s="15"/>
    </row>
    <row r="934" spans="1:67" ht="13.25" customHeight="1">
      <c r="A934" s="6" t="s">
        <v>63</v>
      </c>
      <c r="B934" s="6"/>
      <c r="C934" s="17">
        <v>29781.937600000001</v>
      </c>
      <c r="D934" s="6">
        <v>8</v>
      </c>
      <c r="E934" s="23">
        <v>84.459459459459453</v>
      </c>
      <c r="F934" s="23">
        <v>1875</v>
      </c>
      <c r="G934" s="22"/>
      <c r="H934" s="22"/>
      <c r="I934" s="22"/>
      <c r="J934" s="22"/>
      <c r="K934" s="22"/>
      <c r="L934" s="22"/>
      <c r="M934" s="22"/>
      <c r="N934" s="18"/>
      <c r="O934" s="18"/>
      <c r="P934" s="22"/>
      <c r="Q934" s="22"/>
      <c r="R934" s="22"/>
      <c r="S934" s="22"/>
      <c r="T934" s="22"/>
      <c r="U934" s="10"/>
      <c r="V934" s="23"/>
      <c r="W934" s="23"/>
      <c r="X934" s="19"/>
      <c r="Y934" s="23"/>
      <c r="Z934" s="23"/>
      <c r="AA934" s="23"/>
      <c r="AB934" s="23"/>
      <c r="AC934" s="23"/>
      <c r="AD934" s="23"/>
      <c r="AE934" s="23"/>
      <c r="AF934" s="18">
        <v>10.9</v>
      </c>
      <c r="AG934" s="18">
        <v>17.048119903280465</v>
      </c>
      <c r="AH934" s="18"/>
      <c r="AI934" s="18">
        <v>42.8</v>
      </c>
      <c r="AK934" s="18"/>
      <c r="AL934" s="18">
        <v>217.3</v>
      </c>
      <c r="AM934" s="40" t="s">
        <v>118</v>
      </c>
      <c r="AN934" s="18"/>
      <c r="AO934" s="23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23"/>
      <c r="BK934" s="23"/>
      <c r="BL934" s="6" t="s">
        <v>62</v>
      </c>
      <c r="BO934" s="15"/>
    </row>
    <row r="935" spans="1:67" ht="13.25" customHeight="1">
      <c r="A935" s="6" t="s">
        <v>63</v>
      </c>
      <c r="B935" s="6"/>
      <c r="C935" s="17">
        <v>30147.179800000002</v>
      </c>
      <c r="D935" s="6">
        <v>9</v>
      </c>
      <c r="E935" s="23">
        <v>78.828828828828833</v>
      </c>
      <c r="F935" s="23">
        <v>1750</v>
      </c>
      <c r="G935" s="22"/>
      <c r="H935" s="22"/>
      <c r="I935" s="22"/>
      <c r="J935" s="22"/>
      <c r="K935" s="22"/>
      <c r="L935" s="22"/>
      <c r="M935" s="22"/>
      <c r="N935" s="18"/>
      <c r="O935" s="18"/>
      <c r="P935" s="22"/>
      <c r="Q935" s="22"/>
      <c r="R935" s="22"/>
      <c r="S935" s="22"/>
      <c r="T935" s="22"/>
      <c r="U935" s="10"/>
      <c r="V935" s="23"/>
      <c r="W935" s="23"/>
      <c r="X935" s="19"/>
      <c r="Y935" s="23"/>
      <c r="Z935" s="23"/>
      <c r="AA935" s="23"/>
      <c r="AB935" s="23"/>
      <c r="AC935" s="23"/>
      <c r="AD935" s="23"/>
      <c r="AE935" s="23"/>
      <c r="AF935" s="18">
        <v>12.4</v>
      </c>
      <c r="AG935" s="18">
        <v>18.353830384971328</v>
      </c>
      <c r="AH935" s="18"/>
      <c r="AI935" s="18">
        <v>46.3</v>
      </c>
      <c r="AK935" s="18"/>
      <c r="AL935" s="18">
        <v>259.89999999999998</v>
      </c>
      <c r="AM935" s="40" t="s">
        <v>118</v>
      </c>
      <c r="AN935" s="18"/>
      <c r="AO935" s="23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23"/>
      <c r="BK935" s="23"/>
      <c r="BL935" s="6" t="s">
        <v>62</v>
      </c>
      <c r="BO935" s="15"/>
    </row>
    <row r="936" spans="1:67" ht="13.25" customHeight="1">
      <c r="A936" s="6" t="s">
        <v>63</v>
      </c>
      <c r="B936" s="6"/>
      <c r="C936" s="17">
        <v>30512.421999999999</v>
      </c>
      <c r="D936" s="6">
        <v>10</v>
      </c>
      <c r="E936" s="23">
        <v>74.099099099099092</v>
      </c>
      <c r="F936" s="23">
        <v>1645</v>
      </c>
      <c r="G936" s="22"/>
      <c r="H936" s="22"/>
      <c r="I936" s="22"/>
      <c r="J936" s="22"/>
      <c r="K936" s="22"/>
      <c r="L936" s="22"/>
      <c r="M936" s="22"/>
      <c r="N936" s="18"/>
      <c r="O936" s="18"/>
      <c r="P936" s="22"/>
      <c r="Q936" s="22"/>
      <c r="R936" s="22"/>
      <c r="S936" s="22"/>
      <c r="T936" s="22"/>
      <c r="U936" s="10"/>
      <c r="V936" s="23"/>
      <c r="W936" s="23"/>
      <c r="X936" s="19"/>
      <c r="Y936" s="23"/>
      <c r="Z936" s="23"/>
      <c r="AA936" s="23"/>
      <c r="AB936" s="23"/>
      <c r="AC936" s="23"/>
      <c r="AD936" s="23"/>
      <c r="AE936" s="23"/>
      <c r="AF936" s="18">
        <v>13.9</v>
      </c>
      <c r="AG936" s="18">
        <v>19.984677413450651</v>
      </c>
      <c r="AH936" s="18"/>
      <c r="AI936" s="18">
        <v>51.6</v>
      </c>
      <c r="AK936" s="18"/>
      <c r="AL936" s="18">
        <v>318.8</v>
      </c>
      <c r="AM936" s="40" t="s">
        <v>118</v>
      </c>
      <c r="AN936" s="18"/>
      <c r="AO936" s="23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23"/>
      <c r="BK936" s="23"/>
      <c r="BL936" s="6" t="s">
        <v>62</v>
      </c>
      <c r="BO936" s="15"/>
    </row>
    <row r="937" spans="1:67" ht="13.25" customHeight="1">
      <c r="A937" s="6" t="s">
        <v>63</v>
      </c>
      <c r="B937" s="6"/>
      <c r="C937" s="17">
        <v>30877.664199999999</v>
      </c>
      <c r="D937" s="6">
        <v>11</v>
      </c>
      <c r="E937" s="23">
        <v>72.522522522522522</v>
      </c>
      <c r="F937" s="23">
        <v>1610</v>
      </c>
      <c r="G937" s="22"/>
      <c r="H937" s="22"/>
      <c r="I937" s="22"/>
      <c r="J937" s="22"/>
      <c r="K937" s="22"/>
      <c r="L937" s="22"/>
      <c r="M937" s="22"/>
      <c r="N937" s="18"/>
      <c r="O937" s="18"/>
      <c r="P937" s="22"/>
      <c r="Q937" s="22"/>
      <c r="R937" s="22"/>
      <c r="S937" s="22"/>
      <c r="T937" s="22"/>
      <c r="U937" s="10"/>
      <c r="V937" s="23"/>
      <c r="W937" s="23"/>
      <c r="X937" s="19"/>
      <c r="Y937" s="23"/>
      <c r="Z937" s="23"/>
      <c r="AA937" s="23"/>
      <c r="AB937" s="23"/>
      <c r="AC937" s="23"/>
      <c r="AD937" s="23"/>
      <c r="AE937" s="23"/>
      <c r="AF937" s="18">
        <v>15.3</v>
      </c>
      <c r="AG937" s="18">
        <v>20.987944268713981</v>
      </c>
      <c r="AH937" s="18"/>
      <c r="AI937" s="18">
        <v>55.7</v>
      </c>
      <c r="AK937" s="18"/>
      <c r="AL937" s="18">
        <v>365.2</v>
      </c>
      <c r="AM937" s="40" t="s">
        <v>118</v>
      </c>
      <c r="AN937" s="18"/>
      <c r="AO937" s="23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23"/>
      <c r="BK937" s="23"/>
      <c r="BL937" s="6" t="s">
        <v>62</v>
      </c>
      <c r="BO937" s="15"/>
    </row>
    <row r="938" spans="1:67" ht="13.25" customHeight="1">
      <c r="A938" s="6" t="s">
        <v>63</v>
      </c>
      <c r="B938" s="6"/>
      <c r="C938" s="17">
        <v>31242.9064</v>
      </c>
      <c r="D938" s="6">
        <v>12</v>
      </c>
      <c r="E938" s="23">
        <v>69.819819819819813</v>
      </c>
      <c r="F938" s="23">
        <v>1550</v>
      </c>
      <c r="G938" s="22">
        <v>110.00000000000001</v>
      </c>
      <c r="H938" s="22">
        <v>1350</v>
      </c>
      <c r="I938" s="22"/>
      <c r="J938" s="22">
        <v>5290</v>
      </c>
      <c r="K938" s="22">
        <v>5400</v>
      </c>
      <c r="L938" s="22">
        <v>1500</v>
      </c>
      <c r="M938" s="22">
        <v>14769.999999999998</v>
      </c>
      <c r="N938" s="18"/>
      <c r="O938" s="18"/>
      <c r="P938" s="22">
        <v>16269.999999999998</v>
      </c>
      <c r="Q938" s="22">
        <v>21560</v>
      </c>
      <c r="R938" s="22"/>
      <c r="S938" s="22"/>
      <c r="T938" s="22">
        <v>23020</v>
      </c>
      <c r="U938" s="10"/>
      <c r="V938" s="34">
        <v>5.3476060878876828E-3</v>
      </c>
      <c r="W938" s="23">
        <v>6.6208456326228466</v>
      </c>
      <c r="X938" s="19"/>
      <c r="Y938" s="23"/>
      <c r="Z938" s="23"/>
      <c r="AA938" s="23"/>
      <c r="AB938" s="23"/>
      <c r="AC938" s="23"/>
      <c r="AD938" s="23"/>
      <c r="AE938" s="23"/>
      <c r="AF938" s="18">
        <v>17.8</v>
      </c>
      <c r="AG938" s="18">
        <v>22.014833209354752</v>
      </c>
      <c r="AH938" s="18"/>
      <c r="AI938" s="18">
        <v>59</v>
      </c>
      <c r="AK938" s="18"/>
      <c r="AL938" s="18">
        <v>427.4</v>
      </c>
      <c r="AM938" s="40" t="s">
        <v>118</v>
      </c>
      <c r="AN938" s="18"/>
      <c r="AO938" s="23"/>
      <c r="AP938" s="32"/>
      <c r="AQ938" s="32">
        <v>1.4392592592592592E-2</v>
      </c>
      <c r="AR938" s="32"/>
      <c r="AS938" s="32"/>
      <c r="AT938" s="32"/>
      <c r="AU938" s="32"/>
      <c r="AV938" s="32"/>
      <c r="AW938" s="32"/>
      <c r="AX938" s="32">
        <v>56.06</v>
      </c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23"/>
      <c r="BK938" s="23"/>
      <c r="BL938" s="6" t="s">
        <v>62</v>
      </c>
      <c r="BO938" s="15"/>
    </row>
    <row r="939" spans="1:67" ht="13.25" customHeight="1">
      <c r="A939" s="6" t="s">
        <v>64</v>
      </c>
      <c r="B939" s="6"/>
      <c r="C939" s="17">
        <v>31093</v>
      </c>
      <c r="D939" s="6">
        <v>0</v>
      </c>
      <c r="E939" s="6"/>
      <c r="F939" s="6">
        <v>1667</v>
      </c>
      <c r="G939" s="22"/>
      <c r="H939" s="22"/>
      <c r="I939" s="22"/>
      <c r="J939" s="22"/>
      <c r="K939" s="22"/>
      <c r="L939" s="22"/>
      <c r="M939" s="22"/>
      <c r="N939" s="18"/>
      <c r="O939" s="18"/>
      <c r="P939" s="22"/>
      <c r="Q939" s="22"/>
      <c r="R939" s="22"/>
      <c r="S939" s="22"/>
      <c r="T939" s="22"/>
      <c r="U939" s="22"/>
      <c r="V939" s="6"/>
      <c r="W939" s="6"/>
      <c r="X939" s="19"/>
      <c r="Y939" s="6"/>
      <c r="Z939" s="6"/>
      <c r="AA939" s="6"/>
      <c r="AB939" s="6"/>
      <c r="AC939" s="6"/>
      <c r="AD939" s="6"/>
      <c r="AE939" s="6"/>
      <c r="AF939" s="18"/>
      <c r="AG939" s="18"/>
      <c r="AH939" s="18"/>
      <c r="AI939" s="18"/>
      <c r="AK939" s="18"/>
      <c r="AL939" s="18"/>
      <c r="AM939" s="40" t="s">
        <v>118</v>
      </c>
      <c r="AN939" s="18"/>
      <c r="AO939" s="6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6"/>
      <c r="BK939" s="6"/>
      <c r="BL939" s="6" t="s">
        <v>65</v>
      </c>
      <c r="BO939" s="15"/>
    </row>
    <row r="940" spans="1:67" ht="13.25" customHeight="1">
      <c r="A940" s="6" t="s">
        <v>64</v>
      </c>
      <c r="B940" s="6"/>
      <c r="C940" s="17">
        <v>33587</v>
      </c>
      <c r="D940" s="18">
        <v>6.8283456840419863</v>
      </c>
      <c r="E940" s="22">
        <v>69.835632873425325</v>
      </c>
      <c r="F940" s="6">
        <v>1164.1600000000001</v>
      </c>
      <c r="G940" s="22"/>
      <c r="H940" s="22"/>
      <c r="I940" s="22"/>
      <c r="J940" s="22"/>
      <c r="K940" s="22"/>
      <c r="L940" s="22"/>
      <c r="M940" s="22">
        <v>288</v>
      </c>
      <c r="N940" s="18"/>
      <c r="O940" s="18"/>
      <c r="P940" s="22"/>
      <c r="Q940" s="22"/>
      <c r="R940" s="22"/>
      <c r="S940" s="22"/>
      <c r="T940" s="22"/>
      <c r="U940" s="22"/>
      <c r="V940" s="6"/>
      <c r="W940" s="6"/>
      <c r="X940" s="19"/>
      <c r="Y940" s="6"/>
      <c r="Z940" s="6"/>
      <c r="AA940" s="6"/>
      <c r="AB940" s="6"/>
      <c r="AC940" s="6"/>
      <c r="AD940" s="6"/>
      <c r="AE940" s="6"/>
      <c r="AF940" s="18">
        <v>3.29</v>
      </c>
      <c r="AG940" s="18">
        <v>5.1233559160381619</v>
      </c>
      <c r="AH940" s="18"/>
      <c r="AI940" s="18">
        <v>2.4</v>
      </c>
      <c r="AK940" s="18"/>
      <c r="AL940" s="18"/>
      <c r="AM940" s="40" t="s">
        <v>118</v>
      </c>
      <c r="AN940" s="18"/>
      <c r="AO940" s="6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6"/>
      <c r="BK940" s="6">
        <v>9.8999999999999991E-3</v>
      </c>
      <c r="BL940" s="6" t="s">
        <v>65</v>
      </c>
      <c r="BO940" s="15"/>
    </row>
    <row r="941" spans="1:67" ht="13.25" customHeight="1">
      <c r="A941" s="6" t="s">
        <v>64</v>
      </c>
      <c r="B941" s="6"/>
      <c r="C941" s="17">
        <v>33953</v>
      </c>
      <c r="D941" s="18">
        <v>7.8304204716760548</v>
      </c>
      <c r="E941" s="22">
        <v>69.835032993401327</v>
      </c>
      <c r="F941" s="6">
        <v>1164.1500000000001</v>
      </c>
      <c r="G941" s="22"/>
      <c r="H941" s="22"/>
      <c r="I941" s="22"/>
      <c r="J941" s="22"/>
      <c r="K941" s="22"/>
      <c r="L941" s="22"/>
      <c r="M941" s="22">
        <v>429</v>
      </c>
      <c r="N941" s="18"/>
      <c r="O941" s="18"/>
      <c r="P941" s="22"/>
      <c r="Q941" s="22"/>
      <c r="R941" s="22"/>
      <c r="S941" s="22"/>
      <c r="T941" s="22"/>
      <c r="U941" s="22"/>
      <c r="V941" s="6"/>
      <c r="W941" s="6"/>
      <c r="X941" s="19"/>
      <c r="Y941" s="6">
        <v>0.77</v>
      </c>
      <c r="Z941" s="6"/>
      <c r="AA941" s="6"/>
      <c r="AB941" s="6"/>
      <c r="AC941" s="6"/>
      <c r="AD941" s="6"/>
      <c r="AE941" s="6"/>
      <c r="AF941" s="18">
        <v>4.24</v>
      </c>
      <c r="AG941" s="18">
        <v>6.7775919253828478</v>
      </c>
      <c r="AH941" s="18"/>
      <c r="AI941" s="18">
        <v>4.2</v>
      </c>
      <c r="AK941" s="18"/>
      <c r="AL941" s="18"/>
      <c r="AM941" s="40" t="s">
        <v>118</v>
      </c>
      <c r="AN941" s="18"/>
      <c r="AO941" s="6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6"/>
      <c r="BK941" s="6">
        <v>9.8999999999999991E-3</v>
      </c>
      <c r="BL941" s="6" t="s">
        <v>65</v>
      </c>
      <c r="BO941" s="15"/>
    </row>
    <row r="942" spans="1:67" ht="13.25" customHeight="1">
      <c r="A942" s="6" t="s">
        <v>64</v>
      </c>
      <c r="B942" s="6"/>
      <c r="C942" s="17">
        <v>34318</v>
      </c>
      <c r="D942" s="18">
        <v>8.8297573500542921</v>
      </c>
      <c r="E942" s="22">
        <v>69.733053389322137</v>
      </c>
      <c r="F942" s="6">
        <v>1162.45</v>
      </c>
      <c r="G942" s="22"/>
      <c r="H942" s="22"/>
      <c r="I942" s="22"/>
      <c r="J942" s="22"/>
      <c r="K942" s="22"/>
      <c r="L942" s="22"/>
      <c r="M942" s="22">
        <v>630</v>
      </c>
      <c r="N942" s="18"/>
      <c r="O942" s="18"/>
      <c r="P942" s="22"/>
      <c r="Q942" s="22"/>
      <c r="R942" s="22"/>
      <c r="S942" s="22"/>
      <c r="T942" s="22"/>
      <c r="U942" s="22"/>
      <c r="V942" s="6"/>
      <c r="W942" s="6"/>
      <c r="X942" s="19"/>
      <c r="Y942" s="6">
        <v>1.03</v>
      </c>
      <c r="Z942" s="6"/>
      <c r="AA942" s="6"/>
      <c r="AB942" s="6"/>
      <c r="AC942" s="6"/>
      <c r="AD942" s="6"/>
      <c r="AE942" s="6"/>
      <c r="AF942" s="18">
        <v>4.8</v>
      </c>
      <c r="AG942" s="18">
        <v>8.1739696214759991</v>
      </c>
      <c r="AH942" s="18"/>
      <c r="AI942" s="18">
        <v>6.1</v>
      </c>
      <c r="AK942" s="18"/>
      <c r="AL942" s="18"/>
      <c r="AM942" s="40" t="s">
        <v>118</v>
      </c>
      <c r="AN942" s="18"/>
      <c r="AO942" s="6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6"/>
      <c r="BK942" s="6">
        <v>9.0000000000000011E-3</v>
      </c>
      <c r="BL942" s="6" t="s">
        <v>65</v>
      </c>
      <c r="BO942" s="15"/>
    </row>
    <row r="943" spans="1:67" ht="13.25" customHeight="1">
      <c r="A943" s="6" t="s">
        <v>64</v>
      </c>
      <c r="B943" s="6"/>
      <c r="C943" s="17">
        <v>34683</v>
      </c>
      <c r="D943" s="18">
        <v>9.8290942284325293</v>
      </c>
      <c r="E943" s="22">
        <v>69.028794241151772</v>
      </c>
      <c r="F943" s="6">
        <v>1150.71</v>
      </c>
      <c r="G943" s="22"/>
      <c r="H943" s="22"/>
      <c r="I943" s="22"/>
      <c r="J943" s="22"/>
      <c r="K943" s="22"/>
      <c r="L943" s="22"/>
      <c r="M943" s="22">
        <v>877.99999999999989</v>
      </c>
      <c r="N943" s="18"/>
      <c r="O943" s="18"/>
      <c r="P943" s="22"/>
      <c r="Q943" s="22"/>
      <c r="R943" s="22"/>
      <c r="S943" s="22"/>
      <c r="T943" s="22"/>
      <c r="U943" s="22"/>
      <c r="V943" s="6"/>
      <c r="W943" s="6"/>
      <c r="X943" s="19"/>
      <c r="Y943" s="6">
        <v>1.23</v>
      </c>
      <c r="Z943" s="6"/>
      <c r="AA943" s="6"/>
      <c r="AB943" s="6"/>
      <c r="AC943" s="6"/>
      <c r="AD943" s="6"/>
      <c r="AE943" s="6"/>
      <c r="AF943" s="18">
        <v>5.49</v>
      </c>
      <c r="AG943" s="18">
        <v>9.5253123394032322</v>
      </c>
      <c r="AH943" s="18"/>
      <c r="AI943" s="18">
        <v>8.1999999999999993</v>
      </c>
      <c r="AK943" s="18"/>
      <c r="AL943" s="18"/>
      <c r="AM943" s="40" t="s">
        <v>118</v>
      </c>
      <c r="AN943" s="18"/>
      <c r="AO943" s="6">
        <v>490</v>
      </c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6"/>
      <c r="BK943" s="6">
        <v>9.4999999999999998E-3</v>
      </c>
      <c r="BL943" s="6" t="s">
        <v>65</v>
      </c>
      <c r="BO943" s="15"/>
    </row>
    <row r="944" spans="1:67" ht="13.25" customHeight="1">
      <c r="A944" s="6" t="s">
        <v>64</v>
      </c>
      <c r="B944" s="6"/>
      <c r="C944" s="17">
        <v>35048</v>
      </c>
      <c r="D944" s="18">
        <v>10.828431106810768</v>
      </c>
      <c r="E944" s="22">
        <v>69.028194361127788</v>
      </c>
      <c r="F944" s="6">
        <v>1150.7</v>
      </c>
      <c r="G944" s="22"/>
      <c r="H944" s="22"/>
      <c r="I944" s="22"/>
      <c r="J944" s="22"/>
      <c r="K944" s="22"/>
      <c r="L944" s="22"/>
      <c r="M944" s="22">
        <v>1112</v>
      </c>
      <c r="N944" s="18"/>
      <c r="O944" s="18"/>
      <c r="P944" s="22"/>
      <c r="Q944" s="22"/>
      <c r="R944" s="22"/>
      <c r="S944" s="22"/>
      <c r="T944" s="22"/>
      <c r="U944" s="22"/>
      <c r="V944" s="6"/>
      <c r="W944" s="6"/>
      <c r="X944" s="19"/>
      <c r="Y944" s="6">
        <v>1.2</v>
      </c>
      <c r="Z944" s="6"/>
      <c r="AA944" s="6"/>
      <c r="AB944" s="6"/>
      <c r="AC944" s="6"/>
      <c r="AD944" s="6"/>
      <c r="AE944" s="6"/>
      <c r="AF944" s="18">
        <v>6.08</v>
      </c>
      <c r="AG944" s="18">
        <v>10.571457619803676</v>
      </c>
      <c r="AH944" s="18"/>
      <c r="AI944" s="18">
        <v>10.1</v>
      </c>
      <c r="AK944" s="18"/>
      <c r="AL944" s="18"/>
      <c r="AM944" s="40" t="s">
        <v>118</v>
      </c>
      <c r="AN944" s="18"/>
      <c r="AO944" s="6">
        <v>500</v>
      </c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6"/>
      <c r="BK944" s="6">
        <v>9.300000000000001E-3</v>
      </c>
      <c r="BL944" s="6" t="s">
        <v>65</v>
      </c>
      <c r="BO944" s="15"/>
    </row>
    <row r="945" spans="1:67" ht="13.25" customHeight="1">
      <c r="A945" s="6" t="s">
        <v>64</v>
      </c>
      <c r="B945" s="6"/>
      <c r="C945" s="17">
        <v>35414</v>
      </c>
      <c r="D945" s="18">
        <v>11.830505894444837</v>
      </c>
      <c r="E945" s="22">
        <v>68.314937012597483</v>
      </c>
      <c r="F945" s="6">
        <v>1138.81</v>
      </c>
      <c r="G945" s="22"/>
      <c r="H945" s="22"/>
      <c r="I945" s="22"/>
      <c r="J945" s="22"/>
      <c r="K945" s="22"/>
      <c r="L945" s="22"/>
      <c r="M945" s="22">
        <v>1374</v>
      </c>
      <c r="N945" s="18"/>
      <c r="O945" s="18"/>
      <c r="P945" s="22"/>
      <c r="Q945" s="22"/>
      <c r="R945" s="22"/>
      <c r="S945" s="22"/>
      <c r="T945" s="22"/>
      <c r="U945" s="22"/>
      <c r="V945" s="6"/>
      <c r="W945" s="6"/>
      <c r="X945" s="19"/>
      <c r="Y945" s="6">
        <v>1.36</v>
      </c>
      <c r="Z945" s="6"/>
      <c r="AA945" s="6"/>
      <c r="AB945" s="6"/>
      <c r="AC945" s="6"/>
      <c r="AD945" s="6"/>
      <c r="AE945" s="6"/>
      <c r="AF945" s="18">
        <v>6.66</v>
      </c>
      <c r="AG945" s="18">
        <v>11.437274317321233</v>
      </c>
      <c r="AH945" s="18"/>
      <c r="AI945" s="18">
        <v>11.7</v>
      </c>
      <c r="AK945" s="18"/>
      <c r="AL945" s="18"/>
      <c r="AM945" s="40" t="s">
        <v>118</v>
      </c>
      <c r="AN945" s="18"/>
      <c r="AO945" s="6">
        <v>530</v>
      </c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6"/>
      <c r="BK945" s="6">
        <v>9.8999999999999991E-3</v>
      </c>
      <c r="BL945" s="6" t="s">
        <v>65</v>
      </c>
      <c r="BO945" s="15"/>
    </row>
    <row r="946" spans="1:67" ht="13.25" customHeight="1">
      <c r="A946" s="6" t="s">
        <v>64</v>
      </c>
      <c r="B946" s="6"/>
      <c r="C946" s="17">
        <v>35779</v>
      </c>
      <c r="D946" s="18">
        <v>12.829842772823074</v>
      </c>
      <c r="E946" s="22">
        <v>68.314937012597483</v>
      </c>
      <c r="F946" s="6">
        <v>1138.81</v>
      </c>
      <c r="G946" s="22"/>
      <c r="H946" s="22"/>
      <c r="I946" s="22"/>
      <c r="J946" s="22"/>
      <c r="K946" s="22"/>
      <c r="L946" s="22"/>
      <c r="M946" s="22">
        <v>1709</v>
      </c>
      <c r="N946" s="18"/>
      <c r="O946" s="18"/>
      <c r="P946" s="22"/>
      <c r="Q946" s="22"/>
      <c r="R946" s="22"/>
      <c r="S946" s="22"/>
      <c r="T946" s="22"/>
      <c r="U946" s="22"/>
      <c r="V946" s="6"/>
      <c r="W946" s="6"/>
      <c r="X946" s="19"/>
      <c r="Y946" s="6">
        <v>1.45</v>
      </c>
      <c r="Z946" s="6"/>
      <c r="AA946" s="6"/>
      <c r="AB946" s="6"/>
      <c r="AC946" s="6"/>
      <c r="AD946" s="6"/>
      <c r="AE946" s="6"/>
      <c r="AF946" s="18">
        <v>7.41</v>
      </c>
      <c r="AG946" s="18">
        <v>12.194259342486982</v>
      </c>
      <c r="AH946" s="18"/>
      <c r="AI946" s="18">
        <v>13.3</v>
      </c>
      <c r="AK946" s="18"/>
      <c r="AL946" s="18"/>
      <c r="AM946" s="40" t="s">
        <v>118</v>
      </c>
      <c r="AN946" s="18"/>
      <c r="AO946" s="6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6"/>
      <c r="BK946" s="6">
        <v>1.0500000000000001E-2</v>
      </c>
      <c r="BL946" s="6" t="s">
        <v>65</v>
      </c>
      <c r="BO946" s="15"/>
    </row>
    <row r="947" spans="1:67" ht="13.25" customHeight="1">
      <c r="A947" s="6" t="s">
        <v>64</v>
      </c>
      <c r="B947" s="6"/>
      <c r="C947" s="17">
        <v>36144</v>
      </c>
      <c r="D947" s="18">
        <v>13.829179651201311</v>
      </c>
      <c r="E947" s="22">
        <v>67.971805638872212</v>
      </c>
      <c r="F947" s="6">
        <v>1133.0899999999999</v>
      </c>
      <c r="G947" s="22"/>
      <c r="H947" s="22"/>
      <c r="I947" s="22"/>
      <c r="J947" s="22"/>
      <c r="K947" s="22"/>
      <c r="L947" s="22"/>
      <c r="M947" s="22">
        <v>1923</v>
      </c>
      <c r="N947" s="18"/>
      <c r="O947" s="18"/>
      <c r="P947" s="22"/>
      <c r="Q947" s="22"/>
      <c r="R947" s="22"/>
      <c r="S947" s="22"/>
      <c r="T947" s="22"/>
      <c r="U947" s="22"/>
      <c r="V947" s="6"/>
      <c r="W947" s="6"/>
      <c r="X947" s="19"/>
      <c r="Y947" s="6">
        <v>1.51</v>
      </c>
      <c r="Z947" s="6"/>
      <c r="AA947" s="6"/>
      <c r="AB947" s="6"/>
      <c r="AC947" s="6"/>
      <c r="AD947" s="6"/>
      <c r="AE947" s="6"/>
      <c r="AF947" s="18">
        <v>7.65</v>
      </c>
      <c r="AG947" s="18">
        <v>12.939460631381412</v>
      </c>
      <c r="AH947" s="18"/>
      <c r="AI947" s="18">
        <v>14.9</v>
      </c>
      <c r="AK947" s="18"/>
      <c r="AL947" s="18"/>
      <c r="AM947" s="40" t="s">
        <v>118</v>
      </c>
      <c r="AN947" s="18"/>
      <c r="AO947" s="6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6"/>
      <c r="BK947" s="6">
        <v>1.03E-2</v>
      </c>
      <c r="BL947" s="6" t="s">
        <v>65</v>
      </c>
      <c r="BO947" s="15"/>
    </row>
    <row r="948" spans="1:67" ht="13.25" customHeight="1">
      <c r="A948" s="6" t="s">
        <v>64</v>
      </c>
      <c r="B948" s="6"/>
      <c r="C948" s="17">
        <v>36509</v>
      </c>
      <c r="D948" s="18">
        <v>14.828516529579549</v>
      </c>
      <c r="E948" s="22">
        <v>67.684463107378519</v>
      </c>
      <c r="F948" s="6">
        <v>1128.3</v>
      </c>
      <c r="G948" s="22"/>
      <c r="H948" s="22"/>
      <c r="I948" s="22"/>
      <c r="J948" s="22"/>
      <c r="K948" s="22"/>
      <c r="L948" s="22"/>
      <c r="M948" s="22">
        <v>2191</v>
      </c>
      <c r="N948" s="18"/>
      <c r="O948" s="18"/>
      <c r="P948" s="22"/>
      <c r="Q948" s="22"/>
      <c r="R948" s="22"/>
      <c r="S948" s="22"/>
      <c r="T948" s="22"/>
      <c r="U948" s="22"/>
      <c r="V948" s="6"/>
      <c r="W948" s="6"/>
      <c r="X948" s="19"/>
      <c r="Y948" s="6">
        <v>1.76</v>
      </c>
      <c r="Z948" s="6"/>
      <c r="AA948" s="6"/>
      <c r="AB948" s="6"/>
      <c r="AC948" s="6"/>
      <c r="AD948" s="6"/>
      <c r="AE948" s="6"/>
      <c r="AF948" s="18">
        <v>8.0399999999999991</v>
      </c>
      <c r="AG948" s="18">
        <v>13.520739826361568</v>
      </c>
      <c r="AH948" s="18"/>
      <c r="AI948" s="18">
        <v>16.2</v>
      </c>
      <c r="AK948" s="18"/>
      <c r="AL948" s="18"/>
      <c r="AM948" s="40" t="s">
        <v>118</v>
      </c>
      <c r="AN948" s="18"/>
      <c r="AO948" s="6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6"/>
      <c r="BK948" s="6">
        <v>1.03E-2</v>
      </c>
      <c r="BL948" s="6" t="s">
        <v>65</v>
      </c>
      <c r="BO948" s="15"/>
    </row>
    <row r="949" spans="1:67" ht="13.25" customHeight="1">
      <c r="A949" s="6" t="s">
        <v>64</v>
      </c>
      <c r="B949" s="6"/>
      <c r="C949" s="17">
        <v>36875</v>
      </c>
      <c r="D949" s="18">
        <v>15.830591317213617</v>
      </c>
      <c r="E949" s="22">
        <v>67.684463107378519</v>
      </c>
      <c r="F949" s="6">
        <v>1128.3</v>
      </c>
      <c r="G949" s="22"/>
      <c r="H949" s="22"/>
      <c r="I949" s="22"/>
      <c r="J949" s="22"/>
      <c r="K949" s="22"/>
      <c r="L949" s="22"/>
      <c r="M949" s="22">
        <v>2600</v>
      </c>
      <c r="N949" s="18"/>
      <c r="O949" s="18"/>
      <c r="P949" s="22"/>
      <c r="Q949" s="22"/>
      <c r="R949" s="22"/>
      <c r="S949" s="22"/>
      <c r="T949" s="22"/>
      <c r="U949" s="22"/>
      <c r="V949" s="6"/>
      <c r="W949" s="6"/>
      <c r="X949" s="19"/>
      <c r="Y949" s="6">
        <v>1.8</v>
      </c>
      <c r="Z949" s="6"/>
      <c r="AA949" s="6"/>
      <c r="AB949" s="6"/>
      <c r="AC949" s="6"/>
      <c r="AD949" s="6"/>
      <c r="AE949" s="6"/>
      <c r="AF949" s="18">
        <v>8.74</v>
      </c>
      <c r="AG949" s="18">
        <v>14.13284454191294</v>
      </c>
      <c r="AH949" s="18"/>
      <c r="AI949" s="18">
        <v>17.7</v>
      </c>
      <c r="AK949" s="18"/>
      <c r="AL949" s="18"/>
      <c r="AM949" s="40" t="s">
        <v>118</v>
      </c>
      <c r="AN949" s="18"/>
      <c r="AO949" s="6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6"/>
      <c r="BK949" s="6">
        <v>1.0500000000000001E-2</v>
      </c>
      <c r="BL949" s="6" t="s">
        <v>65</v>
      </c>
      <c r="BO949" s="15"/>
    </row>
    <row r="950" spans="1:67" ht="13.25" customHeight="1">
      <c r="A950" s="6" t="s">
        <v>66</v>
      </c>
      <c r="B950" s="6"/>
      <c r="C950" s="17">
        <v>31062</v>
      </c>
      <c r="D950" s="6">
        <v>0</v>
      </c>
      <c r="E950" s="22">
        <v>100</v>
      </c>
      <c r="F950" s="6">
        <v>1667</v>
      </c>
      <c r="G950" s="22"/>
      <c r="H950" s="22"/>
      <c r="I950" s="22"/>
      <c r="J950" s="22"/>
      <c r="K950" s="22"/>
      <c r="L950" s="22"/>
      <c r="M950" s="22"/>
      <c r="N950" s="18"/>
      <c r="O950" s="18"/>
      <c r="P950" s="22"/>
      <c r="Q950" s="22"/>
      <c r="R950" s="22"/>
      <c r="S950" s="22"/>
      <c r="T950" s="22"/>
      <c r="U950" s="22"/>
      <c r="V950" s="6"/>
      <c r="W950" s="6"/>
      <c r="X950" s="19"/>
      <c r="Y950" s="6"/>
      <c r="Z950" s="6"/>
      <c r="AA950" s="6"/>
      <c r="AB950" s="6"/>
      <c r="AC950" s="6"/>
      <c r="AD950" s="6"/>
      <c r="AE950" s="6"/>
      <c r="AF950" s="18"/>
      <c r="AG950" s="18"/>
      <c r="AH950" s="18"/>
      <c r="AI950" s="18"/>
      <c r="AK950" s="18"/>
      <c r="AL950" s="18"/>
      <c r="AM950" s="40" t="s">
        <v>118</v>
      </c>
      <c r="AN950" s="18"/>
      <c r="AO950" s="6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6"/>
      <c r="BK950" s="6"/>
      <c r="BL950" s="6" t="s">
        <v>65</v>
      </c>
      <c r="BO950" s="15"/>
    </row>
    <row r="951" spans="1:67" ht="13.25" customHeight="1">
      <c r="A951" s="6" t="s">
        <v>66</v>
      </c>
      <c r="B951" s="6"/>
      <c r="C951" s="17">
        <v>33587</v>
      </c>
      <c r="D951" s="18">
        <v>6.8283456840419863</v>
      </c>
      <c r="E951" s="22">
        <v>71.279544091181762</v>
      </c>
      <c r="F951" s="6">
        <v>1188.23</v>
      </c>
      <c r="G951" s="22"/>
      <c r="H951" s="22"/>
      <c r="I951" s="22"/>
      <c r="J951" s="22"/>
      <c r="K951" s="22"/>
      <c r="L951" s="22"/>
      <c r="M951" s="22">
        <v>288</v>
      </c>
      <c r="N951" s="18"/>
      <c r="O951" s="18"/>
      <c r="P951" s="22"/>
      <c r="Q951" s="22"/>
      <c r="R951" s="22"/>
      <c r="S951" s="22"/>
      <c r="T951" s="22"/>
      <c r="U951" s="22"/>
      <c r="V951" s="6"/>
      <c r="W951" s="6"/>
      <c r="X951" s="19"/>
      <c r="Y951" s="6"/>
      <c r="Z951" s="6"/>
      <c r="AA951" s="6"/>
      <c r="AB951" s="6"/>
      <c r="AC951" s="6"/>
      <c r="AD951" s="6"/>
      <c r="AE951" s="6"/>
      <c r="AF951" s="18">
        <v>3.3</v>
      </c>
      <c r="AG951" s="18">
        <v>4.7436717962235146</v>
      </c>
      <c r="AH951" s="18"/>
      <c r="AI951" s="18">
        <v>2.1</v>
      </c>
      <c r="AK951" s="18"/>
      <c r="AL951" s="18"/>
      <c r="AM951" s="40" t="s">
        <v>118</v>
      </c>
      <c r="AN951" s="18"/>
      <c r="AO951" s="6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6"/>
      <c r="BK951" s="6">
        <v>9.8999999999999991E-3</v>
      </c>
      <c r="BL951" s="6" t="s">
        <v>65</v>
      </c>
      <c r="BO951" s="15"/>
    </row>
    <row r="952" spans="1:67" ht="13.25" customHeight="1">
      <c r="A952" s="6" t="s">
        <v>66</v>
      </c>
      <c r="B952" s="6"/>
      <c r="C952" s="17">
        <v>33953</v>
      </c>
      <c r="D952" s="18">
        <v>7.8304204716760548</v>
      </c>
      <c r="E952" s="22">
        <v>71.288542291541702</v>
      </c>
      <c r="F952" s="6">
        <v>1188.3800000000001</v>
      </c>
      <c r="G952" s="22"/>
      <c r="H952" s="22"/>
      <c r="I952" s="22"/>
      <c r="J952" s="22"/>
      <c r="K952" s="22"/>
      <c r="L952" s="22"/>
      <c r="M952" s="22">
        <v>429</v>
      </c>
      <c r="N952" s="18"/>
      <c r="O952" s="18"/>
      <c r="P952" s="22"/>
      <c r="Q952" s="22"/>
      <c r="R952" s="22"/>
      <c r="S952" s="22"/>
      <c r="T952" s="22"/>
      <c r="U952" s="22"/>
      <c r="V952" s="6"/>
      <c r="W952" s="6"/>
      <c r="X952" s="19"/>
      <c r="Y952" s="6">
        <v>0.66</v>
      </c>
      <c r="Z952" s="6"/>
      <c r="AA952" s="6"/>
      <c r="AB952" s="6"/>
      <c r="AC952" s="6"/>
      <c r="AD952" s="6"/>
      <c r="AE952" s="6"/>
      <c r="AF952" s="18">
        <v>4.0999999999999996</v>
      </c>
      <c r="AG952" s="18">
        <v>6.4641269817194864</v>
      </c>
      <c r="AH952" s="18"/>
      <c r="AI952" s="18">
        <v>3.9</v>
      </c>
      <c r="AK952" s="18"/>
      <c r="AL952" s="18"/>
      <c r="AM952" s="40" t="s">
        <v>118</v>
      </c>
      <c r="AN952" s="18"/>
      <c r="AO952" s="6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6"/>
      <c r="BK952" s="6">
        <v>1.0700000000000001E-2</v>
      </c>
      <c r="BL952" s="6" t="s">
        <v>65</v>
      </c>
      <c r="BO952" s="15"/>
    </row>
    <row r="953" spans="1:67" ht="13.25" customHeight="1">
      <c r="A953" s="6" t="s">
        <v>66</v>
      </c>
      <c r="B953" s="6"/>
      <c r="C953" s="17">
        <v>34318</v>
      </c>
      <c r="D953" s="18">
        <v>8.8297573500542921</v>
      </c>
      <c r="E953" s="22">
        <v>71.28794241151769</v>
      </c>
      <c r="F953" s="6">
        <v>1188.3699999999999</v>
      </c>
      <c r="G953" s="22"/>
      <c r="H953" s="22"/>
      <c r="I953" s="22"/>
      <c r="J953" s="22"/>
      <c r="K953" s="22"/>
      <c r="L953" s="22"/>
      <c r="M953" s="22">
        <v>630</v>
      </c>
      <c r="N953" s="18"/>
      <c r="O953" s="18"/>
      <c r="P953" s="22"/>
      <c r="Q953" s="22"/>
      <c r="R953" s="22"/>
      <c r="S953" s="22"/>
      <c r="T953" s="22"/>
      <c r="U953" s="22"/>
      <c r="V953" s="6"/>
      <c r="W953" s="6"/>
      <c r="X953" s="19"/>
      <c r="Y953" s="6">
        <v>1.02</v>
      </c>
      <c r="Z953" s="6"/>
      <c r="AA953" s="6"/>
      <c r="AB953" s="6"/>
      <c r="AC953" s="6"/>
      <c r="AD953" s="6"/>
      <c r="AE953" s="6"/>
      <c r="AF953" s="18">
        <v>4.91</v>
      </c>
      <c r="AG953" s="18">
        <v>8.084335350528276</v>
      </c>
      <c r="AH953" s="18"/>
      <c r="AI953" s="18">
        <v>6.1</v>
      </c>
      <c r="AK953" s="18"/>
      <c r="AL953" s="18"/>
      <c r="AM953" s="40" t="s">
        <v>118</v>
      </c>
      <c r="AN953" s="18"/>
      <c r="AO953" s="6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6"/>
      <c r="BK953" s="6">
        <v>8.8000000000000005E-3</v>
      </c>
      <c r="BL953" s="6" t="s">
        <v>65</v>
      </c>
      <c r="BO953" s="15"/>
    </row>
    <row r="954" spans="1:67" ht="13.25" customHeight="1">
      <c r="A954" s="6" t="s">
        <v>66</v>
      </c>
      <c r="B954" s="6"/>
      <c r="C954" s="17">
        <v>34683</v>
      </c>
      <c r="D954" s="18">
        <v>9.8290942284325293</v>
      </c>
      <c r="E954" s="22">
        <v>70.658068386322725</v>
      </c>
      <c r="F954" s="6">
        <v>1177.8699999999999</v>
      </c>
      <c r="G954" s="22"/>
      <c r="H954" s="22"/>
      <c r="I954" s="22"/>
      <c r="J954" s="22"/>
      <c r="K954" s="22"/>
      <c r="L954" s="22"/>
      <c r="M954" s="22">
        <v>918</v>
      </c>
      <c r="N954" s="18"/>
      <c r="O954" s="18"/>
      <c r="P954" s="22"/>
      <c r="Q954" s="22"/>
      <c r="R954" s="22"/>
      <c r="S954" s="22"/>
      <c r="T954" s="22"/>
      <c r="U954" s="22"/>
      <c r="V954" s="6"/>
      <c r="W954" s="6"/>
      <c r="X954" s="19"/>
      <c r="Y954" s="6">
        <v>1.3</v>
      </c>
      <c r="Z954" s="6"/>
      <c r="AA954" s="6"/>
      <c r="AB954" s="6"/>
      <c r="AC954" s="6"/>
      <c r="AD954" s="6"/>
      <c r="AE954" s="6"/>
      <c r="AF954" s="18">
        <v>5.64</v>
      </c>
      <c r="AG954" s="18">
        <v>9.5855276727358945</v>
      </c>
      <c r="AH954" s="18"/>
      <c r="AI954" s="18">
        <v>8.5</v>
      </c>
      <c r="AK954" s="18"/>
      <c r="AL954" s="18"/>
      <c r="AM954" s="40" t="s">
        <v>118</v>
      </c>
      <c r="AN954" s="18"/>
      <c r="AO954" s="6">
        <v>500</v>
      </c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6"/>
      <c r="BK954" s="6">
        <v>9.7000000000000003E-3</v>
      </c>
      <c r="BL954" s="6" t="s">
        <v>65</v>
      </c>
      <c r="BO954" s="15"/>
    </row>
    <row r="955" spans="1:67" ht="13.25" customHeight="1">
      <c r="A955" s="6" t="s">
        <v>66</v>
      </c>
      <c r="B955" s="6"/>
      <c r="C955" s="17">
        <v>35048</v>
      </c>
      <c r="D955" s="18">
        <v>10.828431106810768</v>
      </c>
      <c r="E955" s="22">
        <v>70.481703659268149</v>
      </c>
      <c r="F955" s="6">
        <v>1174.93</v>
      </c>
      <c r="G955" s="22"/>
      <c r="H955" s="22"/>
      <c r="I955" s="22"/>
      <c r="J955" s="22"/>
      <c r="K955" s="22"/>
      <c r="L955" s="22"/>
      <c r="M955" s="22">
        <v>1253</v>
      </c>
      <c r="N955" s="18"/>
      <c r="O955" s="18"/>
      <c r="P955" s="22"/>
      <c r="Q955" s="22"/>
      <c r="R955" s="22"/>
      <c r="S955" s="22"/>
      <c r="T955" s="22"/>
      <c r="U955" s="22"/>
      <c r="V955" s="6"/>
      <c r="W955" s="6"/>
      <c r="X955" s="19"/>
      <c r="Y955" s="6">
        <v>1.38</v>
      </c>
      <c r="Z955" s="6"/>
      <c r="AA955" s="6"/>
      <c r="AB955" s="6"/>
      <c r="AC955" s="6"/>
      <c r="AD955" s="6"/>
      <c r="AE955" s="6"/>
      <c r="AF955" s="18">
        <v>6.52</v>
      </c>
      <c r="AG955" s="18">
        <v>10.918062820467128</v>
      </c>
      <c r="AH955" s="18"/>
      <c r="AI955" s="18">
        <v>11</v>
      </c>
      <c r="AK955" s="18"/>
      <c r="AL955" s="18"/>
      <c r="AM955" s="40" t="s">
        <v>118</v>
      </c>
      <c r="AN955" s="18"/>
      <c r="AO955" s="6">
        <v>490</v>
      </c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6"/>
      <c r="BK955" s="6">
        <v>1.0500000000000001E-2</v>
      </c>
      <c r="BL955" s="6" t="s">
        <v>65</v>
      </c>
      <c r="BO955" s="15"/>
    </row>
    <row r="956" spans="1:67" ht="13.25" customHeight="1">
      <c r="A956" s="6" t="s">
        <v>66</v>
      </c>
      <c r="B956" s="6"/>
      <c r="C956" s="17">
        <v>35414</v>
      </c>
      <c r="D956" s="18">
        <v>11.830505894444837</v>
      </c>
      <c r="E956" s="22">
        <v>69.490701859628075</v>
      </c>
      <c r="F956" s="6">
        <v>1158.4100000000001</v>
      </c>
      <c r="G956" s="22"/>
      <c r="H956" s="22"/>
      <c r="I956" s="22"/>
      <c r="J956" s="22"/>
      <c r="K956" s="22"/>
      <c r="L956" s="22"/>
      <c r="M956" s="22">
        <v>1588</v>
      </c>
      <c r="N956" s="18"/>
      <c r="O956" s="18"/>
      <c r="P956" s="22"/>
      <c r="Q956" s="22"/>
      <c r="R956" s="22"/>
      <c r="S956" s="22"/>
      <c r="T956" s="22"/>
      <c r="U956" s="22"/>
      <c r="V956" s="6"/>
      <c r="W956" s="6"/>
      <c r="X956" s="19"/>
      <c r="Y956" s="6">
        <v>1.56</v>
      </c>
      <c r="Z956" s="6"/>
      <c r="AA956" s="6"/>
      <c r="AB956" s="6"/>
      <c r="AC956" s="6"/>
      <c r="AD956" s="6"/>
      <c r="AE956" s="6"/>
      <c r="AF956" s="18">
        <v>7.17</v>
      </c>
      <c r="AG956" s="18">
        <v>11.907454999867648</v>
      </c>
      <c r="AH956" s="18"/>
      <c r="AI956" s="18">
        <v>12.9</v>
      </c>
      <c r="AK956" s="18"/>
      <c r="AL956" s="18"/>
      <c r="AM956" s="40" t="s">
        <v>118</v>
      </c>
      <c r="AN956" s="18"/>
      <c r="AO956" s="6">
        <v>540</v>
      </c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6"/>
      <c r="BK956" s="6">
        <v>1.06E-2</v>
      </c>
      <c r="BL956" s="6" t="s">
        <v>65</v>
      </c>
      <c r="BO956" s="15"/>
    </row>
    <row r="957" spans="1:67" ht="13.25" customHeight="1">
      <c r="A957" s="6" t="s">
        <v>66</v>
      </c>
      <c r="B957" s="6"/>
      <c r="C957" s="17">
        <v>35779</v>
      </c>
      <c r="D957" s="18">
        <v>12.829842772823074</v>
      </c>
      <c r="E957" s="22">
        <v>69.323335332933411</v>
      </c>
      <c r="F957" s="6">
        <v>1155.6199999999999</v>
      </c>
      <c r="G957" s="22"/>
      <c r="H957" s="22"/>
      <c r="I957" s="22"/>
      <c r="J957" s="22"/>
      <c r="K957" s="22"/>
      <c r="L957" s="22"/>
      <c r="M957" s="22">
        <v>2003</v>
      </c>
      <c r="N957" s="18"/>
      <c r="O957" s="18"/>
      <c r="P957" s="22"/>
      <c r="Q957" s="22"/>
      <c r="R957" s="22"/>
      <c r="S957" s="22"/>
      <c r="T957" s="22"/>
      <c r="U957" s="22"/>
      <c r="V957" s="6"/>
      <c r="W957" s="6"/>
      <c r="X957" s="19"/>
      <c r="Y957" s="6">
        <v>1.6</v>
      </c>
      <c r="Z957" s="6"/>
      <c r="AA957" s="6"/>
      <c r="AB957" s="6"/>
      <c r="AC957" s="6"/>
      <c r="AD957" s="6"/>
      <c r="AE957" s="6"/>
      <c r="AF957" s="18">
        <v>7.81</v>
      </c>
      <c r="AG957" s="18">
        <v>12.898410414997988</v>
      </c>
      <c r="AH957" s="18"/>
      <c r="AI957" s="18">
        <v>15.1</v>
      </c>
      <c r="AK957" s="18"/>
      <c r="AL957" s="18"/>
      <c r="AM957" s="40" t="s">
        <v>118</v>
      </c>
      <c r="AN957" s="18"/>
      <c r="AO957" s="6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6"/>
      <c r="BK957" s="6">
        <v>1.06E-2</v>
      </c>
      <c r="BL957" s="6" t="s">
        <v>65</v>
      </c>
      <c r="BO957" s="15"/>
    </row>
    <row r="958" spans="1:67" ht="13.25" customHeight="1">
      <c r="A958" s="6" t="s">
        <v>66</v>
      </c>
      <c r="B958" s="6"/>
      <c r="C958" s="17">
        <v>36144</v>
      </c>
      <c r="D958" s="18">
        <v>13.829179651201311</v>
      </c>
      <c r="E958" s="22">
        <v>68.795440911817636</v>
      </c>
      <c r="F958" s="6">
        <v>1146.82</v>
      </c>
      <c r="G958" s="22"/>
      <c r="H958" s="22"/>
      <c r="I958" s="22"/>
      <c r="J958" s="22"/>
      <c r="K958" s="22"/>
      <c r="L958" s="22"/>
      <c r="M958" s="22">
        <v>2372</v>
      </c>
      <c r="N958" s="18"/>
      <c r="O958" s="18"/>
      <c r="P958" s="22"/>
      <c r="Q958" s="22"/>
      <c r="R958" s="22"/>
      <c r="S958" s="22"/>
      <c r="T958" s="22"/>
      <c r="U958" s="22"/>
      <c r="V958" s="6"/>
      <c r="W958" s="6"/>
      <c r="X958" s="19"/>
      <c r="Y958" s="6">
        <v>1.73</v>
      </c>
      <c r="Z958" s="6"/>
      <c r="AA958" s="6"/>
      <c r="AB958" s="6"/>
      <c r="AC958" s="6"/>
      <c r="AD958" s="6"/>
      <c r="AE958" s="6"/>
      <c r="AF958" s="18">
        <v>8.34</v>
      </c>
      <c r="AG958" s="18">
        <v>13.697804576129045</v>
      </c>
      <c r="AH958" s="18"/>
      <c r="AI958" s="18">
        <v>16.899999999999999</v>
      </c>
      <c r="AK958" s="18"/>
      <c r="AL958" s="18"/>
      <c r="AM958" s="40" t="s">
        <v>118</v>
      </c>
      <c r="AN958" s="18"/>
      <c r="AO958" s="6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6"/>
      <c r="BK958" s="6">
        <v>1.06E-2</v>
      </c>
      <c r="BL958" s="6" t="s">
        <v>65</v>
      </c>
      <c r="BO958" s="15"/>
    </row>
    <row r="959" spans="1:67" ht="13.25" customHeight="1">
      <c r="A959" s="6" t="s">
        <v>66</v>
      </c>
      <c r="B959" s="6"/>
      <c r="C959" s="17">
        <v>36509</v>
      </c>
      <c r="D959" s="18">
        <v>14.828516529579549</v>
      </c>
      <c r="E959" s="22">
        <v>68.461307738452319</v>
      </c>
      <c r="F959" s="6">
        <v>1141.25</v>
      </c>
      <c r="G959" s="22"/>
      <c r="H959" s="22"/>
      <c r="I959" s="22"/>
      <c r="J959" s="22"/>
      <c r="K959" s="22"/>
      <c r="L959" s="22"/>
      <c r="M959" s="22">
        <v>2827</v>
      </c>
      <c r="N959" s="18"/>
      <c r="O959" s="18"/>
      <c r="P959" s="22"/>
      <c r="Q959" s="22"/>
      <c r="R959" s="22"/>
      <c r="S959" s="22"/>
      <c r="T959" s="22"/>
      <c r="U959" s="22"/>
      <c r="V959" s="6"/>
      <c r="W959" s="6"/>
      <c r="X959" s="19"/>
      <c r="Y959" s="6">
        <v>1.95</v>
      </c>
      <c r="Z959" s="6"/>
      <c r="AA959" s="6"/>
      <c r="AB959" s="6"/>
      <c r="AC959" s="6"/>
      <c r="AD959" s="6"/>
      <c r="AE959" s="6"/>
      <c r="AF959" s="18">
        <v>8.98</v>
      </c>
      <c r="AG959" s="18">
        <v>14.520974058039677</v>
      </c>
      <c r="AH959" s="18"/>
      <c r="AI959" s="18">
        <v>18.899999999999999</v>
      </c>
      <c r="AK959" s="18"/>
      <c r="AL959" s="18"/>
      <c r="AM959" s="40" t="s">
        <v>118</v>
      </c>
      <c r="AN959" s="18"/>
      <c r="AO959" s="6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6"/>
      <c r="BK959" s="6">
        <v>1.03E-2</v>
      </c>
      <c r="BL959" s="6" t="s">
        <v>65</v>
      </c>
      <c r="BO959" s="15"/>
    </row>
    <row r="960" spans="1:67" ht="13.25" customHeight="1">
      <c r="A960" s="6" t="s">
        <v>66</v>
      </c>
      <c r="B960" s="6"/>
      <c r="C960" s="17">
        <v>36875</v>
      </c>
      <c r="D960" s="18">
        <v>15.830591317213617</v>
      </c>
      <c r="E960" s="22">
        <v>68.164967006598673</v>
      </c>
      <c r="F960" s="6">
        <v>1136.31</v>
      </c>
      <c r="G960" s="22"/>
      <c r="H960" s="22"/>
      <c r="I960" s="22"/>
      <c r="J960" s="22"/>
      <c r="K960" s="22"/>
      <c r="L960" s="22"/>
      <c r="M960" s="22">
        <v>3350</v>
      </c>
      <c r="N960" s="18"/>
      <c r="O960" s="18"/>
      <c r="P960" s="22"/>
      <c r="Q960" s="22"/>
      <c r="R960" s="22"/>
      <c r="S960" s="22"/>
      <c r="T960" s="22"/>
      <c r="U960" s="22"/>
      <c r="V960" s="6"/>
      <c r="W960" s="6"/>
      <c r="X960" s="19"/>
      <c r="Y960" s="6">
        <v>2</v>
      </c>
      <c r="Z960" s="6"/>
      <c r="AA960" s="6"/>
      <c r="AB960" s="6"/>
      <c r="AC960" s="6"/>
      <c r="AD960" s="6"/>
      <c r="AE960" s="6"/>
      <c r="AF960" s="18">
        <v>9.6300000000000008</v>
      </c>
      <c r="AG960" s="18">
        <v>15.339686211068912</v>
      </c>
      <c r="AH960" s="18"/>
      <c r="AI960" s="18">
        <v>21</v>
      </c>
      <c r="AK960" s="18"/>
      <c r="AL960" s="18"/>
      <c r="AM960" s="40" t="s">
        <v>118</v>
      </c>
      <c r="AN960" s="18"/>
      <c r="AO960" s="6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6"/>
      <c r="BK960" s="6">
        <v>1.1000000000000001E-2</v>
      </c>
      <c r="BL960" s="6" t="s">
        <v>65</v>
      </c>
      <c r="BO960" s="15"/>
    </row>
    <row r="961" spans="1:67" ht="13.25" customHeight="1">
      <c r="A961" s="6" t="s">
        <v>67</v>
      </c>
      <c r="B961" s="6"/>
      <c r="C961" s="17">
        <v>31062</v>
      </c>
      <c r="D961" s="6">
        <v>0</v>
      </c>
      <c r="E961" s="22">
        <v>100</v>
      </c>
      <c r="F961" s="6">
        <v>1667</v>
      </c>
      <c r="G961" s="22"/>
      <c r="H961" s="22"/>
      <c r="I961" s="22"/>
      <c r="J961" s="22"/>
      <c r="K961" s="22"/>
      <c r="L961" s="22"/>
      <c r="M961" s="22"/>
      <c r="N961" s="18"/>
      <c r="O961" s="18"/>
      <c r="P961" s="22"/>
      <c r="Q961" s="22"/>
      <c r="R961" s="22"/>
      <c r="S961" s="22"/>
      <c r="T961" s="22"/>
      <c r="U961" s="22"/>
      <c r="V961" s="6"/>
      <c r="W961" s="6"/>
      <c r="X961" s="19"/>
      <c r="Y961" s="6"/>
      <c r="Z961" s="6"/>
      <c r="AA961" s="6"/>
      <c r="AB961" s="6"/>
      <c r="AC961" s="6"/>
      <c r="AD961" s="6"/>
      <c r="AE961" s="6"/>
      <c r="AF961" s="18"/>
      <c r="AG961" s="18"/>
      <c r="AH961" s="18"/>
      <c r="AI961" s="18"/>
      <c r="AK961" s="18"/>
      <c r="AL961" s="18"/>
      <c r="AM961" s="40" t="s">
        <v>118</v>
      </c>
      <c r="AN961" s="18"/>
      <c r="AO961" s="6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6"/>
      <c r="BK961" s="6"/>
      <c r="BL961" s="6" t="s">
        <v>65</v>
      </c>
      <c r="BO961" s="15"/>
    </row>
    <row r="962" spans="1:67" ht="13.25" customHeight="1">
      <c r="A962" s="6" t="s">
        <v>67</v>
      </c>
      <c r="B962" s="6"/>
      <c r="C962" s="17">
        <v>33587</v>
      </c>
      <c r="D962" s="18">
        <v>6.8283456840419863</v>
      </c>
      <c r="E962" s="22">
        <v>71.862627474505103</v>
      </c>
      <c r="F962" s="6">
        <v>1197.95</v>
      </c>
      <c r="G962" s="22"/>
      <c r="H962" s="22"/>
      <c r="I962" s="22"/>
      <c r="J962" s="22"/>
      <c r="K962" s="22"/>
      <c r="L962" s="22"/>
      <c r="M962" s="22">
        <v>288</v>
      </c>
      <c r="N962" s="18"/>
      <c r="O962" s="18"/>
      <c r="P962" s="22"/>
      <c r="Q962" s="22"/>
      <c r="R962" s="22"/>
      <c r="S962" s="22"/>
      <c r="T962" s="22"/>
      <c r="U962" s="22"/>
      <c r="V962" s="6"/>
      <c r="W962" s="6"/>
      <c r="X962" s="19"/>
      <c r="Y962" s="6"/>
      <c r="Z962" s="6"/>
      <c r="AA962" s="6"/>
      <c r="AB962" s="6"/>
      <c r="AC962" s="6"/>
      <c r="AD962" s="6"/>
      <c r="AE962" s="6"/>
      <c r="AF962" s="18">
        <v>3.35</v>
      </c>
      <c r="AG962" s="18">
        <v>4.835565130629587</v>
      </c>
      <c r="AH962" s="18"/>
      <c r="AI962" s="18">
        <v>2.2000000000000002</v>
      </c>
      <c r="AK962" s="18"/>
      <c r="AL962" s="18"/>
      <c r="AM962" s="40" t="s">
        <v>118</v>
      </c>
      <c r="AN962" s="18"/>
      <c r="AO962" s="6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6"/>
      <c r="BK962" s="6">
        <v>9.5999999999999992E-3</v>
      </c>
      <c r="BL962" s="6" t="s">
        <v>65</v>
      </c>
      <c r="BO962" s="15"/>
    </row>
    <row r="963" spans="1:67" ht="13.25" customHeight="1">
      <c r="A963" s="6" t="s">
        <v>67</v>
      </c>
      <c r="B963" s="6"/>
      <c r="C963" s="17">
        <v>33953</v>
      </c>
      <c r="D963" s="18">
        <v>7.8304204716760548</v>
      </c>
      <c r="E963" s="22">
        <v>71.686262747450513</v>
      </c>
      <c r="F963" s="6">
        <v>1195.01</v>
      </c>
      <c r="G963" s="22"/>
      <c r="H963" s="22"/>
      <c r="I963" s="22"/>
      <c r="J963" s="22"/>
      <c r="K963" s="22"/>
      <c r="L963" s="22"/>
      <c r="M963" s="22">
        <v>509</v>
      </c>
      <c r="N963" s="18"/>
      <c r="O963" s="18"/>
      <c r="P963" s="22"/>
      <c r="Q963" s="22"/>
      <c r="R963" s="22"/>
      <c r="S963" s="22"/>
      <c r="T963" s="22"/>
      <c r="U963" s="22"/>
      <c r="V963" s="6"/>
      <c r="W963" s="6"/>
      <c r="X963" s="19"/>
      <c r="Y963" s="6">
        <v>1.04</v>
      </c>
      <c r="Z963" s="6"/>
      <c r="AA963" s="6"/>
      <c r="AB963" s="6"/>
      <c r="AC963" s="6"/>
      <c r="AD963" s="6"/>
      <c r="AE963" s="6"/>
      <c r="AF963" s="18">
        <v>4.22</v>
      </c>
      <c r="AG963" s="18">
        <v>7.3714777841542167</v>
      </c>
      <c r="AH963" s="18"/>
      <c r="AI963" s="18">
        <v>5.0999999999999996</v>
      </c>
      <c r="AK963" s="18"/>
      <c r="AL963" s="18"/>
      <c r="AM963" s="40" t="s">
        <v>118</v>
      </c>
      <c r="AN963" s="18"/>
      <c r="AO963" s="6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6"/>
      <c r="BK963" s="6">
        <v>1.3100000000000001E-2</v>
      </c>
      <c r="BL963" s="6" t="s">
        <v>65</v>
      </c>
      <c r="BO963" s="15"/>
    </row>
    <row r="964" spans="1:67" ht="13.25" customHeight="1">
      <c r="A964" s="6" t="s">
        <v>67</v>
      </c>
      <c r="B964" s="6"/>
      <c r="C964" s="17">
        <v>34318</v>
      </c>
      <c r="D964" s="18">
        <v>8.8297573500542921</v>
      </c>
      <c r="E964" s="22">
        <v>71.685662867426515</v>
      </c>
      <c r="F964" s="6">
        <v>1195</v>
      </c>
      <c r="G964" s="22"/>
      <c r="H964" s="22"/>
      <c r="I964" s="22"/>
      <c r="J964" s="22"/>
      <c r="K964" s="22"/>
      <c r="L964" s="22"/>
      <c r="M964" s="22">
        <v>877.99999999999989</v>
      </c>
      <c r="N964" s="18"/>
      <c r="O964" s="18"/>
      <c r="P964" s="22"/>
      <c r="Q964" s="22"/>
      <c r="R964" s="22"/>
      <c r="S964" s="22"/>
      <c r="T964" s="22"/>
      <c r="U964" s="22"/>
      <c r="V964" s="6"/>
      <c r="W964" s="6"/>
      <c r="X964" s="19"/>
      <c r="Y964" s="6">
        <v>1.54</v>
      </c>
      <c r="Z964" s="6"/>
      <c r="AA964" s="6"/>
      <c r="AB964" s="6"/>
      <c r="AC964" s="6"/>
      <c r="AD964" s="6"/>
      <c r="AE964" s="6"/>
      <c r="AF964" s="18">
        <v>5.09</v>
      </c>
      <c r="AG964" s="18">
        <v>9.6278854918160608</v>
      </c>
      <c r="AH964" s="18"/>
      <c r="AI964" s="18">
        <v>8.6999999999999993</v>
      </c>
      <c r="AK964" s="18"/>
      <c r="AL964" s="18"/>
      <c r="AM964" s="40" t="s">
        <v>118</v>
      </c>
      <c r="AN964" s="18"/>
      <c r="AO964" s="6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6"/>
      <c r="BK964" s="6">
        <v>1.18E-2</v>
      </c>
      <c r="BL964" s="6" t="s">
        <v>65</v>
      </c>
      <c r="BO964" s="15"/>
    </row>
    <row r="965" spans="1:67" ht="13.25" customHeight="1">
      <c r="A965" s="6" t="s">
        <v>67</v>
      </c>
      <c r="B965" s="6"/>
      <c r="C965" s="17">
        <v>34683</v>
      </c>
      <c r="D965" s="18">
        <v>9.8290942284325293</v>
      </c>
      <c r="E965" s="22">
        <v>70.999400119976002</v>
      </c>
      <c r="F965" s="6">
        <v>1183.56</v>
      </c>
      <c r="G965" s="22"/>
      <c r="H965" s="22"/>
      <c r="I965" s="22"/>
      <c r="J965" s="22"/>
      <c r="K965" s="22"/>
      <c r="L965" s="22"/>
      <c r="M965" s="22">
        <v>1441</v>
      </c>
      <c r="N965" s="18"/>
      <c r="O965" s="18"/>
      <c r="P965" s="22"/>
      <c r="Q965" s="22"/>
      <c r="R965" s="22"/>
      <c r="S965" s="22"/>
      <c r="T965" s="22"/>
      <c r="U965" s="22"/>
      <c r="V965" s="6"/>
      <c r="W965" s="6"/>
      <c r="X965" s="19"/>
      <c r="Y965" s="6">
        <v>2.2799999999999998</v>
      </c>
      <c r="Z965" s="6"/>
      <c r="AA965" s="6"/>
      <c r="AB965" s="6"/>
      <c r="AC965" s="6"/>
      <c r="AD965" s="6"/>
      <c r="AE965" s="6"/>
      <c r="AF965" s="18">
        <v>6.21</v>
      </c>
      <c r="AG965" s="18">
        <v>11.871230864830931</v>
      </c>
      <c r="AH965" s="18"/>
      <c r="AI965" s="18">
        <v>13.1</v>
      </c>
      <c r="AK965" s="18"/>
      <c r="AL965" s="18"/>
      <c r="AM965" s="40" t="s">
        <v>118</v>
      </c>
      <c r="AN965" s="18"/>
      <c r="AO965" s="6">
        <v>450</v>
      </c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6"/>
      <c r="BK965" s="6">
        <v>1.3100000000000001E-2</v>
      </c>
      <c r="BL965" s="6" t="s">
        <v>65</v>
      </c>
      <c r="BO965" s="15"/>
    </row>
    <row r="966" spans="1:67" ht="13.25" customHeight="1">
      <c r="A966" s="6" t="s">
        <v>67</v>
      </c>
      <c r="B966" s="6"/>
      <c r="C966" s="17">
        <v>35048</v>
      </c>
      <c r="D966" s="18">
        <v>10.828431106810768</v>
      </c>
      <c r="E966" s="22">
        <v>70.998800239952004</v>
      </c>
      <c r="F966" s="6">
        <v>1183.55</v>
      </c>
      <c r="G966" s="22"/>
      <c r="H966" s="22"/>
      <c r="I966" s="22"/>
      <c r="J966" s="22"/>
      <c r="K966" s="22"/>
      <c r="L966" s="22"/>
      <c r="M966" s="22">
        <v>2178</v>
      </c>
      <c r="N966" s="18"/>
      <c r="O966" s="18"/>
      <c r="P966" s="22"/>
      <c r="Q966" s="22"/>
      <c r="R966" s="22"/>
      <c r="S966" s="22"/>
      <c r="T966" s="22"/>
      <c r="U966" s="22"/>
      <c r="V966" s="6"/>
      <c r="W966" s="6"/>
      <c r="X966" s="19"/>
      <c r="Y966" s="6">
        <v>2.39</v>
      </c>
      <c r="Z966" s="6"/>
      <c r="AA966" s="6"/>
      <c r="AB966" s="6"/>
      <c r="AC966" s="6"/>
      <c r="AD966" s="6"/>
      <c r="AE966" s="6"/>
      <c r="AF966" s="18">
        <v>7.53</v>
      </c>
      <c r="AG966" s="18">
        <v>13.563132143772439</v>
      </c>
      <c r="AH966" s="18"/>
      <c r="AI966" s="18">
        <v>17.100000000000001</v>
      </c>
      <c r="AK966" s="18"/>
      <c r="AL966" s="18"/>
      <c r="AM966" s="40" t="s">
        <v>118</v>
      </c>
      <c r="AN966" s="18"/>
      <c r="AO966" s="6">
        <v>460</v>
      </c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6"/>
      <c r="BK966" s="6">
        <v>1.24E-2</v>
      </c>
      <c r="BL966" s="6" t="s">
        <v>65</v>
      </c>
      <c r="BO966" s="15"/>
    </row>
    <row r="967" spans="1:67" ht="13.25" customHeight="1">
      <c r="A967" s="6" t="s">
        <v>67</v>
      </c>
      <c r="B967" s="6"/>
      <c r="C967" s="17">
        <v>35414</v>
      </c>
      <c r="D967" s="18">
        <v>11.830505894444837</v>
      </c>
      <c r="E967" s="22">
        <v>70.368326334733055</v>
      </c>
      <c r="F967" s="6">
        <v>1173.04</v>
      </c>
      <c r="G967" s="22"/>
      <c r="H967" s="22"/>
      <c r="I967" s="22"/>
      <c r="J967" s="22"/>
      <c r="K967" s="22"/>
      <c r="L967" s="22"/>
      <c r="M967" s="22">
        <v>2861</v>
      </c>
      <c r="N967" s="18"/>
      <c r="O967" s="18"/>
      <c r="P967" s="22"/>
      <c r="Q967" s="22"/>
      <c r="R967" s="22"/>
      <c r="S967" s="22"/>
      <c r="T967" s="22"/>
      <c r="U967" s="22"/>
      <c r="V967" s="6"/>
      <c r="W967" s="6"/>
      <c r="X967" s="19"/>
      <c r="Y967" s="6">
        <v>2.67</v>
      </c>
      <c r="Z967" s="6"/>
      <c r="AA967" s="6"/>
      <c r="AB967" s="6"/>
      <c r="AC967" s="6"/>
      <c r="AD967" s="6"/>
      <c r="AE967" s="6"/>
      <c r="AF967" s="18">
        <v>8.44</v>
      </c>
      <c r="AG967" s="18">
        <v>14.843860043212462</v>
      </c>
      <c r="AH967" s="18"/>
      <c r="AI967" s="18">
        <v>20.3</v>
      </c>
      <c r="AK967" s="18"/>
      <c r="AL967" s="18"/>
      <c r="AM967" s="40" t="s">
        <v>118</v>
      </c>
      <c r="AN967" s="18"/>
      <c r="AO967" s="6">
        <v>490</v>
      </c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6"/>
      <c r="BK967" s="6">
        <v>1.4499999999999999E-2</v>
      </c>
      <c r="BL967" s="6" t="s">
        <v>65</v>
      </c>
      <c r="BO967" s="15"/>
    </row>
    <row r="968" spans="1:67" ht="13.25" customHeight="1">
      <c r="A968" s="6" t="s">
        <v>67</v>
      </c>
      <c r="B968" s="6"/>
      <c r="C968" s="17">
        <v>35779</v>
      </c>
      <c r="D968" s="18">
        <v>12.829842772823074</v>
      </c>
      <c r="E968" s="22">
        <v>70.006598680263949</v>
      </c>
      <c r="F968" s="6">
        <v>1167.01</v>
      </c>
      <c r="G968" s="22"/>
      <c r="H968" s="22"/>
      <c r="I968" s="22"/>
      <c r="J968" s="22"/>
      <c r="K968" s="22"/>
      <c r="L968" s="22"/>
      <c r="M968" s="22">
        <v>3665</v>
      </c>
      <c r="N968" s="18"/>
      <c r="O968" s="18"/>
      <c r="P968" s="22"/>
      <c r="Q968" s="22"/>
      <c r="R968" s="22"/>
      <c r="S968" s="22"/>
      <c r="T968" s="22"/>
      <c r="U968" s="22"/>
      <c r="V968" s="6"/>
      <c r="W968" s="6"/>
      <c r="X968" s="19"/>
      <c r="Y968" s="6">
        <v>2.94</v>
      </c>
      <c r="Z968" s="6"/>
      <c r="AA968" s="6"/>
      <c r="AB968" s="6"/>
      <c r="AC968" s="6"/>
      <c r="AD968" s="6"/>
      <c r="AE968" s="6"/>
      <c r="AF968" s="18">
        <v>9.5500000000000007</v>
      </c>
      <c r="AG968" s="18">
        <v>16.012232412425888</v>
      </c>
      <c r="AH968" s="18"/>
      <c r="AI968" s="18">
        <v>23.5</v>
      </c>
      <c r="AK968" s="18"/>
      <c r="AL968" s="18"/>
      <c r="AM968" s="40" t="s">
        <v>118</v>
      </c>
      <c r="AN968" s="18"/>
      <c r="AO968" s="6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6"/>
      <c r="BK968" s="6">
        <v>1.54E-2</v>
      </c>
      <c r="BL968" s="6" t="s">
        <v>65</v>
      </c>
      <c r="BO968" s="15"/>
    </row>
    <row r="969" spans="1:67" ht="13.25" customHeight="1">
      <c r="A969" s="6" t="s">
        <v>67</v>
      </c>
      <c r="B969" s="6"/>
      <c r="C969" s="17">
        <v>36144</v>
      </c>
      <c r="D969" s="18">
        <v>13.829179651201311</v>
      </c>
      <c r="E969" s="22">
        <v>69.82963407318536</v>
      </c>
      <c r="F969" s="6">
        <v>1164.06</v>
      </c>
      <c r="G969" s="22"/>
      <c r="H969" s="22"/>
      <c r="I969" s="22"/>
      <c r="J969" s="22"/>
      <c r="K969" s="22"/>
      <c r="L969" s="22"/>
      <c r="M969" s="22">
        <v>4415</v>
      </c>
      <c r="N969" s="18"/>
      <c r="O969" s="18"/>
      <c r="P969" s="22"/>
      <c r="Q969" s="22"/>
      <c r="R969" s="22"/>
      <c r="S969" s="22"/>
      <c r="T969" s="22"/>
      <c r="U969" s="22"/>
      <c r="V969" s="6"/>
      <c r="W969" s="6"/>
      <c r="X969" s="19"/>
      <c r="Y969" s="6">
        <v>2.65</v>
      </c>
      <c r="Z969" s="6"/>
      <c r="AA969" s="6"/>
      <c r="AB969" s="6"/>
      <c r="AC969" s="6"/>
      <c r="AD969" s="6"/>
      <c r="AE969" s="6"/>
      <c r="AF969" s="18">
        <v>10.050000000000001</v>
      </c>
      <c r="AG969" s="18">
        <v>17.089257367685736</v>
      </c>
      <c r="AH969" s="18"/>
      <c r="AI969" s="18">
        <v>26.7</v>
      </c>
      <c r="AK969" s="18"/>
      <c r="AL969" s="18"/>
      <c r="AM969" s="40" t="s">
        <v>118</v>
      </c>
      <c r="AN969" s="18"/>
      <c r="AO969" s="6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6"/>
      <c r="BK969" s="6">
        <v>1.44E-2</v>
      </c>
      <c r="BL969" s="6" t="s">
        <v>65</v>
      </c>
      <c r="BO969" s="15"/>
    </row>
    <row r="970" spans="1:67" ht="13.25" customHeight="1">
      <c r="A970" s="6" t="s">
        <v>67</v>
      </c>
      <c r="B970" s="6"/>
      <c r="C970" s="17">
        <v>36509</v>
      </c>
      <c r="D970" s="18">
        <v>14.828516529579549</v>
      </c>
      <c r="E970" s="22">
        <v>69.356928614277152</v>
      </c>
      <c r="F970" s="6">
        <v>1156.18</v>
      </c>
      <c r="G970" s="22"/>
      <c r="H970" s="22"/>
      <c r="I970" s="22"/>
      <c r="J970" s="22"/>
      <c r="K970" s="22"/>
      <c r="L970" s="22"/>
      <c r="M970" s="22">
        <v>5126</v>
      </c>
      <c r="N970" s="18"/>
      <c r="O970" s="18"/>
      <c r="P970" s="22"/>
      <c r="Q970" s="22"/>
      <c r="R970" s="22"/>
      <c r="S970" s="22"/>
      <c r="T970" s="22"/>
      <c r="U970" s="22"/>
      <c r="V970" s="6"/>
      <c r="W970" s="6"/>
      <c r="X970" s="19"/>
      <c r="Y970" s="6">
        <v>2.75</v>
      </c>
      <c r="Z970" s="6"/>
      <c r="AA970" s="6"/>
      <c r="AB970" s="6"/>
      <c r="AC970" s="6"/>
      <c r="AD970" s="6"/>
      <c r="AE970" s="6"/>
      <c r="AF970" s="18">
        <v>10.73</v>
      </c>
      <c r="AG970" s="18">
        <v>17.932215204526123</v>
      </c>
      <c r="AH970" s="18"/>
      <c r="AI970" s="18">
        <v>29.2</v>
      </c>
      <c r="AK970" s="18"/>
      <c r="AL970" s="18"/>
      <c r="AM970" s="40" t="s">
        <v>118</v>
      </c>
      <c r="AN970" s="18"/>
      <c r="AO970" s="6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6"/>
      <c r="BK970" s="6">
        <v>1.47E-2</v>
      </c>
      <c r="BL970" s="6" t="s">
        <v>65</v>
      </c>
      <c r="BO970" s="15"/>
    </row>
    <row r="971" spans="1:67" ht="13.25" customHeight="1">
      <c r="A971" s="6" t="s">
        <v>67</v>
      </c>
      <c r="B971" s="6"/>
      <c r="C971" s="17">
        <v>36875</v>
      </c>
      <c r="D971" s="18">
        <v>15.830591317213617</v>
      </c>
      <c r="E971" s="22">
        <v>68.68086382723456</v>
      </c>
      <c r="F971" s="6">
        <v>1144.9100000000001</v>
      </c>
      <c r="G971" s="22"/>
      <c r="H971" s="22"/>
      <c r="I971" s="22"/>
      <c r="J971" s="22"/>
      <c r="K971" s="22"/>
      <c r="L971" s="22"/>
      <c r="M971" s="22">
        <v>5910</v>
      </c>
      <c r="N971" s="18"/>
      <c r="O971" s="18"/>
      <c r="P971" s="22"/>
      <c r="Q971" s="22"/>
      <c r="R971" s="22"/>
      <c r="S971" s="22"/>
      <c r="T971" s="22"/>
      <c r="U971" s="22"/>
      <c r="V971" s="6"/>
      <c r="W971" s="6"/>
      <c r="X971" s="19"/>
      <c r="Y971" s="6">
        <v>2.89</v>
      </c>
      <c r="Z971" s="6"/>
      <c r="AA971" s="6"/>
      <c r="AB971" s="6"/>
      <c r="AC971" s="6"/>
      <c r="AD971" s="6"/>
      <c r="AE971" s="6"/>
      <c r="AF971" s="18">
        <v>11.38</v>
      </c>
      <c r="AG971" s="18">
        <v>18.775832381930311</v>
      </c>
      <c r="AH971" s="18"/>
      <c r="AI971" s="18">
        <v>31.7</v>
      </c>
      <c r="AK971" s="18"/>
      <c r="AL971" s="18"/>
      <c r="AM971" s="40" t="s">
        <v>118</v>
      </c>
      <c r="AN971" s="18"/>
      <c r="AO971" s="6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6"/>
      <c r="BK971" s="6">
        <v>1.6200000000000003E-2</v>
      </c>
      <c r="BL971" s="6" t="s">
        <v>65</v>
      </c>
      <c r="BO971" s="15"/>
    </row>
    <row r="972" spans="1:67" ht="13.25" customHeight="1">
      <c r="A972" s="6" t="s">
        <v>68</v>
      </c>
      <c r="B972" s="6"/>
      <c r="C972" s="17">
        <v>31093</v>
      </c>
      <c r="D972" s="6">
        <v>0</v>
      </c>
      <c r="E972" s="22">
        <v>100</v>
      </c>
      <c r="F972" s="6">
        <v>1667</v>
      </c>
      <c r="G972" s="22"/>
      <c r="H972" s="22"/>
      <c r="I972" s="22"/>
      <c r="J972" s="22"/>
      <c r="K972" s="22"/>
      <c r="L972" s="22"/>
      <c r="M972" s="22"/>
      <c r="N972" s="18"/>
      <c r="O972" s="18"/>
      <c r="P972" s="22"/>
      <c r="Q972" s="22"/>
      <c r="R972" s="22"/>
      <c r="S972" s="22"/>
      <c r="T972" s="22"/>
      <c r="U972" s="22"/>
      <c r="V972" s="6"/>
      <c r="W972" s="6"/>
      <c r="X972" s="19"/>
      <c r="Y972" s="6"/>
      <c r="Z972" s="6"/>
      <c r="AA972" s="6"/>
      <c r="AB972" s="6"/>
      <c r="AC972" s="6"/>
      <c r="AD972" s="6"/>
      <c r="AE972" s="6"/>
      <c r="AF972" s="18"/>
      <c r="AG972" s="18"/>
      <c r="AH972" s="18"/>
      <c r="AI972" s="18"/>
      <c r="AK972" s="18"/>
      <c r="AL972" s="18"/>
      <c r="AM972" s="40" t="s">
        <v>118</v>
      </c>
      <c r="AN972" s="18"/>
      <c r="AO972" s="6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6"/>
      <c r="BK972" s="6"/>
      <c r="BL972" s="6" t="s">
        <v>65</v>
      </c>
      <c r="BO972" s="15"/>
    </row>
    <row r="973" spans="1:67" ht="13.25" customHeight="1">
      <c r="A973" s="6" t="s">
        <v>68</v>
      </c>
      <c r="B973" s="6"/>
      <c r="C973" s="17">
        <v>33587</v>
      </c>
      <c r="D973" s="18">
        <v>6.8283456840419863</v>
      </c>
      <c r="E973" s="22">
        <v>69.150569886022794</v>
      </c>
      <c r="F973" s="6">
        <v>1152.74</v>
      </c>
      <c r="G973" s="22"/>
      <c r="H973" s="22"/>
      <c r="I973" s="22"/>
      <c r="J973" s="22"/>
      <c r="K973" s="22"/>
      <c r="L973" s="22"/>
      <c r="M973" s="22">
        <v>288</v>
      </c>
      <c r="N973" s="18"/>
      <c r="O973" s="18"/>
      <c r="P973" s="22"/>
      <c r="Q973" s="22"/>
      <c r="R973" s="22"/>
      <c r="S973" s="22"/>
      <c r="T973" s="22"/>
      <c r="U973" s="22"/>
      <c r="V973" s="6"/>
      <c r="W973" s="6"/>
      <c r="X973" s="19"/>
      <c r="Y973" s="6"/>
      <c r="Z973" s="6"/>
      <c r="AA973" s="6"/>
      <c r="AB973" s="6"/>
      <c r="AC973" s="6"/>
      <c r="AD973" s="6"/>
      <c r="AE973" s="6"/>
      <c r="AF973" s="18">
        <v>3.35</v>
      </c>
      <c r="AG973" s="18">
        <v>4.8161411698309768</v>
      </c>
      <c r="AH973" s="18"/>
      <c r="AI973" s="18">
        <v>2.1</v>
      </c>
      <c r="AK973" s="18"/>
      <c r="AL973" s="18"/>
      <c r="AM973" s="40" t="s">
        <v>118</v>
      </c>
      <c r="AN973" s="18"/>
      <c r="AO973" s="6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6"/>
      <c r="BK973" s="6">
        <v>9.7000000000000003E-3</v>
      </c>
      <c r="BL973" s="6" t="s">
        <v>65</v>
      </c>
      <c r="BO973" s="15"/>
    </row>
    <row r="974" spans="1:67" ht="13.25" customHeight="1">
      <c r="A974" s="6" t="s">
        <v>68</v>
      </c>
      <c r="B974" s="6"/>
      <c r="C974" s="17">
        <v>33953</v>
      </c>
      <c r="D974" s="18">
        <v>7.8304204716760548</v>
      </c>
      <c r="E974" s="22">
        <v>68.983203359328144</v>
      </c>
      <c r="F974" s="6">
        <v>1149.95</v>
      </c>
      <c r="G974" s="22"/>
      <c r="H974" s="22"/>
      <c r="I974" s="22"/>
      <c r="J974" s="22"/>
      <c r="K974" s="22"/>
      <c r="L974" s="22"/>
      <c r="M974" s="22">
        <v>523</v>
      </c>
      <c r="N974" s="18"/>
      <c r="O974" s="18"/>
      <c r="P974" s="22"/>
      <c r="Q974" s="22"/>
      <c r="R974" s="22"/>
      <c r="S974" s="22"/>
      <c r="T974" s="22"/>
      <c r="U974" s="22"/>
      <c r="V974" s="6"/>
      <c r="W974" s="6"/>
      <c r="X974" s="19"/>
      <c r="Y974" s="6">
        <v>0.96</v>
      </c>
      <c r="Z974" s="6"/>
      <c r="AA974" s="6"/>
      <c r="AB974" s="6"/>
      <c r="AC974" s="6"/>
      <c r="AD974" s="6"/>
      <c r="AE974" s="6"/>
      <c r="AF974" s="18">
        <v>4.22</v>
      </c>
      <c r="AG974" s="18">
        <v>7.3656962281166747</v>
      </c>
      <c r="AH974" s="18"/>
      <c r="AI974" s="18">
        <v>4.9000000000000004</v>
      </c>
      <c r="AK974" s="18"/>
      <c r="AL974" s="18"/>
      <c r="AM974" s="40" t="s">
        <v>118</v>
      </c>
      <c r="AN974" s="18"/>
      <c r="AO974" s="6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6"/>
      <c r="BK974" s="6">
        <v>1.29E-2</v>
      </c>
      <c r="BL974" s="6" t="s">
        <v>65</v>
      </c>
      <c r="BO974" s="15"/>
    </row>
    <row r="975" spans="1:67" ht="13.25" customHeight="1">
      <c r="A975" s="6" t="s">
        <v>68</v>
      </c>
      <c r="B975" s="6"/>
      <c r="C975" s="17">
        <v>34318</v>
      </c>
      <c r="D975" s="18">
        <v>8.8297573500542921</v>
      </c>
      <c r="E975" s="22">
        <v>68.806238752249556</v>
      </c>
      <c r="F975" s="6">
        <v>1147</v>
      </c>
      <c r="G975" s="22"/>
      <c r="H975" s="22"/>
      <c r="I975" s="22"/>
      <c r="J975" s="22"/>
      <c r="K975" s="22"/>
      <c r="L975" s="22"/>
      <c r="M975" s="22">
        <v>998</v>
      </c>
      <c r="N975" s="18"/>
      <c r="O975" s="18"/>
      <c r="P975" s="22"/>
      <c r="Q975" s="22"/>
      <c r="R975" s="22"/>
      <c r="S975" s="22"/>
      <c r="T975" s="22"/>
      <c r="U975" s="22"/>
      <c r="V975" s="6"/>
      <c r="W975" s="6"/>
      <c r="X975" s="19"/>
      <c r="Y975" s="6">
        <v>1.73</v>
      </c>
      <c r="Z975" s="6"/>
      <c r="AA975" s="6"/>
      <c r="AB975" s="6"/>
      <c r="AC975" s="6"/>
      <c r="AD975" s="6"/>
      <c r="AE975" s="6"/>
      <c r="AF975" s="18">
        <v>5.44</v>
      </c>
      <c r="AG975" s="18">
        <v>10.160498312671372</v>
      </c>
      <c r="AH975" s="18"/>
      <c r="AI975" s="18">
        <v>9.3000000000000007</v>
      </c>
      <c r="AK975" s="18"/>
      <c r="AL975" s="18"/>
      <c r="AM975" s="40" t="s">
        <v>118</v>
      </c>
      <c r="AN975" s="18"/>
      <c r="AO975" s="6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6"/>
      <c r="BK975" s="6">
        <v>1.11E-2</v>
      </c>
      <c r="BL975" s="6" t="s">
        <v>65</v>
      </c>
      <c r="BO975" s="15"/>
    </row>
    <row r="976" spans="1:67" ht="13.25" customHeight="1">
      <c r="A976" s="6" t="s">
        <v>68</v>
      </c>
      <c r="B976" s="6"/>
      <c r="C976" s="17">
        <v>34683</v>
      </c>
      <c r="D976" s="18">
        <v>9.8290942284325293</v>
      </c>
      <c r="E976" s="22">
        <v>68.119976004799028</v>
      </c>
      <c r="F976" s="6">
        <v>1135.56</v>
      </c>
      <c r="G976" s="22"/>
      <c r="H976" s="22"/>
      <c r="I976" s="22"/>
      <c r="J976" s="22"/>
      <c r="K976" s="22"/>
      <c r="L976" s="22"/>
      <c r="M976" s="22">
        <v>1595</v>
      </c>
      <c r="N976" s="18"/>
      <c r="O976" s="18"/>
      <c r="P976" s="22"/>
      <c r="Q976" s="22"/>
      <c r="R976" s="22"/>
      <c r="S976" s="22"/>
      <c r="T976" s="22"/>
      <c r="U976" s="22"/>
      <c r="V976" s="6"/>
      <c r="W976" s="6"/>
      <c r="X976" s="19"/>
      <c r="Y976" s="6">
        <v>2.2200000000000002</v>
      </c>
      <c r="Z976" s="6"/>
      <c r="AA976" s="6"/>
      <c r="AB976" s="6"/>
      <c r="AC976" s="6"/>
      <c r="AD976" s="6"/>
      <c r="AE976" s="6"/>
      <c r="AF976" s="18">
        <v>6.54</v>
      </c>
      <c r="AG976" s="18">
        <v>12.484110377289152</v>
      </c>
      <c r="AH976" s="18"/>
      <c r="AI976" s="18">
        <v>13.9</v>
      </c>
      <c r="AK976" s="18"/>
      <c r="AL976" s="18"/>
      <c r="AM976" s="40" t="s">
        <v>118</v>
      </c>
      <c r="AN976" s="18"/>
      <c r="AO976" s="6">
        <v>450</v>
      </c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6"/>
      <c r="BK976" s="6">
        <v>1.3000000000000001E-2</v>
      </c>
      <c r="BL976" s="6" t="s">
        <v>65</v>
      </c>
      <c r="BO976" s="15"/>
    </row>
    <row r="977" spans="1:67" ht="13.25" customHeight="1">
      <c r="A977" s="6" t="s">
        <v>68</v>
      </c>
      <c r="B977" s="6"/>
      <c r="C977" s="17">
        <v>35048</v>
      </c>
      <c r="D977" s="18">
        <v>10.828431106810768</v>
      </c>
      <c r="E977" s="22">
        <v>67.823035392921412</v>
      </c>
      <c r="F977" s="6">
        <v>1130.6099999999999</v>
      </c>
      <c r="G977" s="22"/>
      <c r="H977" s="22"/>
      <c r="I977" s="22"/>
      <c r="J977" s="22"/>
      <c r="K977" s="22"/>
      <c r="L977" s="22"/>
      <c r="M977" s="22">
        <v>2452</v>
      </c>
      <c r="N977" s="18"/>
      <c r="O977" s="18"/>
      <c r="P977" s="22"/>
      <c r="Q977" s="22"/>
      <c r="R977" s="22"/>
      <c r="S977" s="22"/>
      <c r="T977" s="22"/>
      <c r="U977" s="22"/>
      <c r="V977" s="6"/>
      <c r="W977" s="6"/>
      <c r="X977" s="19"/>
      <c r="Y977" s="6">
        <v>2.81</v>
      </c>
      <c r="Z977" s="6"/>
      <c r="AA977" s="6"/>
      <c r="AB977" s="6"/>
      <c r="AC977" s="6"/>
      <c r="AD977" s="6"/>
      <c r="AE977" s="6"/>
      <c r="AF977" s="18">
        <v>7.95</v>
      </c>
      <c r="AG977" s="18">
        <v>14.355700078473483</v>
      </c>
      <c r="AH977" s="18"/>
      <c r="AI977" s="18">
        <v>18.3</v>
      </c>
      <c r="AK977" s="18"/>
      <c r="AL977" s="18"/>
      <c r="AM977" s="40" t="s">
        <v>118</v>
      </c>
      <c r="AN977" s="18"/>
      <c r="AO977" s="6">
        <v>460</v>
      </c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6"/>
      <c r="BK977" s="6">
        <v>1.1299999999999999E-2</v>
      </c>
      <c r="BL977" s="6" t="s">
        <v>65</v>
      </c>
      <c r="BO977" s="15"/>
    </row>
    <row r="978" spans="1:67" ht="13.25" customHeight="1">
      <c r="A978" s="6" t="s">
        <v>68</v>
      </c>
      <c r="B978" s="6"/>
      <c r="C978" s="17">
        <v>35414</v>
      </c>
      <c r="D978" s="18">
        <v>11.830505894444837</v>
      </c>
      <c r="E978" s="22">
        <v>67.127774445110973</v>
      </c>
      <c r="F978" s="6">
        <v>1119.02</v>
      </c>
      <c r="G978" s="22"/>
      <c r="H978" s="22"/>
      <c r="I978" s="22"/>
      <c r="J978" s="22"/>
      <c r="K978" s="22"/>
      <c r="L978" s="22"/>
      <c r="M978" s="22">
        <v>3196</v>
      </c>
      <c r="N978" s="18"/>
      <c r="O978" s="18"/>
      <c r="P978" s="22"/>
      <c r="Q978" s="22"/>
      <c r="R978" s="22"/>
      <c r="S978" s="22"/>
      <c r="T978" s="22"/>
      <c r="U978" s="22"/>
      <c r="V978" s="6"/>
      <c r="W978" s="6"/>
      <c r="X978" s="19"/>
      <c r="Y978" s="6">
        <v>3.06</v>
      </c>
      <c r="Z978" s="6"/>
      <c r="AA978" s="6"/>
      <c r="AB978" s="6"/>
      <c r="AC978" s="6"/>
      <c r="AD978" s="6"/>
      <c r="AE978" s="6"/>
      <c r="AF978" s="18">
        <v>8.93</v>
      </c>
      <c r="AG978" s="18">
        <v>15.713255973046913</v>
      </c>
      <c r="AH978" s="18"/>
      <c r="AI978" s="18">
        <v>21.7</v>
      </c>
      <c r="AK978" s="18"/>
      <c r="AL978" s="18"/>
      <c r="AM978" s="40" t="s">
        <v>118</v>
      </c>
      <c r="AN978" s="18"/>
      <c r="AO978" s="6">
        <v>510</v>
      </c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6"/>
      <c r="BK978" s="6">
        <v>1.3999999999999999E-2</v>
      </c>
      <c r="BL978" s="6" t="s">
        <v>65</v>
      </c>
      <c r="BO978" s="15"/>
    </row>
    <row r="979" spans="1:67" ht="13.25" customHeight="1">
      <c r="A979" s="6" t="s">
        <v>68</v>
      </c>
      <c r="B979" s="6"/>
      <c r="C979" s="17">
        <v>35779</v>
      </c>
      <c r="D979" s="18">
        <v>12.829842772823074</v>
      </c>
      <c r="E979" s="22">
        <v>67.127174565086975</v>
      </c>
      <c r="F979" s="6">
        <v>1119.01</v>
      </c>
      <c r="G979" s="22"/>
      <c r="H979" s="22"/>
      <c r="I979" s="22"/>
      <c r="J979" s="22"/>
      <c r="K979" s="22"/>
      <c r="L979" s="22"/>
      <c r="M979" s="22">
        <v>4127</v>
      </c>
      <c r="N979" s="18"/>
      <c r="O979" s="18"/>
      <c r="P979" s="22"/>
      <c r="Q979" s="22"/>
      <c r="R979" s="22"/>
      <c r="S979" s="22"/>
      <c r="T979" s="22"/>
      <c r="U979" s="22"/>
      <c r="V979" s="6"/>
      <c r="W979" s="6"/>
      <c r="X979" s="19"/>
      <c r="Y979" s="6">
        <v>3.23</v>
      </c>
      <c r="Z979" s="6"/>
      <c r="AA979" s="6"/>
      <c r="AB979" s="6"/>
      <c r="AC979" s="6"/>
      <c r="AD979" s="6"/>
      <c r="AE979" s="6"/>
      <c r="AF979" s="18">
        <v>9.9700000000000006</v>
      </c>
      <c r="AG979" s="18">
        <v>17.03367470323257</v>
      </c>
      <c r="AH979" s="18"/>
      <c r="AI979" s="18">
        <v>25.5</v>
      </c>
      <c r="AK979" s="18"/>
      <c r="AL979" s="18"/>
      <c r="AM979" s="40" t="s">
        <v>118</v>
      </c>
      <c r="AN979" s="18"/>
      <c r="AO979" s="6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6"/>
      <c r="BK979" s="6">
        <v>1.38E-2</v>
      </c>
      <c r="BL979" s="6" t="s">
        <v>65</v>
      </c>
      <c r="BO979" s="15"/>
    </row>
    <row r="980" spans="1:67" ht="13.25" customHeight="1">
      <c r="A980" s="6" t="s">
        <v>68</v>
      </c>
      <c r="B980" s="6"/>
      <c r="C980" s="17">
        <v>36144</v>
      </c>
      <c r="D980" s="18">
        <v>13.829179651201311</v>
      </c>
      <c r="E980" s="22">
        <v>66.43191361727655</v>
      </c>
      <c r="F980" s="6">
        <v>1107.42</v>
      </c>
      <c r="G980" s="22"/>
      <c r="H980" s="22"/>
      <c r="I980" s="22"/>
      <c r="J980" s="22"/>
      <c r="K980" s="22"/>
      <c r="L980" s="22"/>
      <c r="M980" s="22">
        <v>5099</v>
      </c>
      <c r="N980" s="18"/>
      <c r="O980" s="18"/>
      <c r="P980" s="22"/>
      <c r="Q980" s="22"/>
      <c r="R980" s="22"/>
      <c r="S980" s="22"/>
      <c r="T980" s="22"/>
      <c r="U980" s="22"/>
      <c r="V980" s="6"/>
      <c r="W980" s="6"/>
      <c r="X980" s="19"/>
      <c r="Y980" s="6">
        <v>3.12</v>
      </c>
      <c r="Z980" s="6"/>
      <c r="AA980" s="6"/>
      <c r="AB980" s="6"/>
      <c r="AC980" s="6"/>
      <c r="AD980" s="6"/>
      <c r="AE980" s="6"/>
      <c r="AF980" s="18">
        <v>10.89</v>
      </c>
      <c r="AG980" s="18">
        <v>18.165192720617878</v>
      </c>
      <c r="AH980" s="18"/>
      <c r="AI980" s="18">
        <v>28.7</v>
      </c>
      <c r="AK980" s="18"/>
      <c r="AL980" s="18"/>
      <c r="AM980" s="40" t="s">
        <v>118</v>
      </c>
      <c r="AN980" s="18"/>
      <c r="AO980" s="6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6"/>
      <c r="BK980" s="6">
        <v>1.32E-2</v>
      </c>
      <c r="BL980" s="6" t="s">
        <v>65</v>
      </c>
      <c r="BO980" s="15"/>
    </row>
    <row r="981" spans="1:67">
      <c r="A981" s="6" t="s">
        <v>68</v>
      </c>
      <c r="B981" s="6"/>
      <c r="C981" s="17">
        <v>36509</v>
      </c>
      <c r="D981" s="18">
        <v>14.828516529579549</v>
      </c>
      <c r="E981" s="22">
        <v>66.421715656868628</v>
      </c>
      <c r="F981" s="6">
        <v>1107.25</v>
      </c>
      <c r="G981" s="22"/>
      <c r="H981" s="22"/>
      <c r="I981" s="22"/>
      <c r="J981" s="22"/>
      <c r="K981" s="22"/>
      <c r="L981" s="22"/>
      <c r="M981" s="22">
        <v>6137</v>
      </c>
      <c r="N981" s="18"/>
      <c r="O981" s="18"/>
      <c r="P981" s="22"/>
      <c r="Q981" s="22"/>
      <c r="R981" s="22"/>
      <c r="S981" s="22"/>
      <c r="T981" s="22"/>
      <c r="U981" s="22"/>
      <c r="V981" s="6"/>
      <c r="W981" s="6"/>
      <c r="X981" s="19"/>
      <c r="Y981" s="6">
        <v>3.4</v>
      </c>
      <c r="Z981" s="6"/>
      <c r="AA981" s="6"/>
      <c r="AB981" s="6"/>
      <c r="AC981" s="6"/>
      <c r="AD981" s="6"/>
      <c r="AE981" s="6"/>
      <c r="AF981" s="18">
        <v>11.82</v>
      </c>
      <c r="AG981" s="18">
        <v>19.152600053694226</v>
      </c>
      <c r="AH981" s="18"/>
      <c r="AI981" s="18">
        <v>31.9</v>
      </c>
      <c r="AK981" s="18"/>
      <c r="AL981" s="18"/>
      <c r="AM981" s="40" t="s">
        <v>118</v>
      </c>
      <c r="AN981" s="18"/>
      <c r="AO981" s="6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6"/>
      <c r="BK981" s="6">
        <v>1.3600000000000001E-2</v>
      </c>
      <c r="BL981" s="6" t="s">
        <v>65</v>
      </c>
      <c r="BO981" s="15"/>
    </row>
    <row r="982" spans="1:67" ht="13.25" customHeight="1">
      <c r="A982" s="6" t="s">
        <v>68</v>
      </c>
      <c r="B982" s="6"/>
      <c r="C982" s="17">
        <v>36875</v>
      </c>
      <c r="D982" s="18">
        <v>15.830591317213617</v>
      </c>
      <c r="E982" s="22">
        <v>66.254949010197961</v>
      </c>
      <c r="F982" s="6">
        <v>1104.47</v>
      </c>
      <c r="G982" s="22"/>
      <c r="H982" s="22"/>
      <c r="I982" s="22"/>
      <c r="J982" s="22"/>
      <c r="K982" s="22"/>
      <c r="L982" s="22"/>
      <c r="M982" s="22">
        <v>7116</v>
      </c>
      <c r="N982" s="18"/>
      <c r="O982" s="18"/>
      <c r="P982" s="22"/>
      <c r="Q982" s="22"/>
      <c r="R982" s="22"/>
      <c r="S982" s="22"/>
      <c r="T982" s="22"/>
      <c r="U982" s="22"/>
      <c r="V982" s="6"/>
      <c r="W982" s="6"/>
      <c r="X982" s="19"/>
      <c r="Y982" s="6">
        <v>3.33</v>
      </c>
      <c r="Z982" s="6"/>
      <c r="AA982" s="6"/>
      <c r="AB982" s="6"/>
      <c r="AC982" s="6"/>
      <c r="AD982" s="6"/>
      <c r="AE982" s="6"/>
      <c r="AF982" s="18">
        <v>12.62</v>
      </c>
      <c r="AG982" s="18">
        <v>19.971759616638671</v>
      </c>
      <c r="AH982" s="18"/>
      <c r="AI982" s="18">
        <v>34.6</v>
      </c>
      <c r="AK982" s="18"/>
      <c r="AL982" s="18"/>
      <c r="AM982" s="40" t="s">
        <v>118</v>
      </c>
      <c r="AN982" s="18"/>
      <c r="AO982" s="6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6"/>
      <c r="BK982" s="6">
        <v>1.47E-2</v>
      </c>
      <c r="BL982" s="6" t="s">
        <v>65</v>
      </c>
      <c r="BO982" s="15"/>
    </row>
    <row r="983" spans="1:67" ht="13.25" customHeight="1">
      <c r="A983" s="6" t="s">
        <v>64</v>
      </c>
      <c r="B983" s="6"/>
      <c r="C983" s="17">
        <v>34014.937604166669</v>
      </c>
      <c r="D983" s="18">
        <v>8.0000000114079608</v>
      </c>
      <c r="E983" s="22"/>
      <c r="F983" s="6"/>
      <c r="G983" s="22"/>
      <c r="H983" s="22">
        <v>188</v>
      </c>
      <c r="I983" s="22"/>
      <c r="J983" s="22">
        <v>225.60000000000002</v>
      </c>
      <c r="K983" s="22"/>
      <c r="L983" s="22">
        <v>75.2</v>
      </c>
      <c r="M983" s="22"/>
      <c r="N983" s="18"/>
      <c r="O983" s="18"/>
      <c r="P983" s="22">
        <v>535.79999999999995</v>
      </c>
      <c r="Q983" s="22"/>
      <c r="R983" s="22">
        <v>233.60000000000002</v>
      </c>
      <c r="S983" s="22">
        <v>86.4</v>
      </c>
      <c r="T983" s="22">
        <v>940</v>
      </c>
      <c r="U983" s="22">
        <v>320</v>
      </c>
      <c r="V983" s="6"/>
      <c r="W983" s="6"/>
      <c r="X983" s="19"/>
      <c r="Y983" s="6"/>
      <c r="Z983" s="6"/>
      <c r="AA983" s="6"/>
      <c r="AB983" s="6"/>
      <c r="AC983" s="6"/>
      <c r="AD983" s="6"/>
      <c r="AE983" s="6"/>
      <c r="AF983" s="18"/>
      <c r="AG983" s="18"/>
      <c r="AH983" s="18"/>
      <c r="AI983" s="18"/>
      <c r="AK983" s="18"/>
      <c r="AL983" s="18"/>
      <c r="AM983" s="40" t="s">
        <v>118</v>
      </c>
      <c r="AN983" s="18"/>
      <c r="AO983" s="6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6"/>
      <c r="BK983" s="6"/>
      <c r="BL983" s="6" t="s">
        <v>65</v>
      </c>
      <c r="BO983" s="15"/>
    </row>
    <row r="984" spans="1:67" ht="13.25" customHeight="1">
      <c r="A984" s="6" t="s">
        <v>66</v>
      </c>
      <c r="B984" s="6"/>
      <c r="C984" s="17">
        <v>34014.937604166669</v>
      </c>
      <c r="D984" s="18">
        <v>8.0000000114079608</v>
      </c>
      <c r="E984" s="22"/>
      <c r="F984" s="6"/>
      <c r="G984" s="22"/>
      <c r="H984" s="22">
        <v>209.3</v>
      </c>
      <c r="I984" s="22"/>
      <c r="J984" s="22">
        <v>191.1</v>
      </c>
      <c r="K984" s="22"/>
      <c r="L984" s="22">
        <v>63.7</v>
      </c>
      <c r="M984" s="22"/>
      <c r="N984" s="18"/>
      <c r="O984" s="18"/>
      <c r="P984" s="22">
        <v>500.49999999999994</v>
      </c>
      <c r="Q984" s="22"/>
      <c r="R984" s="22">
        <v>183.60000000000002</v>
      </c>
      <c r="S984" s="22">
        <v>89.100000000000009</v>
      </c>
      <c r="T984" s="22">
        <v>910</v>
      </c>
      <c r="U984" s="22">
        <v>270</v>
      </c>
      <c r="V984" s="6"/>
      <c r="W984" s="6"/>
      <c r="X984" s="19"/>
      <c r="Y984" s="6"/>
      <c r="Z984" s="6"/>
      <c r="AA984" s="6"/>
      <c r="AB984" s="6"/>
      <c r="AC984" s="6"/>
      <c r="AD984" s="6"/>
      <c r="AE984" s="6"/>
      <c r="AF984" s="18"/>
      <c r="AG984" s="18"/>
      <c r="AH984" s="18"/>
      <c r="AI984" s="18"/>
      <c r="AK984" s="18"/>
      <c r="AL984" s="18"/>
      <c r="AM984" s="40" t="s">
        <v>118</v>
      </c>
      <c r="AN984" s="18"/>
      <c r="AO984" s="6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6"/>
      <c r="BK984" s="6"/>
      <c r="BL984" s="6" t="s">
        <v>65</v>
      </c>
      <c r="BO984" s="15"/>
    </row>
    <row r="985" spans="1:67">
      <c r="A985" s="6" t="s">
        <v>67</v>
      </c>
      <c r="B985" s="6"/>
      <c r="C985" s="17">
        <v>34014.937604166669</v>
      </c>
      <c r="D985" s="18">
        <v>8.0000000114079608</v>
      </c>
      <c r="E985" s="22"/>
      <c r="F985" s="6"/>
      <c r="G985" s="22"/>
      <c r="H985" s="22">
        <v>394.4</v>
      </c>
      <c r="I985" s="22"/>
      <c r="J985" s="22">
        <v>353.59999999999997</v>
      </c>
      <c r="K985" s="22"/>
      <c r="L985" s="22">
        <v>68</v>
      </c>
      <c r="M985" s="22"/>
      <c r="N985" s="18"/>
      <c r="O985" s="18"/>
      <c r="P985" s="22">
        <v>612</v>
      </c>
      <c r="Q985" s="22"/>
      <c r="R985" s="22">
        <v>343.1</v>
      </c>
      <c r="S985" s="22">
        <v>126.9</v>
      </c>
      <c r="T985" s="22">
        <v>1360</v>
      </c>
      <c r="U985" s="22">
        <v>470</v>
      </c>
      <c r="V985" s="6"/>
      <c r="W985" s="6"/>
      <c r="X985" s="19"/>
      <c r="Y985" s="6"/>
      <c r="Z985" s="6"/>
      <c r="AA985" s="6"/>
      <c r="AB985" s="6"/>
      <c r="AC985" s="6"/>
      <c r="AD985" s="6"/>
      <c r="AE985" s="6"/>
      <c r="AF985" s="18"/>
      <c r="AG985" s="18"/>
      <c r="AH985" s="18"/>
      <c r="AI985" s="18"/>
      <c r="AK985" s="18"/>
      <c r="AL985" s="18"/>
      <c r="AM985" s="40" t="s">
        <v>118</v>
      </c>
      <c r="AN985" s="18"/>
      <c r="AO985" s="6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6"/>
      <c r="BK985" s="6"/>
      <c r="BL985" s="6" t="s">
        <v>65</v>
      </c>
      <c r="BO985" s="15"/>
    </row>
    <row r="986" spans="1:67">
      <c r="A986" s="6" t="s">
        <v>68</v>
      </c>
      <c r="B986" s="6"/>
      <c r="C986" s="17">
        <v>34014.937604166669</v>
      </c>
      <c r="D986" s="18">
        <v>8.0000000114079608</v>
      </c>
      <c r="E986" s="22"/>
      <c r="F986" s="6"/>
      <c r="G986" s="22"/>
      <c r="H986" s="22">
        <v>441.6</v>
      </c>
      <c r="I986" s="22"/>
      <c r="J986" s="22">
        <v>345</v>
      </c>
      <c r="K986" s="22"/>
      <c r="L986" s="22">
        <v>69</v>
      </c>
      <c r="M986" s="22"/>
      <c r="N986" s="18"/>
      <c r="O986" s="18"/>
      <c r="P986" s="22">
        <v>593.4</v>
      </c>
      <c r="Q986" s="22"/>
      <c r="R986" s="22">
        <v>269.5</v>
      </c>
      <c r="S986" s="22">
        <v>80.5</v>
      </c>
      <c r="T986" s="22">
        <v>1380</v>
      </c>
      <c r="U986" s="22">
        <v>350</v>
      </c>
      <c r="V986" s="6"/>
      <c r="W986" s="6"/>
      <c r="X986" s="19"/>
      <c r="Y986" s="6"/>
      <c r="Z986" s="6"/>
      <c r="AA986" s="6"/>
      <c r="AB986" s="6"/>
      <c r="AC986" s="6"/>
      <c r="AD986" s="6"/>
      <c r="AE986" s="6"/>
      <c r="AF986" s="18"/>
      <c r="AG986" s="18"/>
      <c r="AH986" s="18"/>
      <c r="AI986" s="18"/>
      <c r="AK986" s="18"/>
      <c r="AL986" s="18"/>
      <c r="AM986" s="40" t="s">
        <v>118</v>
      </c>
      <c r="AN986" s="18"/>
      <c r="AO986" s="6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6"/>
      <c r="BK986" s="6"/>
      <c r="BL986" s="6" t="s">
        <v>65</v>
      </c>
      <c r="BO986" s="15"/>
    </row>
    <row r="987" spans="1:67">
      <c r="A987" s="6" t="s">
        <v>64</v>
      </c>
      <c r="B987" s="6"/>
      <c r="C987" s="17">
        <v>34379.937604166669</v>
      </c>
      <c r="D987" s="18">
        <v>8.9993368897861998</v>
      </c>
      <c r="E987" s="22"/>
      <c r="F987" s="6"/>
      <c r="G987" s="22"/>
      <c r="H987" s="22"/>
      <c r="I987" s="22"/>
      <c r="J987" s="22">
        <v>290.00000000000006</v>
      </c>
      <c r="K987" s="22"/>
      <c r="L987" s="22"/>
      <c r="M987" s="22"/>
      <c r="N987" s="18"/>
      <c r="O987" s="18"/>
      <c r="P987" s="22"/>
      <c r="Q987" s="22"/>
      <c r="R987" s="22">
        <v>320</v>
      </c>
      <c r="S987" s="22"/>
      <c r="T987" s="22"/>
      <c r="U987" s="22"/>
      <c r="V987" s="6"/>
      <c r="W987" s="6"/>
      <c r="X987" s="19"/>
      <c r="Y987" s="6"/>
      <c r="Z987" s="6"/>
      <c r="AA987" s="6"/>
      <c r="AB987" s="6"/>
      <c r="AC987" s="6"/>
      <c r="AD987" s="6"/>
      <c r="AE987" s="6"/>
      <c r="AF987" s="18"/>
      <c r="AG987" s="18"/>
      <c r="AH987" s="18"/>
      <c r="AI987" s="18"/>
      <c r="AK987" s="18"/>
      <c r="AL987" s="18"/>
      <c r="AM987" s="40"/>
      <c r="AN987" s="18"/>
      <c r="AO987" s="6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6"/>
      <c r="BK987" s="6"/>
      <c r="BL987" s="6"/>
      <c r="BO987" s="15"/>
    </row>
    <row r="988" spans="1:67">
      <c r="A988" s="6" t="s">
        <v>66</v>
      </c>
      <c r="B988" s="6"/>
      <c r="C988" s="17">
        <v>34379.937604166669</v>
      </c>
      <c r="D988" s="18">
        <v>8.9993368897861998</v>
      </c>
      <c r="E988" s="22"/>
      <c r="F988" s="6"/>
      <c r="G988" s="22"/>
      <c r="H988" s="22"/>
      <c r="I988" s="22"/>
      <c r="J988" s="22">
        <v>290</v>
      </c>
      <c r="K988" s="22"/>
      <c r="L988" s="22"/>
      <c r="M988" s="22"/>
      <c r="N988" s="18"/>
      <c r="O988" s="18"/>
      <c r="P988" s="22"/>
      <c r="Q988" s="22"/>
      <c r="R988" s="22">
        <v>330</v>
      </c>
      <c r="S988" s="22"/>
      <c r="T988" s="22"/>
      <c r="U988" s="22"/>
      <c r="V988" s="6"/>
      <c r="W988" s="6"/>
      <c r="X988" s="19"/>
      <c r="Y988" s="6"/>
      <c r="Z988" s="6"/>
      <c r="AA988" s="6"/>
      <c r="AB988" s="6"/>
      <c r="AC988" s="6"/>
      <c r="AD988" s="6"/>
      <c r="AE988" s="6"/>
      <c r="AF988" s="18"/>
      <c r="AG988" s="18"/>
      <c r="AH988" s="18"/>
      <c r="AI988" s="18"/>
      <c r="AK988" s="18"/>
      <c r="AL988" s="18"/>
      <c r="AM988" s="40"/>
      <c r="AN988" s="18"/>
      <c r="AO988" s="6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6"/>
      <c r="BK988" s="6"/>
      <c r="BL988" s="6"/>
      <c r="BO988" s="15"/>
    </row>
    <row r="989" spans="1:67">
      <c r="A989" s="6" t="s">
        <v>67</v>
      </c>
      <c r="B989" s="6"/>
      <c r="C989" s="17">
        <v>34379.937604166669</v>
      </c>
      <c r="D989" s="18">
        <v>8.9993368897861998</v>
      </c>
      <c r="E989" s="22"/>
      <c r="F989" s="6"/>
      <c r="G989" s="22"/>
      <c r="H989" s="22"/>
      <c r="I989" s="22"/>
      <c r="J989" s="22">
        <v>490.00000000000006</v>
      </c>
      <c r="K989" s="22"/>
      <c r="L989" s="22"/>
      <c r="M989" s="22"/>
      <c r="N989" s="18"/>
      <c r="O989" s="18"/>
      <c r="P989" s="22"/>
      <c r="Q989" s="22"/>
      <c r="R989" s="22">
        <v>590</v>
      </c>
      <c r="S989" s="22"/>
      <c r="T989" s="22"/>
      <c r="U989" s="22"/>
      <c r="V989" s="6"/>
      <c r="W989" s="6"/>
      <c r="X989" s="19"/>
      <c r="Y989" s="6"/>
      <c r="Z989" s="6"/>
      <c r="AA989" s="6"/>
      <c r="AB989" s="6"/>
      <c r="AC989" s="6"/>
      <c r="AD989" s="6"/>
      <c r="AE989" s="6"/>
      <c r="AF989" s="18"/>
      <c r="AG989" s="18"/>
      <c r="AH989" s="18"/>
      <c r="AI989" s="18"/>
      <c r="AK989" s="18"/>
      <c r="AL989" s="18"/>
      <c r="AM989" s="40"/>
      <c r="AN989" s="18"/>
      <c r="AO989" s="6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6"/>
      <c r="BK989" s="6"/>
      <c r="BL989" s="6"/>
      <c r="BO989" s="15"/>
    </row>
    <row r="990" spans="1:67">
      <c r="A990" s="6" t="s">
        <v>68</v>
      </c>
      <c r="B990" s="6"/>
      <c r="C990" s="17">
        <v>34379.937604166669</v>
      </c>
      <c r="D990" s="18">
        <v>8.9993368897861998</v>
      </c>
      <c r="E990" s="22"/>
      <c r="F990" s="6"/>
      <c r="G990" s="22"/>
      <c r="H990" s="22"/>
      <c r="I990" s="22"/>
      <c r="J990" s="22">
        <v>550</v>
      </c>
      <c r="K990" s="22"/>
      <c r="L990" s="22"/>
      <c r="M990" s="22"/>
      <c r="N990" s="18"/>
      <c r="O990" s="18"/>
      <c r="P990" s="22"/>
      <c r="Q990" s="22"/>
      <c r="R990" s="22">
        <v>640</v>
      </c>
      <c r="S990" s="22"/>
      <c r="T990" s="22"/>
      <c r="U990" s="22"/>
      <c r="V990" s="6"/>
      <c r="W990" s="6"/>
      <c r="X990" s="19"/>
      <c r="Y990" s="6"/>
      <c r="Z990" s="6"/>
      <c r="AA990" s="6"/>
      <c r="AB990" s="6"/>
      <c r="AC990" s="6"/>
      <c r="AD990" s="6"/>
      <c r="AE990" s="6"/>
      <c r="AF990" s="18"/>
      <c r="AG990" s="18"/>
      <c r="AH990" s="18"/>
      <c r="AI990" s="18"/>
      <c r="AK990" s="18"/>
      <c r="AL990" s="18"/>
      <c r="AM990" s="40"/>
      <c r="AN990" s="18"/>
      <c r="AO990" s="6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6"/>
      <c r="BK990" s="6"/>
      <c r="BL990" s="6"/>
      <c r="BO990" s="15"/>
    </row>
    <row r="991" spans="1:67">
      <c r="A991" s="6" t="s">
        <v>64</v>
      </c>
      <c r="B991" s="6"/>
      <c r="C991" s="17">
        <v>34744.937604166669</v>
      </c>
      <c r="D991" s="18">
        <v>9.9986737681644371</v>
      </c>
      <c r="E991" s="22"/>
      <c r="F991" s="6"/>
      <c r="G991" s="22"/>
      <c r="H991" s="22"/>
      <c r="I991" s="22"/>
      <c r="J991" s="22">
        <v>390.00000000000006</v>
      </c>
      <c r="K991" s="22"/>
      <c r="L991" s="22"/>
      <c r="M991" s="22"/>
      <c r="N991" s="18"/>
      <c r="O991" s="18"/>
      <c r="P991" s="22"/>
      <c r="Q991" s="22"/>
      <c r="R991" s="22">
        <v>430.00000000000006</v>
      </c>
      <c r="S991" s="22"/>
      <c r="T991" s="22"/>
      <c r="U991" s="22"/>
      <c r="V991" s="6"/>
      <c r="W991" s="6"/>
      <c r="X991" s="19"/>
      <c r="Y991" s="6"/>
      <c r="Z991" s="6"/>
      <c r="AA991" s="6"/>
      <c r="AB991" s="6"/>
      <c r="AC991" s="6"/>
      <c r="AD991" s="6"/>
      <c r="AE991" s="6"/>
      <c r="AF991" s="18"/>
      <c r="AG991" s="18"/>
      <c r="AH991" s="18"/>
      <c r="AI991" s="18"/>
      <c r="AK991" s="18"/>
      <c r="AL991" s="18"/>
      <c r="AM991" s="40"/>
      <c r="AN991" s="18"/>
      <c r="AO991" s="6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6"/>
      <c r="BK991" s="6"/>
      <c r="BL991" s="6"/>
      <c r="BO991" s="15"/>
    </row>
    <row r="992" spans="1:67">
      <c r="A992" s="6" t="s">
        <v>66</v>
      </c>
      <c r="B992" s="6"/>
      <c r="C992" s="17">
        <v>34744.937604166669</v>
      </c>
      <c r="D992" s="18">
        <v>9.9986737681644371</v>
      </c>
      <c r="E992" s="22"/>
      <c r="F992" s="6"/>
      <c r="G992" s="22"/>
      <c r="H992" s="22"/>
      <c r="I992" s="22"/>
      <c r="J992" s="22">
        <v>400</v>
      </c>
      <c r="K992" s="22"/>
      <c r="L992" s="22"/>
      <c r="M992" s="22"/>
      <c r="N992" s="18"/>
      <c r="O992" s="18"/>
      <c r="P992" s="22"/>
      <c r="Q992" s="22"/>
      <c r="R992" s="22">
        <v>459.99999999999994</v>
      </c>
      <c r="S992" s="22"/>
      <c r="T992" s="22"/>
      <c r="U992" s="22"/>
      <c r="V992" s="6"/>
      <c r="W992" s="6"/>
      <c r="X992" s="19"/>
      <c r="Y992" s="6"/>
      <c r="Z992" s="6"/>
      <c r="AA992" s="6"/>
      <c r="AB992" s="6"/>
      <c r="AC992" s="6"/>
      <c r="AD992" s="6"/>
      <c r="AE992" s="6"/>
      <c r="AF992" s="18"/>
      <c r="AG992" s="18"/>
      <c r="AH992" s="18"/>
      <c r="AI992" s="18"/>
      <c r="AK992" s="18"/>
      <c r="AL992" s="18"/>
      <c r="AM992" s="40"/>
      <c r="AN992" s="18"/>
      <c r="AO992" s="6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6"/>
      <c r="BK992" s="6"/>
      <c r="BL992" s="6"/>
      <c r="BO992" s="15"/>
    </row>
    <row r="993" spans="1:67">
      <c r="A993" s="6" t="s">
        <v>67</v>
      </c>
      <c r="B993" s="6"/>
      <c r="C993" s="17">
        <v>34744.937604166669</v>
      </c>
      <c r="D993" s="18">
        <v>9.9986737681644371</v>
      </c>
      <c r="E993" s="22"/>
      <c r="F993" s="6"/>
      <c r="G993" s="22"/>
      <c r="H993" s="22"/>
      <c r="I993" s="22"/>
      <c r="J993" s="22">
        <v>740</v>
      </c>
      <c r="K993" s="22"/>
      <c r="L993" s="22"/>
      <c r="M993" s="22"/>
      <c r="N993" s="18"/>
      <c r="O993" s="18"/>
      <c r="P993" s="22"/>
      <c r="Q993" s="22"/>
      <c r="R993" s="22">
        <v>900</v>
      </c>
      <c r="S993" s="22"/>
      <c r="T993" s="22"/>
      <c r="U993" s="22"/>
      <c r="V993" s="6"/>
      <c r="W993" s="6"/>
      <c r="X993" s="19"/>
      <c r="Y993" s="6"/>
      <c r="Z993" s="6"/>
      <c r="AA993" s="6"/>
      <c r="AB993" s="6"/>
      <c r="AC993" s="6"/>
      <c r="AD993" s="6"/>
      <c r="AE993" s="6"/>
      <c r="AF993" s="18"/>
      <c r="AG993" s="18"/>
      <c r="AH993" s="18"/>
      <c r="AI993" s="18"/>
      <c r="AK993" s="18"/>
      <c r="AL993" s="18"/>
      <c r="AM993" s="40"/>
      <c r="AN993" s="18"/>
      <c r="AO993" s="6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6"/>
      <c r="BK993" s="6"/>
      <c r="BL993" s="6"/>
      <c r="BO993" s="15"/>
    </row>
    <row r="994" spans="1:67">
      <c r="A994" s="6" t="s">
        <v>68</v>
      </c>
      <c r="B994" s="6"/>
      <c r="C994" s="17">
        <v>34744.937604166669</v>
      </c>
      <c r="D994" s="18">
        <v>9.9986737681644371</v>
      </c>
      <c r="E994" s="22"/>
      <c r="F994" s="6"/>
      <c r="G994" s="22"/>
      <c r="H994" s="22"/>
      <c r="I994" s="22"/>
      <c r="J994" s="22">
        <v>810</v>
      </c>
      <c r="K994" s="22"/>
      <c r="L994" s="22"/>
      <c r="M994" s="22"/>
      <c r="N994" s="18"/>
      <c r="O994" s="18"/>
      <c r="P994" s="22"/>
      <c r="Q994" s="22"/>
      <c r="R994" s="22">
        <v>960.00000000000011</v>
      </c>
      <c r="S994" s="22"/>
      <c r="T994" s="22"/>
      <c r="U994" s="22"/>
      <c r="V994" s="6"/>
      <c r="W994" s="6"/>
      <c r="X994" s="19"/>
      <c r="Y994" s="6"/>
      <c r="Z994" s="6"/>
      <c r="AA994" s="6"/>
      <c r="AB994" s="6"/>
      <c r="AC994" s="6"/>
      <c r="AD994" s="6"/>
      <c r="AE994" s="6"/>
      <c r="AF994" s="18"/>
      <c r="AG994" s="18"/>
      <c r="AH994" s="18"/>
      <c r="AI994" s="18"/>
      <c r="AK994" s="18"/>
      <c r="AL994" s="18"/>
      <c r="AM994" s="40"/>
      <c r="AN994" s="18"/>
      <c r="AO994" s="6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6"/>
      <c r="BK994" s="6"/>
      <c r="BL994" s="6"/>
      <c r="BO994" s="15"/>
    </row>
    <row r="995" spans="1:67">
      <c r="A995" s="6" t="s">
        <v>64</v>
      </c>
      <c r="B995" s="6"/>
      <c r="C995" s="17">
        <v>35109.937604166669</v>
      </c>
      <c r="D995" s="18">
        <v>10.998010646542674</v>
      </c>
      <c r="E995" s="22"/>
      <c r="F995" s="6"/>
      <c r="G995" s="22"/>
      <c r="H995" s="22">
        <v>300</v>
      </c>
      <c r="I995" s="22"/>
      <c r="J995" s="22">
        <v>490.00000000000006</v>
      </c>
      <c r="K995" s="22"/>
      <c r="L995" s="22">
        <v>182.45614035087721</v>
      </c>
      <c r="M995" s="22"/>
      <c r="N995" s="18"/>
      <c r="O995" s="18"/>
      <c r="P995" s="22">
        <v>1300</v>
      </c>
      <c r="Q995" s="22"/>
      <c r="R995" s="22">
        <v>530</v>
      </c>
      <c r="S995" s="22">
        <v>80</v>
      </c>
      <c r="T995" s="22">
        <v>2090</v>
      </c>
      <c r="U995" s="22">
        <v>610</v>
      </c>
      <c r="V995" s="6"/>
      <c r="W995" s="6"/>
      <c r="X995" s="19"/>
      <c r="Y995" s="6"/>
      <c r="Z995" s="6"/>
      <c r="AA995" s="6"/>
      <c r="AB995" s="6"/>
      <c r="AC995" s="6"/>
      <c r="AD995" s="6"/>
      <c r="AE995" s="6"/>
      <c r="AF995" s="18"/>
      <c r="AG995" s="18"/>
      <c r="AH995" s="18"/>
      <c r="AI995" s="18"/>
      <c r="AK995" s="18"/>
      <c r="AL995" s="18"/>
      <c r="AM995" s="40" t="s">
        <v>118</v>
      </c>
      <c r="AN995" s="18"/>
      <c r="AO995" s="6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6"/>
      <c r="BK995" s="6"/>
      <c r="BL995" s="6" t="s">
        <v>65</v>
      </c>
      <c r="BO995" s="15"/>
    </row>
    <row r="996" spans="1:67">
      <c r="A996" s="6" t="s">
        <v>66</v>
      </c>
      <c r="B996" s="6"/>
      <c r="C996" s="17">
        <v>35109.937604166669</v>
      </c>
      <c r="D996" s="18">
        <v>10.998010646542674</v>
      </c>
      <c r="E996" s="22"/>
      <c r="F996" s="6"/>
      <c r="G996" s="22"/>
      <c r="H996" s="22">
        <v>350</v>
      </c>
      <c r="I996" s="22"/>
      <c r="J996" s="22">
        <v>550</v>
      </c>
      <c r="K996" s="22"/>
      <c r="L996" s="22">
        <v>189.63636363636363</v>
      </c>
      <c r="M996" s="22"/>
      <c r="N996" s="18"/>
      <c r="O996" s="18"/>
      <c r="P996" s="22">
        <v>1490</v>
      </c>
      <c r="Q996" s="22"/>
      <c r="R996" s="22">
        <v>580</v>
      </c>
      <c r="S996" s="22">
        <v>120</v>
      </c>
      <c r="T996" s="22">
        <v>2390</v>
      </c>
      <c r="U996" s="22">
        <v>700</v>
      </c>
      <c r="V996" s="6"/>
      <c r="W996" s="6"/>
      <c r="X996" s="19"/>
      <c r="Y996" s="6"/>
      <c r="Z996" s="6"/>
      <c r="AA996" s="6"/>
      <c r="AB996" s="6"/>
      <c r="AC996" s="6"/>
      <c r="AD996" s="6"/>
      <c r="AE996" s="6"/>
      <c r="AF996" s="18"/>
      <c r="AG996" s="18"/>
      <c r="AH996" s="18"/>
      <c r="AI996" s="18"/>
      <c r="AK996" s="18"/>
      <c r="AL996" s="18"/>
      <c r="AM996" s="40" t="s">
        <v>118</v>
      </c>
      <c r="AN996" s="18"/>
      <c r="AO996" s="6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6"/>
      <c r="BK996" s="6"/>
      <c r="BL996" s="6" t="s">
        <v>65</v>
      </c>
      <c r="BO996" s="15"/>
    </row>
    <row r="997" spans="1:67">
      <c r="A997" s="6" t="s">
        <v>67</v>
      </c>
      <c r="B997" s="6"/>
      <c r="C997" s="17">
        <v>35109.937604166669</v>
      </c>
      <c r="D997" s="18">
        <v>10.998010646542674</v>
      </c>
      <c r="E997" s="22"/>
      <c r="F997" s="6"/>
      <c r="G997" s="22"/>
      <c r="H997" s="22">
        <v>570</v>
      </c>
      <c r="I997" s="22"/>
      <c r="J997" s="22">
        <v>980.00000000000011</v>
      </c>
      <c r="K997" s="22"/>
      <c r="L997" s="22">
        <v>260</v>
      </c>
      <c r="M997" s="22"/>
      <c r="N997" s="18"/>
      <c r="O997" s="18"/>
      <c r="P997" s="22">
        <v>2340</v>
      </c>
      <c r="Q997" s="22"/>
      <c r="R997" s="22">
        <v>1170</v>
      </c>
      <c r="S997" s="22">
        <v>70</v>
      </c>
      <c r="T997" s="22">
        <v>3890</v>
      </c>
      <c r="U997" s="22">
        <v>1239.9999999999998</v>
      </c>
      <c r="V997" s="6"/>
      <c r="W997" s="6"/>
      <c r="X997" s="19"/>
      <c r="Y997" s="6"/>
      <c r="Z997" s="6"/>
      <c r="AA997" s="6"/>
      <c r="AB997" s="6"/>
      <c r="AC997" s="6"/>
      <c r="AD997" s="6"/>
      <c r="AE997" s="6"/>
      <c r="AF997" s="18"/>
      <c r="AG997" s="18"/>
      <c r="AH997" s="18"/>
      <c r="AI997" s="18"/>
      <c r="AK997" s="18"/>
      <c r="AL997" s="18"/>
      <c r="AM997" s="40" t="s">
        <v>118</v>
      </c>
      <c r="AN997" s="18"/>
      <c r="AO997" s="6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6"/>
      <c r="BK997" s="6"/>
      <c r="BL997" s="6" t="s">
        <v>65</v>
      </c>
      <c r="BO997" s="15"/>
    </row>
    <row r="998" spans="1:67">
      <c r="A998" s="6" t="s">
        <v>68</v>
      </c>
      <c r="B998" s="6"/>
      <c r="C998" s="17">
        <v>35109.937604166669</v>
      </c>
      <c r="D998" s="18">
        <v>10.998010646542674</v>
      </c>
      <c r="E998" s="22"/>
      <c r="F998" s="6"/>
      <c r="G998" s="22"/>
      <c r="H998" s="22">
        <v>690</v>
      </c>
      <c r="I998" s="22"/>
      <c r="J998" s="22">
        <v>1110</v>
      </c>
      <c r="K998" s="22"/>
      <c r="L998" s="22">
        <v>306.97674418604652</v>
      </c>
      <c r="M998" s="22"/>
      <c r="N998" s="18"/>
      <c r="O998" s="18"/>
      <c r="P998" s="22">
        <v>2640</v>
      </c>
      <c r="Q998" s="22"/>
      <c r="R998" s="22">
        <v>1260</v>
      </c>
      <c r="S998" s="22">
        <v>90</v>
      </c>
      <c r="T998" s="22">
        <v>4440</v>
      </c>
      <c r="U998" s="22">
        <v>1350</v>
      </c>
      <c r="V998" s="6"/>
      <c r="W998" s="6"/>
      <c r="X998" s="19"/>
      <c r="Y998" s="6"/>
      <c r="Z998" s="6"/>
      <c r="AA998" s="6"/>
      <c r="AB998" s="6"/>
      <c r="AC998" s="6"/>
      <c r="AD998" s="6"/>
      <c r="AE998" s="6"/>
      <c r="AF998" s="18"/>
      <c r="AG998" s="18"/>
      <c r="AH998" s="18"/>
      <c r="AI998" s="18"/>
      <c r="AK998" s="18"/>
      <c r="AL998" s="18"/>
      <c r="AM998" s="40" t="s">
        <v>118</v>
      </c>
      <c r="AN998" s="18"/>
      <c r="AO998" s="6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6"/>
      <c r="BK998" s="6"/>
      <c r="BL998" s="6" t="s">
        <v>65</v>
      </c>
      <c r="BO998" s="15"/>
    </row>
    <row r="999" spans="1:67">
      <c r="A999" s="6" t="s">
        <v>64</v>
      </c>
      <c r="B999" s="6"/>
      <c r="C999" s="17">
        <v>36570.875196759262</v>
      </c>
      <c r="D999" s="18">
        <v>14.997925203493082</v>
      </c>
      <c r="E999" s="22"/>
      <c r="F999" s="6"/>
      <c r="G999" s="22"/>
      <c r="H999" s="22">
        <v>223.5</v>
      </c>
      <c r="I999" s="22"/>
      <c r="J999" s="22">
        <v>1206.9000000000001</v>
      </c>
      <c r="K999" s="22"/>
      <c r="L999" s="22">
        <v>402.29999999999995</v>
      </c>
      <c r="M999" s="22"/>
      <c r="N999" s="18"/>
      <c r="O999" s="18"/>
      <c r="P999" s="22">
        <v>2994.9000000000005</v>
      </c>
      <c r="Q999" s="22"/>
      <c r="R999" s="22">
        <v>998.99999999999989</v>
      </c>
      <c r="S999" s="22">
        <v>111.00000000000001</v>
      </c>
      <c r="T999" s="22">
        <v>4470</v>
      </c>
      <c r="U999" s="22">
        <v>1110</v>
      </c>
      <c r="V999" s="6"/>
      <c r="W999" s="6"/>
      <c r="X999" s="19"/>
      <c r="Y999" s="6"/>
      <c r="Z999" s="6"/>
      <c r="AA999" s="6"/>
      <c r="AB999" s="6"/>
      <c r="AC999" s="6"/>
      <c r="AD999" s="6"/>
      <c r="AE999" s="6"/>
      <c r="AF999" s="18"/>
      <c r="AG999" s="18"/>
      <c r="AH999" s="18"/>
      <c r="AI999" s="18"/>
      <c r="AK999" s="18"/>
      <c r="AL999" s="18"/>
      <c r="AM999" s="40" t="s">
        <v>118</v>
      </c>
      <c r="AN999" s="18"/>
      <c r="AO999" s="6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6"/>
      <c r="BK999" s="6"/>
      <c r="BL999" s="6" t="s">
        <v>65</v>
      </c>
      <c r="BO999" s="15"/>
    </row>
    <row r="1000" spans="1:67">
      <c r="A1000" s="6" t="s">
        <v>66</v>
      </c>
      <c r="B1000" s="6"/>
      <c r="C1000" s="17">
        <v>36570.875196759262</v>
      </c>
      <c r="D1000" s="18">
        <v>14.997925203493082</v>
      </c>
      <c r="E1000" s="22"/>
      <c r="F1000" s="6"/>
      <c r="G1000" s="22"/>
      <c r="H1000" s="22">
        <v>330.6</v>
      </c>
      <c r="I1000" s="22"/>
      <c r="J1000" s="22">
        <v>1322.4</v>
      </c>
      <c r="K1000" s="22"/>
      <c r="L1000" s="22">
        <v>495.90000000000003</v>
      </c>
      <c r="M1000" s="22"/>
      <c r="N1000" s="18"/>
      <c r="O1000" s="18"/>
      <c r="P1000" s="22">
        <v>3857</v>
      </c>
      <c r="Q1000" s="22"/>
      <c r="R1000" s="22">
        <v>1125</v>
      </c>
      <c r="S1000" s="22">
        <v>125</v>
      </c>
      <c r="T1000" s="22">
        <v>5510</v>
      </c>
      <c r="U1000" s="22">
        <v>1250</v>
      </c>
      <c r="V1000" s="6"/>
      <c r="W1000" s="6"/>
      <c r="X1000" s="19"/>
      <c r="Y1000" s="6"/>
      <c r="Z1000" s="6"/>
      <c r="AA1000" s="6"/>
      <c r="AB1000" s="6"/>
      <c r="AC1000" s="6"/>
      <c r="AD1000" s="6"/>
      <c r="AE1000" s="6"/>
      <c r="AF1000" s="18"/>
      <c r="AG1000" s="18"/>
      <c r="AH1000" s="18"/>
      <c r="AI1000" s="18"/>
      <c r="AK1000" s="18"/>
      <c r="AL1000" s="18"/>
      <c r="AM1000" s="40" t="s">
        <v>118</v>
      </c>
      <c r="AN1000" s="18"/>
      <c r="AO1000" s="6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6"/>
      <c r="BK1000" s="6"/>
      <c r="BL1000" s="6" t="s">
        <v>65</v>
      </c>
      <c r="BO1000" s="15"/>
    </row>
    <row r="1001" spans="1:67">
      <c r="A1001" s="6" t="s">
        <v>67</v>
      </c>
      <c r="B1001" s="6"/>
      <c r="C1001" s="17">
        <v>36570.875196759262</v>
      </c>
      <c r="D1001" s="18">
        <v>14.997925203493082</v>
      </c>
      <c r="E1001" s="22"/>
      <c r="F1001" s="6"/>
      <c r="G1001" s="22"/>
      <c r="H1001" s="22">
        <v>373.2</v>
      </c>
      <c r="I1001" s="22"/>
      <c r="J1001" s="22">
        <v>2239.1999999999998</v>
      </c>
      <c r="K1001" s="22"/>
      <c r="L1001" s="22">
        <v>746.4</v>
      </c>
      <c r="M1001" s="22"/>
      <c r="N1001" s="18"/>
      <c r="O1001" s="18"/>
      <c r="P1001" s="22">
        <v>6624.2999999999993</v>
      </c>
      <c r="Q1001" s="22"/>
      <c r="R1001" s="22">
        <v>2492.9</v>
      </c>
      <c r="S1001" s="22">
        <v>77.099999999999994</v>
      </c>
      <c r="T1001" s="22">
        <v>9330</v>
      </c>
      <c r="U1001" s="22">
        <v>2570</v>
      </c>
      <c r="V1001" s="6"/>
      <c r="W1001" s="6"/>
      <c r="X1001" s="19"/>
      <c r="Y1001" s="6"/>
      <c r="Z1001" s="6"/>
      <c r="AA1001" s="6"/>
      <c r="AB1001" s="6"/>
      <c r="AC1001" s="6"/>
      <c r="AD1001" s="6"/>
      <c r="AE1001" s="6"/>
      <c r="AF1001" s="18"/>
      <c r="AG1001" s="18"/>
      <c r="AH1001" s="18"/>
      <c r="AI1001" s="18"/>
      <c r="AK1001" s="18"/>
      <c r="AL1001" s="18"/>
      <c r="AM1001" s="40" t="s">
        <v>118</v>
      </c>
      <c r="AN1001" s="18"/>
      <c r="AO1001" s="6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6"/>
      <c r="BK1001" s="6"/>
      <c r="BL1001" s="6" t="s">
        <v>65</v>
      </c>
      <c r="BO1001" s="15"/>
    </row>
    <row r="1002" spans="1:67">
      <c r="A1002" s="6" t="s">
        <v>68</v>
      </c>
      <c r="B1002" s="6"/>
      <c r="C1002" s="17">
        <v>36570.875196759262</v>
      </c>
      <c r="D1002" s="18">
        <v>14.997925203493082</v>
      </c>
      <c r="E1002" s="22"/>
      <c r="F1002" s="6"/>
      <c r="G1002" s="22"/>
      <c r="H1002" s="22">
        <v>537</v>
      </c>
      <c r="I1002" s="22"/>
      <c r="J1002" s="22">
        <v>2148</v>
      </c>
      <c r="K1002" s="22"/>
      <c r="L1002" s="22">
        <v>966.6</v>
      </c>
      <c r="M1002" s="22"/>
      <c r="N1002" s="18"/>
      <c r="O1002" s="18"/>
      <c r="P1002" s="22">
        <v>8055</v>
      </c>
      <c r="Q1002" s="22"/>
      <c r="R1002" s="22">
        <v>2745.6</v>
      </c>
      <c r="S1002" s="22">
        <v>114.4</v>
      </c>
      <c r="T1002" s="22">
        <v>10740</v>
      </c>
      <c r="U1002" s="22">
        <v>2860</v>
      </c>
      <c r="V1002" s="6"/>
      <c r="W1002" s="6"/>
      <c r="X1002" s="19"/>
      <c r="Y1002" s="6"/>
      <c r="Z1002" s="6"/>
      <c r="AA1002" s="6"/>
      <c r="AB1002" s="6"/>
      <c r="AC1002" s="6"/>
      <c r="AD1002" s="6"/>
      <c r="AE1002" s="6"/>
      <c r="AF1002" s="18"/>
      <c r="AG1002" s="18"/>
      <c r="AH1002" s="18"/>
      <c r="AI1002" s="18"/>
      <c r="AK1002" s="18"/>
      <c r="AL1002" s="18"/>
      <c r="AM1002" s="40" t="s">
        <v>118</v>
      </c>
      <c r="AN1002" s="18"/>
      <c r="AO1002" s="6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6"/>
      <c r="BK1002" s="6"/>
      <c r="BL1002" s="6" t="s">
        <v>65</v>
      </c>
      <c r="BO1002" s="15"/>
    </row>
    <row r="1003" spans="1:67" ht="13.25" customHeight="1">
      <c r="A1003" s="6" t="s">
        <v>69</v>
      </c>
      <c r="B1003" s="6"/>
      <c r="C1003" s="17">
        <v>35581.421999999999</v>
      </c>
      <c r="D1003" s="6">
        <v>10</v>
      </c>
      <c r="E1003" s="6"/>
      <c r="F1003" s="6"/>
      <c r="G1003" s="22"/>
      <c r="H1003" s="22"/>
      <c r="I1003" s="22"/>
      <c r="J1003" s="22"/>
      <c r="K1003" s="22"/>
      <c r="L1003" s="22"/>
      <c r="M1003" s="22"/>
      <c r="N1003" s="18"/>
      <c r="O1003" s="18"/>
      <c r="P1003" s="22"/>
      <c r="Q1003" s="22"/>
      <c r="R1003" s="22"/>
      <c r="S1003" s="22"/>
      <c r="T1003" s="22"/>
      <c r="U1003" s="22"/>
      <c r="V1003" s="6"/>
      <c r="W1003" s="6"/>
      <c r="X1003" s="19"/>
      <c r="Y1003" s="6"/>
      <c r="Z1003" s="6"/>
      <c r="AA1003" s="6"/>
      <c r="AB1003" s="6"/>
      <c r="AC1003" s="6"/>
      <c r="AD1003" s="6"/>
      <c r="AE1003" s="6"/>
      <c r="AF1003" s="18"/>
      <c r="AG1003" s="18"/>
      <c r="AH1003" s="18"/>
      <c r="AI1003" s="18"/>
      <c r="AK1003" s="18"/>
      <c r="AL1003" s="18">
        <v>132</v>
      </c>
      <c r="AM1003" s="40"/>
      <c r="AN1003" s="18">
        <v>13.2</v>
      </c>
      <c r="AO1003" s="6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6"/>
      <c r="BK1003" s="6"/>
      <c r="BL1003" s="6" t="s">
        <v>70</v>
      </c>
      <c r="BO1003" s="15"/>
    </row>
    <row r="1004" spans="1:67">
      <c r="A1004" s="6" t="s">
        <v>71</v>
      </c>
      <c r="B1004" s="6"/>
      <c r="C1004" s="17">
        <v>35581.421999999999</v>
      </c>
      <c r="D1004" s="6">
        <v>10</v>
      </c>
      <c r="E1004" s="6"/>
      <c r="F1004" s="6"/>
      <c r="G1004" s="22"/>
      <c r="H1004" s="22"/>
      <c r="I1004" s="22"/>
      <c r="J1004" s="22"/>
      <c r="K1004" s="22"/>
      <c r="L1004" s="22"/>
      <c r="M1004" s="22"/>
      <c r="N1004" s="18"/>
      <c r="O1004" s="18"/>
      <c r="P1004" s="22"/>
      <c r="Q1004" s="22"/>
      <c r="R1004" s="22"/>
      <c r="S1004" s="22"/>
      <c r="T1004" s="22"/>
      <c r="U1004" s="22"/>
      <c r="V1004" s="6"/>
      <c r="W1004" s="6"/>
      <c r="X1004" s="19"/>
      <c r="Y1004" s="6"/>
      <c r="Z1004" s="6"/>
      <c r="AA1004" s="6"/>
      <c r="AB1004" s="6"/>
      <c r="AC1004" s="6"/>
      <c r="AD1004" s="6"/>
      <c r="AE1004" s="6"/>
      <c r="AF1004" s="18"/>
      <c r="AG1004" s="18"/>
      <c r="AH1004" s="18"/>
      <c r="AI1004" s="18"/>
      <c r="AK1004" s="18"/>
      <c r="AL1004" s="18">
        <v>171</v>
      </c>
      <c r="AM1004" s="40"/>
      <c r="AN1004" s="18">
        <v>17.100000000000001</v>
      </c>
      <c r="AO1004" s="6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6"/>
      <c r="BK1004" s="6"/>
      <c r="BL1004" s="6" t="s">
        <v>70</v>
      </c>
      <c r="BO1004" s="15"/>
    </row>
    <row r="1005" spans="1:67">
      <c r="A1005" s="6" t="s">
        <v>72</v>
      </c>
      <c r="B1005" s="6"/>
      <c r="C1005" s="17">
        <v>35581.421999999999</v>
      </c>
      <c r="D1005" s="6">
        <v>10</v>
      </c>
      <c r="E1005" s="6"/>
      <c r="F1005" s="6"/>
      <c r="G1005" s="22"/>
      <c r="H1005" s="22"/>
      <c r="I1005" s="22"/>
      <c r="J1005" s="22"/>
      <c r="K1005" s="22"/>
      <c r="L1005" s="22"/>
      <c r="M1005" s="22"/>
      <c r="N1005" s="18"/>
      <c r="O1005" s="18"/>
      <c r="P1005" s="22"/>
      <c r="Q1005" s="22"/>
      <c r="R1005" s="22"/>
      <c r="S1005" s="22"/>
      <c r="T1005" s="22"/>
      <c r="U1005" s="22"/>
      <c r="V1005" s="6"/>
      <c r="W1005" s="6"/>
      <c r="X1005" s="19"/>
      <c r="Y1005" s="6"/>
      <c r="Z1005" s="6"/>
      <c r="AA1005" s="6"/>
      <c r="AB1005" s="6"/>
      <c r="AC1005" s="6"/>
      <c r="AD1005" s="6"/>
      <c r="AE1005" s="6"/>
      <c r="AF1005" s="18"/>
      <c r="AG1005" s="18"/>
      <c r="AH1005" s="18"/>
      <c r="AI1005" s="18"/>
      <c r="AK1005" s="18"/>
      <c r="AL1005" s="18">
        <v>200</v>
      </c>
      <c r="AM1005" s="40"/>
      <c r="AN1005" s="18">
        <v>20</v>
      </c>
      <c r="AO1005" s="6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6"/>
      <c r="BK1005" s="6"/>
      <c r="BL1005" s="6" t="s">
        <v>70</v>
      </c>
      <c r="BO1005" s="15"/>
    </row>
    <row r="1006" spans="1:67">
      <c r="A1006" s="6" t="s">
        <v>73</v>
      </c>
      <c r="B1006" s="6"/>
      <c r="C1006" s="17">
        <v>35581.421999999999</v>
      </c>
      <c r="D1006" s="6">
        <v>10</v>
      </c>
      <c r="E1006" s="6"/>
      <c r="F1006" s="6"/>
      <c r="G1006" s="22"/>
      <c r="H1006" s="22"/>
      <c r="I1006" s="22"/>
      <c r="J1006" s="22"/>
      <c r="K1006" s="22"/>
      <c r="L1006" s="22"/>
      <c r="M1006" s="22"/>
      <c r="N1006" s="18"/>
      <c r="O1006" s="18"/>
      <c r="P1006" s="22"/>
      <c r="Q1006" s="22"/>
      <c r="R1006" s="22"/>
      <c r="S1006" s="22"/>
      <c r="T1006" s="22"/>
      <c r="U1006" s="22"/>
      <c r="V1006" s="6"/>
      <c r="W1006" s="6"/>
      <c r="X1006" s="19"/>
      <c r="Y1006" s="6"/>
      <c r="Z1006" s="6"/>
      <c r="AA1006" s="6"/>
      <c r="AB1006" s="6"/>
      <c r="AC1006" s="6"/>
      <c r="AD1006" s="6"/>
      <c r="AE1006" s="6"/>
      <c r="AF1006" s="18"/>
      <c r="AG1006" s="18"/>
      <c r="AH1006" s="18"/>
      <c r="AI1006" s="18"/>
      <c r="AK1006" s="18"/>
      <c r="AL1006" s="18">
        <v>189</v>
      </c>
      <c r="AM1006" s="40"/>
      <c r="AN1006" s="18">
        <v>18.899999999999999</v>
      </c>
      <c r="AO1006" s="6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6"/>
      <c r="BK1006" s="6"/>
      <c r="BL1006" s="6" t="s">
        <v>70</v>
      </c>
      <c r="BO1006" s="15"/>
    </row>
    <row r="1007" spans="1:67">
      <c r="A1007" s="6" t="s">
        <v>74</v>
      </c>
      <c r="B1007" s="6"/>
      <c r="C1007" s="17">
        <v>35534.421999999999</v>
      </c>
      <c r="D1007" s="6">
        <v>10</v>
      </c>
      <c r="E1007" s="6"/>
      <c r="F1007" s="6"/>
      <c r="G1007" s="22"/>
      <c r="H1007" s="22"/>
      <c r="I1007" s="22"/>
      <c r="J1007" s="22"/>
      <c r="K1007" s="22"/>
      <c r="L1007" s="22"/>
      <c r="M1007" s="22"/>
      <c r="N1007" s="18"/>
      <c r="O1007" s="18"/>
      <c r="P1007" s="22"/>
      <c r="Q1007" s="22"/>
      <c r="R1007" s="22"/>
      <c r="S1007" s="22"/>
      <c r="T1007" s="22"/>
      <c r="U1007" s="22"/>
      <c r="V1007" s="6"/>
      <c r="W1007" s="6"/>
      <c r="X1007" s="19"/>
      <c r="Y1007" s="6"/>
      <c r="Z1007" s="6"/>
      <c r="AA1007" s="6"/>
      <c r="AB1007" s="6"/>
      <c r="AC1007" s="6"/>
      <c r="AD1007" s="6"/>
      <c r="AE1007" s="6"/>
      <c r="AF1007" s="18"/>
      <c r="AG1007" s="18"/>
      <c r="AH1007" s="18"/>
      <c r="AI1007" s="18"/>
      <c r="AK1007" s="18"/>
      <c r="AL1007" s="18">
        <v>113</v>
      </c>
      <c r="AM1007" s="40"/>
      <c r="AN1007" s="18">
        <v>11.3</v>
      </c>
      <c r="AO1007" s="6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6"/>
      <c r="BK1007" s="6"/>
      <c r="BL1007" s="6" t="s">
        <v>70</v>
      </c>
      <c r="BO1007" s="15"/>
    </row>
    <row r="1008" spans="1:67">
      <c r="A1008" s="6" t="s">
        <v>75</v>
      </c>
      <c r="B1008" s="6"/>
      <c r="C1008" s="17">
        <v>35534.421999999999</v>
      </c>
      <c r="D1008" s="6">
        <v>10</v>
      </c>
      <c r="E1008" s="6"/>
      <c r="F1008" s="6"/>
      <c r="G1008" s="22"/>
      <c r="H1008" s="22"/>
      <c r="I1008" s="22"/>
      <c r="J1008" s="22"/>
      <c r="K1008" s="22"/>
      <c r="L1008" s="22"/>
      <c r="M1008" s="22"/>
      <c r="N1008" s="18"/>
      <c r="O1008" s="18"/>
      <c r="P1008" s="22"/>
      <c r="Q1008" s="22"/>
      <c r="R1008" s="22"/>
      <c r="S1008" s="22"/>
      <c r="T1008" s="22"/>
      <c r="U1008" s="22"/>
      <c r="V1008" s="6"/>
      <c r="W1008" s="6"/>
      <c r="X1008" s="19"/>
      <c r="Y1008" s="6"/>
      <c r="Z1008" s="6"/>
      <c r="AA1008" s="6"/>
      <c r="AB1008" s="6"/>
      <c r="AC1008" s="6"/>
      <c r="AD1008" s="6"/>
      <c r="AE1008" s="6"/>
      <c r="AF1008" s="18"/>
      <c r="AG1008" s="18"/>
      <c r="AH1008" s="18"/>
      <c r="AI1008" s="18"/>
      <c r="AK1008" s="18"/>
      <c r="AL1008" s="18">
        <v>188</v>
      </c>
      <c r="AM1008" s="40"/>
      <c r="AN1008" s="18">
        <v>18.8</v>
      </c>
      <c r="AO1008" s="6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6"/>
      <c r="BK1008" s="6"/>
      <c r="BL1008" s="6" t="s">
        <v>70</v>
      </c>
      <c r="BO1008" s="15"/>
    </row>
    <row r="1009" spans="1:67">
      <c r="A1009" s="6" t="s">
        <v>76</v>
      </c>
      <c r="B1009" s="6"/>
      <c r="C1009" s="17">
        <v>35534.421999999999</v>
      </c>
      <c r="D1009" s="6">
        <v>10</v>
      </c>
      <c r="E1009" s="6"/>
      <c r="F1009" s="6"/>
      <c r="G1009" s="22"/>
      <c r="H1009" s="22"/>
      <c r="I1009" s="22"/>
      <c r="J1009" s="22"/>
      <c r="K1009" s="22"/>
      <c r="L1009" s="22"/>
      <c r="M1009" s="22"/>
      <c r="N1009" s="18"/>
      <c r="O1009" s="18"/>
      <c r="P1009" s="22"/>
      <c r="Q1009" s="22"/>
      <c r="R1009" s="22"/>
      <c r="S1009" s="22"/>
      <c r="T1009" s="22"/>
      <c r="U1009" s="22"/>
      <c r="V1009" s="6"/>
      <c r="W1009" s="6"/>
      <c r="X1009" s="19"/>
      <c r="Y1009" s="6"/>
      <c r="Z1009" s="6"/>
      <c r="AA1009" s="6"/>
      <c r="AB1009" s="6"/>
      <c r="AC1009" s="6"/>
      <c r="AD1009" s="6"/>
      <c r="AE1009" s="6"/>
      <c r="AF1009" s="18"/>
      <c r="AG1009" s="18"/>
      <c r="AH1009" s="18"/>
      <c r="AI1009" s="18"/>
      <c r="AK1009" s="18"/>
      <c r="AL1009" s="18">
        <v>169</v>
      </c>
      <c r="AM1009" s="40"/>
      <c r="AN1009" s="18">
        <v>16.899999999999999</v>
      </c>
      <c r="AO1009" s="6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6"/>
      <c r="BK1009" s="6"/>
      <c r="BL1009" s="6" t="s">
        <v>70</v>
      </c>
      <c r="BO1009" s="15"/>
    </row>
    <row r="1010" spans="1:67">
      <c r="A1010" s="6" t="s">
        <v>77</v>
      </c>
      <c r="B1010" s="6"/>
      <c r="C1010" s="17">
        <v>35534.421999999999</v>
      </c>
      <c r="D1010" s="6">
        <v>10</v>
      </c>
      <c r="E1010" s="6"/>
      <c r="F1010" s="6"/>
      <c r="G1010" s="22"/>
      <c r="H1010" s="22"/>
      <c r="I1010" s="22"/>
      <c r="J1010" s="22"/>
      <c r="K1010" s="22"/>
      <c r="L1010" s="22"/>
      <c r="M1010" s="22"/>
      <c r="N1010" s="18"/>
      <c r="O1010" s="18"/>
      <c r="P1010" s="22"/>
      <c r="Q1010" s="22"/>
      <c r="R1010" s="22"/>
      <c r="S1010" s="22"/>
      <c r="T1010" s="22"/>
      <c r="U1010" s="22"/>
      <c r="V1010" s="6"/>
      <c r="W1010" s="6"/>
      <c r="X1010" s="19"/>
      <c r="Y1010" s="6"/>
      <c r="Z1010" s="6"/>
      <c r="AA1010" s="6"/>
      <c r="AB1010" s="6"/>
      <c r="AC1010" s="6"/>
      <c r="AD1010" s="6"/>
      <c r="AE1010" s="6"/>
      <c r="AF1010" s="18"/>
      <c r="AG1010" s="18"/>
      <c r="AH1010" s="18"/>
      <c r="AI1010" s="18"/>
      <c r="AK1010" s="18"/>
      <c r="AL1010" s="18">
        <v>163</v>
      </c>
      <c r="AM1010" s="40"/>
      <c r="AN1010" s="18">
        <v>16.3</v>
      </c>
      <c r="AO1010" s="6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6"/>
      <c r="BK1010" s="6"/>
      <c r="BL1010" s="6" t="s">
        <v>70</v>
      </c>
      <c r="BO1010" s="15"/>
    </row>
    <row r="1011" spans="1:67">
      <c r="A1011" s="6" t="s">
        <v>78</v>
      </c>
      <c r="B1011" s="6"/>
      <c r="C1011" s="17">
        <v>35550.421999999999</v>
      </c>
      <c r="D1011" s="6">
        <v>10</v>
      </c>
      <c r="E1011" s="6"/>
      <c r="F1011" s="6"/>
      <c r="G1011" s="22"/>
      <c r="H1011" s="22"/>
      <c r="I1011" s="22"/>
      <c r="J1011" s="22"/>
      <c r="K1011" s="22"/>
      <c r="L1011" s="22"/>
      <c r="M1011" s="22"/>
      <c r="N1011" s="18"/>
      <c r="O1011" s="18"/>
      <c r="P1011" s="22"/>
      <c r="Q1011" s="22"/>
      <c r="R1011" s="22"/>
      <c r="S1011" s="22"/>
      <c r="T1011" s="22"/>
      <c r="U1011" s="22"/>
      <c r="V1011" s="6"/>
      <c r="W1011" s="6"/>
      <c r="X1011" s="19"/>
      <c r="Y1011" s="6"/>
      <c r="Z1011" s="6"/>
      <c r="AA1011" s="6"/>
      <c r="AB1011" s="6"/>
      <c r="AC1011" s="6"/>
      <c r="AD1011" s="6"/>
      <c r="AE1011" s="6"/>
      <c r="AF1011" s="18"/>
      <c r="AG1011" s="18"/>
      <c r="AH1011" s="18"/>
      <c r="AI1011" s="18"/>
      <c r="AK1011" s="18"/>
      <c r="AL1011" s="18">
        <v>106</v>
      </c>
      <c r="AM1011" s="40"/>
      <c r="AN1011" s="18">
        <v>10.6</v>
      </c>
      <c r="AO1011" s="6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6"/>
      <c r="BK1011" s="6"/>
      <c r="BL1011" s="6" t="s">
        <v>70</v>
      </c>
      <c r="BO1011" s="15"/>
    </row>
    <row r="1012" spans="1:67">
      <c r="A1012" s="6" t="s">
        <v>79</v>
      </c>
      <c r="B1012" s="6"/>
      <c r="C1012" s="17">
        <v>35550.421999999999</v>
      </c>
      <c r="D1012" s="6">
        <v>10</v>
      </c>
      <c r="E1012" s="6"/>
      <c r="F1012" s="6"/>
      <c r="G1012" s="22"/>
      <c r="H1012" s="22"/>
      <c r="I1012" s="22"/>
      <c r="J1012" s="22"/>
      <c r="K1012" s="22"/>
      <c r="L1012" s="22"/>
      <c r="M1012" s="22"/>
      <c r="N1012" s="18"/>
      <c r="O1012" s="18"/>
      <c r="P1012" s="22"/>
      <c r="Q1012" s="22"/>
      <c r="R1012" s="22"/>
      <c r="S1012" s="22"/>
      <c r="T1012" s="22"/>
      <c r="U1012" s="22"/>
      <c r="V1012" s="6"/>
      <c r="W1012" s="6"/>
      <c r="X1012" s="19"/>
      <c r="Y1012" s="6"/>
      <c r="Z1012" s="6"/>
      <c r="AA1012" s="6"/>
      <c r="AB1012" s="6"/>
      <c r="AC1012" s="6"/>
      <c r="AD1012" s="6"/>
      <c r="AE1012" s="6"/>
      <c r="AF1012" s="18"/>
      <c r="AG1012" s="18"/>
      <c r="AH1012" s="18"/>
      <c r="AI1012" s="18"/>
      <c r="AK1012" s="18"/>
      <c r="AL1012" s="18">
        <v>142</v>
      </c>
      <c r="AM1012" s="40"/>
      <c r="AN1012" s="18">
        <v>14.2</v>
      </c>
      <c r="AO1012" s="6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6"/>
      <c r="BK1012" s="6"/>
      <c r="BL1012" s="6" t="s">
        <v>70</v>
      </c>
      <c r="BO1012" s="15"/>
    </row>
    <row r="1013" spans="1:67">
      <c r="A1013" s="6" t="s">
        <v>80</v>
      </c>
      <c r="B1013" s="6"/>
      <c r="C1013" s="17">
        <v>35550.421999999999</v>
      </c>
      <c r="D1013" s="6">
        <v>10</v>
      </c>
      <c r="E1013" s="6"/>
      <c r="F1013" s="6"/>
      <c r="G1013" s="22"/>
      <c r="H1013" s="22"/>
      <c r="I1013" s="22"/>
      <c r="J1013" s="22"/>
      <c r="K1013" s="22"/>
      <c r="L1013" s="22"/>
      <c r="M1013" s="22"/>
      <c r="N1013" s="18"/>
      <c r="O1013" s="18"/>
      <c r="P1013" s="22"/>
      <c r="Q1013" s="22"/>
      <c r="R1013" s="22"/>
      <c r="S1013" s="22"/>
      <c r="T1013" s="22"/>
      <c r="U1013" s="22"/>
      <c r="V1013" s="6"/>
      <c r="W1013" s="6"/>
      <c r="X1013" s="19"/>
      <c r="Y1013" s="6"/>
      <c r="Z1013" s="6"/>
      <c r="AA1013" s="6"/>
      <c r="AB1013" s="6"/>
      <c r="AC1013" s="6"/>
      <c r="AD1013" s="6"/>
      <c r="AE1013" s="6"/>
      <c r="AF1013" s="18"/>
      <c r="AG1013" s="18"/>
      <c r="AH1013" s="18"/>
      <c r="AI1013" s="18"/>
      <c r="AK1013" s="18"/>
      <c r="AL1013" s="18">
        <v>146</v>
      </c>
      <c r="AM1013" s="40"/>
      <c r="AN1013" s="18">
        <v>14.6</v>
      </c>
      <c r="AO1013" s="6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6"/>
      <c r="BK1013" s="6"/>
      <c r="BL1013" s="6" t="s">
        <v>70</v>
      </c>
      <c r="BO1013" s="15"/>
    </row>
    <row r="1014" spans="1:67">
      <c r="A1014" s="6" t="s">
        <v>81</v>
      </c>
      <c r="B1014" s="6"/>
      <c r="C1014" s="17">
        <v>35550.421999999999</v>
      </c>
      <c r="D1014" s="6">
        <v>10</v>
      </c>
      <c r="E1014" s="6"/>
      <c r="F1014" s="6"/>
      <c r="G1014" s="22"/>
      <c r="H1014" s="22"/>
      <c r="I1014" s="22"/>
      <c r="J1014" s="22"/>
      <c r="K1014" s="22"/>
      <c r="L1014" s="22"/>
      <c r="M1014" s="22"/>
      <c r="N1014" s="18"/>
      <c r="O1014" s="18"/>
      <c r="P1014" s="22"/>
      <c r="Q1014" s="22"/>
      <c r="R1014" s="22"/>
      <c r="S1014" s="22"/>
      <c r="T1014" s="22"/>
      <c r="U1014" s="22"/>
      <c r="V1014" s="6"/>
      <c r="W1014" s="6"/>
      <c r="X1014" s="19"/>
      <c r="Y1014" s="6"/>
      <c r="Z1014" s="6"/>
      <c r="AA1014" s="6"/>
      <c r="AB1014" s="6"/>
      <c r="AC1014" s="6"/>
      <c r="AD1014" s="6"/>
      <c r="AE1014" s="6"/>
      <c r="AF1014" s="18"/>
      <c r="AG1014" s="18"/>
      <c r="AH1014" s="18"/>
      <c r="AI1014" s="18"/>
      <c r="AK1014" s="18"/>
      <c r="AL1014" s="18">
        <v>135</v>
      </c>
      <c r="AM1014" s="40"/>
      <c r="AN1014" s="18">
        <v>13.5</v>
      </c>
      <c r="AO1014" s="6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6"/>
      <c r="BK1014" s="6"/>
      <c r="BL1014" s="6" t="s">
        <v>70</v>
      </c>
      <c r="BO1014" s="15"/>
    </row>
    <row r="1015" spans="1:67" ht="13.25" customHeight="1">
      <c r="A1015" s="6" t="s">
        <v>69</v>
      </c>
      <c r="B1015" s="6"/>
      <c r="C1015" s="17">
        <v>37407.633000000002</v>
      </c>
      <c r="D1015" s="6">
        <v>15</v>
      </c>
      <c r="E1015" s="22">
        <v>91.311647635224702</v>
      </c>
      <c r="F1015" s="22">
        <v>845.45454545454538</v>
      </c>
      <c r="G1015" s="22"/>
      <c r="H1015" s="22"/>
      <c r="I1015" s="22"/>
      <c r="J1015" s="22"/>
      <c r="K1015" s="22"/>
      <c r="L1015" s="22"/>
      <c r="M1015" s="22"/>
      <c r="N1015" s="18"/>
      <c r="O1015" s="18"/>
      <c r="P1015" s="22"/>
      <c r="Q1015" s="22"/>
      <c r="R1015" s="22"/>
      <c r="S1015" s="22"/>
      <c r="T1015" s="22"/>
      <c r="U1015" s="22"/>
      <c r="V1015" s="6"/>
      <c r="W1015" s="6"/>
      <c r="X1015" s="19"/>
      <c r="Y1015" s="6"/>
      <c r="Z1015" s="6"/>
      <c r="AA1015" s="6"/>
      <c r="AB1015" s="6"/>
      <c r="AC1015" s="6"/>
      <c r="AD1015" s="6"/>
      <c r="AE1015" s="6"/>
      <c r="AF1015" s="18">
        <v>19.399999999999999</v>
      </c>
      <c r="AG1015" s="18"/>
      <c r="AH1015" s="18"/>
      <c r="AI1015" s="18"/>
      <c r="AK1015" s="18">
        <v>1.1499999999999999</v>
      </c>
      <c r="AL1015" s="18">
        <v>279</v>
      </c>
      <c r="AM1015" s="40"/>
      <c r="AN1015" s="18">
        <v>18.600000000000001</v>
      </c>
      <c r="AO1015" s="6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6"/>
      <c r="BK1015" s="6"/>
      <c r="BL1015" s="6" t="s">
        <v>70</v>
      </c>
      <c r="BO1015" s="15"/>
    </row>
    <row r="1016" spans="1:67">
      <c r="A1016" s="6" t="s">
        <v>71</v>
      </c>
      <c r="B1016" s="6"/>
      <c r="C1016" s="17">
        <v>37407.633000000002</v>
      </c>
      <c r="D1016" s="6">
        <v>15</v>
      </c>
      <c r="E1016" s="22">
        <v>83.390090024561502</v>
      </c>
      <c r="F1016" s="22">
        <v>772.10884353741494</v>
      </c>
      <c r="G1016" s="22"/>
      <c r="H1016" s="22"/>
      <c r="I1016" s="22"/>
      <c r="J1016" s="22"/>
      <c r="K1016" s="22"/>
      <c r="L1016" s="22"/>
      <c r="M1016" s="22"/>
      <c r="N1016" s="18"/>
      <c r="O1016" s="18"/>
      <c r="P1016" s="22"/>
      <c r="Q1016" s="22"/>
      <c r="R1016" s="22"/>
      <c r="S1016" s="22"/>
      <c r="T1016" s="22"/>
      <c r="U1016" s="22"/>
      <c r="V1016" s="6"/>
      <c r="W1016" s="6"/>
      <c r="X1016" s="19"/>
      <c r="Y1016" s="6"/>
      <c r="Z1016" s="6"/>
      <c r="AA1016" s="6"/>
      <c r="AB1016" s="6"/>
      <c r="AC1016" s="6"/>
      <c r="AD1016" s="6"/>
      <c r="AE1016" s="6"/>
      <c r="AF1016" s="18">
        <v>22</v>
      </c>
      <c r="AG1016" s="18"/>
      <c r="AH1016" s="18"/>
      <c r="AI1016" s="18"/>
      <c r="AK1016" s="18">
        <v>1.94</v>
      </c>
      <c r="AL1016" s="18">
        <v>340.5</v>
      </c>
      <c r="AM1016" s="40"/>
      <c r="AN1016" s="18">
        <v>22.7</v>
      </c>
      <c r="AO1016" s="6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6"/>
      <c r="BK1016" s="6"/>
      <c r="BL1016" s="6" t="s">
        <v>70</v>
      </c>
      <c r="BO1016" s="15"/>
    </row>
    <row r="1017" spans="1:67">
      <c r="A1017" s="6" t="s">
        <v>72</v>
      </c>
      <c r="B1017" s="6"/>
      <c r="C1017" s="17">
        <v>37407.633000000002</v>
      </c>
      <c r="D1017" s="6">
        <v>15</v>
      </c>
      <c r="E1017" s="22">
        <v>89.454678644045515</v>
      </c>
      <c r="F1017" s="22">
        <v>828.26086956521738</v>
      </c>
      <c r="G1017" s="22"/>
      <c r="H1017" s="22"/>
      <c r="I1017" s="22"/>
      <c r="J1017" s="22"/>
      <c r="K1017" s="22"/>
      <c r="L1017" s="22"/>
      <c r="M1017" s="22"/>
      <c r="N1017" s="18"/>
      <c r="O1017" s="18"/>
      <c r="P1017" s="22"/>
      <c r="Q1017" s="22"/>
      <c r="R1017" s="22"/>
      <c r="S1017" s="22"/>
      <c r="T1017" s="22"/>
      <c r="U1017" s="22"/>
      <c r="V1017" s="6"/>
      <c r="W1017" s="6"/>
      <c r="X1017" s="19"/>
      <c r="Y1017" s="6"/>
      <c r="Z1017" s="6"/>
      <c r="AA1017" s="6"/>
      <c r="AB1017" s="6"/>
      <c r="AC1017" s="6"/>
      <c r="AD1017" s="6"/>
      <c r="AE1017" s="6"/>
      <c r="AF1017" s="18">
        <v>21.4</v>
      </c>
      <c r="AG1017" s="18"/>
      <c r="AH1017" s="18"/>
      <c r="AI1017" s="18"/>
      <c r="AK1017" s="18">
        <v>1.46</v>
      </c>
      <c r="AL1017" s="18">
        <v>381</v>
      </c>
      <c r="AM1017" s="40"/>
      <c r="AN1017" s="18">
        <v>25.4</v>
      </c>
      <c r="AO1017" s="6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6"/>
      <c r="BK1017" s="6"/>
      <c r="BL1017" s="6" t="s">
        <v>70</v>
      </c>
      <c r="BO1017" s="15"/>
    </row>
    <row r="1018" spans="1:67">
      <c r="A1018" s="6" t="s">
        <v>73</v>
      </c>
      <c r="B1018" s="6"/>
      <c r="C1018" s="17">
        <v>37407.633000000002</v>
      </c>
      <c r="D1018" s="6">
        <v>15</v>
      </c>
      <c r="E1018" s="22">
        <v>97.513521745515348</v>
      </c>
      <c r="F1018" s="22">
        <v>902.87769784172667</v>
      </c>
      <c r="G1018" s="22"/>
      <c r="H1018" s="22"/>
      <c r="I1018" s="22"/>
      <c r="J1018" s="22"/>
      <c r="K1018" s="22"/>
      <c r="L1018" s="22"/>
      <c r="M1018" s="22"/>
      <c r="N1018" s="18"/>
      <c r="O1018" s="18"/>
      <c r="P1018" s="22"/>
      <c r="Q1018" s="22"/>
      <c r="R1018" s="22"/>
      <c r="S1018" s="22"/>
      <c r="T1018" s="22"/>
      <c r="U1018" s="22"/>
      <c r="V1018" s="6"/>
      <c r="W1018" s="6"/>
      <c r="X1018" s="19"/>
      <c r="Y1018" s="6"/>
      <c r="Z1018" s="6"/>
      <c r="AA1018" s="6"/>
      <c r="AB1018" s="6"/>
      <c r="AC1018" s="6"/>
      <c r="AD1018" s="6"/>
      <c r="AE1018" s="6"/>
      <c r="AF1018" s="18">
        <v>21</v>
      </c>
      <c r="AG1018" s="18"/>
      <c r="AH1018" s="18"/>
      <c r="AI1018" s="18"/>
      <c r="AK1018" s="18">
        <v>1.4300000000000002</v>
      </c>
      <c r="AL1018" s="18">
        <v>376.5</v>
      </c>
      <c r="AM1018" s="40"/>
      <c r="AN1018" s="18">
        <v>25.1</v>
      </c>
      <c r="AO1018" s="6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6"/>
      <c r="BK1018" s="6"/>
      <c r="BL1018" s="6" t="s">
        <v>70</v>
      </c>
      <c r="BO1018" s="15"/>
    </row>
    <row r="1019" spans="1:67">
      <c r="A1019" s="6" t="s">
        <v>74</v>
      </c>
      <c r="B1019" s="6"/>
      <c r="C1019" s="17">
        <v>37360.633000000002</v>
      </c>
      <c r="D1019" s="6">
        <v>15</v>
      </c>
      <c r="E1019" s="22">
        <v>97.902021832150865</v>
      </c>
      <c r="F1019" s="22">
        <v>906.47482014388481</v>
      </c>
      <c r="G1019" s="22"/>
      <c r="H1019" s="22"/>
      <c r="I1019" s="22"/>
      <c r="J1019" s="22"/>
      <c r="K1019" s="22"/>
      <c r="L1019" s="22"/>
      <c r="M1019" s="22"/>
      <c r="N1019" s="18"/>
      <c r="O1019" s="18"/>
      <c r="P1019" s="22"/>
      <c r="Q1019" s="22"/>
      <c r="R1019" s="22"/>
      <c r="S1019" s="22"/>
      <c r="T1019" s="22"/>
      <c r="U1019" s="22"/>
      <c r="V1019" s="6"/>
      <c r="W1019" s="6"/>
      <c r="X1019" s="19"/>
      <c r="Y1019" s="6"/>
      <c r="Z1019" s="6"/>
      <c r="AA1019" s="6"/>
      <c r="AB1019" s="6"/>
      <c r="AC1019" s="6"/>
      <c r="AD1019" s="6"/>
      <c r="AE1019" s="6"/>
      <c r="AF1019" s="18">
        <v>18.600000000000001</v>
      </c>
      <c r="AG1019" s="18"/>
      <c r="AH1019" s="18"/>
      <c r="AI1019" s="18"/>
      <c r="AK1019" s="18">
        <v>1.5699999999999998</v>
      </c>
      <c r="AL1019" s="18">
        <v>252</v>
      </c>
      <c r="AM1019" s="40"/>
      <c r="AN1019" s="18">
        <v>16.8</v>
      </c>
      <c r="AO1019" s="6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6"/>
      <c r="BK1019" s="6"/>
      <c r="BL1019" s="6" t="s">
        <v>70</v>
      </c>
      <c r="BO1019" s="15"/>
    </row>
    <row r="1020" spans="1:67">
      <c r="A1020" s="6" t="s">
        <v>75</v>
      </c>
      <c r="B1020" s="6"/>
      <c r="C1020" s="17">
        <v>37360.633000000002</v>
      </c>
      <c r="D1020" s="6">
        <v>15</v>
      </c>
      <c r="E1020" s="22">
        <v>87.693759773099728</v>
      </c>
      <c r="F1020" s="22">
        <v>811.95652173913038</v>
      </c>
      <c r="G1020" s="22"/>
      <c r="H1020" s="22"/>
      <c r="I1020" s="22"/>
      <c r="J1020" s="22"/>
      <c r="K1020" s="22"/>
      <c r="L1020" s="22"/>
      <c r="M1020" s="22"/>
      <c r="N1020" s="18"/>
      <c r="O1020" s="18"/>
      <c r="P1020" s="22"/>
      <c r="Q1020" s="22"/>
      <c r="R1020" s="22"/>
      <c r="S1020" s="22"/>
      <c r="T1020" s="22"/>
      <c r="U1020" s="22"/>
      <c r="V1020" s="6"/>
      <c r="W1020" s="6"/>
      <c r="X1020" s="19"/>
      <c r="Y1020" s="6"/>
      <c r="Z1020" s="6"/>
      <c r="AA1020" s="6"/>
      <c r="AB1020" s="6"/>
      <c r="AC1020" s="6"/>
      <c r="AD1020" s="6"/>
      <c r="AE1020" s="6"/>
      <c r="AF1020" s="18">
        <v>22</v>
      </c>
      <c r="AG1020" s="18"/>
      <c r="AH1020" s="18"/>
      <c r="AI1020" s="18"/>
      <c r="AK1020" s="18">
        <v>2.1</v>
      </c>
      <c r="AL1020" s="18">
        <v>373.5</v>
      </c>
      <c r="AM1020" s="40"/>
      <c r="AN1020" s="18">
        <v>24.9</v>
      </c>
      <c r="AO1020" s="6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6"/>
      <c r="BK1020" s="6"/>
      <c r="BL1020" s="6" t="s">
        <v>70</v>
      </c>
      <c r="BO1020" s="15"/>
    </row>
    <row r="1021" spans="1:67">
      <c r="A1021" s="6" t="s">
        <v>76</v>
      </c>
      <c r="B1021" s="6"/>
      <c r="C1021" s="17">
        <v>37360.633000000002</v>
      </c>
      <c r="D1021" s="6">
        <v>15</v>
      </c>
      <c r="E1021" s="22">
        <v>85.675475836400352</v>
      </c>
      <c r="F1021" s="22">
        <v>793.26923076923083</v>
      </c>
      <c r="G1021" s="22"/>
      <c r="H1021" s="22"/>
      <c r="I1021" s="22"/>
      <c r="J1021" s="22"/>
      <c r="K1021" s="22"/>
      <c r="L1021" s="22"/>
      <c r="M1021" s="22"/>
      <c r="N1021" s="18"/>
      <c r="O1021" s="18"/>
      <c r="P1021" s="22"/>
      <c r="Q1021" s="22"/>
      <c r="R1021" s="22"/>
      <c r="S1021" s="22"/>
      <c r="T1021" s="22"/>
      <c r="U1021" s="22"/>
      <c r="V1021" s="6"/>
      <c r="W1021" s="6"/>
      <c r="X1021" s="19"/>
      <c r="Y1021" s="6"/>
      <c r="Z1021" s="6"/>
      <c r="AA1021" s="6"/>
      <c r="AB1021" s="6"/>
      <c r="AC1021" s="6"/>
      <c r="AD1021" s="6"/>
      <c r="AE1021" s="6"/>
      <c r="AF1021" s="18">
        <v>20.5</v>
      </c>
      <c r="AG1021" s="18"/>
      <c r="AH1021" s="18"/>
      <c r="AI1021" s="18"/>
      <c r="AK1021" s="18">
        <v>1.9</v>
      </c>
      <c r="AL1021" s="18">
        <v>330</v>
      </c>
      <c r="AM1021" s="40"/>
      <c r="AN1021" s="18">
        <v>22</v>
      </c>
      <c r="AO1021" s="6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6"/>
      <c r="BK1021" s="6"/>
      <c r="BL1021" s="6" t="s">
        <v>70</v>
      </c>
      <c r="BO1021" s="15"/>
    </row>
    <row r="1022" spans="1:67">
      <c r="A1022" s="6" t="s">
        <v>77</v>
      </c>
      <c r="B1022" s="6"/>
      <c r="C1022" s="17">
        <v>37360.633000000002</v>
      </c>
      <c r="D1022" s="6">
        <v>15</v>
      </c>
      <c r="E1022" s="22">
        <v>88.841197230941816</v>
      </c>
      <c r="F1022" s="22">
        <v>822.58064516129025</v>
      </c>
      <c r="G1022" s="22"/>
      <c r="H1022" s="22"/>
      <c r="I1022" s="22"/>
      <c r="J1022" s="22"/>
      <c r="K1022" s="22"/>
      <c r="L1022" s="22"/>
      <c r="M1022" s="22"/>
      <c r="N1022" s="18"/>
      <c r="O1022" s="18"/>
      <c r="P1022" s="22"/>
      <c r="Q1022" s="22"/>
      <c r="R1022" s="22"/>
      <c r="S1022" s="22"/>
      <c r="T1022" s="22"/>
      <c r="U1022" s="22"/>
      <c r="V1022" s="6"/>
      <c r="W1022" s="6"/>
      <c r="X1022" s="19"/>
      <c r="Y1022" s="6"/>
      <c r="Z1022" s="6"/>
      <c r="AA1022" s="6"/>
      <c r="AB1022" s="6"/>
      <c r="AC1022" s="6"/>
      <c r="AD1022" s="6"/>
      <c r="AE1022" s="6"/>
      <c r="AF1022" s="18">
        <v>21.3</v>
      </c>
      <c r="AG1022" s="18"/>
      <c r="AH1022" s="18"/>
      <c r="AI1022" s="18"/>
      <c r="AK1022" s="18">
        <v>1.78</v>
      </c>
      <c r="AL1022" s="18">
        <v>331.5</v>
      </c>
      <c r="AM1022" s="40"/>
      <c r="AN1022" s="18">
        <v>22.1</v>
      </c>
      <c r="AO1022" s="6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  <c r="BJ1022" s="6"/>
      <c r="BK1022" s="6"/>
      <c r="BL1022" s="6" t="s">
        <v>70</v>
      </c>
      <c r="BO1022" s="15"/>
    </row>
    <row r="1023" spans="1:67">
      <c r="A1023" s="6" t="s">
        <v>78</v>
      </c>
      <c r="B1023" s="6"/>
      <c r="C1023" s="17">
        <v>37376.633000000002</v>
      </c>
      <c r="D1023" s="6">
        <v>15</v>
      </c>
      <c r="E1023" s="22">
        <v>86.854142942618353</v>
      </c>
      <c r="F1023" s="22">
        <v>804.18250950570336</v>
      </c>
      <c r="G1023" s="22"/>
      <c r="H1023" s="22"/>
      <c r="I1023" s="22"/>
      <c r="J1023" s="22"/>
      <c r="K1023" s="22"/>
      <c r="L1023" s="22"/>
      <c r="M1023" s="22"/>
      <c r="N1023" s="18"/>
      <c r="O1023" s="18"/>
      <c r="P1023" s="22"/>
      <c r="Q1023" s="22"/>
      <c r="R1023" s="22"/>
      <c r="S1023" s="22"/>
      <c r="T1023" s="22"/>
      <c r="U1023" s="22"/>
      <c r="V1023" s="6"/>
      <c r="W1023" s="6"/>
      <c r="X1023" s="19"/>
      <c r="Y1023" s="6"/>
      <c r="Z1023" s="6"/>
      <c r="AA1023" s="6"/>
      <c r="AB1023" s="6"/>
      <c r="AC1023" s="6"/>
      <c r="AD1023" s="6"/>
      <c r="AE1023" s="6"/>
      <c r="AF1023" s="18">
        <v>18.100000000000001</v>
      </c>
      <c r="AG1023" s="18"/>
      <c r="AH1023" s="18"/>
      <c r="AI1023" s="18"/>
      <c r="AK1023" s="18">
        <v>1.56</v>
      </c>
      <c r="AL1023" s="18">
        <v>211.5</v>
      </c>
      <c r="AM1023" s="40"/>
      <c r="AN1023" s="18">
        <v>14.1</v>
      </c>
      <c r="AO1023" s="6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6"/>
      <c r="BK1023" s="6"/>
      <c r="BL1023" s="6" t="s">
        <v>70</v>
      </c>
      <c r="BO1023" s="15"/>
    </row>
    <row r="1024" spans="1:67">
      <c r="A1024" s="6" t="s">
        <v>79</v>
      </c>
      <c r="B1024" s="6"/>
      <c r="C1024" s="17">
        <v>37376.633000000002</v>
      </c>
      <c r="D1024" s="6">
        <v>15</v>
      </c>
      <c r="E1024" s="22">
        <v>86.402419267739504</v>
      </c>
      <c r="F1024" s="22">
        <v>800</v>
      </c>
      <c r="G1024" s="22"/>
      <c r="H1024" s="22"/>
      <c r="I1024" s="22"/>
      <c r="J1024" s="22"/>
      <c r="K1024" s="22"/>
      <c r="L1024" s="22"/>
      <c r="M1024" s="22"/>
      <c r="N1024" s="18"/>
      <c r="O1024" s="18"/>
      <c r="P1024" s="22"/>
      <c r="Q1024" s="22"/>
      <c r="R1024" s="22"/>
      <c r="S1024" s="22"/>
      <c r="T1024" s="22"/>
      <c r="U1024" s="22"/>
      <c r="V1024" s="6"/>
      <c r="W1024" s="6"/>
      <c r="X1024" s="19"/>
      <c r="Y1024" s="6"/>
      <c r="Z1024" s="6"/>
      <c r="AA1024" s="6"/>
      <c r="AB1024" s="6"/>
      <c r="AC1024" s="6"/>
      <c r="AD1024" s="6"/>
      <c r="AE1024" s="6"/>
      <c r="AF1024" s="18">
        <v>19.7</v>
      </c>
      <c r="AG1024" s="18"/>
      <c r="AH1024" s="18"/>
      <c r="AI1024" s="18"/>
      <c r="AK1024" s="18">
        <v>1.8199999999999998</v>
      </c>
      <c r="AL1024" s="18">
        <v>288</v>
      </c>
      <c r="AM1024" s="40"/>
      <c r="AN1024" s="18">
        <v>19.2</v>
      </c>
      <c r="AO1024" s="6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32"/>
      <c r="BI1024" s="32"/>
      <c r="BJ1024" s="6"/>
      <c r="BK1024" s="6"/>
      <c r="BL1024" s="6" t="s">
        <v>70</v>
      </c>
      <c r="BO1024" s="15"/>
    </row>
    <row r="1025" spans="1:75">
      <c r="A1025" s="6" t="s">
        <v>80</v>
      </c>
      <c r="B1025" s="6"/>
      <c r="C1025" s="17">
        <v>37376.633000000002</v>
      </c>
      <c r="D1025" s="6">
        <v>15</v>
      </c>
      <c r="E1025" s="22">
        <v>74.466632742978433</v>
      </c>
      <c r="F1025" s="22">
        <v>689.48655256723725</v>
      </c>
      <c r="G1025" s="22"/>
      <c r="H1025" s="22"/>
      <c r="I1025" s="22"/>
      <c r="J1025" s="22"/>
      <c r="K1025" s="22"/>
      <c r="L1025" s="22"/>
      <c r="M1025" s="22"/>
      <c r="N1025" s="18"/>
      <c r="O1025" s="18"/>
      <c r="P1025" s="22"/>
      <c r="Q1025" s="22"/>
      <c r="R1025" s="22"/>
      <c r="S1025" s="22"/>
      <c r="T1025" s="22"/>
      <c r="U1025" s="22"/>
      <c r="V1025" s="6"/>
      <c r="W1025" s="6"/>
      <c r="X1025" s="19"/>
      <c r="Y1025" s="6"/>
      <c r="Z1025" s="6"/>
      <c r="AA1025" s="6"/>
      <c r="AB1025" s="6"/>
      <c r="AC1025" s="6"/>
      <c r="AD1025" s="6"/>
      <c r="AE1025" s="6"/>
      <c r="AF1025" s="18">
        <v>19.7</v>
      </c>
      <c r="AG1025" s="18"/>
      <c r="AH1025" s="18"/>
      <c r="AI1025" s="18"/>
      <c r="AK1025" s="18">
        <v>1.6199999999999999</v>
      </c>
      <c r="AL1025" s="18">
        <v>282</v>
      </c>
      <c r="AM1025" s="40"/>
      <c r="AN1025" s="18">
        <v>18.8</v>
      </c>
      <c r="AO1025" s="6"/>
      <c r="AP1025" s="32"/>
      <c r="AQ1025" s="32"/>
      <c r="AR1025" s="32"/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2"/>
      <c r="BF1025" s="32"/>
      <c r="BG1025" s="32"/>
      <c r="BH1025" s="32"/>
      <c r="BI1025" s="32"/>
      <c r="BJ1025" s="6"/>
      <c r="BK1025" s="6"/>
      <c r="BL1025" s="6" t="s">
        <v>70</v>
      </c>
      <c r="BO1025" s="15"/>
    </row>
    <row r="1026" spans="1:75" ht="13.25" customHeight="1">
      <c r="A1026" s="6" t="s">
        <v>81</v>
      </c>
      <c r="B1026" s="6"/>
      <c r="C1026" s="17">
        <v>37376.633000000002</v>
      </c>
      <c r="D1026" s="6">
        <v>15</v>
      </c>
      <c r="E1026" s="22">
        <v>90.743047134433695</v>
      </c>
      <c r="F1026" s="22">
        <v>840.18987341772151</v>
      </c>
      <c r="G1026" s="22"/>
      <c r="H1026" s="22"/>
      <c r="I1026" s="22"/>
      <c r="J1026" s="22"/>
      <c r="K1026" s="22"/>
      <c r="L1026" s="22"/>
      <c r="M1026" s="22"/>
      <c r="N1026" s="18"/>
      <c r="O1026" s="18"/>
      <c r="P1026" s="22"/>
      <c r="Q1026" s="22"/>
      <c r="R1026" s="22"/>
      <c r="S1026" s="22"/>
      <c r="T1026" s="22"/>
      <c r="U1026" s="22"/>
      <c r="V1026" s="6"/>
      <c r="W1026" s="6"/>
      <c r="X1026" s="19"/>
      <c r="Y1026" s="6"/>
      <c r="Z1026" s="6"/>
      <c r="AA1026" s="6"/>
      <c r="AB1026" s="6"/>
      <c r="AC1026" s="6"/>
      <c r="AD1026" s="6"/>
      <c r="AE1026" s="6"/>
      <c r="AF1026" s="18">
        <v>19.399999999999999</v>
      </c>
      <c r="AG1026" s="18"/>
      <c r="AH1026" s="18"/>
      <c r="AI1026" s="18"/>
      <c r="AK1026" s="18">
        <v>1.64</v>
      </c>
      <c r="AL1026" s="18">
        <v>265.5</v>
      </c>
      <c r="AM1026" s="40"/>
      <c r="AN1026" s="18">
        <v>17.7</v>
      </c>
      <c r="AO1026" s="6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6"/>
      <c r="BK1026" s="6"/>
      <c r="BL1026" s="6" t="s">
        <v>70</v>
      </c>
      <c r="BO1026" s="15"/>
    </row>
    <row r="1027" spans="1:75">
      <c r="A1027" s="6" t="s">
        <v>82</v>
      </c>
      <c r="B1027" s="6"/>
      <c r="C1027" s="17">
        <v>22812</v>
      </c>
      <c r="D1027" s="6">
        <v>0</v>
      </c>
      <c r="E1027" s="22">
        <v>100</v>
      </c>
      <c r="F1027" s="6">
        <v>1496</v>
      </c>
      <c r="G1027" s="22"/>
      <c r="H1027" s="22"/>
      <c r="I1027" s="22"/>
      <c r="J1027" s="22"/>
      <c r="K1027" s="22"/>
      <c r="L1027" s="22"/>
      <c r="M1027" s="22"/>
      <c r="N1027" s="18"/>
      <c r="O1027" s="18"/>
      <c r="P1027" s="22"/>
      <c r="Q1027" s="22"/>
      <c r="R1027" s="22"/>
      <c r="S1027" s="22"/>
      <c r="T1027" s="22"/>
      <c r="U1027" s="22"/>
      <c r="V1027" s="6"/>
      <c r="W1027" s="6"/>
      <c r="X1027" s="19"/>
      <c r="Y1027" s="6"/>
      <c r="Z1027" s="6"/>
      <c r="AA1027" s="6"/>
      <c r="AB1027" s="6"/>
      <c r="AC1027" s="6"/>
      <c r="AD1027" s="6"/>
      <c r="AE1027" s="6"/>
      <c r="AF1027" s="18"/>
      <c r="AG1027" s="18"/>
      <c r="AH1027" s="18"/>
      <c r="AI1027" s="18"/>
      <c r="AK1027" s="18"/>
      <c r="AL1027" s="18"/>
      <c r="AM1027" s="40" t="s">
        <v>118</v>
      </c>
      <c r="AN1027" s="18"/>
      <c r="AO1027" s="6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32"/>
      <c r="BI1027" s="32"/>
      <c r="BJ1027" s="6"/>
      <c r="BK1027" s="6"/>
      <c r="BL1027" s="6" t="s">
        <v>83</v>
      </c>
      <c r="BO1027" s="15"/>
    </row>
    <row r="1028" spans="1:75" ht="13.25" customHeight="1">
      <c r="A1028" s="6" t="s">
        <v>82</v>
      </c>
      <c r="B1028" s="6"/>
      <c r="C1028" s="17">
        <v>29021.117399999999</v>
      </c>
      <c r="D1028" s="6">
        <v>17</v>
      </c>
      <c r="E1028" s="22">
        <v>41.778074866310163</v>
      </c>
      <c r="F1028" s="6">
        <v>625</v>
      </c>
      <c r="G1028" s="22"/>
      <c r="H1028" s="22"/>
      <c r="I1028" s="22"/>
      <c r="J1028" s="22"/>
      <c r="K1028" s="22"/>
      <c r="L1028" s="22"/>
      <c r="M1028" s="22"/>
      <c r="N1028" s="18">
        <v>110.6</v>
      </c>
      <c r="O1028" s="18"/>
      <c r="P1028" s="22"/>
      <c r="Q1028" s="22"/>
      <c r="R1028" s="22"/>
      <c r="S1028" s="22"/>
      <c r="T1028" s="22"/>
      <c r="U1028" s="22"/>
      <c r="V1028" s="6"/>
      <c r="W1028" s="6"/>
      <c r="X1028" s="19"/>
      <c r="Y1028" s="6"/>
      <c r="Z1028" s="6"/>
      <c r="AA1028" s="6"/>
      <c r="AB1028" s="6"/>
      <c r="AC1028" s="6"/>
      <c r="AD1028" s="6"/>
      <c r="AE1028" s="6"/>
      <c r="AF1028" s="18"/>
      <c r="AG1028" s="18"/>
      <c r="AH1028" s="18"/>
      <c r="AI1028" s="18"/>
      <c r="AK1028" s="18"/>
      <c r="AL1028" s="18"/>
      <c r="AM1028" s="40">
        <v>6.5058823529411764</v>
      </c>
      <c r="AN1028" s="18"/>
      <c r="AO1028" s="6"/>
      <c r="AP1028" s="32"/>
      <c r="AQ1028" s="32">
        <v>9.0000000000000011E-3</v>
      </c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  <c r="BF1028" s="32"/>
      <c r="BG1028" s="32"/>
      <c r="BH1028" s="32"/>
      <c r="BI1028" s="32"/>
      <c r="BJ1028" s="6"/>
      <c r="BK1028" s="6"/>
      <c r="BL1028" s="6" t="s">
        <v>83</v>
      </c>
      <c r="BO1028" s="15"/>
    </row>
    <row r="1029" spans="1:75">
      <c r="A1029" s="6" t="s">
        <v>82</v>
      </c>
      <c r="B1029" s="6"/>
      <c r="C1029" s="17">
        <v>29386.3596</v>
      </c>
      <c r="D1029" s="6">
        <v>18</v>
      </c>
      <c r="E1029" s="22">
        <v>41.778074866310163</v>
      </c>
      <c r="F1029" s="6">
        <v>625</v>
      </c>
      <c r="G1029" s="22"/>
      <c r="H1029" s="22"/>
      <c r="I1029" s="22"/>
      <c r="J1029" s="22"/>
      <c r="K1029" s="22"/>
      <c r="L1029" s="22"/>
      <c r="M1029" s="22"/>
      <c r="N1029" s="18">
        <v>119.16</v>
      </c>
      <c r="O1029" s="18"/>
      <c r="P1029" s="22"/>
      <c r="Q1029" s="22"/>
      <c r="R1029" s="22"/>
      <c r="S1029" s="22"/>
      <c r="T1029" s="22"/>
      <c r="U1029" s="22"/>
      <c r="V1029" s="6"/>
      <c r="W1029" s="6"/>
      <c r="X1029" s="19"/>
      <c r="Y1029" s="6"/>
      <c r="Z1029" s="6"/>
      <c r="AA1029" s="6"/>
      <c r="AB1029" s="6"/>
      <c r="AC1029" s="6"/>
      <c r="AD1029" s="6"/>
      <c r="AE1029" s="6"/>
      <c r="AF1029" s="18"/>
      <c r="AG1029" s="18"/>
      <c r="AH1029" s="18"/>
      <c r="AI1029" s="18"/>
      <c r="AK1029" s="18"/>
      <c r="AL1029" s="18"/>
      <c r="AM1029" s="18">
        <v>6.62</v>
      </c>
      <c r="AN1029" s="18"/>
      <c r="AO1029" s="6"/>
      <c r="AP1029" s="32"/>
      <c r="AQ1029" s="32">
        <v>7.4999999999999997E-3</v>
      </c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32"/>
      <c r="BI1029" s="32"/>
      <c r="BJ1029" s="6"/>
      <c r="BK1029" s="6"/>
      <c r="BL1029" s="6" t="s">
        <v>83</v>
      </c>
      <c r="BO1029" s="15"/>
    </row>
    <row r="1030" spans="1:75">
      <c r="A1030" s="6" t="s">
        <v>82</v>
      </c>
      <c r="B1030" s="6"/>
      <c r="C1030" s="17">
        <v>29751.6018</v>
      </c>
      <c r="D1030" s="6">
        <v>19</v>
      </c>
      <c r="E1030" s="22">
        <v>41.778074866310163</v>
      </c>
      <c r="F1030" s="6">
        <v>625</v>
      </c>
      <c r="G1030" s="22"/>
      <c r="H1030" s="22"/>
      <c r="I1030" s="22"/>
      <c r="J1030" s="22"/>
      <c r="K1030" s="22"/>
      <c r="L1030" s="22"/>
      <c r="M1030" s="22"/>
      <c r="N1030" s="18">
        <v>127.61</v>
      </c>
      <c r="O1030" s="18"/>
      <c r="P1030" s="22"/>
      <c r="Q1030" s="22"/>
      <c r="R1030" s="22"/>
      <c r="S1030" s="22"/>
      <c r="T1030" s="22"/>
      <c r="U1030" s="22"/>
      <c r="V1030" s="6"/>
      <c r="W1030" s="6"/>
      <c r="X1030" s="19"/>
      <c r="Y1030" s="6"/>
      <c r="Z1030" s="6"/>
      <c r="AA1030" s="6"/>
      <c r="AB1030" s="6"/>
      <c r="AC1030" s="6"/>
      <c r="AD1030" s="6"/>
      <c r="AE1030" s="6"/>
      <c r="AF1030" s="18"/>
      <c r="AG1030" s="18"/>
      <c r="AH1030" s="18"/>
      <c r="AI1030" s="18"/>
      <c r="AK1030" s="18"/>
      <c r="AL1030" s="18"/>
      <c r="AM1030" s="18">
        <v>6.7163157894736845</v>
      </c>
      <c r="AN1030" s="18"/>
      <c r="AO1030" s="6"/>
      <c r="AP1030" s="32"/>
      <c r="AQ1030" s="32">
        <v>7.3000000000000001E-3</v>
      </c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2"/>
      <c r="BF1030" s="32"/>
      <c r="BG1030" s="32"/>
      <c r="BH1030" s="32"/>
      <c r="BI1030" s="32"/>
      <c r="BJ1030" s="6"/>
      <c r="BK1030" s="6"/>
      <c r="BL1030" s="6" t="s">
        <v>83</v>
      </c>
      <c r="BO1030" s="15"/>
    </row>
    <row r="1031" spans="1:75">
      <c r="A1031" s="6" t="s">
        <v>82</v>
      </c>
      <c r="B1031" s="6"/>
      <c r="C1031" s="17">
        <v>30116.844000000001</v>
      </c>
      <c r="D1031" s="6">
        <v>20</v>
      </c>
      <c r="E1031" s="22">
        <v>41.778074866310163</v>
      </c>
      <c r="F1031" s="6">
        <v>625</v>
      </c>
      <c r="G1031" s="22"/>
      <c r="H1031" s="22"/>
      <c r="I1031" s="22"/>
      <c r="J1031" s="22"/>
      <c r="K1031" s="22"/>
      <c r="L1031" s="22"/>
      <c r="M1031" s="22"/>
      <c r="N1031" s="18">
        <v>136.59</v>
      </c>
      <c r="O1031" s="18"/>
      <c r="P1031" s="22"/>
      <c r="Q1031" s="22"/>
      <c r="R1031" s="22"/>
      <c r="S1031" s="22"/>
      <c r="T1031" s="22"/>
      <c r="U1031" s="22"/>
      <c r="V1031" s="6"/>
      <c r="W1031" s="6"/>
      <c r="X1031" s="19"/>
      <c r="Y1031" s="6"/>
      <c r="Z1031" s="6"/>
      <c r="AA1031" s="6"/>
      <c r="AB1031" s="6"/>
      <c r="AC1031" s="6"/>
      <c r="AD1031" s="6"/>
      <c r="AE1031" s="6"/>
      <c r="AF1031" s="18"/>
      <c r="AG1031" s="18"/>
      <c r="AH1031" s="18"/>
      <c r="AI1031" s="18"/>
      <c r="AK1031" s="18"/>
      <c r="AL1031" s="18"/>
      <c r="AM1031" s="18">
        <v>6.8295000000000003</v>
      </c>
      <c r="AN1031" s="18"/>
      <c r="AO1031" s="6"/>
      <c r="AP1031" s="32"/>
      <c r="AQ1031" s="32">
        <v>7.4000000000000003E-3</v>
      </c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2"/>
      <c r="BF1031" s="32"/>
      <c r="BG1031" s="32"/>
      <c r="BH1031" s="32"/>
      <c r="BI1031" s="32"/>
      <c r="BJ1031" s="6"/>
      <c r="BK1031" s="6"/>
      <c r="BL1031" s="6" t="s">
        <v>83</v>
      </c>
      <c r="BO1031" s="15"/>
    </row>
    <row r="1032" spans="1:75">
      <c r="A1032" s="6" t="s">
        <v>82</v>
      </c>
      <c r="B1032" s="6"/>
      <c r="C1032" s="17">
        <v>30482.086200000002</v>
      </c>
      <c r="D1032" s="6">
        <v>21</v>
      </c>
      <c r="E1032" s="22">
        <v>41.778074866310163</v>
      </c>
      <c r="F1032" s="6">
        <v>625</v>
      </c>
      <c r="G1032" s="22"/>
      <c r="H1032" s="22"/>
      <c r="I1032" s="22"/>
      <c r="J1032" s="22"/>
      <c r="K1032" s="22"/>
      <c r="L1032" s="22"/>
      <c r="M1032" s="22"/>
      <c r="N1032" s="18">
        <v>147.47</v>
      </c>
      <c r="O1032" s="18"/>
      <c r="P1032" s="22"/>
      <c r="Q1032" s="22"/>
      <c r="R1032" s="22"/>
      <c r="S1032" s="22"/>
      <c r="T1032" s="22"/>
      <c r="U1032" s="22"/>
      <c r="V1032" s="6"/>
      <c r="W1032" s="6"/>
      <c r="X1032" s="19"/>
      <c r="Y1032" s="6"/>
      <c r="Z1032" s="6"/>
      <c r="AA1032" s="6"/>
      <c r="AB1032" s="6"/>
      <c r="AC1032" s="6"/>
      <c r="AD1032" s="6"/>
      <c r="AE1032" s="6"/>
      <c r="AF1032" s="18"/>
      <c r="AG1032" s="18"/>
      <c r="AH1032" s="18"/>
      <c r="AI1032" s="18"/>
      <c r="AK1032" s="18"/>
      <c r="AL1032" s="18"/>
      <c r="AM1032" s="18">
        <v>7.0223809523809519</v>
      </c>
      <c r="AN1032" s="18"/>
      <c r="AO1032" s="6"/>
      <c r="AP1032" s="32"/>
      <c r="AQ1032" s="32">
        <v>6.8000000000000005E-3</v>
      </c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  <c r="BF1032" s="32"/>
      <c r="BG1032" s="32"/>
      <c r="BH1032" s="32"/>
      <c r="BI1032" s="32"/>
      <c r="BJ1032" s="6"/>
      <c r="BK1032" s="6"/>
      <c r="BL1032" s="6" t="s">
        <v>83</v>
      </c>
      <c r="BO1032" s="15"/>
    </row>
    <row r="1033" spans="1:75">
      <c r="A1033" s="6" t="s">
        <v>82</v>
      </c>
      <c r="B1033" s="6"/>
      <c r="C1033" s="17">
        <v>30847.328399999999</v>
      </c>
      <c r="D1033" s="6">
        <v>22</v>
      </c>
      <c r="E1033" s="22">
        <v>41.778074866310163</v>
      </c>
      <c r="F1033" s="6">
        <v>625</v>
      </c>
      <c r="G1033" s="22"/>
      <c r="H1033" s="22"/>
      <c r="I1033" s="22"/>
      <c r="J1033" s="22"/>
      <c r="K1033" s="22"/>
      <c r="L1033" s="22"/>
      <c r="M1033" s="22"/>
      <c r="N1033" s="18">
        <v>156.59</v>
      </c>
      <c r="O1033" s="18"/>
      <c r="P1033" s="22"/>
      <c r="Q1033" s="22"/>
      <c r="R1033" s="22"/>
      <c r="S1033" s="22"/>
      <c r="T1033" s="22"/>
      <c r="U1033" s="22"/>
      <c r="V1033" s="6"/>
      <c r="W1033" s="6"/>
      <c r="X1033" s="19"/>
      <c r="Y1033" s="6"/>
      <c r="Z1033" s="6"/>
      <c r="AA1033" s="6"/>
      <c r="AB1033" s="6"/>
      <c r="AC1033" s="6"/>
      <c r="AD1033" s="6"/>
      <c r="AE1033" s="6"/>
      <c r="AF1033" s="18"/>
      <c r="AG1033" s="18"/>
      <c r="AH1033" s="18"/>
      <c r="AI1033" s="18"/>
      <c r="AK1033" s="18"/>
      <c r="AL1033" s="18"/>
      <c r="AM1033" s="18">
        <v>7.1177272727272731</v>
      </c>
      <c r="AN1033" s="18"/>
      <c r="AO1033" s="6"/>
      <c r="AP1033" s="32"/>
      <c r="AQ1033" s="32">
        <v>6.8999999999999999E-3</v>
      </c>
      <c r="AR1033" s="32"/>
      <c r="AS1033" s="32"/>
      <c r="AT1033" s="32"/>
      <c r="AU1033" s="32"/>
      <c r="AV1033" s="32"/>
      <c r="AW1033" s="32"/>
      <c r="AX1033" s="32"/>
      <c r="AY1033" s="32"/>
      <c r="AZ1033" s="32"/>
      <c r="BA1033" s="32"/>
      <c r="BB1033" s="32"/>
      <c r="BC1033" s="32"/>
      <c r="BD1033" s="32"/>
      <c r="BE1033" s="32"/>
      <c r="BF1033" s="32"/>
      <c r="BG1033" s="32"/>
      <c r="BH1033" s="32"/>
      <c r="BI1033" s="32"/>
      <c r="BJ1033" s="6"/>
      <c r="BK1033" s="6"/>
      <c r="BL1033" s="6" t="s">
        <v>83</v>
      </c>
      <c r="BO1033" s="15"/>
    </row>
    <row r="1034" spans="1:75" ht="13.25" customHeight="1">
      <c r="A1034" s="6" t="s">
        <v>82</v>
      </c>
      <c r="B1034" s="6"/>
      <c r="C1034" s="17">
        <v>31212.570599999999</v>
      </c>
      <c r="D1034" s="6">
        <v>23</v>
      </c>
      <c r="E1034" s="22">
        <v>41.778074866310163</v>
      </c>
      <c r="F1034" s="6">
        <v>625</v>
      </c>
      <c r="G1034" s="22"/>
      <c r="H1034" s="22"/>
      <c r="I1034" s="22"/>
      <c r="J1034" s="22"/>
      <c r="K1034" s="22"/>
      <c r="L1034" s="22"/>
      <c r="M1034" s="22"/>
      <c r="N1034" s="18">
        <v>165.34</v>
      </c>
      <c r="O1034" s="18"/>
      <c r="P1034" s="22"/>
      <c r="Q1034" s="22"/>
      <c r="R1034" s="22"/>
      <c r="S1034" s="22"/>
      <c r="T1034" s="22"/>
      <c r="U1034" s="22"/>
      <c r="V1034" s="6"/>
      <c r="W1034" s="6"/>
      <c r="X1034" s="19"/>
      <c r="Y1034" s="6"/>
      <c r="Z1034" s="6"/>
      <c r="AA1034" s="6"/>
      <c r="AB1034" s="6"/>
      <c r="AC1034" s="6"/>
      <c r="AD1034" s="6"/>
      <c r="AE1034" s="6"/>
      <c r="AF1034" s="18"/>
      <c r="AG1034" s="18"/>
      <c r="AH1034" s="18"/>
      <c r="AI1034" s="18"/>
      <c r="AK1034" s="18"/>
      <c r="AL1034" s="18"/>
      <c r="AM1034" s="18">
        <v>7.1886956521739132</v>
      </c>
      <c r="AN1034" s="18"/>
      <c r="AO1034" s="6"/>
      <c r="AP1034" s="32"/>
      <c r="AQ1034" s="32">
        <v>7.4000000000000003E-3</v>
      </c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  <c r="BF1034" s="32"/>
      <c r="BG1034" s="32"/>
      <c r="BH1034" s="32"/>
      <c r="BI1034" s="32"/>
      <c r="BJ1034" s="6"/>
      <c r="BK1034" s="6"/>
      <c r="BL1034" s="6" t="s">
        <v>83</v>
      </c>
      <c r="BO1034" s="15"/>
    </row>
    <row r="1035" spans="1:75">
      <c r="A1035" s="6" t="s">
        <v>82</v>
      </c>
      <c r="B1035" s="6"/>
      <c r="C1035" s="17">
        <v>31577.8128</v>
      </c>
      <c r="D1035" s="6">
        <v>24</v>
      </c>
      <c r="E1035" s="22">
        <v>41.778074866310163</v>
      </c>
      <c r="F1035" s="6">
        <v>625</v>
      </c>
      <c r="G1035" s="22"/>
      <c r="H1035" s="22"/>
      <c r="I1035" s="22"/>
      <c r="J1035" s="22"/>
      <c r="K1035" s="22"/>
      <c r="L1035" s="22"/>
      <c r="M1035" s="22"/>
      <c r="N1035" s="18">
        <v>175.29</v>
      </c>
      <c r="O1035" s="18"/>
      <c r="P1035" s="22"/>
      <c r="Q1035" s="22"/>
      <c r="R1035" s="22"/>
      <c r="S1035" s="22"/>
      <c r="T1035" s="22"/>
      <c r="U1035" s="22"/>
      <c r="V1035" s="6"/>
      <c r="W1035" s="6"/>
      <c r="X1035" s="19"/>
      <c r="Y1035" s="6"/>
      <c r="Z1035" s="6"/>
      <c r="AA1035" s="6"/>
      <c r="AB1035" s="6"/>
      <c r="AC1035" s="6"/>
      <c r="AD1035" s="6"/>
      <c r="AE1035" s="6"/>
      <c r="AF1035" s="18"/>
      <c r="AG1035" s="18"/>
      <c r="AH1035" s="18"/>
      <c r="AI1035" s="18"/>
      <c r="AK1035" s="18"/>
      <c r="AL1035" s="18"/>
      <c r="AM1035" s="18">
        <v>7.30375</v>
      </c>
      <c r="AN1035" s="18"/>
      <c r="AO1035" s="6"/>
      <c r="AP1035" s="32"/>
      <c r="AQ1035" s="32">
        <v>8.199999999999999E-3</v>
      </c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2"/>
      <c r="BF1035" s="32"/>
      <c r="BG1035" s="32"/>
      <c r="BH1035" s="32"/>
      <c r="BI1035" s="32"/>
      <c r="BJ1035" s="6"/>
      <c r="BK1035" s="6"/>
      <c r="BL1035" s="6" t="s">
        <v>83</v>
      </c>
      <c r="BO1035" s="15"/>
    </row>
    <row r="1036" spans="1:75">
      <c r="A1036" s="6" t="s">
        <v>82</v>
      </c>
      <c r="B1036" s="6"/>
      <c r="C1036" s="17">
        <v>31943.055</v>
      </c>
      <c r="D1036" s="6">
        <v>25</v>
      </c>
      <c r="E1036" s="22">
        <v>41.778074866310163</v>
      </c>
      <c r="F1036" s="6">
        <v>625</v>
      </c>
      <c r="G1036" s="22">
        <v>631</v>
      </c>
      <c r="H1036" s="22">
        <v>545</v>
      </c>
      <c r="I1036" s="22"/>
      <c r="J1036" s="22">
        <v>1205</v>
      </c>
      <c r="K1036" s="22">
        <v>1836</v>
      </c>
      <c r="L1036" s="22">
        <v>1518</v>
      </c>
      <c r="M1036" s="22">
        <v>9084</v>
      </c>
      <c r="N1036" s="18">
        <v>184.82999999999998</v>
      </c>
      <c r="O1036" s="18"/>
      <c r="P1036" s="22">
        <v>10602</v>
      </c>
      <c r="Q1036" s="22">
        <v>11807</v>
      </c>
      <c r="R1036" s="22"/>
      <c r="S1036" s="22"/>
      <c r="T1036" s="22">
        <v>12982</v>
      </c>
      <c r="U1036" s="22"/>
      <c r="V1036" s="6"/>
      <c r="W1036" s="6"/>
      <c r="X1036" s="19"/>
      <c r="Y1036" s="6"/>
      <c r="Z1036" s="6">
        <v>1457</v>
      </c>
      <c r="AA1036" s="6"/>
      <c r="AB1036" s="6"/>
      <c r="AC1036" s="6"/>
      <c r="AD1036" s="6"/>
      <c r="AE1036" s="6"/>
      <c r="AF1036" s="18"/>
      <c r="AG1036" s="18"/>
      <c r="AH1036" s="18"/>
      <c r="AI1036" s="18"/>
      <c r="AK1036" s="18"/>
      <c r="AL1036" s="18"/>
      <c r="AM1036" s="18">
        <v>7.3931999999999993</v>
      </c>
      <c r="AN1036" s="18"/>
      <c r="AO1036" s="6"/>
      <c r="AP1036" s="32">
        <v>1.9838187702265375E-3</v>
      </c>
      <c r="AQ1036" s="32">
        <v>6.6022099447513817E-3</v>
      </c>
      <c r="AR1036" s="32">
        <v>1.9838187702265375E-3</v>
      </c>
      <c r="AS1036" s="32"/>
      <c r="AT1036" s="32"/>
      <c r="AU1036" s="32">
        <v>5.3125873474331496E-4</v>
      </c>
      <c r="AV1036" s="32"/>
      <c r="AW1036" s="32"/>
      <c r="AX1036" s="32">
        <v>12.965</v>
      </c>
      <c r="AY1036" s="32"/>
      <c r="AZ1036" s="32"/>
      <c r="BA1036" s="32"/>
      <c r="BB1036" s="32"/>
      <c r="BC1036" s="32"/>
      <c r="BD1036" s="32"/>
      <c r="BE1036" s="32"/>
      <c r="BF1036" s="32"/>
      <c r="BG1036" s="32"/>
      <c r="BH1036" s="32"/>
      <c r="BI1036" s="32"/>
      <c r="BJ1036" s="6"/>
      <c r="BK1036" s="6"/>
      <c r="BL1036" s="6" t="s">
        <v>83</v>
      </c>
      <c r="BM1036" s="1"/>
      <c r="BN1036" s="1"/>
      <c r="BO1036" s="7"/>
      <c r="BP1036" s="1"/>
      <c r="BQ1036" s="1"/>
      <c r="BR1036" s="1"/>
      <c r="BS1036" s="1"/>
      <c r="BT1036" s="1"/>
      <c r="BU1036" s="1"/>
      <c r="BV1036" s="1"/>
      <c r="BW1036" s="1"/>
    </row>
    <row r="1037" spans="1:75" ht="14.5" customHeight="1">
      <c r="A1037" s="6" t="s">
        <v>82</v>
      </c>
      <c r="B1037" s="6"/>
      <c r="C1037" s="17">
        <v>32308.297200000001</v>
      </c>
      <c r="D1037" s="6">
        <v>26</v>
      </c>
      <c r="E1037" s="22">
        <v>41.778074866310163</v>
      </c>
      <c r="F1037" s="6">
        <v>625</v>
      </c>
      <c r="G1037" s="22"/>
      <c r="H1037" s="22"/>
      <c r="I1037" s="22"/>
      <c r="J1037" s="22"/>
      <c r="K1037" s="46"/>
      <c r="L1037" s="22"/>
      <c r="M1037" s="22"/>
      <c r="N1037" s="18">
        <v>193.64</v>
      </c>
      <c r="O1037" s="18"/>
      <c r="P1037" s="22"/>
      <c r="Q1037" s="22"/>
      <c r="R1037" s="22"/>
      <c r="S1037" s="22"/>
      <c r="T1037" s="22"/>
      <c r="U1037" s="22"/>
      <c r="V1037" s="6"/>
      <c r="W1037" s="6"/>
      <c r="X1037" s="19"/>
      <c r="Y1037" s="6"/>
      <c r="Z1037" s="6"/>
      <c r="AA1037" s="6"/>
      <c r="AB1037" s="6"/>
      <c r="AC1037" s="6"/>
      <c r="AD1037" s="6"/>
      <c r="AE1037" s="6"/>
      <c r="AF1037" s="18"/>
      <c r="AG1037" s="18"/>
      <c r="AH1037" s="18"/>
      <c r="AI1037" s="18"/>
      <c r="AK1037" s="18"/>
      <c r="AL1037" s="18"/>
      <c r="AM1037" s="18">
        <v>7.4476923076923072</v>
      </c>
      <c r="AN1037" s="18"/>
      <c r="AO1037" s="6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2"/>
      <c r="BF1037" s="32"/>
      <c r="BG1037" s="32"/>
      <c r="BH1037" s="32"/>
      <c r="BI1037" s="32"/>
      <c r="BJ1037" s="6"/>
      <c r="BK1037" s="6"/>
      <c r="BL1037" s="6" t="s">
        <v>83</v>
      </c>
      <c r="BM1037" s="1"/>
      <c r="BN1037" s="1"/>
      <c r="BO1037" s="7"/>
      <c r="BP1037" s="1"/>
      <c r="BQ1037" s="1"/>
      <c r="BR1037" s="1"/>
      <c r="BS1037" s="1"/>
      <c r="BT1037" s="1"/>
      <c r="BU1037" s="1"/>
      <c r="BV1037" s="1"/>
      <c r="BW1037" s="1"/>
    </row>
    <row r="1038" spans="1:75">
      <c r="A1038" s="6" t="s">
        <v>82</v>
      </c>
      <c r="B1038" s="6"/>
      <c r="C1038" s="17">
        <v>32673.539400000001</v>
      </c>
      <c r="D1038" s="6">
        <v>27</v>
      </c>
      <c r="E1038" s="22">
        <v>41.778074866310163</v>
      </c>
      <c r="F1038" s="6">
        <v>625</v>
      </c>
      <c r="G1038" s="22"/>
      <c r="H1038" s="22"/>
      <c r="I1038" s="22"/>
      <c r="J1038" s="22"/>
      <c r="K1038" s="46"/>
      <c r="L1038" s="22"/>
      <c r="M1038" s="22"/>
      <c r="N1038" s="18">
        <v>201.92</v>
      </c>
      <c r="O1038" s="18"/>
      <c r="P1038" s="22"/>
      <c r="Q1038" s="22"/>
      <c r="R1038" s="22"/>
      <c r="S1038" s="22"/>
      <c r="T1038" s="22"/>
      <c r="U1038" s="22"/>
      <c r="V1038" s="6"/>
      <c r="W1038" s="6"/>
      <c r="X1038" s="19"/>
      <c r="Y1038" s="6"/>
      <c r="Z1038" s="6"/>
      <c r="AA1038" s="6"/>
      <c r="AB1038" s="6"/>
      <c r="AC1038" s="6"/>
      <c r="AD1038" s="6"/>
      <c r="AE1038" s="6"/>
      <c r="AF1038" s="18"/>
      <c r="AG1038" s="18"/>
      <c r="AH1038" s="18"/>
      <c r="AI1038" s="18"/>
      <c r="AK1038" s="18"/>
      <c r="AL1038" s="18"/>
      <c r="AM1038" s="18">
        <v>7.4785185185185181</v>
      </c>
      <c r="AN1038" s="18"/>
      <c r="AO1038" s="6"/>
      <c r="AP1038" s="32"/>
      <c r="AQ1038" s="32">
        <v>7.0999999999999995E-3</v>
      </c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  <c r="BF1038" s="32"/>
      <c r="BG1038" s="32"/>
      <c r="BH1038" s="32"/>
      <c r="BI1038" s="32"/>
      <c r="BJ1038" s="6"/>
      <c r="BK1038" s="6"/>
      <c r="BL1038" s="6" t="s">
        <v>83</v>
      </c>
      <c r="BM1038" s="1"/>
      <c r="BN1038" s="1"/>
      <c r="BO1038" s="7"/>
      <c r="BP1038" s="1"/>
      <c r="BQ1038" s="1"/>
      <c r="BR1038" s="1"/>
      <c r="BS1038" s="1"/>
      <c r="BT1038" s="1"/>
      <c r="BU1038" s="1"/>
      <c r="BV1038" s="1"/>
      <c r="BW1038" s="1"/>
    </row>
    <row r="1039" spans="1:75">
      <c r="A1039" s="6" t="s">
        <v>82</v>
      </c>
      <c r="B1039" s="6"/>
      <c r="C1039" s="17">
        <v>33038.781600000002</v>
      </c>
      <c r="D1039" s="6">
        <v>28</v>
      </c>
      <c r="E1039" s="22">
        <v>41.778074866310163</v>
      </c>
      <c r="F1039" s="6">
        <v>625</v>
      </c>
      <c r="G1039" s="22"/>
      <c r="H1039" s="22"/>
      <c r="I1039" s="22"/>
      <c r="J1039" s="22"/>
      <c r="K1039" s="22"/>
      <c r="L1039" s="22"/>
      <c r="M1039" s="22"/>
      <c r="N1039" s="18">
        <v>205.76</v>
      </c>
      <c r="O1039" s="18"/>
      <c r="P1039" s="22"/>
      <c r="Q1039" s="22"/>
      <c r="R1039" s="22"/>
      <c r="S1039" s="22"/>
      <c r="T1039" s="22"/>
      <c r="U1039" s="22"/>
      <c r="V1039" s="6"/>
      <c r="W1039" s="6"/>
      <c r="X1039" s="19"/>
      <c r="Y1039" s="6"/>
      <c r="Z1039" s="6"/>
      <c r="AA1039" s="6"/>
      <c r="AB1039" s="6"/>
      <c r="AC1039" s="6"/>
      <c r="AD1039" s="6"/>
      <c r="AE1039" s="6"/>
      <c r="AF1039" s="18"/>
      <c r="AG1039" s="18"/>
      <c r="AH1039" s="18"/>
      <c r="AI1039" s="18"/>
      <c r="AK1039" s="18"/>
      <c r="AL1039" s="18"/>
      <c r="AM1039" s="18">
        <v>7.3485714285714279</v>
      </c>
      <c r="AN1039" s="18"/>
      <c r="AO1039" s="6"/>
      <c r="AP1039" s="32"/>
      <c r="AQ1039" s="32">
        <v>7.7000000000000002E-3</v>
      </c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2"/>
      <c r="BF1039" s="32"/>
      <c r="BG1039" s="32"/>
      <c r="BH1039" s="32"/>
      <c r="BI1039" s="32"/>
      <c r="BJ1039" s="6"/>
      <c r="BK1039" s="6"/>
      <c r="BL1039" s="6" t="s">
        <v>83</v>
      </c>
      <c r="BM1039" s="1"/>
      <c r="BN1039" s="1"/>
      <c r="BO1039" s="7"/>
      <c r="BP1039" s="1"/>
      <c r="BQ1039" s="1"/>
      <c r="BR1039" s="1"/>
      <c r="BS1039" s="1"/>
      <c r="BT1039" s="1"/>
      <c r="BU1039" s="1"/>
      <c r="BV1039" s="1"/>
      <c r="BW1039" s="1"/>
    </row>
    <row r="1040" spans="1:75">
      <c r="A1040" s="6" t="s">
        <v>82</v>
      </c>
      <c r="B1040" s="6"/>
      <c r="C1040" s="17">
        <v>33404.023800000003</v>
      </c>
      <c r="D1040" s="6">
        <v>29</v>
      </c>
      <c r="E1040" s="22">
        <v>41.778074866310163</v>
      </c>
      <c r="F1040" s="6">
        <v>625</v>
      </c>
      <c r="G1040" s="22"/>
      <c r="H1040" s="22">
        <v>423.00000000000006</v>
      </c>
      <c r="I1040" s="22"/>
      <c r="J1040" s="22"/>
      <c r="K1040" s="22">
        <v>2209</v>
      </c>
      <c r="L1040" s="22">
        <v>2420</v>
      </c>
      <c r="M1040" s="22">
        <v>8725</v>
      </c>
      <c r="N1040" s="18">
        <v>215.7</v>
      </c>
      <c r="O1040" s="18"/>
      <c r="P1040" s="22">
        <v>11145</v>
      </c>
      <c r="Q1040" s="22"/>
      <c r="R1040" s="22"/>
      <c r="S1040" s="22"/>
      <c r="T1040" s="22">
        <v>13777</v>
      </c>
      <c r="U1040" s="22"/>
      <c r="V1040" s="6"/>
      <c r="W1040" s="6"/>
      <c r="X1040" s="19"/>
      <c r="Y1040" s="6"/>
      <c r="Z1040" s="6">
        <v>3927.0000000000005</v>
      </c>
      <c r="AA1040" s="6"/>
      <c r="AB1040" s="6"/>
      <c r="AC1040" s="6"/>
      <c r="AD1040" s="6"/>
      <c r="AE1040" s="6"/>
      <c r="AF1040" s="18"/>
      <c r="AG1040" s="18"/>
      <c r="AH1040" s="18"/>
      <c r="AI1040" s="18"/>
      <c r="AK1040" s="18"/>
      <c r="AL1040" s="18"/>
      <c r="AM1040" s="18">
        <v>7.440496723007934</v>
      </c>
      <c r="AN1040" s="18"/>
      <c r="AO1040" s="6"/>
      <c r="AP1040" s="32">
        <v>1.4114984155726574E-3</v>
      </c>
      <c r="AQ1040" s="32">
        <v>7.1999999999999998E-3</v>
      </c>
      <c r="AR1040" s="32">
        <v>1.4114984155726574E-3</v>
      </c>
      <c r="AS1040" s="32"/>
      <c r="AT1040" s="32"/>
      <c r="AU1040" s="32">
        <v>5.5065051592642449E-4</v>
      </c>
      <c r="AV1040" s="32"/>
      <c r="AW1040" s="32"/>
      <c r="AX1040" s="32">
        <v>11.751000000000001</v>
      </c>
      <c r="AY1040" s="32"/>
      <c r="AZ1040" s="32"/>
      <c r="BA1040" s="32"/>
      <c r="BB1040" s="32"/>
      <c r="BC1040" s="32"/>
      <c r="BD1040" s="32"/>
      <c r="BE1040" s="32"/>
      <c r="BF1040" s="32"/>
      <c r="BG1040" s="32"/>
      <c r="BH1040" s="32"/>
      <c r="BI1040" s="32"/>
      <c r="BJ1040" s="6"/>
      <c r="BK1040" s="6"/>
      <c r="BL1040" s="6" t="s">
        <v>83</v>
      </c>
      <c r="BM1040" s="1"/>
      <c r="BN1040" s="1"/>
      <c r="BO1040" s="7"/>
      <c r="BP1040" s="1"/>
      <c r="BQ1040" s="1"/>
      <c r="BR1040" s="1"/>
      <c r="BS1040" s="1"/>
      <c r="BT1040" s="1"/>
      <c r="BU1040" s="1"/>
      <c r="BV1040" s="1"/>
      <c r="BW1040" s="1"/>
    </row>
    <row r="1041" spans="1:75">
      <c r="A1041" s="6" t="s">
        <v>82</v>
      </c>
      <c r="B1041" s="6"/>
      <c r="C1041" s="17">
        <v>33769.266000000003</v>
      </c>
      <c r="D1041" s="6">
        <v>30</v>
      </c>
      <c r="E1041" s="22">
        <v>41.778074866310163</v>
      </c>
      <c r="F1041" s="6">
        <v>625</v>
      </c>
      <c r="G1041" s="22"/>
      <c r="H1041" s="22"/>
      <c r="I1041" s="22"/>
      <c r="J1041" s="22"/>
      <c r="K1041" s="22"/>
      <c r="L1041" s="22"/>
      <c r="M1041" s="22"/>
      <c r="N1041" s="18">
        <v>227.14999999999998</v>
      </c>
      <c r="O1041" s="18"/>
      <c r="P1041" s="22"/>
      <c r="Q1041" s="22"/>
      <c r="R1041" s="22"/>
      <c r="S1041" s="22"/>
      <c r="T1041" s="22"/>
      <c r="U1041" s="22"/>
      <c r="V1041" s="6"/>
      <c r="W1041" s="6"/>
      <c r="X1041" s="19"/>
      <c r="Y1041" s="6"/>
      <c r="Z1041" s="6"/>
      <c r="AA1041" s="6"/>
      <c r="AB1041" s="6"/>
      <c r="AC1041" s="6"/>
      <c r="AD1041" s="6"/>
      <c r="AE1041" s="6"/>
      <c r="AF1041" s="18"/>
      <c r="AG1041" s="18"/>
      <c r="AH1041" s="18"/>
      <c r="AI1041" s="18"/>
      <c r="AK1041" s="18"/>
      <c r="AL1041" s="18"/>
      <c r="AM1041" s="18">
        <v>7.5741913971323767</v>
      </c>
      <c r="AN1041" s="18"/>
      <c r="AO1041" s="6"/>
      <c r="AP1041" s="32"/>
      <c r="AQ1041" s="32">
        <v>6.0000000000000001E-3</v>
      </c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2"/>
      <c r="BF1041" s="32"/>
      <c r="BG1041" s="32"/>
      <c r="BH1041" s="32"/>
      <c r="BI1041" s="32"/>
      <c r="BJ1041" s="6"/>
      <c r="BK1041" s="6"/>
      <c r="BL1041" s="6" t="s">
        <v>83</v>
      </c>
      <c r="BM1041" s="1"/>
      <c r="BN1041" s="1"/>
      <c r="BO1041" s="7"/>
      <c r="BP1041" s="1"/>
      <c r="BQ1041" s="1"/>
      <c r="BR1041" s="1"/>
      <c r="BS1041" s="1"/>
      <c r="BT1041" s="1"/>
      <c r="BU1041" s="1"/>
      <c r="BV1041" s="1"/>
      <c r="BW1041" s="1"/>
    </row>
    <row r="1042" spans="1:75">
      <c r="A1042" s="6" t="s">
        <v>82</v>
      </c>
      <c r="B1042" s="6"/>
      <c r="C1042" s="17">
        <v>34134.508199999997</v>
      </c>
      <c r="D1042" s="6">
        <v>31</v>
      </c>
      <c r="E1042" s="22">
        <v>41.778074866310163</v>
      </c>
      <c r="F1042" s="6">
        <v>625</v>
      </c>
      <c r="G1042" s="22"/>
      <c r="H1042" s="22"/>
      <c r="I1042" s="22"/>
      <c r="J1042" s="22"/>
      <c r="K1042" s="22"/>
      <c r="L1042" s="22"/>
      <c r="M1042" s="22"/>
      <c r="N1042" s="18">
        <v>233.27999999999997</v>
      </c>
      <c r="O1042" s="18"/>
      <c r="P1042" s="22"/>
      <c r="Q1042" s="22"/>
      <c r="R1042" s="22"/>
      <c r="S1042" s="22"/>
      <c r="T1042" s="22"/>
      <c r="U1042" s="22"/>
      <c r="V1042" s="6"/>
      <c r="W1042" s="6"/>
      <c r="X1042" s="19"/>
      <c r="Y1042" s="6"/>
      <c r="Z1042" s="6"/>
      <c r="AA1042" s="6"/>
      <c r="AB1042" s="6"/>
      <c r="AC1042" s="6"/>
      <c r="AD1042" s="6"/>
      <c r="AE1042" s="6"/>
      <c r="AF1042" s="18"/>
      <c r="AG1042" s="18"/>
      <c r="AH1042" s="18"/>
      <c r="AI1042" s="18"/>
      <c r="AK1042" s="18"/>
      <c r="AL1042" s="18"/>
      <c r="AM1042" s="18">
        <v>7.52516129032258</v>
      </c>
      <c r="AN1042" s="18"/>
      <c r="AO1042" s="6"/>
      <c r="AP1042" s="32"/>
      <c r="AQ1042" s="32">
        <v>8.199999999999999E-3</v>
      </c>
      <c r="AR1042" s="32"/>
      <c r="AS1042" s="32"/>
      <c r="AT1042" s="32"/>
      <c r="AU1042" s="32"/>
      <c r="AV1042" s="32"/>
      <c r="AW1042" s="32"/>
      <c r="AX1042" s="32"/>
      <c r="AY1042" s="32"/>
      <c r="AZ1042" s="32"/>
      <c r="BA1042" s="32"/>
      <c r="BB1042" s="32"/>
      <c r="BC1042" s="32"/>
      <c r="BD1042" s="32"/>
      <c r="BE1042" s="32"/>
      <c r="BF1042" s="32"/>
      <c r="BG1042" s="32"/>
      <c r="BH1042" s="32"/>
      <c r="BI1042" s="32"/>
      <c r="BJ1042" s="6"/>
      <c r="BK1042" s="6"/>
      <c r="BL1042" s="6" t="s">
        <v>83</v>
      </c>
      <c r="BM1042" s="1"/>
      <c r="BN1042" s="1"/>
      <c r="BO1042" s="7"/>
      <c r="BP1042" s="1"/>
      <c r="BQ1042" s="1"/>
      <c r="BR1042" s="1"/>
      <c r="BS1042" s="1"/>
      <c r="BT1042" s="1"/>
      <c r="BU1042" s="1"/>
      <c r="BV1042" s="1"/>
      <c r="BW1042" s="1"/>
    </row>
    <row r="1043" spans="1:75" ht="13.25" customHeight="1">
      <c r="A1043" s="6" t="s">
        <v>82</v>
      </c>
      <c r="B1043" s="6"/>
      <c r="C1043" s="17">
        <v>34499.750400000004</v>
      </c>
      <c r="D1043" s="6">
        <v>32</v>
      </c>
      <c r="E1043" s="22">
        <v>41.778074866310163</v>
      </c>
      <c r="F1043" s="6">
        <v>625</v>
      </c>
      <c r="G1043" s="22"/>
      <c r="H1043" s="22"/>
      <c r="I1043" s="22"/>
      <c r="J1043" s="22"/>
      <c r="K1043" s="22"/>
      <c r="L1043" s="22"/>
      <c r="M1043" s="22"/>
      <c r="N1043" s="18">
        <v>240.28999999999996</v>
      </c>
      <c r="O1043" s="18"/>
      <c r="P1043" s="22"/>
      <c r="Q1043" s="22"/>
      <c r="R1043" s="22"/>
      <c r="S1043" s="22"/>
      <c r="T1043" s="22"/>
      <c r="U1043" s="22"/>
      <c r="V1043" s="6"/>
      <c r="W1043" s="6"/>
      <c r="X1043" s="19"/>
      <c r="Y1043" s="6"/>
      <c r="Z1043" s="6"/>
      <c r="AA1043" s="6"/>
      <c r="AB1043" s="6"/>
      <c r="AC1043" s="6"/>
      <c r="AD1043" s="6"/>
      <c r="AE1043" s="6"/>
      <c r="AF1043" s="18"/>
      <c r="AG1043" s="18"/>
      <c r="AH1043" s="18"/>
      <c r="AI1043" s="18"/>
      <c r="AK1043" s="18"/>
      <c r="AL1043" s="18"/>
      <c r="AM1043" s="18">
        <v>7.5090624999999989</v>
      </c>
      <c r="AN1043" s="18"/>
      <c r="AO1043" s="6"/>
      <c r="AP1043" s="32"/>
      <c r="AQ1043" s="32">
        <v>7.0999999999999995E-3</v>
      </c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2"/>
      <c r="BF1043" s="32"/>
      <c r="BG1043" s="32"/>
      <c r="BH1043" s="32"/>
      <c r="BI1043" s="32"/>
      <c r="BJ1043" s="6"/>
      <c r="BK1043" s="6"/>
      <c r="BL1043" s="6" t="s">
        <v>83</v>
      </c>
      <c r="BM1043" s="1"/>
      <c r="BN1043" s="1"/>
      <c r="BO1043" s="7"/>
      <c r="BP1043" s="1"/>
      <c r="BQ1043" s="1"/>
      <c r="BR1043" s="1"/>
      <c r="BS1043" s="1"/>
      <c r="BT1043" s="1"/>
      <c r="BU1043" s="1"/>
      <c r="BV1043" s="1"/>
      <c r="BW1043" s="1"/>
    </row>
    <row r="1044" spans="1:75">
      <c r="A1044" s="6" t="s">
        <v>82</v>
      </c>
      <c r="B1044" s="6"/>
      <c r="C1044" s="17">
        <v>34864.992599999998</v>
      </c>
      <c r="D1044" s="6">
        <v>33</v>
      </c>
      <c r="E1044" s="22">
        <v>41.778074866310163</v>
      </c>
      <c r="F1044" s="6">
        <v>625</v>
      </c>
      <c r="G1044" s="22"/>
      <c r="H1044" s="22"/>
      <c r="I1044" s="22"/>
      <c r="J1044" s="22"/>
      <c r="K1044" s="22"/>
      <c r="L1044" s="22"/>
      <c r="M1044" s="22"/>
      <c r="N1044" s="18">
        <v>245.75999999999996</v>
      </c>
      <c r="O1044" s="18"/>
      <c r="P1044" s="22"/>
      <c r="Q1044" s="22"/>
      <c r="R1044" s="22"/>
      <c r="S1044" s="22"/>
      <c r="T1044" s="22"/>
      <c r="U1044" s="22"/>
      <c r="V1044" s="6"/>
      <c r="W1044" s="6"/>
      <c r="X1044" s="19"/>
      <c r="Y1044" s="6"/>
      <c r="Z1044" s="6"/>
      <c r="AA1044" s="6"/>
      <c r="AB1044" s="6"/>
      <c r="AC1044" s="6"/>
      <c r="AD1044" s="6"/>
      <c r="AE1044" s="6"/>
      <c r="AF1044" s="18"/>
      <c r="AG1044" s="18"/>
      <c r="AH1044" s="18"/>
      <c r="AI1044" s="18"/>
      <c r="AK1044" s="18"/>
      <c r="AL1044" s="18"/>
      <c r="AM1044" s="18">
        <v>7.4472727272727264</v>
      </c>
      <c r="AN1044" s="18"/>
      <c r="AO1044" s="6"/>
      <c r="AP1044" s="32"/>
      <c r="AQ1044" s="32">
        <v>5.7999999999999996E-3</v>
      </c>
      <c r="AR1044" s="32"/>
      <c r="AS1044" s="32"/>
      <c r="AT1044" s="32"/>
      <c r="AU1044" s="32"/>
      <c r="AV1044" s="32"/>
      <c r="AW1044" s="32"/>
      <c r="AX1044" s="32"/>
      <c r="AY1044" s="32"/>
      <c r="AZ1044" s="32"/>
      <c r="BA1044" s="32"/>
      <c r="BB1044" s="32"/>
      <c r="BC1044" s="32"/>
      <c r="BD1044" s="32"/>
      <c r="BE1044" s="32"/>
      <c r="BF1044" s="32"/>
      <c r="BG1044" s="32"/>
      <c r="BH1044" s="32"/>
      <c r="BI1044" s="32"/>
      <c r="BJ1044" s="6"/>
      <c r="BK1044" s="6"/>
      <c r="BL1044" s="6" t="s">
        <v>83</v>
      </c>
      <c r="BM1044" s="1"/>
      <c r="BN1044" s="1"/>
      <c r="BO1044" s="7"/>
      <c r="BP1044" s="1"/>
      <c r="BQ1044" s="1"/>
      <c r="BR1044" s="1"/>
      <c r="BS1044" s="1"/>
      <c r="BT1044" s="1"/>
      <c r="BU1044" s="1"/>
      <c r="BV1044" s="1"/>
      <c r="BW1044" s="1"/>
    </row>
    <row r="1045" spans="1:75">
      <c r="A1045" s="6" t="s">
        <v>82</v>
      </c>
      <c r="B1045" s="6"/>
      <c r="C1045" s="17">
        <v>35230.234799999998</v>
      </c>
      <c r="D1045" s="6">
        <v>34</v>
      </c>
      <c r="E1045" s="22">
        <v>41.778074866310163</v>
      </c>
      <c r="F1045" s="6">
        <v>625</v>
      </c>
      <c r="G1045" s="22"/>
      <c r="H1045" s="22">
        <v>528</v>
      </c>
      <c r="I1045" s="22"/>
      <c r="J1045" s="22"/>
      <c r="K1045" s="22">
        <v>3285</v>
      </c>
      <c r="L1045" s="22">
        <v>2894</v>
      </c>
      <c r="M1045" s="22">
        <v>10944</v>
      </c>
      <c r="N1045" s="18">
        <v>256.16999999999996</v>
      </c>
      <c r="O1045" s="18"/>
      <c r="P1045" s="22">
        <v>13838</v>
      </c>
      <c r="Q1045" s="22"/>
      <c r="R1045" s="22"/>
      <c r="S1045" s="22"/>
      <c r="T1045" s="22">
        <v>17651</v>
      </c>
      <c r="U1045" s="22"/>
      <c r="V1045" s="6"/>
      <c r="W1045" s="6"/>
      <c r="X1045" s="19"/>
      <c r="Y1045" s="6"/>
      <c r="Z1045" s="6">
        <v>3336.9999999999995</v>
      </c>
      <c r="AA1045" s="6"/>
      <c r="AB1045" s="6"/>
      <c r="AC1045" s="6"/>
      <c r="AD1045" s="6"/>
      <c r="AE1045" s="6"/>
      <c r="AF1045" s="18"/>
      <c r="AG1045" s="18"/>
      <c r="AH1045" s="18"/>
      <c r="AI1045" s="18"/>
      <c r="AK1045" s="18"/>
      <c r="AL1045" s="18"/>
      <c r="AM1045" s="18">
        <v>7.5344117647058813</v>
      </c>
      <c r="AN1045" s="18"/>
      <c r="AO1045" s="6"/>
      <c r="AP1045" s="32">
        <v>1.7984779299847794E-3</v>
      </c>
      <c r="AQ1045" s="32">
        <v>6.0000000000000001E-3</v>
      </c>
      <c r="AR1045" s="32">
        <v>1.7984779299847794E-3</v>
      </c>
      <c r="AS1045" s="32"/>
      <c r="AT1045" s="32"/>
      <c r="AU1045" s="32">
        <v>4.7499638676109265E-4</v>
      </c>
      <c r="AV1045" s="32"/>
      <c r="AW1045" s="32"/>
      <c r="AX1045" s="32">
        <v>15.704000000000001</v>
      </c>
      <c r="AY1045" s="32"/>
      <c r="AZ1045" s="32"/>
      <c r="BA1045" s="32"/>
      <c r="BB1045" s="32"/>
      <c r="BC1045" s="32"/>
      <c r="BD1045" s="32"/>
      <c r="BE1045" s="32"/>
      <c r="BF1045" s="32"/>
      <c r="BG1045" s="32"/>
      <c r="BH1045" s="32"/>
      <c r="BI1045" s="32"/>
      <c r="BJ1045" s="6"/>
      <c r="BK1045" s="6"/>
      <c r="BL1045" s="6" t="s">
        <v>83</v>
      </c>
      <c r="BM1045" s="1"/>
      <c r="BN1045" s="1"/>
      <c r="BO1045" s="7"/>
      <c r="BP1045" s="1"/>
      <c r="BQ1045" s="1"/>
      <c r="BR1045" s="1"/>
      <c r="BS1045" s="1"/>
      <c r="BT1045" s="1"/>
      <c r="BU1045" s="1"/>
      <c r="BV1045" s="1"/>
      <c r="BW1045" s="1"/>
    </row>
    <row r="1046" spans="1:75">
      <c r="A1046" s="6" t="s">
        <v>84</v>
      </c>
      <c r="B1046" s="6"/>
      <c r="C1046" s="17">
        <v>22812</v>
      </c>
      <c r="D1046" s="6">
        <v>0</v>
      </c>
      <c r="E1046" s="22">
        <v>100</v>
      </c>
      <c r="F1046" s="6">
        <v>1496</v>
      </c>
      <c r="G1046" s="22"/>
      <c r="H1046" s="22"/>
      <c r="I1046" s="22"/>
      <c r="J1046" s="22"/>
      <c r="K1046" s="22"/>
      <c r="L1046" s="22"/>
      <c r="M1046" s="22"/>
      <c r="N1046" s="18"/>
      <c r="O1046" s="18"/>
      <c r="P1046" s="22"/>
      <c r="Q1046" s="22"/>
      <c r="R1046" s="22"/>
      <c r="S1046" s="22"/>
      <c r="T1046" s="22"/>
      <c r="U1046" s="22"/>
      <c r="V1046" s="6"/>
      <c r="W1046" s="6"/>
      <c r="X1046" s="19"/>
      <c r="Y1046" s="6"/>
      <c r="Z1046" s="6"/>
      <c r="AA1046" s="6"/>
      <c r="AB1046" s="6"/>
      <c r="AC1046" s="6"/>
      <c r="AD1046" s="6"/>
      <c r="AE1046" s="6"/>
      <c r="AF1046" s="18"/>
      <c r="AG1046" s="18"/>
      <c r="AH1046" s="18"/>
      <c r="AI1046" s="18"/>
      <c r="AK1046" s="18"/>
      <c r="AL1046" s="18"/>
      <c r="AM1046" s="18"/>
      <c r="AN1046" s="18"/>
      <c r="AO1046" s="6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  <c r="BF1046" s="32"/>
      <c r="BG1046" s="32"/>
      <c r="BH1046" s="32"/>
      <c r="BI1046" s="32"/>
      <c r="BJ1046" s="6"/>
      <c r="BK1046" s="6"/>
      <c r="BL1046" s="6" t="s">
        <v>83</v>
      </c>
      <c r="BM1046" s="1"/>
      <c r="BN1046" s="1"/>
      <c r="BO1046" s="7"/>
      <c r="BP1046" s="1"/>
      <c r="BQ1046" s="1"/>
      <c r="BR1046" s="1"/>
      <c r="BS1046" s="1"/>
      <c r="BT1046" s="1"/>
      <c r="BU1046" s="1"/>
      <c r="BV1046" s="1"/>
      <c r="BW1046" s="1"/>
    </row>
    <row r="1047" spans="1:75">
      <c r="A1047" s="6" t="s">
        <v>84</v>
      </c>
      <c r="B1047" s="6"/>
      <c r="C1047" s="17">
        <v>29021.117399999999</v>
      </c>
      <c r="D1047" s="6">
        <v>17</v>
      </c>
      <c r="E1047" s="22">
        <v>41.778074866310163</v>
      </c>
      <c r="F1047" s="6">
        <v>625</v>
      </c>
      <c r="G1047" s="22"/>
      <c r="H1047" s="22"/>
      <c r="I1047" s="22"/>
      <c r="J1047" s="22"/>
      <c r="K1047" s="22"/>
      <c r="L1047" s="22"/>
      <c r="M1047" s="22"/>
      <c r="N1047" s="18">
        <v>110.3</v>
      </c>
      <c r="O1047" s="18"/>
      <c r="P1047" s="22"/>
      <c r="Q1047" s="22"/>
      <c r="R1047" s="22"/>
      <c r="S1047" s="22"/>
      <c r="T1047" s="22"/>
      <c r="U1047" s="22"/>
      <c r="V1047" s="6"/>
      <c r="W1047" s="6"/>
      <c r="X1047" s="19"/>
      <c r="Y1047" s="6"/>
      <c r="Z1047" s="6"/>
      <c r="AA1047" s="6"/>
      <c r="AB1047" s="6"/>
      <c r="AC1047" s="6"/>
      <c r="AD1047" s="6"/>
      <c r="AE1047" s="6"/>
      <c r="AF1047" s="18"/>
      <c r="AG1047" s="18"/>
      <c r="AH1047" s="18"/>
      <c r="AI1047" s="18"/>
      <c r="AK1047" s="18"/>
      <c r="AL1047" s="18"/>
      <c r="AM1047" s="18">
        <v>6.4882352941176471</v>
      </c>
      <c r="AN1047" s="18"/>
      <c r="AO1047" s="6"/>
      <c r="AP1047" s="32"/>
      <c r="AQ1047" s="32">
        <v>1.01E-2</v>
      </c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2"/>
      <c r="BF1047" s="32"/>
      <c r="BG1047" s="32"/>
      <c r="BH1047" s="32"/>
      <c r="BI1047" s="32"/>
      <c r="BJ1047" s="6"/>
      <c r="BK1047" s="6"/>
      <c r="BL1047" s="6" t="s">
        <v>83</v>
      </c>
      <c r="BM1047" s="1"/>
      <c r="BN1047" s="1"/>
      <c r="BO1047" s="7"/>
      <c r="BP1047" s="1"/>
      <c r="BQ1047" s="1"/>
      <c r="BR1047" s="1"/>
      <c r="BS1047" s="1"/>
      <c r="BT1047" s="1"/>
      <c r="BU1047" s="1"/>
      <c r="BV1047" s="1"/>
      <c r="BW1047" s="1"/>
    </row>
    <row r="1048" spans="1:75" ht="13.25" customHeight="1">
      <c r="A1048" s="6" t="s">
        <v>84</v>
      </c>
      <c r="B1048" s="6"/>
      <c r="C1048" s="17">
        <v>29386.3596</v>
      </c>
      <c r="D1048" s="6">
        <v>18</v>
      </c>
      <c r="E1048" s="22">
        <v>41.778074866310163</v>
      </c>
      <c r="F1048" s="6">
        <v>625</v>
      </c>
      <c r="G1048" s="22"/>
      <c r="H1048" s="22"/>
      <c r="I1048" s="22"/>
      <c r="J1048" s="22"/>
      <c r="K1048" s="22"/>
      <c r="L1048" s="22"/>
      <c r="M1048" s="22"/>
      <c r="N1048" s="18">
        <v>121.94</v>
      </c>
      <c r="O1048" s="18"/>
      <c r="P1048" s="22"/>
      <c r="Q1048" s="22"/>
      <c r="R1048" s="22"/>
      <c r="S1048" s="22"/>
      <c r="T1048" s="22"/>
      <c r="U1048" s="22"/>
      <c r="V1048" s="6"/>
      <c r="W1048" s="6"/>
      <c r="X1048" s="19"/>
      <c r="Y1048" s="6"/>
      <c r="Z1048" s="6"/>
      <c r="AA1048" s="6"/>
      <c r="AB1048" s="6"/>
      <c r="AC1048" s="6"/>
      <c r="AD1048" s="6"/>
      <c r="AE1048" s="6"/>
      <c r="AF1048" s="18"/>
      <c r="AG1048" s="18"/>
      <c r="AH1048" s="18"/>
      <c r="AI1048" s="18"/>
      <c r="AK1048" s="18"/>
      <c r="AL1048" s="18"/>
      <c r="AM1048" s="18">
        <v>6.7744444444444447</v>
      </c>
      <c r="AN1048" s="18"/>
      <c r="AO1048" s="6"/>
      <c r="AP1048" s="32"/>
      <c r="AQ1048" s="32">
        <v>9.3999999999999986E-3</v>
      </c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  <c r="BF1048" s="32"/>
      <c r="BG1048" s="32"/>
      <c r="BH1048" s="32"/>
      <c r="BI1048" s="32"/>
      <c r="BJ1048" s="6"/>
      <c r="BK1048" s="6"/>
      <c r="BL1048" s="6" t="s">
        <v>83</v>
      </c>
      <c r="BM1048" s="1"/>
      <c r="BN1048" s="1"/>
      <c r="BO1048" s="7"/>
      <c r="BP1048" s="1"/>
      <c r="BQ1048" s="1"/>
      <c r="BR1048" s="1"/>
      <c r="BS1048" s="1"/>
      <c r="BT1048" s="1"/>
      <c r="BU1048" s="1"/>
      <c r="BV1048" s="1"/>
      <c r="BW1048" s="1"/>
    </row>
    <row r="1049" spans="1:75">
      <c r="A1049" s="6" t="s">
        <v>84</v>
      </c>
      <c r="B1049" s="6"/>
      <c r="C1049" s="17">
        <v>29751.6018</v>
      </c>
      <c r="D1049" s="6">
        <v>19</v>
      </c>
      <c r="E1049" s="22">
        <v>41.778074866310163</v>
      </c>
      <c r="F1049" s="6">
        <v>625</v>
      </c>
      <c r="G1049" s="22"/>
      <c r="H1049" s="22"/>
      <c r="I1049" s="22"/>
      <c r="J1049" s="22"/>
      <c r="K1049" s="22"/>
      <c r="L1049" s="22"/>
      <c r="M1049" s="22"/>
      <c r="N1049" s="18">
        <v>135.66</v>
      </c>
      <c r="O1049" s="18"/>
      <c r="P1049" s="22"/>
      <c r="Q1049" s="22"/>
      <c r="R1049" s="22"/>
      <c r="S1049" s="22"/>
      <c r="T1049" s="22"/>
      <c r="U1049" s="22"/>
      <c r="V1049" s="6"/>
      <c r="W1049" s="6"/>
      <c r="X1049" s="19"/>
      <c r="Y1049" s="6"/>
      <c r="Z1049" s="6"/>
      <c r="AA1049" s="6"/>
      <c r="AB1049" s="6"/>
      <c r="AC1049" s="6"/>
      <c r="AD1049" s="6"/>
      <c r="AE1049" s="6"/>
      <c r="AF1049" s="18"/>
      <c r="AG1049" s="18"/>
      <c r="AH1049" s="18"/>
      <c r="AI1049" s="18"/>
      <c r="AK1049" s="18"/>
      <c r="AL1049" s="18"/>
      <c r="AM1049" s="18">
        <v>7.14</v>
      </c>
      <c r="AN1049" s="18"/>
      <c r="AO1049" s="6"/>
      <c r="AP1049" s="32"/>
      <c r="AQ1049" s="32">
        <v>0.01</v>
      </c>
      <c r="AR1049" s="32"/>
      <c r="AS1049" s="32"/>
      <c r="AT1049" s="32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2"/>
      <c r="BF1049" s="32"/>
      <c r="BG1049" s="32"/>
      <c r="BH1049" s="32"/>
      <c r="BI1049" s="32"/>
      <c r="BJ1049" s="6"/>
      <c r="BK1049" s="6"/>
      <c r="BL1049" s="6" t="s">
        <v>83</v>
      </c>
      <c r="BM1049" s="1"/>
      <c r="BN1049" s="1"/>
      <c r="BO1049" s="7"/>
      <c r="BP1049" s="1"/>
      <c r="BQ1049" s="1"/>
      <c r="BR1049" s="1"/>
      <c r="BS1049" s="1"/>
      <c r="BT1049" s="1"/>
      <c r="BU1049" s="1"/>
      <c r="BV1049" s="1"/>
      <c r="BW1049" s="1"/>
    </row>
    <row r="1050" spans="1:75" ht="13.25" customHeight="1">
      <c r="A1050" s="6" t="s">
        <v>84</v>
      </c>
      <c r="B1050" s="6"/>
      <c r="C1050" s="17">
        <v>30116.844000000001</v>
      </c>
      <c r="D1050" s="6">
        <v>20</v>
      </c>
      <c r="E1050" s="22">
        <v>41.778074866310163</v>
      </c>
      <c r="F1050" s="6">
        <v>625</v>
      </c>
      <c r="G1050" s="22"/>
      <c r="H1050" s="22"/>
      <c r="I1050" s="22"/>
      <c r="J1050" s="22"/>
      <c r="K1050" s="22"/>
      <c r="L1050" s="22"/>
      <c r="M1050" s="22"/>
      <c r="N1050" s="18">
        <v>152.26999999999998</v>
      </c>
      <c r="O1050" s="18"/>
      <c r="P1050" s="22"/>
      <c r="Q1050" s="22"/>
      <c r="R1050" s="22"/>
      <c r="S1050" s="22"/>
      <c r="T1050" s="22"/>
      <c r="U1050" s="22"/>
      <c r="V1050" s="6"/>
      <c r="W1050" s="6"/>
      <c r="X1050" s="19"/>
      <c r="Y1050" s="6"/>
      <c r="Z1050" s="6"/>
      <c r="AA1050" s="6"/>
      <c r="AB1050" s="6"/>
      <c r="AC1050" s="6"/>
      <c r="AD1050" s="6"/>
      <c r="AE1050" s="6"/>
      <c r="AF1050" s="18"/>
      <c r="AG1050" s="18"/>
      <c r="AH1050" s="18"/>
      <c r="AI1050" s="18"/>
      <c r="AK1050" s="18"/>
      <c r="AL1050" s="18"/>
      <c r="AM1050" s="18">
        <v>7.6134999999999993</v>
      </c>
      <c r="AN1050" s="18"/>
      <c r="AO1050" s="6"/>
      <c r="AP1050" s="32"/>
      <c r="AQ1050" s="32">
        <v>9.7999999999999997E-3</v>
      </c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  <c r="BF1050" s="32"/>
      <c r="BG1050" s="32"/>
      <c r="BH1050" s="32"/>
      <c r="BI1050" s="32"/>
      <c r="BJ1050" s="6"/>
      <c r="BK1050" s="6"/>
      <c r="BL1050" s="6" t="s">
        <v>83</v>
      </c>
      <c r="BM1050" s="1"/>
      <c r="BN1050" s="1"/>
      <c r="BO1050" s="7"/>
      <c r="BP1050" s="1"/>
      <c r="BQ1050" s="1"/>
      <c r="BR1050" s="1"/>
      <c r="BS1050" s="1"/>
      <c r="BT1050" s="1"/>
      <c r="BU1050" s="1"/>
      <c r="BV1050" s="1"/>
      <c r="BW1050" s="1"/>
    </row>
    <row r="1051" spans="1:75">
      <c r="A1051" s="6" t="s">
        <v>84</v>
      </c>
      <c r="B1051" s="6"/>
      <c r="C1051" s="17">
        <v>30482.086200000002</v>
      </c>
      <c r="D1051" s="6">
        <v>21</v>
      </c>
      <c r="E1051" s="22">
        <v>41.778074866310163</v>
      </c>
      <c r="F1051" s="6">
        <v>625</v>
      </c>
      <c r="G1051" s="22"/>
      <c r="H1051" s="22"/>
      <c r="I1051" s="22"/>
      <c r="J1051" s="22"/>
      <c r="K1051" s="22"/>
      <c r="L1051" s="22"/>
      <c r="M1051" s="22"/>
      <c r="N1051" s="18">
        <v>174.11999999999998</v>
      </c>
      <c r="O1051" s="18"/>
      <c r="P1051" s="22"/>
      <c r="Q1051" s="22"/>
      <c r="R1051" s="22"/>
      <c r="S1051" s="22"/>
      <c r="T1051" s="22"/>
      <c r="U1051" s="22"/>
      <c r="V1051" s="6"/>
      <c r="W1051" s="6"/>
      <c r="X1051" s="19"/>
      <c r="Y1051" s="6"/>
      <c r="Z1051" s="6"/>
      <c r="AA1051" s="6"/>
      <c r="AB1051" s="6"/>
      <c r="AC1051" s="6"/>
      <c r="AD1051" s="6"/>
      <c r="AE1051" s="6"/>
      <c r="AF1051" s="18"/>
      <c r="AG1051" s="18"/>
      <c r="AH1051" s="18"/>
      <c r="AI1051" s="18"/>
      <c r="AK1051" s="18"/>
      <c r="AL1051" s="18"/>
      <c r="AM1051" s="18">
        <v>8.29142857142857</v>
      </c>
      <c r="AN1051" s="18"/>
      <c r="AO1051" s="6"/>
      <c r="AP1051" s="32"/>
      <c r="AQ1051" s="32">
        <v>1.0500000000000001E-2</v>
      </c>
      <c r="AR1051" s="32"/>
      <c r="AS1051" s="32"/>
      <c r="AT1051" s="32"/>
      <c r="AU1051" s="32"/>
      <c r="AV1051" s="32"/>
      <c r="AW1051" s="32"/>
      <c r="AX1051" s="32"/>
      <c r="AY1051" s="32"/>
      <c r="AZ1051" s="32"/>
      <c r="BA1051" s="32"/>
      <c r="BB1051" s="32"/>
      <c r="BC1051" s="32"/>
      <c r="BD1051" s="32"/>
      <c r="BE1051" s="32"/>
      <c r="BF1051" s="32"/>
      <c r="BG1051" s="32"/>
      <c r="BH1051" s="32"/>
      <c r="BI1051" s="32"/>
      <c r="BJ1051" s="6"/>
      <c r="BK1051" s="6"/>
      <c r="BL1051" s="6" t="s">
        <v>83</v>
      </c>
      <c r="BM1051" s="1"/>
      <c r="BN1051" s="1"/>
      <c r="BO1051" s="7"/>
      <c r="BP1051" s="1"/>
      <c r="BQ1051" s="1"/>
      <c r="BR1051" s="1"/>
      <c r="BS1051" s="1"/>
      <c r="BT1051" s="1"/>
      <c r="BU1051" s="1"/>
      <c r="BV1051" s="1"/>
      <c r="BW1051" s="1"/>
    </row>
    <row r="1052" spans="1:75">
      <c r="A1052" s="6" t="s">
        <v>84</v>
      </c>
      <c r="B1052" s="6"/>
      <c r="C1052" s="17">
        <v>30847.328399999999</v>
      </c>
      <c r="D1052" s="6">
        <v>22</v>
      </c>
      <c r="E1052" s="22">
        <v>41.778074866310163</v>
      </c>
      <c r="F1052" s="6">
        <v>625</v>
      </c>
      <c r="G1052" s="22"/>
      <c r="H1052" s="22"/>
      <c r="I1052" s="22"/>
      <c r="J1052" s="22"/>
      <c r="K1052" s="22"/>
      <c r="L1052" s="22"/>
      <c r="M1052" s="22"/>
      <c r="N1052" s="18">
        <v>192.77999999999997</v>
      </c>
      <c r="O1052" s="18"/>
      <c r="P1052" s="22"/>
      <c r="Q1052" s="22"/>
      <c r="R1052" s="22"/>
      <c r="S1052" s="22"/>
      <c r="T1052" s="22"/>
      <c r="U1052" s="22"/>
      <c r="V1052" s="6"/>
      <c r="W1052" s="6"/>
      <c r="X1052" s="19"/>
      <c r="Y1052" s="6"/>
      <c r="Z1052" s="6"/>
      <c r="AA1052" s="6"/>
      <c r="AB1052" s="6"/>
      <c r="AC1052" s="6"/>
      <c r="AD1052" s="6"/>
      <c r="AE1052" s="6"/>
      <c r="AF1052" s="18"/>
      <c r="AG1052" s="18"/>
      <c r="AH1052" s="18"/>
      <c r="AI1052" s="18"/>
      <c r="AK1052" s="18"/>
      <c r="AL1052" s="18"/>
      <c r="AM1052" s="18">
        <v>8.7627272727272718</v>
      </c>
      <c r="AN1052" s="18"/>
      <c r="AO1052" s="6"/>
      <c r="AP1052" s="32"/>
      <c r="AQ1052" s="32">
        <v>1.1000000000000001E-2</v>
      </c>
      <c r="AR1052" s="32"/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  <c r="BF1052" s="32"/>
      <c r="BG1052" s="32"/>
      <c r="BH1052" s="32"/>
      <c r="BI1052" s="32"/>
      <c r="BJ1052" s="6"/>
      <c r="BK1052" s="6"/>
      <c r="BL1052" s="6" t="s">
        <v>83</v>
      </c>
      <c r="BM1052" s="1"/>
      <c r="BN1052" s="1"/>
      <c r="BO1052" s="7"/>
      <c r="BP1052" s="1"/>
      <c r="BQ1052" s="1"/>
      <c r="BR1052" s="1"/>
      <c r="BS1052" s="1"/>
      <c r="BT1052" s="1"/>
      <c r="BU1052" s="1"/>
      <c r="BV1052" s="1"/>
      <c r="BW1052" s="1"/>
    </row>
    <row r="1053" spans="1:75">
      <c r="A1053" s="6" t="s">
        <v>84</v>
      </c>
      <c r="B1053" s="6"/>
      <c r="C1053" s="17">
        <v>31212.570599999999</v>
      </c>
      <c r="D1053" s="6">
        <v>23</v>
      </c>
      <c r="E1053" s="22">
        <v>41.778074866310163</v>
      </c>
      <c r="F1053" s="6">
        <v>625</v>
      </c>
      <c r="G1053" s="22"/>
      <c r="H1053" s="22"/>
      <c r="I1053" s="22"/>
      <c r="J1053" s="22"/>
      <c r="K1053" s="22"/>
      <c r="L1053" s="22"/>
      <c r="M1053" s="22"/>
      <c r="N1053" s="18">
        <v>219.14</v>
      </c>
      <c r="O1053" s="18"/>
      <c r="P1053" s="22"/>
      <c r="Q1053" s="22"/>
      <c r="R1053" s="22"/>
      <c r="S1053" s="22"/>
      <c r="T1053" s="22"/>
      <c r="U1053" s="22"/>
      <c r="V1053" s="6"/>
      <c r="W1053" s="6"/>
      <c r="X1053" s="19"/>
      <c r="Y1053" s="6"/>
      <c r="Z1053" s="6"/>
      <c r="AA1053" s="6"/>
      <c r="AB1053" s="6"/>
      <c r="AC1053" s="6"/>
      <c r="AD1053" s="6"/>
      <c r="AE1053" s="6"/>
      <c r="AF1053" s="18"/>
      <c r="AG1053" s="18"/>
      <c r="AH1053" s="18"/>
      <c r="AI1053" s="18"/>
      <c r="AK1053" s="18"/>
      <c r="AL1053" s="18"/>
      <c r="AM1053" s="18">
        <v>9.5278260869565212</v>
      </c>
      <c r="AN1053" s="18"/>
      <c r="AO1053" s="6"/>
      <c r="AP1053" s="32"/>
      <c r="AQ1053" s="32">
        <v>9.300000000000001E-3</v>
      </c>
      <c r="AR1053" s="32"/>
      <c r="AS1053" s="32"/>
      <c r="AT1053" s="32"/>
      <c r="AU1053" s="32"/>
      <c r="AV1053" s="32"/>
      <c r="AW1053" s="32"/>
      <c r="AX1053" s="32"/>
      <c r="AY1053" s="32"/>
      <c r="AZ1053" s="32"/>
      <c r="BA1053" s="32"/>
      <c r="BB1053" s="32"/>
      <c r="BC1053" s="32"/>
      <c r="BD1053" s="32"/>
      <c r="BE1053" s="32"/>
      <c r="BF1053" s="32"/>
      <c r="BG1053" s="32"/>
      <c r="BH1053" s="32"/>
      <c r="BI1053" s="32"/>
      <c r="BJ1053" s="6"/>
      <c r="BK1053" s="6"/>
      <c r="BL1053" s="6" t="s">
        <v>83</v>
      </c>
      <c r="BM1053" s="1"/>
      <c r="BN1053" s="1"/>
      <c r="BO1053" s="7"/>
      <c r="BP1053" s="1"/>
      <c r="BQ1053" s="1"/>
      <c r="BR1053" s="1"/>
      <c r="BS1053" s="1"/>
      <c r="BT1053" s="1"/>
      <c r="BU1053" s="1"/>
      <c r="BV1053" s="1"/>
      <c r="BW1053" s="1"/>
    </row>
    <row r="1054" spans="1:75" ht="13.25" customHeight="1">
      <c r="A1054" s="6" t="s">
        <v>84</v>
      </c>
      <c r="B1054" s="6"/>
      <c r="C1054" s="17">
        <v>31577.8128</v>
      </c>
      <c r="D1054" s="6">
        <v>24</v>
      </c>
      <c r="E1054" s="22">
        <v>41.778074866310163</v>
      </c>
      <c r="F1054" s="6">
        <v>625</v>
      </c>
      <c r="G1054" s="22"/>
      <c r="H1054" s="22"/>
      <c r="I1054" s="22"/>
      <c r="J1054" s="22"/>
      <c r="K1054" s="22"/>
      <c r="L1054" s="22"/>
      <c r="M1054" s="22"/>
      <c r="N1054" s="18">
        <v>252.42999999999998</v>
      </c>
      <c r="O1054" s="18"/>
      <c r="P1054" s="22"/>
      <c r="Q1054" s="22"/>
      <c r="R1054" s="22"/>
      <c r="S1054" s="22"/>
      <c r="T1054" s="22"/>
      <c r="U1054" s="22"/>
      <c r="V1054" s="6"/>
      <c r="W1054" s="6"/>
      <c r="X1054" s="19"/>
      <c r="Y1054" s="6"/>
      <c r="Z1054" s="6"/>
      <c r="AA1054" s="6"/>
      <c r="AB1054" s="6"/>
      <c r="AC1054" s="6"/>
      <c r="AD1054" s="6"/>
      <c r="AE1054" s="6"/>
      <c r="AF1054" s="18"/>
      <c r="AG1054" s="18"/>
      <c r="AH1054" s="18"/>
      <c r="AI1054" s="18"/>
      <c r="AK1054" s="18"/>
      <c r="AL1054" s="18"/>
      <c r="AM1054" s="18">
        <v>10.517916666666666</v>
      </c>
      <c r="AN1054" s="18"/>
      <c r="AO1054" s="6"/>
      <c r="AP1054" s="32"/>
      <c r="AQ1054" s="32">
        <v>1.11E-2</v>
      </c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  <c r="BF1054" s="32"/>
      <c r="BG1054" s="32"/>
      <c r="BH1054" s="32"/>
      <c r="BI1054" s="32"/>
      <c r="BJ1054" s="6"/>
      <c r="BK1054" s="6"/>
      <c r="BL1054" s="6" t="s">
        <v>83</v>
      </c>
      <c r="BM1054" s="1"/>
      <c r="BN1054" s="1"/>
      <c r="BO1054" s="7"/>
      <c r="BP1054" s="1"/>
      <c r="BQ1054" s="1"/>
      <c r="BR1054" s="1"/>
      <c r="BS1054" s="1"/>
      <c r="BT1054" s="1"/>
      <c r="BU1054" s="1"/>
      <c r="BV1054" s="1"/>
      <c r="BW1054" s="1"/>
    </row>
    <row r="1055" spans="1:75" ht="14.5" customHeight="1">
      <c r="A1055" s="6" t="s">
        <v>84</v>
      </c>
      <c r="B1055" s="6"/>
      <c r="C1055" s="17">
        <v>31943.055</v>
      </c>
      <c r="D1055" s="6">
        <v>25</v>
      </c>
      <c r="E1055" s="22">
        <v>41.778074866310163</v>
      </c>
      <c r="F1055" s="6">
        <v>625</v>
      </c>
      <c r="G1055" s="22">
        <v>667</v>
      </c>
      <c r="H1055" s="22">
        <v>1057</v>
      </c>
      <c r="I1055" s="22"/>
      <c r="J1055" s="22">
        <v>1805</v>
      </c>
      <c r="K1055" s="22">
        <v>2472</v>
      </c>
      <c r="L1055" s="22">
        <v>2456</v>
      </c>
      <c r="M1055" s="22">
        <v>12734</v>
      </c>
      <c r="N1055" s="18">
        <v>283.27999999999997</v>
      </c>
      <c r="O1055" s="18"/>
      <c r="P1055" s="22">
        <v>15190</v>
      </c>
      <c r="Q1055" s="22">
        <v>16995</v>
      </c>
      <c r="R1055" s="22"/>
      <c r="S1055" s="22"/>
      <c r="T1055" s="22">
        <v>18719</v>
      </c>
      <c r="U1055" s="22"/>
      <c r="V1055" s="6"/>
      <c r="W1055" s="6"/>
      <c r="X1055" s="19"/>
      <c r="Y1055" s="6"/>
      <c r="Z1055" s="6">
        <v>1257</v>
      </c>
      <c r="AA1055" s="6"/>
      <c r="AB1055" s="6"/>
      <c r="AC1055" s="6"/>
      <c r="AD1055" s="6"/>
      <c r="AE1055" s="6"/>
      <c r="AF1055" s="18"/>
      <c r="AG1055" s="18"/>
      <c r="AH1055" s="18"/>
      <c r="AI1055" s="18"/>
      <c r="AK1055" s="18"/>
      <c r="AL1055" s="18"/>
      <c r="AM1055" s="18">
        <v>11.331199999999999</v>
      </c>
      <c r="AN1055" s="18"/>
      <c r="AO1055" s="6"/>
      <c r="AP1055" s="32">
        <v>2.1467631684760759E-3</v>
      </c>
      <c r="AQ1055" s="53">
        <v>8.355450236966825E-3</v>
      </c>
      <c r="AR1055" s="32">
        <v>2.1467631684760759E-3</v>
      </c>
      <c r="AS1055" s="32"/>
      <c r="AT1055" s="32"/>
      <c r="AU1055" s="32">
        <v>7.7277466440766338E-4</v>
      </c>
      <c r="AV1055" s="32"/>
      <c r="AW1055" s="32"/>
      <c r="AX1055" s="32">
        <v>26.013000000000005</v>
      </c>
      <c r="AY1055" s="32"/>
      <c r="AZ1055" s="32"/>
      <c r="BA1055" s="32"/>
      <c r="BB1055" s="32"/>
      <c r="BC1055" s="32"/>
      <c r="BD1055" s="32"/>
      <c r="BE1055" s="32"/>
      <c r="BF1055" s="32"/>
      <c r="BG1055" s="32"/>
      <c r="BH1055" s="32"/>
      <c r="BI1055" s="32"/>
      <c r="BJ1055" s="6"/>
      <c r="BK1055" s="6"/>
      <c r="BL1055" s="6" t="s">
        <v>83</v>
      </c>
      <c r="BM1055" s="1"/>
      <c r="BN1055" s="1"/>
      <c r="BO1055" s="7"/>
      <c r="BP1055" s="1"/>
      <c r="BQ1055" s="1"/>
      <c r="BR1055" s="1"/>
      <c r="BS1055" s="1"/>
      <c r="BT1055" s="1"/>
      <c r="BU1055" s="1"/>
      <c r="BV1055" s="1"/>
      <c r="BW1055" s="1"/>
    </row>
    <row r="1056" spans="1:75" ht="13.25" customHeight="1">
      <c r="A1056" s="6" t="s">
        <v>84</v>
      </c>
      <c r="B1056" s="6"/>
      <c r="C1056" s="17">
        <v>32308.297200000001</v>
      </c>
      <c r="D1056" s="6">
        <v>26</v>
      </c>
      <c r="E1056" s="22">
        <v>41.778074866310163</v>
      </c>
      <c r="F1056" s="6">
        <v>625</v>
      </c>
      <c r="G1056" s="22"/>
      <c r="H1056" s="22"/>
      <c r="I1056" s="22"/>
      <c r="J1056" s="22"/>
      <c r="K1056" s="22"/>
      <c r="L1056" s="22"/>
      <c r="M1056" s="22"/>
      <c r="N1056" s="18">
        <v>310.58999999999997</v>
      </c>
      <c r="O1056" s="18"/>
      <c r="P1056" s="22"/>
      <c r="Q1056" s="22"/>
      <c r="R1056" s="22"/>
      <c r="S1056" s="22"/>
      <c r="T1056" s="22"/>
      <c r="U1056" s="22"/>
      <c r="V1056" s="6"/>
      <c r="W1056" s="6"/>
      <c r="X1056" s="19"/>
      <c r="Y1056" s="6"/>
      <c r="Z1056" s="6"/>
      <c r="AA1056" s="6"/>
      <c r="AB1056" s="6"/>
      <c r="AC1056" s="6"/>
      <c r="AD1056" s="6"/>
      <c r="AE1056" s="6"/>
      <c r="AF1056" s="18"/>
      <c r="AG1056" s="18"/>
      <c r="AH1056" s="18"/>
      <c r="AI1056" s="18"/>
      <c r="AK1056" s="18"/>
      <c r="AL1056" s="18"/>
      <c r="AM1056" s="18">
        <v>11.94576923076923</v>
      </c>
      <c r="AN1056" s="18"/>
      <c r="AO1056" s="6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  <c r="BF1056" s="32"/>
      <c r="BG1056" s="32"/>
      <c r="BH1056" s="32"/>
      <c r="BI1056" s="32"/>
      <c r="BJ1056" s="6"/>
      <c r="BK1056" s="6"/>
      <c r="BL1056" s="6" t="s">
        <v>83</v>
      </c>
      <c r="BM1056" s="1"/>
      <c r="BN1056" s="1"/>
      <c r="BO1056" s="7"/>
      <c r="BP1056" s="1"/>
      <c r="BQ1056" s="1"/>
      <c r="BR1056" s="1"/>
      <c r="BS1056" s="1"/>
      <c r="BT1056" s="1"/>
      <c r="BU1056" s="1"/>
      <c r="BV1056" s="1"/>
      <c r="BW1056" s="1"/>
    </row>
    <row r="1057" spans="1:75" ht="13.25" customHeight="1">
      <c r="A1057" s="6" t="s">
        <v>84</v>
      </c>
      <c r="B1057" s="6"/>
      <c r="C1057" s="17">
        <v>32673.539400000001</v>
      </c>
      <c r="D1057" s="6">
        <v>27</v>
      </c>
      <c r="E1057" s="22">
        <v>41.778074866310163</v>
      </c>
      <c r="F1057" s="6">
        <v>625</v>
      </c>
      <c r="G1057" s="22"/>
      <c r="H1057" s="22"/>
      <c r="I1057" s="22"/>
      <c r="J1057" s="22"/>
      <c r="K1057" s="22"/>
      <c r="L1057" s="22"/>
      <c r="M1057" s="22"/>
      <c r="N1057" s="18">
        <v>344</v>
      </c>
      <c r="O1057" s="18"/>
      <c r="P1057" s="22"/>
      <c r="Q1057" s="22"/>
      <c r="R1057" s="22"/>
      <c r="S1057" s="22"/>
      <c r="T1057" s="22"/>
      <c r="U1057" s="22"/>
      <c r="V1057" s="6"/>
      <c r="W1057" s="6"/>
      <c r="X1057" s="19"/>
      <c r="Y1057" s="6"/>
      <c r="Z1057" s="6"/>
      <c r="AA1057" s="6"/>
      <c r="AB1057" s="6"/>
      <c r="AC1057" s="6"/>
      <c r="AD1057" s="6"/>
      <c r="AE1057" s="6"/>
      <c r="AF1057" s="18"/>
      <c r="AG1057" s="18"/>
      <c r="AH1057" s="18"/>
      <c r="AI1057" s="18"/>
      <c r="AK1057" s="18"/>
      <c r="AL1057" s="18"/>
      <c r="AM1057" s="18">
        <v>12.74074074074074</v>
      </c>
      <c r="AN1057" s="18"/>
      <c r="AO1057" s="6"/>
      <c r="AP1057" s="32"/>
      <c r="AQ1057" s="32">
        <v>1.09E-2</v>
      </c>
      <c r="AR1057" s="32"/>
      <c r="AS1057" s="32"/>
      <c r="AT1057" s="32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  <c r="BF1057" s="32"/>
      <c r="BG1057" s="32"/>
      <c r="BH1057" s="32"/>
      <c r="BI1057" s="32"/>
      <c r="BJ1057" s="6"/>
      <c r="BK1057" s="6"/>
      <c r="BL1057" s="6" t="s">
        <v>83</v>
      </c>
      <c r="BM1057" s="1"/>
      <c r="BN1057" s="1"/>
      <c r="BO1057" s="7"/>
      <c r="BP1057" s="1"/>
      <c r="BQ1057" s="1"/>
      <c r="BR1057" s="1"/>
      <c r="BS1057" s="1"/>
      <c r="BT1057" s="1"/>
      <c r="BU1057" s="1"/>
      <c r="BV1057" s="1"/>
      <c r="BW1057" s="1"/>
    </row>
    <row r="1058" spans="1:75">
      <c r="A1058" s="6" t="s">
        <v>84</v>
      </c>
      <c r="B1058" s="6"/>
      <c r="C1058" s="17">
        <v>33038.781600000002</v>
      </c>
      <c r="D1058" s="6">
        <v>28</v>
      </c>
      <c r="E1058" s="22">
        <v>41.778074866310163</v>
      </c>
      <c r="F1058" s="6">
        <v>625</v>
      </c>
      <c r="G1058" s="22"/>
      <c r="H1058" s="22"/>
      <c r="I1058" s="22"/>
      <c r="J1058" s="22"/>
      <c r="K1058" s="22"/>
      <c r="L1058" s="22"/>
      <c r="M1058" s="22"/>
      <c r="N1058" s="18">
        <v>374.32</v>
      </c>
      <c r="O1058" s="18"/>
      <c r="P1058" s="22"/>
      <c r="Q1058" s="22"/>
      <c r="R1058" s="22"/>
      <c r="S1058" s="22"/>
      <c r="T1058" s="22"/>
      <c r="U1058" s="22"/>
      <c r="V1058" s="6"/>
      <c r="W1058" s="6"/>
      <c r="X1058" s="19"/>
      <c r="Y1058" s="6"/>
      <c r="Z1058" s="6"/>
      <c r="AA1058" s="6"/>
      <c r="AB1058" s="6"/>
      <c r="AC1058" s="6"/>
      <c r="AD1058" s="6"/>
      <c r="AE1058" s="6"/>
      <c r="AF1058" s="18"/>
      <c r="AG1058" s="18"/>
      <c r="AH1058" s="18"/>
      <c r="AI1058" s="18"/>
      <c r="AK1058" s="18"/>
      <c r="AL1058" s="18"/>
      <c r="AM1058" s="18">
        <v>13.368571428571428</v>
      </c>
      <c r="AN1058" s="18"/>
      <c r="AO1058" s="6"/>
      <c r="AP1058" s="32"/>
      <c r="AQ1058" s="32">
        <v>1.1399999999999999E-2</v>
      </c>
      <c r="AR1058" s="32"/>
      <c r="AS1058" s="32"/>
      <c r="AT1058" s="32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  <c r="BF1058" s="32"/>
      <c r="BG1058" s="32"/>
      <c r="BH1058" s="32"/>
      <c r="BI1058" s="32"/>
      <c r="BJ1058" s="6"/>
      <c r="BK1058" s="6"/>
      <c r="BL1058" s="6" t="s">
        <v>83</v>
      </c>
      <c r="BM1058" s="1"/>
      <c r="BN1058" s="1"/>
      <c r="BO1058" s="7"/>
      <c r="BP1058" s="1"/>
      <c r="BQ1058" s="1"/>
      <c r="BR1058" s="1"/>
      <c r="BS1058" s="1"/>
      <c r="BT1058" s="1"/>
      <c r="BU1058" s="1"/>
      <c r="BV1058" s="1"/>
      <c r="BW1058" s="1"/>
    </row>
    <row r="1059" spans="1:75" ht="13.25" customHeight="1">
      <c r="A1059" s="6" t="s">
        <v>84</v>
      </c>
      <c r="B1059" s="6"/>
      <c r="C1059" s="17">
        <v>33404.023800000003</v>
      </c>
      <c r="D1059" s="6">
        <v>29</v>
      </c>
      <c r="E1059" s="22">
        <v>41.778074866310163</v>
      </c>
      <c r="F1059" s="6">
        <v>625</v>
      </c>
      <c r="G1059" s="22"/>
      <c r="H1059" s="22">
        <v>1050</v>
      </c>
      <c r="I1059" s="22"/>
      <c r="J1059" s="22"/>
      <c r="K1059" s="22">
        <v>3394</v>
      </c>
      <c r="L1059" s="22">
        <v>2863</v>
      </c>
      <c r="M1059" s="22">
        <v>18223</v>
      </c>
      <c r="N1059" s="18">
        <v>407.74</v>
      </c>
      <c r="O1059" s="18"/>
      <c r="P1059" s="22">
        <v>21086</v>
      </c>
      <c r="Q1059" s="22"/>
      <c r="R1059" s="22"/>
      <c r="S1059" s="22"/>
      <c r="T1059" s="22">
        <v>25530</v>
      </c>
      <c r="U1059" s="22"/>
      <c r="V1059" s="6"/>
      <c r="W1059" s="6"/>
      <c r="X1059" s="19"/>
      <c r="Y1059" s="6"/>
      <c r="Z1059" s="6">
        <v>4821</v>
      </c>
      <c r="AA1059" s="6"/>
      <c r="AB1059" s="6"/>
      <c r="AC1059" s="6"/>
      <c r="AD1059" s="6"/>
      <c r="AE1059" s="6"/>
      <c r="AF1059" s="18"/>
      <c r="AG1059" s="18"/>
      <c r="AH1059" s="18"/>
      <c r="AI1059" s="18"/>
      <c r="AK1059" s="18"/>
      <c r="AL1059" s="18"/>
      <c r="AM1059" s="18">
        <v>14.06</v>
      </c>
      <c r="AN1059" s="18"/>
      <c r="AO1059" s="6"/>
      <c r="AP1059" s="32">
        <v>2.6965232763700646E-3</v>
      </c>
      <c r="AQ1059" s="32">
        <v>9.3999999999999986E-3</v>
      </c>
      <c r="AR1059" s="32">
        <v>2.6965232763700646E-3</v>
      </c>
      <c r="AS1059" s="32"/>
      <c r="AT1059" s="32"/>
      <c r="AU1059" s="32">
        <v>7.416769420468557E-4</v>
      </c>
      <c r="AV1059" s="32"/>
      <c r="AW1059" s="32"/>
      <c r="AX1059" s="32">
        <v>35.235999999999997</v>
      </c>
      <c r="AY1059" s="32"/>
      <c r="AZ1059" s="32"/>
      <c r="BA1059" s="32"/>
      <c r="BB1059" s="32"/>
      <c r="BC1059" s="32"/>
      <c r="BD1059" s="32"/>
      <c r="BE1059" s="32"/>
      <c r="BF1059" s="32"/>
      <c r="BG1059" s="32"/>
      <c r="BH1059" s="32"/>
      <c r="BI1059" s="32"/>
      <c r="BJ1059" s="6"/>
      <c r="BK1059" s="6"/>
      <c r="BL1059" s="6" t="s">
        <v>83</v>
      </c>
      <c r="BM1059" s="1"/>
      <c r="BN1059" s="1"/>
      <c r="BO1059" s="7"/>
      <c r="BP1059" s="1"/>
      <c r="BQ1059" s="1"/>
      <c r="BR1059" s="1"/>
      <c r="BS1059" s="1"/>
      <c r="BT1059" s="1"/>
      <c r="BU1059" s="1"/>
      <c r="BV1059" s="1"/>
      <c r="BW1059" s="1"/>
    </row>
    <row r="1060" spans="1:75" ht="13.25" customHeight="1">
      <c r="A1060" s="6" t="s">
        <v>84</v>
      </c>
      <c r="B1060" s="6"/>
      <c r="C1060" s="17">
        <v>33769.266000000003</v>
      </c>
      <c r="D1060" s="6">
        <v>30</v>
      </c>
      <c r="E1060" s="22">
        <v>41.778074866310163</v>
      </c>
      <c r="F1060" s="6">
        <v>625</v>
      </c>
      <c r="G1060" s="22"/>
      <c r="H1060" s="22"/>
      <c r="I1060" s="22"/>
      <c r="J1060" s="22"/>
      <c r="K1060" s="22"/>
      <c r="L1060" s="22"/>
      <c r="M1060" s="22"/>
      <c r="N1060" s="18">
        <v>438.73</v>
      </c>
      <c r="O1060" s="18"/>
      <c r="P1060" s="22"/>
      <c r="Q1060" s="22"/>
      <c r="R1060" s="22"/>
      <c r="S1060" s="22"/>
      <c r="T1060" s="22"/>
      <c r="U1060" s="22"/>
      <c r="V1060" s="6"/>
      <c r="W1060" s="6"/>
      <c r="X1060" s="19"/>
      <c r="Y1060" s="6"/>
      <c r="Z1060" s="6"/>
      <c r="AA1060" s="6"/>
      <c r="AB1060" s="6"/>
      <c r="AC1060" s="6"/>
      <c r="AD1060" s="6"/>
      <c r="AE1060" s="6"/>
      <c r="AF1060" s="18"/>
      <c r="AG1060" s="18"/>
      <c r="AH1060" s="18"/>
      <c r="AI1060" s="18"/>
      <c r="AK1060" s="18"/>
      <c r="AL1060" s="18"/>
      <c r="AM1060" s="18">
        <v>14.624333333333334</v>
      </c>
      <c r="AN1060" s="18"/>
      <c r="AO1060" s="6"/>
      <c r="AP1060" s="32"/>
      <c r="AQ1060" s="32">
        <v>9.8999999999999991E-3</v>
      </c>
      <c r="AR1060" s="32"/>
      <c r="AS1060" s="32"/>
      <c r="AT1060" s="32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  <c r="BF1060" s="32"/>
      <c r="BG1060" s="32"/>
      <c r="BH1060" s="32"/>
      <c r="BI1060" s="32"/>
      <c r="BJ1060" s="6"/>
      <c r="BK1060" s="6"/>
      <c r="BL1060" s="6" t="s">
        <v>83</v>
      </c>
      <c r="BM1060" s="1"/>
      <c r="BN1060" s="1"/>
      <c r="BO1060" s="7"/>
      <c r="BP1060" s="1"/>
      <c r="BQ1060" s="1"/>
      <c r="BR1060" s="1"/>
      <c r="BS1060" s="1"/>
      <c r="BT1060" s="1"/>
      <c r="BU1060" s="1"/>
      <c r="BV1060" s="1"/>
      <c r="BW1060" s="1"/>
    </row>
    <row r="1061" spans="1:75" ht="13.25" customHeight="1">
      <c r="A1061" s="6" t="s">
        <v>84</v>
      </c>
      <c r="B1061" s="6"/>
      <c r="C1061" s="17">
        <v>34134.508199999997</v>
      </c>
      <c r="D1061" s="6">
        <v>31</v>
      </c>
      <c r="E1061" s="22">
        <v>41.778074866310163</v>
      </c>
      <c r="F1061" s="6">
        <v>625</v>
      </c>
      <c r="G1061" s="22"/>
      <c r="H1061" s="22"/>
      <c r="I1061" s="22"/>
      <c r="J1061" s="22"/>
      <c r="K1061" s="22"/>
      <c r="L1061" s="22"/>
      <c r="M1061" s="22"/>
      <c r="N1061" s="18">
        <v>468.61</v>
      </c>
      <c r="O1061" s="18"/>
      <c r="P1061" s="22"/>
      <c r="Q1061" s="22"/>
      <c r="R1061" s="22"/>
      <c r="S1061" s="22"/>
      <c r="T1061" s="22"/>
      <c r="U1061" s="22"/>
      <c r="V1061" s="6"/>
      <c r="W1061" s="6"/>
      <c r="X1061" s="19"/>
      <c r="Y1061" s="6"/>
      <c r="Z1061" s="6"/>
      <c r="AA1061" s="6"/>
      <c r="AB1061" s="6"/>
      <c r="AC1061" s="6"/>
      <c r="AD1061" s="6"/>
      <c r="AE1061" s="6"/>
      <c r="AF1061" s="18"/>
      <c r="AG1061" s="18"/>
      <c r="AH1061" s="18"/>
      <c r="AI1061" s="18"/>
      <c r="AK1061" s="18"/>
      <c r="AL1061" s="18"/>
      <c r="AM1061" s="18">
        <v>15.116451612903226</v>
      </c>
      <c r="AN1061" s="18"/>
      <c r="AO1061" s="6"/>
      <c r="AP1061" s="32"/>
      <c r="AQ1061" s="32">
        <v>8.5000000000000006E-3</v>
      </c>
      <c r="AR1061" s="32"/>
      <c r="AS1061" s="32"/>
      <c r="AT1061" s="32"/>
      <c r="AU1061" s="32"/>
      <c r="AV1061" s="32"/>
      <c r="AW1061" s="32"/>
      <c r="AX1061" s="32"/>
      <c r="AY1061" s="32"/>
      <c r="AZ1061" s="32"/>
      <c r="BA1061" s="32"/>
      <c r="BB1061" s="32"/>
      <c r="BC1061" s="32"/>
      <c r="BD1061" s="32"/>
      <c r="BE1061" s="32"/>
      <c r="BF1061" s="32"/>
      <c r="BG1061" s="32"/>
      <c r="BH1061" s="32"/>
      <c r="BI1061" s="32"/>
      <c r="BJ1061" s="6"/>
      <c r="BK1061" s="6"/>
      <c r="BL1061" s="6" t="s">
        <v>83</v>
      </c>
      <c r="BM1061" s="1"/>
      <c r="BN1061" s="1"/>
      <c r="BO1061" s="7"/>
      <c r="BP1061" s="1"/>
      <c r="BQ1061" s="1"/>
      <c r="BR1061" s="1"/>
      <c r="BS1061" s="1"/>
      <c r="BT1061" s="1"/>
      <c r="BU1061" s="1"/>
      <c r="BV1061" s="1"/>
      <c r="BW1061" s="1"/>
    </row>
    <row r="1062" spans="1:75" ht="13.25" customHeight="1">
      <c r="A1062" s="6" t="s">
        <v>84</v>
      </c>
      <c r="B1062" s="6"/>
      <c r="C1062" s="17">
        <v>34499.750400000004</v>
      </c>
      <c r="D1062" s="6">
        <v>32</v>
      </c>
      <c r="E1062" s="22">
        <v>41.778074866310163</v>
      </c>
      <c r="F1062" s="6">
        <v>625</v>
      </c>
      <c r="G1062" s="22"/>
      <c r="H1062" s="22"/>
      <c r="I1062" s="22"/>
      <c r="J1062" s="22"/>
      <c r="K1062" s="22"/>
      <c r="L1062" s="22"/>
      <c r="M1062" s="22"/>
      <c r="N1062" s="18">
        <v>495.43</v>
      </c>
      <c r="O1062" s="18"/>
      <c r="P1062" s="22"/>
      <c r="Q1062" s="22"/>
      <c r="R1062" s="22"/>
      <c r="S1062" s="22"/>
      <c r="T1062" s="22"/>
      <c r="U1062" s="22"/>
      <c r="V1062" s="6"/>
      <c r="W1062" s="6"/>
      <c r="X1062" s="19"/>
      <c r="Y1062" s="6"/>
      <c r="Z1062" s="6"/>
      <c r="AA1062" s="6"/>
      <c r="AB1062" s="6"/>
      <c r="AC1062" s="6"/>
      <c r="AD1062" s="6"/>
      <c r="AE1062" s="6"/>
      <c r="AF1062" s="18"/>
      <c r="AG1062" s="18"/>
      <c r="AH1062" s="18"/>
      <c r="AI1062" s="18"/>
      <c r="AK1062" s="18"/>
      <c r="AL1062" s="18"/>
      <c r="AM1062" s="18">
        <v>15.4821875</v>
      </c>
      <c r="AN1062" s="18"/>
      <c r="AO1062" s="6"/>
      <c r="AP1062" s="32"/>
      <c r="AQ1062" s="32">
        <v>8.1000000000000013E-3</v>
      </c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32"/>
      <c r="BI1062" s="32"/>
      <c r="BJ1062" s="6"/>
      <c r="BK1062" s="6"/>
      <c r="BL1062" s="6" t="s">
        <v>83</v>
      </c>
      <c r="BM1062" s="1"/>
      <c r="BN1062" s="1"/>
      <c r="BO1062" s="7"/>
      <c r="BP1062" s="1"/>
      <c r="BQ1062" s="1"/>
      <c r="BR1062" s="1"/>
      <c r="BS1062" s="1"/>
      <c r="BT1062" s="1"/>
      <c r="BU1062" s="1"/>
      <c r="BV1062" s="1"/>
      <c r="BW1062" s="1"/>
    </row>
    <row r="1063" spans="1:75" ht="13.25" customHeight="1">
      <c r="A1063" s="6" t="s">
        <v>84</v>
      </c>
      <c r="B1063" s="6"/>
      <c r="C1063" s="17">
        <v>34864.992599999998</v>
      </c>
      <c r="D1063" s="6">
        <v>33</v>
      </c>
      <c r="E1063" s="22">
        <v>41.778074866310163</v>
      </c>
      <c r="F1063" s="6">
        <v>625</v>
      </c>
      <c r="G1063" s="22"/>
      <c r="H1063" s="22"/>
      <c r="I1063" s="22"/>
      <c r="J1063" s="22"/>
      <c r="K1063" s="22"/>
      <c r="L1063" s="22"/>
      <c r="M1063" s="22"/>
      <c r="N1063" s="18">
        <v>512.85</v>
      </c>
      <c r="O1063" s="18"/>
      <c r="P1063" s="22"/>
      <c r="Q1063" s="22"/>
      <c r="R1063" s="22"/>
      <c r="S1063" s="22"/>
      <c r="T1063" s="22"/>
      <c r="U1063" s="22"/>
      <c r="V1063" s="6"/>
      <c r="W1063" s="6"/>
      <c r="X1063" s="19"/>
      <c r="Y1063" s="6"/>
      <c r="Z1063" s="6"/>
      <c r="AA1063" s="6"/>
      <c r="AB1063" s="6"/>
      <c r="AC1063" s="6"/>
      <c r="AD1063" s="6"/>
      <c r="AE1063" s="6"/>
      <c r="AF1063" s="18"/>
      <c r="AG1063" s="18"/>
      <c r="AH1063" s="18"/>
      <c r="AI1063" s="18"/>
      <c r="AK1063" s="18"/>
      <c r="AL1063" s="18"/>
      <c r="AM1063" s="18">
        <v>15.540909090909091</v>
      </c>
      <c r="AN1063" s="18"/>
      <c r="AO1063" s="6"/>
      <c r="AP1063" s="32"/>
      <c r="AQ1063" s="32">
        <v>6.0999999999999995E-3</v>
      </c>
      <c r="AR1063" s="32"/>
      <c r="AS1063" s="32"/>
      <c r="AT1063" s="32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2"/>
      <c r="BF1063" s="32"/>
      <c r="BG1063" s="32"/>
      <c r="BH1063" s="32"/>
      <c r="BI1063" s="32"/>
      <c r="BJ1063" s="6"/>
      <c r="BK1063" s="6"/>
      <c r="BL1063" s="6" t="s">
        <v>83</v>
      </c>
      <c r="BM1063" s="1"/>
      <c r="BN1063" s="1"/>
      <c r="BO1063" s="7"/>
      <c r="BP1063" s="1"/>
      <c r="BQ1063" s="1"/>
      <c r="BR1063" s="1"/>
      <c r="BS1063" s="1"/>
      <c r="BT1063" s="1"/>
      <c r="BU1063" s="1"/>
      <c r="BV1063" s="1"/>
      <c r="BW1063" s="1"/>
    </row>
    <row r="1064" spans="1:75" ht="13.25" customHeight="1">
      <c r="A1064" s="6" t="s">
        <v>84</v>
      </c>
      <c r="B1064" s="6"/>
      <c r="C1064" s="17">
        <v>35230.234799999998</v>
      </c>
      <c r="D1064" s="6">
        <v>34</v>
      </c>
      <c r="E1064" s="22">
        <v>41.778074866310163</v>
      </c>
      <c r="F1064" s="6">
        <v>625</v>
      </c>
      <c r="G1064" s="22"/>
      <c r="H1064" s="22">
        <v>1071</v>
      </c>
      <c r="I1064" s="22"/>
      <c r="J1064" s="22"/>
      <c r="K1064" s="22">
        <v>4645</v>
      </c>
      <c r="L1064" s="22">
        <v>4635</v>
      </c>
      <c r="M1064" s="22">
        <v>23755</v>
      </c>
      <c r="N1064" s="18">
        <v>528.84</v>
      </c>
      <c r="O1064" s="18"/>
      <c r="P1064" s="22">
        <v>28390</v>
      </c>
      <c r="Q1064" s="22"/>
      <c r="R1064" s="22"/>
      <c r="S1064" s="22"/>
      <c r="T1064" s="22">
        <v>34106</v>
      </c>
      <c r="U1064" s="22"/>
      <c r="V1064" s="6"/>
      <c r="W1064" s="6"/>
      <c r="X1064" s="19"/>
      <c r="Y1064" s="6"/>
      <c r="Z1064" s="6">
        <v>4924</v>
      </c>
      <c r="AA1064" s="6"/>
      <c r="AB1064" s="6"/>
      <c r="AC1064" s="6"/>
      <c r="AD1064" s="6"/>
      <c r="AE1064" s="6"/>
      <c r="AF1064" s="18"/>
      <c r="AG1064" s="18"/>
      <c r="AH1064" s="18"/>
      <c r="AI1064" s="18"/>
      <c r="AK1064" s="18"/>
      <c r="AL1064" s="18"/>
      <c r="AM1064" s="18">
        <v>15.554117647058824</v>
      </c>
      <c r="AN1064" s="18"/>
      <c r="AO1064" s="6"/>
      <c r="AP1064" s="32">
        <v>2.1926803013993541E-3</v>
      </c>
      <c r="AQ1064" s="32">
        <v>6.9999999999999993E-3</v>
      </c>
      <c r="AR1064" s="32">
        <v>2.1926803013993541E-3</v>
      </c>
      <c r="AS1064" s="32"/>
      <c r="AT1064" s="32"/>
      <c r="AU1064" s="32">
        <v>4.6956674885523068E-4</v>
      </c>
      <c r="AV1064" s="32"/>
      <c r="AW1064" s="32"/>
      <c r="AX1064" s="32">
        <v>30.543000000000003</v>
      </c>
      <c r="AY1064" s="32"/>
      <c r="AZ1064" s="32"/>
      <c r="BA1064" s="32"/>
      <c r="BB1064" s="32"/>
      <c r="BC1064" s="32"/>
      <c r="BD1064" s="32"/>
      <c r="BE1064" s="32"/>
      <c r="BF1064" s="32"/>
      <c r="BG1064" s="32"/>
      <c r="BH1064" s="32"/>
      <c r="BI1064" s="32"/>
      <c r="BJ1064" s="6"/>
      <c r="BK1064" s="6"/>
      <c r="BL1064" s="6" t="s">
        <v>83</v>
      </c>
      <c r="BM1064" s="1"/>
      <c r="BN1064" s="1"/>
      <c r="BO1064" s="7"/>
      <c r="BP1064" s="1"/>
      <c r="BQ1064" s="1"/>
      <c r="BR1064" s="1"/>
      <c r="BS1064" s="1"/>
      <c r="BT1064" s="1"/>
      <c r="BU1064" s="1"/>
      <c r="BV1064" s="1"/>
      <c r="BW1064" s="1"/>
    </row>
    <row r="1065" spans="1:75" s="5" customFormat="1" ht="13.25" customHeight="1">
      <c r="A1065" s="6" t="s">
        <v>85</v>
      </c>
      <c r="B1065" s="6"/>
      <c r="C1065" s="17">
        <v>30331</v>
      </c>
      <c r="D1065" s="6">
        <v>0</v>
      </c>
      <c r="E1065" s="6">
        <v>100</v>
      </c>
      <c r="F1065" s="22">
        <v>1851.85</v>
      </c>
      <c r="G1065" s="22"/>
      <c r="H1065" s="22"/>
      <c r="I1065" s="22"/>
      <c r="J1065" s="22"/>
      <c r="K1065" s="22"/>
      <c r="L1065" s="22"/>
      <c r="M1065" s="22"/>
      <c r="N1065" s="18"/>
      <c r="O1065" s="18"/>
      <c r="P1065" s="22"/>
      <c r="Q1065" s="22"/>
      <c r="R1065" s="22"/>
      <c r="S1065" s="22"/>
      <c r="T1065" s="22"/>
      <c r="U1065" s="22"/>
      <c r="V1065" s="22"/>
      <c r="W1065" s="22"/>
      <c r="X1065" s="19"/>
      <c r="Y1065" s="22"/>
      <c r="Z1065" s="22"/>
      <c r="AA1065" s="22"/>
      <c r="AB1065" s="22"/>
      <c r="AC1065" s="22"/>
      <c r="AD1065" s="22"/>
      <c r="AE1065" s="22"/>
      <c r="AF1065" s="18"/>
      <c r="AG1065" s="18"/>
      <c r="AH1065" s="18"/>
      <c r="AI1065" s="18"/>
      <c r="AK1065" s="18"/>
      <c r="AL1065" s="18"/>
      <c r="AM1065" s="18"/>
      <c r="AN1065" s="18"/>
      <c r="AO1065" s="22"/>
      <c r="AP1065" s="32"/>
      <c r="AQ1065" s="32"/>
      <c r="AR1065" s="32"/>
      <c r="AS1065" s="32"/>
      <c r="AT1065" s="32"/>
      <c r="AU1065" s="32"/>
      <c r="AV1065" s="32"/>
      <c r="AW1065" s="32"/>
      <c r="AX1065" s="32"/>
      <c r="AY1065" s="32"/>
      <c r="AZ1065" s="32"/>
      <c r="BA1065" s="32"/>
      <c r="BB1065" s="32"/>
      <c r="BC1065" s="32"/>
      <c r="BD1065" s="32"/>
      <c r="BE1065" s="32"/>
      <c r="BF1065" s="32"/>
      <c r="BG1065" s="32"/>
      <c r="BH1065" s="32"/>
      <c r="BI1065" s="32"/>
      <c r="BJ1065" s="22"/>
      <c r="BK1065" s="22"/>
      <c r="BL1065" s="22" t="s">
        <v>86</v>
      </c>
      <c r="BM1065" s="4"/>
      <c r="BN1065" s="4"/>
      <c r="BO1065" s="7"/>
      <c r="BP1065" s="4"/>
      <c r="BQ1065" s="4"/>
      <c r="BR1065" s="4"/>
      <c r="BS1065" s="4"/>
      <c r="BT1065" s="4"/>
      <c r="BU1065" s="4"/>
      <c r="BV1065" s="4"/>
      <c r="BW1065" s="4"/>
    </row>
    <row r="1066" spans="1:75" s="5" customFormat="1" ht="13.25" customHeight="1">
      <c r="A1066" s="6" t="s">
        <v>88</v>
      </c>
      <c r="B1066" s="6"/>
      <c r="C1066" s="17">
        <v>30331</v>
      </c>
      <c r="D1066" s="22">
        <v>0</v>
      </c>
      <c r="E1066" s="6">
        <v>100</v>
      </c>
      <c r="F1066" s="22">
        <v>1851.85</v>
      </c>
      <c r="G1066" s="22"/>
      <c r="H1066" s="22"/>
      <c r="I1066" s="22"/>
      <c r="J1066" s="22"/>
      <c r="K1066" s="22"/>
      <c r="L1066" s="22"/>
      <c r="M1066" s="22"/>
      <c r="N1066" s="18"/>
      <c r="O1066" s="18"/>
      <c r="P1066" s="22"/>
      <c r="Q1066" s="22"/>
      <c r="R1066" s="22"/>
      <c r="S1066" s="22"/>
      <c r="T1066" s="22"/>
      <c r="U1066" s="22"/>
      <c r="V1066" s="22"/>
      <c r="W1066" s="22"/>
      <c r="X1066" s="19"/>
      <c r="Y1066" s="22"/>
      <c r="Z1066" s="22"/>
      <c r="AA1066" s="22"/>
      <c r="AB1066" s="22"/>
      <c r="AC1066" s="22"/>
      <c r="AD1066" s="22"/>
      <c r="AE1066" s="22"/>
      <c r="AF1066" s="18"/>
      <c r="AG1066" s="18"/>
      <c r="AH1066" s="18"/>
      <c r="AI1066" s="18"/>
      <c r="AK1066" s="18"/>
      <c r="AL1066" s="18"/>
      <c r="AM1066" s="40" t="s">
        <v>118</v>
      </c>
      <c r="AN1066" s="18"/>
      <c r="AO1066" s="2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  <c r="BF1066" s="32"/>
      <c r="BG1066" s="32"/>
      <c r="BH1066" s="32"/>
      <c r="BI1066" s="32"/>
      <c r="BJ1066" s="22"/>
      <c r="BK1066" s="22"/>
      <c r="BL1066" s="22" t="s">
        <v>86</v>
      </c>
      <c r="BM1066" s="4"/>
      <c r="BN1066" s="4"/>
      <c r="BO1066" s="7"/>
      <c r="BP1066" s="4"/>
      <c r="BQ1066" s="4"/>
      <c r="BR1066" s="4"/>
      <c r="BS1066" s="4"/>
      <c r="BT1066" s="4"/>
      <c r="BU1066" s="4"/>
      <c r="BV1066" s="4"/>
      <c r="BW1066" s="4"/>
    </row>
    <row r="1067" spans="1:75" s="5" customFormat="1" ht="13.25" customHeight="1">
      <c r="A1067" s="6" t="s">
        <v>87</v>
      </c>
      <c r="B1067" s="6"/>
      <c r="C1067" s="17">
        <v>30331</v>
      </c>
      <c r="D1067" s="22">
        <v>0</v>
      </c>
      <c r="E1067" s="6">
        <v>100</v>
      </c>
      <c r="F1067" s="22">
        <v>1851.85</v>
      </c>
      <c r="G1067" s="22"/>
      <c r="H1067" s="22"/>
      <c r="I1067" s="22"/>
      <c r="J1067" s="22"/>
      <c r="K1067" s="22"/>
      <c r="L1067" s="22"/>
      <c r="M1067" s="22"/>
      <c r="N1067" s="18"/>
      <c r="O1067" s="18"/>
      <c r="P1067" s="22"/>
      <c r="Q1067" s="22"/>
      <c r="R1067" s="22"/>
      <c r="S1067" s="22"/>
      <c r="T1067" s="22"/>
      <c r="U1067" s="22"/>
      <c r="V1067" s="22"/>
      <c r="W1067" s="22"/>
      <c r="X1067" s="19"/>
      <c r="Y1067" s="22"/>
      <c r="Z1067" s="22"/>
      <c r="AA1067" s="22"/>
      <c r="AB1067" s="22"/>
      <c r="AC1067" s="22"/>
      <c r="AD1067" s="22"/>
      <c r="AE1067" s="22"/>
      <c r="AF1067" s="18"/>
      <c r="AG1067" s="18"/>
      <c r="AH1067" s="18"/>
      <c r="AI1067" s="18"/>
      <c r="AK1067" s="18"/>
      <c r="AL1067" s="18"/>
      <c r="AM1067" s="40" t="s">
        <v>118</v>
      </c>
      <c r="AN1067" s="18"/>
      <c r="AO1067" s="22"/>
      <c r="AP1067" s="32"/>
      <c r="AQ1067" s="32"/>
      <c r="AR1067" s="32"/>
      <c r="AS1067" s="32"/>
      <c r="AT1067" s="32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  <c r="BF1067" s="32"/>
      <c r="BG1067" s="32"/>
      <c r="BH1067" s="32"/>
      <c r="BI1067" s="32"/>
      <c r="BJ1067" s="22"/>
      <c r="BK1067" s="22"/>
      <c r="BL1067" s="22" t="s">
        <v>86</v>
      </c>
      <c r="BM1067" s="4"/>
      <c r="BN1067" s="4"/>
      <c r="BO1067" s="7"/>
      <c r="BP1067" s="4"/>
      <c r="BQ1067" s="4"/>
      <c r="BR1067" s="4"/>
      <c r="BS1067" s="4"/>
      <c r="BT1067" s="4"/>
      <c r="BU1067" s="4"/>
      <c r="BV1067" s="4"/>
      <c r="BW1067" s="4"/>
    </row>
    <row r="1068" spans="1:75" s="5" customFormat="1" ht="13.25" customHeight="1">
      <c r="A1068" s="6" t="s">
        <v>89</v>
      </c>
      <c r="B1068" s="6"/>
      <c r="C1068" s="17">
        <v>30331</v>
      </c>
      <c r="D1068" s="22">
        <v>0</v>
      </c>
      <c r="E1068" s="6">
        <v>100</v>
      </c>
      <c r="F1068" s="22">
        <v>1851.85</v>
      </c>
      <c r="G1068" s="22"/>
      <c r="H1068" s="22"/>
      <c r="I1068" s="22"/>
      <c r="J1068" s="22"/>
      <c r="K1068" s="22"/>
      <c r="L1068" s="22"/>
      <c r="M1068" s="22"/>
      <c r="N1068" s="18"/>
      <c r="O1068" s="18"/>
      <c r="P1068" s="22"/>
      <c r="Q1068" s="22"/>
      <c r="R1068" s="22"/>
      <c r="S1068" s="22"/>
      <c r="T1068" s="22"/>
      <c r="U1068" s="22"/>
      <c r="V1068" s="22"/>
      <c r="W1068" s="22"/>
      <c r="X1068" s="19"/>
      <c r="Y1068" s="22"/>
      <c r="Z1068" s="22"/>
      <c r="AA1068" s="22"/>
      <c r="AB1068" s="22"/>
      <c r="AC1068" s="22"/>
      <c r="AD1068" s="22"/>
      <c r="AE1068" s="22"/>
      <c r="AF1068" s="18"/>
      <c r="AG1068" s="18"/>
      <c r="AH1068" s="18"/>
      <c r="AI1068" s="18"/>
      <c r="AK1068" s="18"/>
      <c r="AL1068" s="18"/>
      <c r="AM1068" s="40" t="s">
        <v>118</v>
      </c>
      <c r="AN1068" s="18"/>
      <c r="AO1068" s="22"/>
      <c r="AP1068" s="32"/>
      <c r="AQ1068" s="32"/>
      <c r="AR1068" s="32"/>
      <c r="AS1068" s="32"/>
      <c r="AT1068" s="32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  <c r="BF1068" s="32"/>
      <c r="BG1068" s="32"/>
      <c r="BH1068" s="32"/>
      <c r="BI1068" s="32"/>
      <c r="BJ1068" s="22"/>
      <c r="BK1068" s="22"/>
      <c r="BL1068" s="22" t="s">
        <v>86</v>
      </c>
      <c r="BO1068" s="15"/>
    </row>
    <row r="1069" spans="1:75" s="5" customFormat="1" ht="13.25" customHeight="1">
      <c r="A1069" s="6" t="s">
        <v>90</v>
      </c>
      <c r="B1069" s="6"/>
      <c r="C1069" s="17">
        <v>30331</v>
      </c>
      <c r="D1069" s="22">
        <v>0</v>
      </c>
      <c r="E1069" s="6">
        <v>100</v>
      </c>
      <c r="F1069" s="22">
        <v>1851.85</v>
      </c>
      <c r="G1069" s="22"/>
      <c r="H1069" s="22"/>
      <c r="I1069" s="22"/>
      <c r="J1069" s="22"/>
      <c r="K1069" s="22"/>
      <c r="L1069" s="22"/>
      <c r="M1069" s="22"/>
      <c r="N1069" s="18"/>
      <c r="O1069" s="18"/>
      <c r="P1069" s="22"/>
      <c r="Q1069" s="22"/>
      <c r="R1069" s="22"/>
      <c r="S1069" s="22"/>
      <c r="T1069" s="22"/>
      <c r="U1069" s="22"/>
      <c r="V1069" s="22"/>
      <c r="W1069" s="22"/>
      <c r="X1069" s="19"/>
      <c r="Y1069" s="22"/>
      <c r="Z1069" s="22"/>
      <c r="AA1069" s="22"/>
      <c r="AB1069" s="22"/>
      <c r="AC1069" s="22"/>
      <c r="AD1069" s="22"/>
      <c r="AE1069" s="22"/>
      <c r="AF1069" s="18"/>
      <c r="AG1069" s="18"/>
      <c r="AH1069" s="18"/>
      <c r="AI1069" s="18"/>
      <c r="AK1069" s="18"/>
      <c r="AL1069" s="18"/>
      <c r="AM1069" s="40" t="s">
        <v>118</v>
      </c>
      <c r="AN1069" s="18"/>
      <c r="AO1069" s="22"/>
      <c r="AP1069" s="32"/>
      <c r="AQ1069" s="32"/>
      <c r="AR1069" s="32"/>
      <c r="AS1069" s="32"/>
      <c r="AT1069" s="32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  <c r="BF1069" s="32"/>
      <c r="BG1069" s="32"/>
      <c r="BH1069" s="32"/>
      <c r="BI1069" s="32"/>
      <c r="BJ1069" s="22"/>
      <c r="BK1069" s="22"/>
      <c r="BL1069" s="22" t="s">
        <v>86</v>
      </c>
      <c r="BO1069" s="15"/>
    </row>
    <row r="1070" spans="1:75" s="5" customFormat="1">
      <c r="A1070" s="6" t="s">
        <v>92</v>
      </c>
      <c r="B1070" s="6"/>
      <c r="C1070" s="17">
        <v>30331</v>
      </c>
      <c r="D1070" s="22">
        <v>0</v>
      </c>
      <c r="E1070" s="6">
        <v>100</v>
      </c>
      <c r="F1070" s="22">
        <v>1851.85</v>
      </c>
      <c r="G1070" s="22"/>
      <c r="H1070" s="22"/>
      <c r="I1070" s="22"/>
      <c r="J1070" s="22"/>
      <c r="K1070" s="22"/>
      <c r="L1070" s="22"/>
      <c r="M1070" s="22"/>
      <c r="N1070" s="18"/>
      <c r="O1070" s="18"/>
      <c r="P1070" s="22"/>
      <c r="Q1070" s="22"/>
      <c r="R1070" s="22"/>
      <c r="S1070" s="22"/>
      <c r="T1070" s="22"/>
      <c r="U1070" s="22"/>
      <c r="V1070" s="22"/>
      <c r="W1070" s="22"/>
      <c r="X1070" s="19"/>
      <c r="Y1070" s="22"/>
      <c r="Z1070" s="22"/>
      <c r="AA1070" s="22"/>
      <c r="AB1070" s="22"/>
      <c r="AC1070" s="22"/>
      <c r="AD1070" s="22"/>
      <c r="AE1070" s="22"/>
      <c r="AF1070" s="18"/>
      <c r="AG1070" s="18"/>
      <c r="AH1070" s="18"/>
      <c r="AI1070" s="18"/>
      <c r="AK1070" s="18"/>
      <c r="AL1070" s="18"/>
      <c r="AM1070" s="40" t="s">
        <v>118</v>
      </c>
      <c r="AN1070" s="18"/>
      <c r="AO1070" s="2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  <c r="BF1070" s="32"/>
      <c r="BG1070" s="32"/>
      <c r="BH1070" s="32"/>
      <c r="BI1070" s="32"/>
      <c r="BJ1070" s="22"/>
      <c r="BK1070" s="22"/>
      <c r="BL1070" s="22" t="s">
        <v>86</v>
      </c>
      <c r="BO1070" s="15"/>
    </row>
    <row r="1071" spans="1:75" s="5" customFormat="1">
      <c r="A1071" s="6" t="s">
        <v>91</v>
      </c>
      <c r="B1071" s="6"/>
      <c r="C1071" s="17">
        <v>30331</v>
      </c>
      <c r="D1071" s="22">
        <v>0</v>
      </c>
      <c r="E1071" s="6">
        <v>100</v>
      </c>
      <c r="F1071" s="22">
        <v>1851.85</v>
      </c>
      <c r="G1071" s="22"/>
      <c r="H1071" s="22"/>
      <c r="I1071" s="22"/>
      <c r="J1071" s="22"/>
      <c r="K1071" s="22"/>
      <c r="L1071" s="22"/>
      <c r="M1071" s="22"/>
      <c r="N1071" s="18"/>
      <c r="O1071" s="18"/>
      <c r="P1071" s="22"/>
      <c r="Q1071" s="22"/>
      <c r="R1071" s="22"/>
      <c r="S1071" s="22"/>
      <c r="T1071" s="22"/>
      <c r="U1071" s="22"/>
      <c r="V1071" s="22"/>
      <c r="W1071" s="22"/>
      <c r="X1071" s="19"/>
      <c r="Y1071" s="22"/>
      <c r="Z1071" s="22"/>
      <c r="AA1071" s="22"/>
      <c r="AB1071" s="22"/>
      <c r="AC1071" s="22"/>
      <c r="AD1071" s="22"/>
      <c r="AE1071" s="22"/>
      <c r="AF1071" s="18"/>
      <c r="AG1071" s="18"/>
      <c r="AH1071" s="18"/>
      <c r="AI1071" s="18"/>
      <c r="AK1071" s="18"/>
      <c r="AL1071" s="18"/>
      <c r="AM1071" s="40" t="s">
        <v>118</v>
      </c>
      <c r="AN1071" s="18"/>
      <c r="AO1071" s="22"/>
      <c r="AP1071" s="32"/>
      <c r="AQ1071" s="32"/>
      <c r="AR1071" s="32"/>
      <c r="AS1071" s="32"/>
      <c r="AT1071" s="32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2"/>
      <c r="BF1071" s="32"/>
      <c r="BG1071" s="32"/>
      <c r="BH1071" s="32"/>
      <c r="BI1071" s="32"/>
      <c r="BJ1071" s="22"/>
      <c r="BK1071" s="22"/>
      <c r="BL1071" s="22" t="s">
        <v>86</v>
      </c>
      <c r="BO1071" s="15"/>
    </row>
    <row r="1072" spans="1:75" s="5" customFormat="1">
      <c r="A1072" s="6" t="s">
        <v>93</v>
      </c>
      <c r="B1072" s="6"/>
      <c r="C1072" s="17">
        <v>30331</v>
      </c>
      <c r="D1072" s="22">
        <v>0</v>
      </c>
      <c r="E1072" s="6">
        <v>100</v>
      </c>
      <c r="F1072" s="22">
        <v>1851.85</v>
      </c>
      <c r="G1072" s="22"/>
      <c r="H1072" s="22"/>
      <c r="I1072" s="22"/>
      <c r="J1072" s="22"/>
      <c r="K1072" s="22"/>
      <c r="L1072" s="22"/>
      <c r="M1072" s="22"/>
      <c r="N1072" s="18"/>
      <c r="O1072" s="18"/>
      <c r="P1072" s="22"/>
      <c r="Q1072" s="22"/>
      <c r="R1072" s="22"/>
      <c r="S1072" s="22"/>
      <c r="T1072" s="22"/>
      <c r="U1072" s="22"/>
      <c r="V1072" s="22"/>
      <c r="W1072" s="22"/>
      <c r="X1072" s="19"/>
      <c r="Y1072" s="22"/>
      <c r="Z1072" s="22"/>
      <c r="AA1072" s="22"/>
      <c r="AB1072" s="22"/>
      <c r="AC1072" s="22"/>
      <c r="AD1072" s="22"/>
      <c r="AE1072" s="22"/>
      <c r="AF1072" s="18"/>
      <c r="AG1072" s="18"/>
      <c r="AH1072" s="18"/>
      <c r="AI1072" s="18"/>
      <c r="AK1072" s="18"/>
      <c r="AL1072" s="18"/>
      <c r="AM1072" s="40" t="s">
        <v>118</v>
      </c>
      <c r="AN1072" s="18"/>
      <c r="AO1072" s="2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  <c r="BF1072" s="32"/>
      <c r="BG1072" s="32"/>
      <c r="BH1072" s="32"/>
      <c r="BI1072" s="32"/>
      <c r="BJ1072" s="22"/>
      <c r="BK1072" s="22"/>
      <c r="BL1072" s="22" t="s">
        <v>86</v>
      </c>
      <c r="BO1072" s="15"/>
    </row>
    <row r="1073" spans="1:67" s="5" customFormat="1">
      <c r="A1073" s="6" t="s">
        <v>85</v>
      </c>
      <c r="B1073" s="6"/>
      <c r="C1073" s="17">
        <v>30697</v>
      </c>
      <c r="D1073" s="18">
        <v>1.0020747876340685</v>
      </c>
      <c r="E1073" s="6"/>
      <c r="F1073" s="6"/>
      <c r="G1073" s="22"/>
      <c r="H1073" s="22"/>
      <c r="I1073" s="22"/>
      <c r="J1073" s="22"/>
      <c r="K1073" s="22"/>
      <c r="L1073" s="22"/>
      <c r="M1073" s="22"/>
      <c r="N1073" s="18"/>
      <c r="O1073" s="18"/>
      <c r="P1073" s="22"/>
      <c r="Q1073" s="22"/>
      <c r="R1073" s="22"/>
      <c r="S1073" s="22"/>
      <c r="T1073" s="22"/>
      <c r="U1073" s="22"/>
      <c r="V1073" s="6"/>
      <c r="W1073" s="6"/>
      <c r="X1073" s="19"/>
      <c r="Y1073" s="6"/>
      <c r="Z1073" s="6"/>
      <c r="AA1073" s="6"/>
      <c r="AB1073" s="6"/>
      <c r="AC1073" s="6"/>
      <c r="AD1073" s="6"/>
      <c r="AE1073" s="6"/>
      <c r="AF1073" s="18">
        <v>0.5</v>
      </c>
      <c r="AG1073" s="18"/>
      <c r="AH1073" s="18"/>
      <c r="AI1073" s="18"/>
      <c r="AK1073" s="18"/>
      <c r="AL1073" s="18"/>
      <c r="AM1073" s="18"/>
      <c r="AN1073" s="18"/>
      <c r="AO1073" s="6"/>
      <c r="AP1073" s="32"/>
      <c r="AQ1073" s="32"/>
      <c r="AR1073" s="32"/>
      <c r="AS1073" s="32"/>
      <c r="AT1073" s="32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2"/>
      <c r="BF1073" s="32"/>
      <c r="BG1073" s="32"/>
      <c r="BH1073" s="32"/>
      <c r="BI1073" s="32"/>
      <c r="BJ1073" s="6"/>
      <c r="BK1073" s="6"/>
      <c r="BL1073" s="6" t="s">
        <v>112</v>
      </c>
      <c r="BO1073" s="15"/>
    </row>
    <row r="1074" spans="1:67" s="5" customFormat="1" ht="13.25" customHeight="1">
      <c r="A1074" s="6" t="s">
        <v>88</v>
      </c>
      <c r="B1074" s="6"/>
      <c r="C1074" s="17">
        <v>30697</v>
      </c>
      <c r="D1074" s="18">
        <v>1.0020747876340685</v>
      </c>
      <c r="E1074" s="6"/>
      <c r="F1074" s="6"/>
      <c r="G1074" s="22"/>
      <c r="H1074" s="22"/>
      <c r="I1074" s="22"/>
      <c r="J1074" s="22"/>
      <c r="K1074" s="22"/>
      <c r="L1074" s="22"/>
      <c r="M1074" s="22"/>
      <c r="N1074" s="18"/>
      <c r="O1074" s="18"/>
      <c r="P1074" s="22"/>
      <c r="Q1074" s="22"/>
      <c r="R1074" s="22"/>
      <c r="S1074" s="22"/>
      <c r="T1074" s="22"/>
      <c r="U1074" s="22"/>
      <c r="V1074" s="6"/>
      <c r="W1074" s="6"/>
      <c r="X1074" s="19"/>
      <c r="Y1074" s="6"/>
      <c r="Z1074" s="6"/>
      <c r="AA1074" s="6"/>
      <c r="AB1074" s="6"/>
      <c r="AC1074" s="6"/>
      <c r="AD1074" s="6"/>
      <c r="AE1074" s="6"/>
      <c r="AF1074" s="18">
        <v>0.9</v>
      </c>
      <c r="AG1074" s="18"/>
      <c r="AH1074" s="18"/>
      <c r="AI1074" s="18"/>
      <c r="AK1074" s="18"/>
      <c r="AL1074" s="18"/>
      <c r="AM1074" s="18"/>
      <c r="AN1074" s="18"/>
      <c r="AO1074" s="6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32"/>
      <c r="BI1074" s="32"/>
      <c r="BJ1074" s="6"/>
      <c r="BK1074" s="6"/>
      <c r="BL1074" s="6" t="s">
        <v>112</v>
      </c>
      <c r="BO1074" s="15"/>
    </row>
    <row r="1075" spans="1:67" s="5" customFormat="1">
      <c r="A1075" s="6" t="s">
        <v>87</v>
      </c>
      <c r="B1075" s="6"/>
      <c r="C1075" s="17">
        <v>30697</v>
      </c>
      <c r="D1075" s="18">
        <v>1.0020747876340685</v>
      </c>
      <c r="E1075" s="6"/>
      <c r="F1075" s="6"/>
      <c r="G1075" s="22"/>
      <c r="H1075" s="22"/>
      <c r="I1075" s="22"/>
      <c r="J1075" s="22"/>
      <c r="K1075" s="22"/>
      <c r="L1075" s="22"/>
      <c r="M1075" s="22"/>
      <c r="N1075" s="18"/>
      <c r="O1075" s="18"/>
      <c r="P1075" s="22"/>
      <c r="Q1075" s="22"/>
      <c r="R1075" s="22"/>
      <c r="S1075" s="22"/>
      <c r="T1075" s="22"/>
      <c r="U1075" s="22"/>
      <c r="V1075" s="6"/>
      <c r="W1075" s="6"/>
      <c r="X1075" s="19"/>
      <c r="Y1075" s="6"/>
      <c r="Z1075" s="6"/>
      <c r="AA1075" s="6"/>
      <c r="AB1075" s="6"/>
      <c r="AC1075" s="6"/>
      <c r="AD1075" s="6"/>
      <c r="AE1075" s="6"/>
      <c r="AF1075" s="18">
        <v>0.7</v>
      </c>
      <c r="AG1075" s="18"/>
      <c r="AH1075" s="18"/>
      <c r="AI1075" s="18"/>
      <c r="AK1075" s="18"/>
      <c r="AL1075" s="18"/>
      <c r="AM1075" s="18"/>
      <c r="AN1075" s="18"/>
      <c r="AO1075" s="6"/>
      <c r="AP1075" s="32"/>
      <c r="AQ1075" s="32"/>
      <c r="AR1075" s="32"/>
      <c r="AS1075" s="32"/>
      <c r="AT1075" s="32"/>
      <c r="AU1075" s="32"/>
      <c r="AV1075" s="32"/>
      <c r="AW1075" s="32"/>
      <c r="AX1075" s="32"/>
      <c r="AY1075" s="32"/>
      <c r="AZ1075" s="32"/>
      <c r="BA1075" s="32"/>
      <c r="BB1075" s="32"/>
      <c r="BC1075" s="32"/>
      <c r="BD1075" s="32"/>
      <c r="BE1075" s="32"/>
      <c r="BF1075" s="32"/>
      <c r="BG1075" s="32"/>
      <c r="BH1075" s="32"/>
      <c r="BI1075" s="32"/>
      <c r="BJ1075" s="6"/>
      <c r="BK1075" s="6"/>
      <c r="BL1075" s="6" t="s">
        <v>112</v>
      </c>
      <c r="BO1075" s="15"/>
    </row>
    <row r="1076" spans="1:67" s="5" customFormat="1">
      <c r="A1076" s="6" t="s">
        <v>89</v>
      </c>
      <c r="B1076" s="6"/>
      <c r="C1076" s="17">
        <v>30697</v>
      </c>
      <c r="D1076" s="18">
        <v>1.0020747876340685</v>
      </c>
      <c r="E1076" s="6"/>
      <c r="F1076" s="6"/>
      <c r="G1076" s="22"/>
      <c r="H1076" s="22"/>
      <c r="I1076" s="22"/>
      <c r="J1076" s="22"/>
      <c r="K1076" s="22"/>
      <c r="L1076" s="22"/>
      <c r="M1076" s="22"/>
      <c r="N1076" s="18"/>
      <c r="O1076" s="18"/>
      <c r="P1076" s="22"/>
      <c r="Q1076" s="22"/>
      <c r="R1076" s="22"/>
      <c r="S1076" s="22"/>
      <c r="T1076" s="22"/>
      <c r="U1076" s="22"/>
      <c r="V1076" s="6"/>
      <c r="W1076" s="6"/>
      <c r="X1076" s="19"/>
      <c r="Y1076" s="6"/>
      <c r="Z1076" s="6"/>
      <c r="AA1076" s="6"/>
      <c r="AB1076" s="6"/>
      <c r="AC1076" s="6"/>
      <c r="AD1076" s="6"/>
      <c r="AE1076" s="6"/>
      <c r="AF1076" s="18">
        <v>0.8</v>
      </c>
      <c r="AG1076" s="18"/>
      <c r="AH1076" s="18"/>
      <c r="AI1076" s="18"/>
      <c r="AK1076" s="18"/>
      <c r="AL1076" s="18"/>
      <c r="AM1076" s="18"/>
      <c r="AN1076" s="18"/>
      <c r="AO1076" s="6"/>
      <c r="AP1076" s="32"/>
      <c r="AQ1076" s="32"/>
      <c r="AR1076" s="32"/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  <c r="BF1076" s="32"/>
      <c r="BG1076" s="32"/>
      <c r="BH1076" s="32"/>
      <c r="BI1076" s="32"/>
      <c r="BJ1076" s="6"/>
      <c r="BK1076" s="6"/>
      <c r="BL1076" s="6" t="s">
        <v>112</v>
      </c>
      <c r="BO1076" s="15"/>
    </row>
    <row r="1077" spans="1:67" s="5" customFormat="1">
      <c r="A1077" s="6" t="s">
        <v>85</v>
      </c>
      <c r="B1077" s="6"/>
      <c r="C1077" s="17">
        <v>31062</v>
      </c>
      <c r="D1077" s="18">
        <v>2.0014116660123062</v>
      </c>
      <c r="E1077" s="6"/>
      <c r="F1077" s="6"/>
      <c r="G1077" s="22"/>
      <c r="H1077" s="22"/>
      <c r="I1077" s="22"/>
      <c r="J1077" s="22"/>
      <c r="K1077" s="22"/>
      <c r="L1077" s="22"/>
      <c r="M1077" s="22"/>
      <c r="N1077" s="18"/>
      <c r="O1077" s="18"/>
      <c r="P1077" s="22"/>
      <c r="Q1077" s="22"/>
      <c r="R1077" s="22"/>
      <c r="S1077" s="22"/>
      <c r="T1077" s="22"/>
      <c r="U1077" s="22"/>
      <c r="V1077" s="6"/>
      <c r="W1077" s="6"/>
      <c r="X1077" s="19"/>
      <c r="Y1077" s="6"/>
      <c r="Z1077" s="6"/>
      <c r="AA1077" s="6"/>
      <c r="AB1077" s="6"/>
      <c r="AC1077" s="6"/>
      <c r="AD1077" s="6"/>
      <c r="AE1077" s="6"/>
      <c r="AF1077" s="18">
        <v>0.8</v>
      </c>
      <c r="AG1077" s="18"/>
      <c r="AH1077" s="18"/>
      <c r="AI1077" s="18"/>
      <c r="AK1077" s="18"/>
      <c r="AL1077" s="18"/>
      <c r="AM1077" s="18"/>
      <c r="AN1077" s="18"/>
      <c r="AO1077" s="6"/>
      <c r="AP1077" s="32"/>
      <c r="AQ1077" s="32"/>
      <c r="AR1077" s="32"/>
      <c r="AS1077" s="32"/>
      <c r="AT1077" s="32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  <c r="BF1077" s="32"/>
      <c r="BG1077" s="32"/>
      <c r="BH1077" s="32"/>
      <c r="BI1077" s="32"/>
      <c r="BJ1077" s="6"/>
      <c r="BK1077" s="6"/>
      <c r="BL1077" s="6" t="s">
        <v>112</v>
      </c>
      <c r="BO1077" s="15"/>
    </row>
    <row r="1078" spans="1:67" s="5" customFormat="1">
      <c r="A1078" s="6" t="s">
        <v>88</v>
      </c>
      <c r="B1078" s="6"/>
      <c r="C1078" s="17">
        <v>31062</v>
      </c>
      <c r="D1078" s="18">
        <v>2.0014116660123062</v>
      </c>
      <c r="E1078" s="6"/>
      <c r="F1078" s="6"/>
      <c r="G1078" s="22"/>
      <c r="H1078" s="22"/>
      <c r="I1078" s="22"/>
      <c r="J1078" s="22"/>
      <c r="K1078" s="22"/>
      <c r="L1078" s="22"/>
      <c r="M1078" s="22"/>
      <c r="N1078" s="18"/>
      <c r="O1078" s="18"/>
      <c r="P1078" s="22"/>
      <c r="Q1078" s="22"/>
      <c r="R1078" s="22"/>
      <c r="S1078" s="22"/>
      <c r="T1078" s="22"/>
      <c r="U1078" s="22"/>
      <c r="V1078" s="6"/>
      <c r="W1078" s="6"/>
      <c r="X1078" s="19"/>
      <c r="Y1078" s="6"/>
      <c r="Z1078" s="6"/>
      <c r="AA1078" s="6"/>
      <c r="AB1078" s="6"/>
      <c r="AC1078" s="6"/>
      <c r="AD1078" s="6"/>
      <c r="AE1078" s="6"/>
      <c r="AF1078" s="18">
        <v>2.1</v>
      </c>
      <c r="AG1078" s="18"/>
      <c r="AH1078" s="18"/>
      <c r="AI1078" s="18"/>
      <c r="AK1078" s="18"/>
      <c r="AL1078" s="18"/>
      <c r="AM1078" s="18"/>
      <c r="AN1078" s="18"/>
      <c r="AO1078" s="6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  <c r="BF1078" s="32"/>
      <c r="BG1078" s="32"/>
      <c r="BH1078" s="32"/>
      <c r="BI1078" s="32"/>
      <c r="BJ1078" s="6"/>
      <c r="BK1078" s="6"/>
      <c r="BL1078" s="6" t="s">
        <v>112</v>
      </c>
      <c r="BO1078" s="15"/>
    </row>
    <row r="1079" spans="1:67" s="5" customFormat="1" ht="13.25" customHeight="1">
      <c r="A1079" s="6" t="s">
        <v>87</v>
      </c>
      <c r="B1079" s="6"/>
      <c r="C1079" s="17">
        <v>31062</v>
      </c>
      <c r="D1079" s="18">
        <v>2.0014116660123062</v>
      </c>
      <c r="E1079" s="6"/>
      <c r="F1079" s="6"/>
      <c r="G1079" s="22"/>
      <c r="H1079" s="22"/>
      <c r="I1079" s="22"/>
      <c r="J1079" s="22"/>
      <c r="K1079" s="22"/>
      <c r="L1079" s="22"/>
      <c r="M1079" s="22"/>
      <c r="N1079" s="18"/>
      <c r="O1079" s="18"/>
      <c r="P1079" s="22"/>
      <c r="Q1079" s="22"/>
      <c r="R1079" s="22"/>
      <c r="S1079" s="22"/>
      <c r="T1079" s="22"/>
      <c r="U1079" s="22"/>
      <c r="V1079" s="6"/>
      <c r="W1079" s="6"/>
      <c r="X1079" s="19"/>
      <c r="Y1079" s="6"/>
      <c r="Z1079" s="6"/>
      <c r="AA1079" s="6"/>
      <c r="AB1079" s="6"/>
      <c r="AC1079" s="6"/>
      <c r="AD1079" s="6"/>
      <c r="AE1079" s="6"/>
      <c r="AF1079" s="18">
        <v>1.8</v>
      </c>
      <c r="AG1079" s="18"/>
      <c r="AH1079" s="18"/>
      <c r="AI1079" s="18"/>
      <c r="AK1079" s="18"/>
      <c r="AL1079" s="18"/>
      <c r="AM1079" s="18"/>
      <c r="AN1079" s="18"/>
      <c r="AO1079" s="6"/>
      <c r="AP1079" s="32"/>
      <c r="AQ1079" s="32"/>
      <c r="AR1079" s="32"/>
      <c r="AS1079" s="32"/>
      <c r="AT1079" s="32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  <c r="BF1079" s="32"/>
      <c r="BG1079" s="32"/>
      <c r="BH1079" s="32"/>
      <c r="BI1079" s="32"/>
      <c r="BJ1079" s="6"/>
      <c r="BK1079" s="6"/>
      <c r="BL1079" s="6" t="s">
        <v>112</v>
      </c>
      <c r="BO1079" s="15"/>
    </row>
    <row r="1080" spans="1:67" s="5" customFormat="1">
      <c r="A1080" s="6" t="s">
        <v>89</v>
      </c>
      <c r="B1080" s="6"/>
      <c r="C1080" s="17">
        <v>31062</v>
      </c>
      <c r="D1080" s="18">
        <v>2.0014116660123062</v>
      </c>
      <c r="E1080" s="6"/>
      <c r="F1080" s="6"/>
      <c r="G1080" s="22"/>
      <c r="H1080" s="22"/>
      <c r="I1080" s="22"/>
      <c r="J1080" s="22"/>
      <c r="K1080" s="22"/>
      <c r="L1080" s="22"/>
      <c r="M1080" s="22"/>
      <c r="N1080" s="18"/>
      <c r="O1080" s="18"/>
      <c r="P1080" s="22"/>
      <c r="Q1080" s="22"/>
      <c r="R1080" s="22"/>
      <c r="S1080" s="22"/>
      <c r="T1080" s="22"/>
      <c r="U1080" s="22"/>
      <c r="V1080" s="6"/>
      <c r="W1080" s="6"/>
      <c r="X1080" s="19"/>
      <c r="Y1080" s="6"/>
      <c r="Z1080" s="6"/>
      <c r="AA1080" s="6"/>
      <c r="AB1080" s="6"/>
      <c r="AC1080" s="6"/>
      <c r="AD1080" s="6"/>
      <c r="AE1080" s="6"/>
      <c r="AF1080" s="18">
        <v>2</v>
      </c>
      <c r="AG1080" s="18"/>
      <c r="AH1080" s="18"/>
      <c r="AI1080" s="18"/>
      <c r="AK1080" s="18"/>
      <c r="AL1080" s="18"/>
      <c r="AM1080" s="18"/>
      <c r="AN1080" s="18"/>
      <c r="AO1080" s="6"/>
      <c r="AP1080" s="32"/>
      <c r="AQ1080" s="32"/>
      <c r="AR1080" s="32"/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  <c r="BF1080" s="32"/>
      <c r="BG1080" s="32"/>
      <c r="BH1080" s="32"/>
      <c r="BI1080" s="32"/>
      <c r="BJ1080" s="6"/>
      <c r="BK1080" s="6"/>
      <c r="BL1080" s="6" t="s">
        <v>112</v>
      </c>
      <c r="BO1080" s="15"/>
    </row>
    <row r="1081" spans="1:67" s="5" customFormat="1">
      <c r="A1081" s="6" t="s">
        <v>85</v>
      </c>
      <c r="B1081" s="6"/>
      <c r="C1081" s="17">
        <v>31427</v>
      </c>
      <c r="D1081" s="18">
        <v>3.0007485443905439</v>
      </c>
      <c r="E1081" s="6"/>
      <c r="F1081" s="6"/>
      <c r="G1081" s="22"/>
      <c r="H1081" s="22"/>
      <c r="I1081" s="22"/>
      <c r="J1081" s="22"/>
      <c r="K1081" s="22"/>
      <c r="L1081" s="22"/>
      <c r="M1081" s="22"/>
      <c r="N1081" s="18"/>
      <c r="O1081" s="18"/>
      <c r="P1081" s="22"/>
      <c r="Q1081" s="22"/>
      <c r="R1081" s="22"/>
      <c r="S1081" s="22"/>
      <c r="T1081" s="22"/>
      <c r="U1081" s="22"/>
      <c r="V1081" s="6"/>
      <c r="W1081" s="6"/>
      <c r="X1081" s="19"/>
      <c r="Y1081" s="6"/>
      <c r="Z1081" s="6"/>
      <c r="AA1081" s="6"/>
      <c r="AB1081" s="6"/>
      <c r="AC1081" s="6"/>
      <c r="AD1081" s="6"/>
      <c r="AE1081" s="6"/>
      <c r="AF1081" s="18">
        <v>1.3</v>
      </c>
      <c r="AG1081" s="18"/>
      <c r="AH1081" s="18"/>
      <c r="AI1081" s="18"/>
      <c r="AK1081" s="18"/>
      <c r="AL1081" s="18"/>
      <c r="AM1081" s="18"/>
      <c r="AN1081" s="18"/>
      <c r="AO1081" s="6"/>
      <c r="AP1081" s="32"/>
      <c r="AQ1081" s="32"/>
      <c r="AR1081" s="32"/>
      <c r="AS1081" s="32"/>
      <c r="AT1081" s="32"/>
      <c r="AU1081" s="32"/>
      <c r="AV1081" s="32"/>
      <c r="AW1081" s="32"/>
      <c r="AX1081" s="32"/>
      <c r="AY1081" s="32"/>
      <c r="AZ1081" s="32"/>
      <c r="BA1081" s="32"/>
      <c r="BB1081" s="32"/>
      <c r="BC1081" s="32"/>
      <c r="BD1081" s="32"/>
      <c r="BE1081" s="32"/>
      <c r="BF1081" s="32"/>
      <c r="BG1081" s="32"/>
      <c r="BH1081" s="32"/>
      <c r="BI1081" s="32"/>
      <c r="BJ1081" s="6"/>
      <c r="BK1081" s="6"/>
      <c r="BL1081" s="6" t="s">
        <v>112</v>
      </c>
      <c r="BO1081" s="15"/>
    </row>
    <row r="1082" spans="1:67" s="5" customFormat="1">
      <c r="A1082" s="6" t="s">
        <v>88</v>
      </c>
      <c r="B1082" s="6"/>
      <c r="C1082" s="17">
        <v>31427</v>
      </c>
      <c r="D1082" s="18">
        <v>3.0007485443905439</v>
      </c>
      <c r="E1082" s="6"/>
      <c r="F1082" s="6"/>
      <c r="G1082" s="22"/>
      <c r="H1082" s="22"/>
      <c r="I1082" s="22"/>
      <c r="J1082" s="22"/>
      <c r="K1082" s="22"/>
      <c r="L1082" s="22"/>
      <c r="M1082" s="22"/>
      <c r="N1082" s="18"/>
      <c r="O1082" s="18"/>
      <c r="P1082" s="22"/>
      <c r="Q1082" s="22"/>
      <c r="R1082" s="22"/>
      <c r="S1082" s="22"/>
      <c r="T1082" s="22"/>
      <c r="U1082" s="22"/>
      <c r="V1082" s="6"/>
      <c r="W1082" s="6"/>
      <c r="X1082" s="19"/>
      <c r="Y1082" s="6"/>
      <c r="Z1082" s="6"/>
      <c r="AA1082" s="6"/>
      <c r="AB1082" s="6"/>
      <c r="AC1082" s="6"/>
      <c r="AD1082" s="6"/>
      <c r="AE1082" s="6"/>
      <c r="AF1082" s="18">
        <v>3.9</v>
      </c>
      <c r="AG1082" s="18"/>
      <c r="AH1082" s="18"/>
      <c r="AI1082" s="18"/>
      <c r="AK1082" s="18"/>
      <c r="AL1082" s="18"/>
      <c r="AM1082" s="18"/>
      <c r="AN1082" s="18"/>
      <c r="AO1082" s="6"/>
      <c r="AP1082" s="32"/>
      <c r="AQ1082" s="32"/>
      <c r="AR1082" s="32"/>
      <c r="AS1082" s="32"/>
      <c r="AT1082" s="32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  <c r="BF1082" s="32"/>
      <c r="BG1082" s="32"/>
      <c r="BH1082" s="32"/>
      <c r="BI1082" s="32"/>
      <c r="BJ1082" s="6"/>
      <c r="BK1082" s="6"/>
      <c r="BL1082" s="6" t="s">
        <v>112</v>
      </c>
      <c r="BO1082" s="15"/>
    </row>
    <row r="1083" spans="1:67" s="5" customFormat="1">
      <c r="A1083" s="6" t="s">
        <v>87</v>
      </c>
      <c r="B1083" s="6"/>
      <c r="C1083" s="17">
        <v>31427</v>
      </c>
      <c r="D1083" s="18">
        <v>3.0007485443905439</v>
      </c>
      <c r="E1083" s="6"/>
      <c r="F1083" s="6"/>
      <c r="G1083" s="22"/>
      <c r="H1083" s="22"/>
      <c r="I1083" s="22"/>
      <c r="J1083" s="22"/>
      <c r="K1083" s="22"/>
      <c r="L1083" s="22"/>
      <c r="M1083" s="22"/>
      <c r="N1083" s="18"/>
      <c r="O1083" s="18"/>
      <c r="P1083" s="22"/>
      <c r="Q1083" s="22"/>
      <c r="R1083" s="22"/>
      <c r="S1083" s="22"/>
      <c r="T1083" s="22"/>
      <c r="U1083" s="22"/>
      <c r="V1083" s="6"/>
      <c r="W1083" s="6"/>
      <c r="X1083" s="19"/>
      <c r="Y1083" s="6"/>
      <c r="Z1083" s="6"/>
      <c r="AA1083" s="6"/>
      <c r="AB1083" s="6"/>
      <c r="AC1083" s="6"/>
      <c r="AD1083" s="6"/>
      <c r="AE1083" s="6"/>
      <c r="AF1083" s="18">
        <v>3</v>
      </c>
      <c r="AG1083" s="18"/>
      <c r="AH1083" s="18"/>
      <c r="AI1083" s="18"/>
      <c r="AK1083" s="18"/>
      <c r="AL1083" s="18"/>
      <c r="AM1083" s="18"/>
      <c r="AN1083" s="18"/>
      <c r="AO1083" s="6"/>
      <c r="AP1083" s="32"/>
      <c r="AQ1083" s="32"/>
      <c r="AR1083" s="32"/>
      <c r="AS1083" s="32"/>
      <c r="AT1083" s="32"/>
      <c r="AU1083" s="32"/>
      <c r="AV1083" s="32"/>
      <c r="AW1083" s="32"/>
      <c r="AX1083" s="32"/>
      <c r="AY1083" s="32"/>
      <c r="AZ1083" s="32"/>
      <c r="BA1083" s="32"/>
      <c r="BB1083" s="32"/>
      <c r="BC1083" s="32"/>
      <c r="BD1083" s="32"/>
      <c r="BE1083" s="32"/>
      <c r="BF1083" s="32"/>
      <c r="BG1083" s="32"/>
      <c r="BH1083" s="32"/>
      <c r="BI1083" s="32"/>
      <c r="BJ1083" s="6"/>
      <c r="BK1083" s="6"/>
      <c r="BL1083" s="6" t="s">
        <v>112</v>
      </c>
      <c r="BO1083" s="15"/>
    </row>
    <row r="1084" spans="1:67" s="5" customFormat="1" ht="13.25" customHeight="1">
      <c r="A1084" s="6" t="s">
        <v>89</v>
      </c>
      <c r="B1084" s="6"/>
      <c r="C1084" s="17">
        <v>31427</v>
      </c>
      <c r="D1084" s="18">
        <v>3.0007485443905439</v>
      </c>
      <c r="E1084" s="6"/>
      <c r="F1084" s="6"/>
      <c r="G1084" s="22"/>
      <c r="H1084" s="22"/>
      <c r="I1084" s="22"/>
      <c r="J1084" s="22"/>
      <c r="K1084" s="22"/>
      <c r="L1084" s="22"/>
      <c r="M1084" s="22"/>
      <c r="N1084" s="18"/>
      <c r="O1084" s="18"/>
      <c r="P1084" s="22"/>
      <c r="Q1084" s="22"/>
      <c r="R1084" s="22"/>
      <c r="S1084" s="22"/>
      <c r="T1084" s="22"/>
      <c r="U1084" s="22"/>
      <c r="V1084" s="6"/>
      <c r="W1084" s="6"/>
      <c r="X1084" s="19"/>
      <c r="Y1084" s="6"/>
      <c r="Z1084" s="6"/>
      <c r="AA1084" s="6"/>
      <c r="AB1084" s="6"/>
      <c r="AC1084" s="6"/>
      <c r="AD1084" s="6"/>
      <c r="AE1084" s="6"/>
      <c r="AF1084" s="18">
        <v>4</v>
      </c>
      <c r="AG1084" s="18"/>
      <c r="AH1084" s="18"/>
      <c r="AI1084" s="18"/>
      <c r="AK1084" s="18"/>
      <c r="AL1084" s="18"/>
      <c r="AM1084" s="18"/>
      <c r="AN1084" s="18"/>
      <c r="AO1084" s="6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32"/>
      <c r="BI1084" s="32"/>
      <c r="BJ1084" s="6"/>
      <c r="BK1084" s="6"/>
      <c r="BL1084" s="6" t="s">
        <v>112</v>
      </c>
      <c r="BO1084" s="15"/>
    </row>
    <row r="1085" spans="1:67" s="5" customFormat="1">
      <c r="A1085" s="6" t="s">
        <v>85</v>
      </c>
      <c r="B1085" s="6"/>
      <c r="C1085" s="17">
        <v>31792</v>
      </c>
      <c r="D1085" s="22">
        <v>4.0000854227687812</v>
      </c>
      <c r="E1085" s="6">
        <v>77.767208332208341</v>
      </c>
      <c r="F1085" s="22">
        <v>1440.1320475</v>
      </c>
      <c r="G1085" s="22"/>
      <c r="H1085" s="22">
        <v>112.74537970676542</v>
      </c>
      <c r="I1085" s="22"/>
      <c r="J1085" s="22">
        <v>21.761142962356551</v>
      </c>
      <c r="K1085" s="22"/>
      <c r="L1085" s="22"/>
      <c r="M1085" s="22"/>
      <c r="N1085" s="18">
        <v>0.67692307692307685</v>
      </c>
      <c r="O1085" s="18"/>
      <c r="P1085" s="22">
        <v>32.19547717510563</v>
      </c>
      <c r="Q1085" s="22"/>
      <c r="R1085" s="22"/>
      <c r="S1085" s="22"/>
      <c r="T1085" s="22">
        <v>166.7019998442276</v>
      </c>
      <c r="U1085" s="22"/>
      <c r="V1085" s="22"/>
      <c r="W1085" s="22"/>
      <c r="X1085" s="19"/>
      <c r="Y1085" s="22"/>
      <c r="Z1085" s="22"/>
      <c r="AA1085" s="22"/>
      <c r="AB1085" s="22"/>
      <c r="AC1085" s="22"/>
      <c r="AD1085" s="22"/>
      <c r="AE1085" s="22"/>
      <c r="AF1085" s="18"/>
      <c r="AG1085" s="18">
        <v>1.9501867255516743</v>
      </c>
      <c r="AH1085" s="18"/>
      <c r="AI1085" s="18">
        <v>0.43017543228998234</v>
      </c>
      <c r="AK1085" s="18"/>
      <c r="AL1085" s="18"/>
      <c r="AM1085" s="40">
        <v>0.16922715526773022</v>
      </c>
      <c r="AN1085" s="18"/>
      <c r="AO1085" s="22"/>
      <c r="AP1085" s="32"/>
      <c r="AQ1085" s="32"/>
      <c r="AR1085" s="32"/>
      <c r="AS1085" s="32"/>
      <c r="AT1085" s="32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2"/>
      <c r="BF1085" s="32"/>
      <c r="BG1085" s="32"/>
      <c r="BH1085" s="32"/>
      <c r="BI1085" s="32"/>
      <c r="BJ1085" s="22"/>
      <c r="BK1085" s="22"/>
      <c r="BL1085" s="22" t="s">
        <v>86</v>
      </c>
      <c r="BO1085" s="15"/>
    </row>
    <row r="1086" spans="1:67" s="5" customFormat="1">
      <c r="A1086" s="6" t="s">
        <v>85</v>
      </c>
      <c r="B1086" s="6"/>
      <c r="C1086" s="17">
        <v>31792</v>
      </c>
      <c r="D1086" s="18">
        <v>4.0000854227687812</v>
      </c>
      <c r="E1086" s="6"/>
      <c r="F1086" s="6"/>
      <c r="G1086" s="22"/>
      <c r="H1086" s="22"/>
      <c r="I1086" s="22"/>
      <c r="J1086" s="22"/>
      <c r="K1086" s="22"/>
      <c r="L1086" s="22"/>
      <c r="M1086" s="22"/>
      <c r="N1086" s="18"/>
      <c r="O1086" s="18"/>
      <c r="P1086" s="22"/>
      <c r="Q1086" s="22"/>
      <c r="R1086" s="22"/>
      <c r="S1086" s="22"/>
      <c r="T1086" s="22"/>
      <c r="U1086" s="22"/>
      <c r="V1086" s="6"/>
      <c r="W1086" s="6"/>
      <c r="X1086" s="19"/>
      <c r="Y1086" s="6"/>
      <c r="Z1086" s="6"/>
      <c r="AA1086" s="6"/>
      <c r="AB1086" s="6"/>
      <c r="AC1086" s="6"/>
      <c r="AD1086" s="6"/>
      <c r="AE1086" s="6"/>
      <c r="AF1086" s="18">
        <v>1.9</v>
      </c>
      <c r="AG1086" s="18"/>
      <c r="AH1086" s="18"/>
      <c r="AI1086" s="18"/>
      <c r="AK1086" s="18"/>
      <c r="AL1086" s="18"/>
      <c r="AM1086" s="18"/>
      <c r="AN1086" s="18"/>
      <c r="AO1086" s="6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  <c r="BF1086" s="32"/>
      <c r="BG1086" s="32"/>
      <c r="BH1086" s="32"/>
      <c r="BI1086" s="32"/>
      <c r="BJ1086" s="6"/>
      <c r="BK1086" s="6"/>
      <c r="BL1086" s="6" t="s">
        <v>112</v>
      </c>
      <c r="BO1086" s="15"/>
    </row>
    <row r="1087" spans="1:67" s="5" customFormat="1">
      <c r="A1087" s="6" t="s">
        <v>88</v>
      </c>
      <c r="B1087" s="6"/>
      <c r="C1087" s="17">
        <v>31792</v>
      </c>
      <c r="D1087" s="22">
        <v>4.0000854227687812</v>
      </c>
      <c r="E1087" s="6">
        <v>79.155979155979153</v>
      </c>
      <c r="F1087" s="22">
        <v>1465.85</v>
      </c>
      <c r="G1087" s="22"/>
      <c r="H1087" s="22">
        <v>346.44601533582977</v>
      </c>
      <c r="I1087" s="22"/>
      <c r="J1087" s="22">
        <v>280.37840690417681</v>
      </c>
      <c r="K1087" s="22"/>
      <c r="L1087" s="22"/>
      <c r="M1087" s="22"/>
      <c r="N1087" s="18">
        <v>13.274615384615384</v>
      </c>
      <c r="O1087" s="18"/>
      <c r="P1087" s="22">
        <v>966.64477687605324</v>
      </c>
      <c r="Q1087" s="22"/>
      <c r="R1087" s="22"/>
      <c r="S1087" s="22"/>
      <c r="T1087" s="22">
        <v>1593.4691991160598</v>
      </c>
      <c r="U1087" s="22"/>
      <c r="V1087" s="22"/>
      <c r="W1087" s="22"/>
      <c r="X1087" s="19"/>
      <c r="Y1087" s="22"/>
      <c r="Z1087" s="22"/>
      <c r="AA1087" s="22"/>
      <c r="AB1087" s="22"/>
      <c r="AC1087" s="22"/>
      <c r="AD1087" s="22"/>
      <c r="AE1087" s="22"/>
      <c r="AF1087" s="18"/>
      <c r="AG1087" s="18">
        <v>6.9048112589042265</v>
      </c>
      <c r="AH1087" s="18"/>
      <c r="AI1087" s="18">
        <v>5.4888839891211028</v>
      </c>
      <c r="AK1087" s="18"/>
      <c r="AL1087" s="18"/>
      <c r="AM1087" s="40">
        <v>3.3185829755172964</v>
      </c>
      <c r="AN1087" s="18"/>
      <c r="AO1087" s="22"/>
      <c r="AP1087" s="32"/>
      <c r="AQ1087" s="32"/>
      <c r="AR1087" s="32"/>
      <c r="AS1087" s="32"/>
      <c r="AT1087" s="32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2"/>
      <c r="BF1087" s="32"/>
      <c r="BG1087" s="32"/>
      <c r="BH1087" s="32"/>
      <c r="BI1087" s="32"/>
      <c r="BJ1087" s="22"/>
      <c r="BK1087" s="22"/>
      <c r="BL1087" s="22" t="s">
        <v>86</v>
      </c>
      <c r="BO1087" s="15"/>
    </row>
    <row r="1088" spans="1:67" s="5" customFormat="1">
      <c r="A1088" s="6" t="s">
        <v>88</v>
      </c>
      <c r="B1088" s="6"/>
      <c r="C1088" s="17">
        <v>31792</v>
      </c>
      <c r="D1088" s="18">
        <v>4.0000854227687812</v>
      </c>
      <c r="E1088" s="6"/>
      <c r="F1088" s="6"/>
      <c r="G1088" s="22"/>
      <c r="H1088" s="22"/>
      <c r="I1088" s="22"/>
      <c r="J1088" s="22"/>
      <c r="K1088" s="22"/>
      <c r="L1088" s="22"/>
      <c r="M1088" s="22"/>
      <c r="N1088" s="18"/>
      <c r="O1088" s="18"/>
      <c r="P1088" s="22"/>
      <c r="Q1088" s="22"/>
      <c r="R1088" s="22"/>
      <c r="S1088" s="22"/>
      <c r="T1088" s="22"/>
      <c r="U1088" s="22"/>
      <c r="V1088" s="6"/>
      <c r="W1088" s="6"/>
      <c r="X1088" s="19"/>
      <c r="Y1088" s="6"/>
      <c r="Z1088" s="6"/>
      <c r="AA1088" s="6"/>
      <c r="AB1088" s="6"/>
      <c r="AC1088" s="6"/>
      <c r="AD1088" s="6"/>
      <c r="AE1088" s="6"/>
      <c r="AF1088" s="18">
        <v>5.3</v>
      </c>
      <c r="AG1088" s="18"/>
      <c r="AH1088" s="18"/>
      <c r="AI1088" s="18"/>
      <c r="AK1088" s="18"/>
      <c r="AL1088" s="18"/>
      <c r="AM1088" s="18"/>
      <c r="AN1088" s="18"/>
      <c r="AO1088" s="6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  <c r="BF1088" s="32"/>
      <c r="BG1088" s="32"/>
      <c r="BH1088" s="32"/>
      <c r="BI1088" s="32"/>
      <c r="BJ1088" s="6"/>
      <c r="BK1088" s="6"/>
      <c r="BL1088" s="6" t="s">
        <v>112</v>
      </c>
      <c r="BO1088" s="15"/>
    </row>
    <row r="1089" spans="1:67" s="5" customFormat="1" ht="13.25" customHeight="1">
      <c r="A1089" s="6" t="s">
        <v>87</v>
      </c>
      <c r="B1089" s="6"/>
      <c r="C1089" s="17">
        <v>31792</v>
      </c>
      <c r="D1089" s="22">
        <v>4.0000854227687812</v>
      </c>
      <c r="E1089" s="6">
        <v>77.767208332208341</v>
      </c>
      <c r="F1089" s="22">
        <v>1440.1320475</v>
      </c>
      <c r="G1089" s="22"/>
      <c r="H1089" s="22">
        <v>339.40125348412369</v>
      </c>
      <c r="I1089" s="22"/>
      <c r="J1089" s="22">
        <v>273.94707109716461</v>
      </c>
      <c r="K1089" s="22"/>
      <c r="L1089" s="22"/>
      <c r="M1089" s="22"/>
      <c r="N1089" s="18">
        <v>13.033146853146851</v>
      </c>
      <c r="O1089" s="18"/>
      <c r="P1089" s="22">
        <v>943.22137559711734</v>
      </c>
      <c r="Q1089" s="22"/>
      <c r="R1089" s="22"/>
      <c r="S1089" s="22"/>
      <c r="T1089" s="22">
        <v>1556.5697001784056</v>
      </c>
      <c r="U1089" s="22"/>
      <c r="V1089" s="22"/>
      <c r="W1089" s="22"/>
      <c r="X1089" s="19"/>
      <c r="Y1089" s="22"/>
      <c r="Z1089" s="22"/>
      <c r="AA1089" s="22"/>
      <c r="AB1089" s="22"/>
      <c r="AC1089" s="22"/>
      <c r="AD1089" s="22"/>
      <c r="AE1089" s="22"/>
      <c r="AF1089" s="18"/>
      <c r="AG1089" s="18">
        <v>6.8872169742077656</v>
      </c>
      <c r="AH1089" s="18"/>
      <c r="AI1089" s="18">
        <v>5.365136085181538</v>
      </c>
      <c r="AK1089" s="18"/>
      <c r="AL1089" s="18"/>
      <c r="AM1089" s="40">
        <v>3.2582171318045408</v>
      </c>
      <c r="AN1089" s="18"/>
      <c r="AO1089" s="22"/>
      <c r="AP1089" s="32"/>
      <c r="AQ1089" s="32"/>
      <c r="AR1089" s="32"/>
      <c r="AS1089" s="32"/>
      <c r="AT1089" s="32"/>
      <c r="AU1089" s="32"/>
      <c r="AV1089" s="32"/>
      <c r="AW1089" s="32"/>
      <c r="AX1089" s="32"/>
      <c r="AY1089" s="32"/>
      <c r="AZ1089" s="32"/>
      <c r="BA1089" s="32"/>
      <c r="BB1089" s="32"/>
      <c r="BC1089" s="32"/>
      <c r="BD1089" s="32"/>
      <c r="BE1089" s="32"/>
      <c r="BF1089" s="32"/>
      <c r="BG1089" s="32"/>
      <c r="BH1089" s="32"/>
      <c r="BI1089" s="32"/>
      <c r="BJ1089" s="22"/>
      <c r="BK1089" s="22"/>
      <c r="BL1089" s="22" t="s">
        <v>86</v>
      </c>
      <c r="BO1089" s="15"/>
    </row>
    <row r="1090" spans="1:67" s="5" customFormat="1">
      <c r="A1090" s="6" t="s">
        <v>87</v>
      </c>
      <c r="B1090" s="6"/>
      <c r="C1090" s="17">
        <v>31792</v>
      </c>
      <c r="D1090" s="18">
        <v>4.0000854227687812</v>
      </c>
      <c r="E1090" s="6"/>
      <c r="F1090" s="6"/>
      <c r="G1090" s="22"/>
      <c r="H1090" s="22"/>
      <c r="I1090" s="22"/>
      <c r="J1090" s="22"/>
      <c r="K1090" s="22"/>
      <c r="L1090" s="22"/>
      <c r="M1090" s="22"/>
      <c r="N1090" s="18"/>
      <c r="O1090" s="18"/>
      <c r="P1090" s="22"/>
      <c r="Q1090" s="22"/>
      <c r="R1090" s="22"/>
      <c r="S1090" s="22"/>
      <c r="T1090" s="22"/>
      <c r="U1090" s="22"/>
      <c r="V1090" s="6"/>
      <c r="W1090" s="6"/>
      <c r="X1090" s="19"/>
      <c r="Y1090" s="6"/>
      <c r="Z1090" s="6"/>
      <c r="AA1090" s="6"/>
      <c r="AB1090" s="6"/>
      <c r="AC1090" s="6"/>
      <c r="AD1090" s="6"/>
      <c r="AE1090" s="6"/>
      <c r="AF1090" s="18">
        <v>4.4000000000000004</v>
      </c>
      <c r="AG1090" s="18"/>
      <c r="AH1090" s="18"/>
      <c r="AI1090" s="18"/>
      <c r="AK1090" s="18"/>
      <c r="AL1090" s="18"/>
      <c r="AM1090" s="18"/>
      <c r="AN1090" s="18"/>
      <c r="AO1090" s="6"/>
      <c r="AP1090" s="32"/>
      <c r="AQ1090" s="32"/>
      <c r="AR1090" s="32"/>
      <c r="AS1090" s="32"/>
      <c r="AT1090" s="32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  <c r="BF1090" s="32"/>
      <c r="BG1090" s="32"/>
      <c r="BH1090" s="32"/>
      <c r="BI1090" s="32"/>
      <c r="BJ1090" s="6"/>
      <c r="BK1090" s="6"/>
      <c r="BL1090" s="6" t="s">
        <v>112</v>
      </c>
      <c r="BO1090" s="15"/>
    </row>
    <row r="1091" spans="1:67" s="5" customFormat="1">
      <c r="A1091" s="6" t="s">
        <v>89</v>
      </c>
      <c r="B1091" s="6"/>
      <c r="C1091" s="17">
        <v>31792</v>
      </c>
      <c r="D1091" s="22">
        <v>4.0000854227687812</v>
      </c>
      <c r="E1091" s="6">
        <v>78.461697896697899</v>
      </c>
      <c r="F1091" s="22">
        <v>1452.9929525</v>
      </c>
      <c r="G1091" s="22"/>
      <c r="H1091" s="22">
        <v>508.53996124651866</v>
      </c>
      <c r="I1091" s="22"/>
      <c r="J1091" s="22">
        <v>569.32869763972883</v>
      </c>
      <c r="K1091" s="22"/>
      <c r="L1091" s="22"/>
      <c r="M1091" s="22"/>
      <c r="N1091" s="18">
        <v>28.433846153846151</v>
      </c>
      <c r="O1091" s="18"/>
      <c r="P1091" s="22">
        <v>2274.3472319539173</v>
      </c>
      <c r="Q1091" s="22"/>
      <c r="R1091" s="22"/>
      <c r="S1091" s="22"/>
      <c r="T1091" s="22">
        <v>3352.2158908401648</v>
      </c>
      <c r="U1091" s="22"/>
      <c r="V1091" s="22"/>
      <c r="W1091" s="22"/>
      <c r="X1091" s="19"/>
      <c r="Y1091" s="22"/>
      <c r="Z1091" s="22"/>
      <c r="AA1091" s="22"/>
      <c r="AB1091" s="22"/>
      <c r="AC1091" s="22"/>
      <c r="AD1091" s="22"/>
      <c r="AE1091" s="22"/>
      <c r="AF1091" s="18"/>
      <c r="AG1091" s="18">
        <v>9.5366971786116341</v>
      </c>
      <c r="AH1091" s="18"/>
      <c r="AI1091" s="18">
        <v>10.378877591821327</v>
      </c>
      <c r="AK1091" s="18"/>
      <c r="AL1091" s="18"/>
      <c r="AM1091" s="40">
        <v>7.1083097355867952</v>
      </c>
      <c r="AN1091" s="18"/>
      <c r="AO1091" s="22"/>
      <c r="AP1091" s="32"/>
      <c r="AQ1091" s="32"/>
      <c r="AR1091" s="32"/>
      <c r="AS1091" s="32"/>
      <c r="AT1091" s="32"/>
      <c r="AU1091" s="32"/>
      <c r="AV1091" s="32"/>
      <c r="AW1091" s="32"/>
      <c r="AX1091" s="32"/>
      <c r="AY1091" s="32"/>
      <c r="AZ1091" s="32"/>
      <c r="BA1091" s="32"/>
      <c r="BB1091" s="32"/>
      <c r="BC1091" s="32"/>
      <c r="BD1091" s="32"/>
      <c r="BE1091" s="32"/>
      <c r="BF1091" s="32"/>
      <c r="BG1091" s="32"/>
      <c r="BH1091" s="32"/>
      <c r="BI1091" s="32"/>
      <c r="BJ1091" s="22"/>
      <c r="BK1091" s="22"/>
      <c r="BL1091" s="22" t="s">
        <v>86</v>
      </c>
      <c r="BO1091" s="15"/>
    </row>
    <row r="1092" spans="1:67" s="5" customFormat="1">
      <c r="A1092" s="6" t="s">
        <v>89</v>
      </c>
      <c r="B1092" s="6"/>
      <c r="C1092" s="17">
        <v>31792</v>
      </c>
      <c r="D1092" s="18">
        <v>4.0000854227687812</v>
      </c>
      <c r="E1092" s="6"/>
      <c r="F1092" s="6"/>
      <c r="G1092" s="22"/>
      <c r="H1092" s="22"/>
      <c r="I1092" s="22"/>
      <c r="J1092" s="22"/>
      <c r="K1092" s="22"/>
      <c r="L1092" s="22"/>
      <c r="M1092" s="22"/>
      <c r="N1092" s="18"/>
      <c r="O1092" s="18"/>
      <c r="P1092" s="22"/>
      <c r="Q1092" s="22"/>
      <c r="R1092" s="22"/>
      <c r="S1092" s="22"/>
      <c r="T1092" s="22"/>
      <c r="U1092" s="22"/>
      <c r="V1092" s="6"/>
      <c r="W1092" s="6"/>
      <c r="X1092" s="19"/>
      <c r="Y1092" s="6"/>
      <c r="Z1092" s="6"/>
      <c r="AA1092" s="6"/>
      <c r="AB1092" s="6"/>
      <c r="AC1092" s="6"/>
      <c r="AD1092" s="6"/>
      <c r="AE1092" s="6"/>
      <c r="AF1092" s="18">
        <v>5.4</v>
      </c>
      <c r="AG1092" s="18"/>
      <c r="AH1092" s="18"/>
      <c r="AI1092" s="18"/>
      <c r="AK1092" s="18"/>
      <c r="AL1092" s="18"/>
      <c r="AM1092" s="18"/>
      <c r="AN1092" s="18"/>
      <c r="AO1092" s="6"/>
      <c r="AP1092" s="32"/>
      <c r="AQ1092" s="32"/>
      <c r="AR1092" s="32"/>
      <c r="AS1092" s="32"/>
      <c r="AT1092" s="32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  <c r="BF1092" s="32"/>
      <c r="BG1092" s="32"/>
      <c r="BH1092" s="32"/>
      <c r="BI1092" s="32"/>
      <c r="BJ1092" s="6"/>
      <c r="BK1092" s="6"/>
      <c r="BL1092" s="6" t="s">
        <v>112</v>
      </c>
      <c r="BO1092" s="15"/>
    </row>
    <row r="1093" spans="1:67" s="5" customFormat="1">
      <c r="A1093" s="6" t="s">
        <v>90</v>
      </c>
      <c r="B1093" s="6"/>
      <c r="C1093" s="17">
        <v>31792</v>
      </c>
      <c r="D1093" s="22">
        <v>4.0000854227687812</v>
      </c>
      <c r="E1093" s="6">
        <v>78.461697896697899</v>
      </c>
      <c r="F1093" s="22">
        <v>1452.9929525</v>
      </c>
      <c r="G1093" s="22"/>
      <c r="H1093" s="22">
        <v>186.49076112408525</v>
      </c>
      <c r="I1093" s="22"/>
      <c r="J1093" s="22">
        <v>22.415255646192854</v>
      </c>
      <c r="K1093" s="22"/>
      <c r="L1093" s="22"/>
      <c r="M1093" s="22"/>
      <c r="N1093" s="18">
        <v>2.7808391608391605</v>
      </c>
      <c r="O1093" s="18"/>
      <c r="P1093" s="22">
        <v>224.24598380105795</v>
      </c>
      <c r="Q1093" s="22"/>
      <c r="R1093" s="22"/>
      <c r="S1093" s="22"/>
      <c r="T1093" s="22">
        <v>433.15200057133603</v>
      </c>
      <c r="U1093" s="22"/>
      <c r="V1093" s="22"/>
      <c r="W1093" s="22"/>
      <c r="X1093" s="19"/>
      <c r="Y1093" s="22"/>
      <c r="Z1093" s="22"/>
      <c r="AA1093" s="22"/>
      <c r="AB1093" s="22"/>
      <c r="AC1093" s="22"/>
      <c r="AD1093" s="22"/>
      <c r="AE1093" s="22"/>
      <c r="AF1093" s="18"/>
      <c r="AG1093" s="18">
        <v>3.782093842448897</v>
      </c>
      <c r="AH1093" s="18"/>
      <c r="AI1093" s="18">
        <v>1.6323715076437588</v>
      </c>
      <c r="AK1093" s="18"/>
      <c r="AL1093" s="18"/>
      <c r="AM1093" s="40">
        <v>0.69519494384055369</v>
      </c>
      <c r="AN1093" s="18"/>
      <c r="AO1093" s="22"/>
      <c r="AP1093" s="32"/>
      <c r="AQ1093" s="32"/>
      <c r="AR1093" s="32"/>
      <c r="AS1093" s="32"/>
      <c r="AT1093" s="32"/>
      <c r="AU1093" s="32"/>
      <c r="AV1093" s="32"/>
      <c r="AW1093" s="32"/>
      <c r="AX1093" s="32"/>
      <c r="AY1093" s="32"/>
      <c r="AZ1093" s="32"/>
      <c r="BA1093" s="32"/>
      <c r="BB1093" s="32"/>
      <c r="BC1093" s="32"/>
      <c r="BD1093" s="32"/>
      <c r="BE1093" s="32"/>
      <c r="BF1093" s="32"/>
      <c r="BG1093" s="32"/>
      <c r="BH1093" s="32"/>
      <c r="BI1093" s="32"/>
      <c r="BJ1093" s="22"/>
      <c r="BK1093" s="22"/>
      <c r="BL1093" s="22" t="s">
        <v>86</v>
      </c>
      <c r="BO1093" s="15"/>
    </row>
    <row r="1094" spans="1:67" s="5" customFormat="1">
      <c r="A1094" s="6" t="s">
        <v>92</v>
      </c>
      <c r="B1094" s="6"/>
      <c r="C1094" s="17">
        <v>31792</v>
      </c>
      <c r="D1094" s="22">
        <v>4.0000854227687812</v>
      </c>
      <c r="E1094" s="6">
        <v>73.601104166104179</v>
      </c>
      <c r="F1094" s="22">
        <v>1362.9820475000001</v>
      </c>
      <c r="G1094" s="22"/>
      <c r="H1094" s="22">
        <v>381.54198974785595</v>
      </c>
      <c r="I1094" s="22"/>
      <c r="J1094" s="22">
        <v>226.40433184242821</v>
      </c>
      <c r="K1094" s="22"/>
      <c r="L1094" s="22"/>
      <c r="M1094" s="22"/>
      <c r="N1094" s="18">
        <v>16.481118881118881</v>
      </c>
      <c r="O1094" s="18"/>
      <c r="P1094" s="22">
        <v>1627.6573057977046</v>
      </c>
      <c r="Q1094" s="22"/>
      <c r="R1094" s="22"/>
      <c r="S1094" s="22"/>
      <c r="T1094" s="22">
        <v>2235.6036273879886</v>
      </c>
      <c r="U1094" s="22"/>
      <c r="V1094" s="22"/>
      <c r="W1094" s="22"/>
      <c r="X1094" s="19"/>
      <c r="Y1094" s="22"/>
      <c r="Z1094" s="22"/>
      <c r="AA1094" s="22"/>
      <c r="AB1094" s="22"/>
      <c r="AC1094" s="22"/>
      <c r="AD1094" s="22"/>
      <c r="AE1094" s="22"/>
      <c r="AF1094" s="18"/>
      <c r="AG1094" s="18">
        <v>8.0197727713436588</v>
      </c>
      <c r="AH1094" s="18"/>
      <c r="AI1094" s="18">
        <v>6.8850192556867116</v>
      </c>
      <c r="AK1094" s="18"/>
      <c r="AL1094" s="18"/>
      <c r="AM1094" s="40">
        <v>4.1201917307333336</v>
      </c>
      <c r="AN1094" s="18"/>
      <c r="AO1094" s="22"/>
      <c r="AP1094" s="32"/>
      <c r="AQ1094" s="32"/>
      <c r="AR1094" s="32"/>
      <c r="AS1094" s="32"/>
      <c r="AT1094" s="32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2"/>
      <c r="BF1094" s="32"/>
      <c r="BG1094" s="32"/>
      <c r="BH1094" s="32"/>
      <c r="BI1094" s="32"/>
      <c r="BJ1094" s="22"/>
      <c r="BK1094" s="22"/>
      <c r="BL1094" s="22" t="s">
        <v>86</v>
      </c>
      <c r="BO1094" s="15"/>
    </row>
    <row r="1095" spans="1:67" s="5" customFormat="1">
      <c r="A1095" s="6" t="s">
        <v>91</v>
      </c>
      <c r="B1095" s="6"/>
      <c r="C1095" s="17">
        <v>31792</v>
      </c>
      <c r="D1095" s="22">
        <v>4.0000854227687812</v>
      </c>
      <c r="E1095" s="6">
        <v>77.072927072927072</v>
      </c>
      <c r="F1095" s="22">
        <v>1427.2750000000001</v>
      </c>
      <c r="G1095" s="22"/>
      <c r="H1095" s="22">
        <v>379.02059567900739</v>
      </c>
      <c r="I1095" s="22"/>
      <c r="J1095" s="22">
        <v>207.45008178732672</v>
      </c>
      <c r="K1095" s="22"/>
      <c r="L1095" s="22"/>
      <c r="M1095" s="22"/>
      <c r="N1095" s="18">
        <v>14.970419580419579</v>
      </c>
      <c r="O1095" s="18"/>
      <c r="P1095" s="22">
        <v>1522.0194068651404</v>
      </c>
      <c r="Q1095" s="22"/>
      <c r="R1095" s="22"/>
      <c r="S1095" s="22"/>
      <c r="T1095" s="22">
        <v>2108.4900843314745</v>
      </c>
      <c r="U1095" s="22"/>
      <c r="V1095" s="22"/>
      <c r="W1095" s="22"/>
      <c r="X1095" s="19"/>
      <c r="Y1095" s="22"/>
      <c r="Z1095" s="22"/>
      <c r="AA1095" s="22"/>
      <c r="AB1095" s="22"/>
      <c r="AC1095" s="22"/>
      <c r="AD1095" s="22"/>
      <c r="AE1095" s="22"/>
      <c r="AF1095" s="18"/>
      <c r="AG1095" s="18">
        <v>7.6931308845664752</v>
      </c>
      <c r="AH1095" s="18"/>
      <c r="AI1095" s="18">
        <v>6.6344480565379067</v>
      </c>
      <c r="AK1095" s="18"/>
      <c r="AL1095" s="18"/>
      <c r="AM1095" s="40">
        <v>3.7425249708935833</v>
      </c>
      <c r="AN1095" s="18"/>
      <c r="AO1095" s="22"/>
      <c r="AP1095" s="32"/>
      <c r="AQ1095" s="32"/>
      <c r="AR1095" s="32"/>
      <c r="AS1095" s="32"/>
      <c r="AT1095" s="32"/>
      <c r="AU1095" s="32"/>
      <c r="AV1095" s="32"/>
      <c r="AW1095" s="32"/>
      <c r="AX1095" s="32"/>
      <c r="AY1095" s="32"/>
      <c r="AZ1095" s="32"/>
      <c r="BA1095" s="32"/>
      <c r="BB1095" s="32"/>
      <c r="BC1095" s="32"/>
      <c r="BD1095" s="32"/>
      <c r="BE1095" s="32"/>
      <c r="BF1095" s="32"/>
      <c r="BG1095" s="32"/>
      <c r="BH1095" s="32"/>
      <c r="BI1095" s="32"/>
      <c r="BJ1095" s="22"/>
      <c r="BK1095" s="22"/>
      <c r="BL1095" s="22" t="s">
        <v>86</v>
      </c>
      <c r="BO1095" s="15"/>
    </row>
    <row r="1096" spans="1:67" s="5" customFormat="1">
      <c r="A1096" s="6" t="s">
        <v>93</v>
      </c>
      <c r="B1096" s="6"/>
      <c r="C1096" s="17">
        <v>31792</v>
      </c>
      <c r="D1096" s="22">
        <v>4.0000854227687812</v>
      </c>
      <c r="E1096" s="6">
        <v>74.295593730593737</v>
      </c>
      <c r="F1096" s="22">
        <v>1375.8429524999999</v>
      </c>
      <c r="G1096" s="22"/>
      <c r="H1096" s="22">
        <v>530.49085484098055</v>
      </c>
      <c r="I1096" s="22"/>
      <c r="J1096" s="22">
        <v>481.99863574651425</v>
      </c>
      <c r="K1096" s="22"/>
      <c r="L1096" s="22"/>
      <c r="M1096" s="22"/>
      <c r="N1096" s="18">
        <v>28.344125874125876</v>
      </c>
      <c r="O1096" s="18"/>
      <c r="P1096" s="22">
        <v>3077.4439600066585</v>
      </c>
      <c r="Q1096" s="22"/>
      <c r="R1096" s="22"/>
      <c r="S1096" s="22"/>
      <c r="T1096" s="22">
        <v>4089.9334505941533</v>
      </c>
      <c r="U1096" s="22"/>
      <c r="V1096" s="22"/>
      <c r="W1096" s="22"/>
      <c r="X1096" s="19"/>
      <c r="Y1096" s="22"/>
      <c r="Z1096" s="22"/>
      <c r="AA1096" s="22"/>
      <c r="AB1096" s="22"/>
      <c r="AC1096" s="22"/>
      <c r="AD1096" s="22"/>
      <c r="AE1096" s="22"/>
      <c r="AF1096" s="18"/>
      <c r="AG1096" s="18">
        <v>10.09908914494874</v>
      </c>
      <c r="AH1096" s="18"/>
      <c r="AI1096" s="18">
        <v>11.021080435102153</v>
      </c>
      <c r="AK1096" s="18"/>
      <c r="AL1096" s="18"/>
      <c r="AM1096" s="40">
        <v>7.0858801446561666</v>
      </c>
      <c r="AN1096" s="18"/>
      <c r="AO1096" s="22"/>
      <c r="AP1096" s="32"/>
      <c r="AQ1096" s="32"/>
      <c r="AR1096" s="32"/>
      <c r="AS1096" s="32"/>
      <c r="AT1096" s="32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2"/>
      <c r="BF1096" s="32"/>
      <c r="BG1096" s="32"/>
      <c r="BH1096" s="32"/>
      <c r="BI1096" s="32"/>
      <c r="BJ1096" s="22"/>
      <c r="BK1096" s="22"/>
      <c r="BL1096" s="22" t="s">
        <v>86</v>
      </c>
      <c r="BO1096" s="15"/>
    </row>
    <row r="1097" spans="1:67" s="5" customFormat="1">
      <c r="A1097" s="6" t="s">
        <v>85</v>
      </c>
      <c r="B1097" s="6"/>
      <c r="C1097" s="17">
        <v>32157.242200000001</v>
      </c>
      <c r="D1097" s="22">
        <v>5.000085422768783</v>
      </c>
      <c r="E1097" s="6">
        <v>77.767208332208341</v>
      </c>
      <c r="F1097" s="22">
        <v>1440.1320475</v>
      </c>
      <c r="G1097" s="22"/>
      <c r="H1097" s="22">
        <v>147.9026026255828</v>
      </c>
      <c r="I1097" s="22"/>
      <c r="J1097" s="22">
        <v>53.714923212495918</v>
      </c>
      <c r="K1097" s="22"/>
      <c r="L1097" s="22"/>
      <c r="M1097" s="22"/>
      <c r="N1097" s="18"/>
      <c r="O1097" s="18"/>
      <c r="P1097" s="22">
        <v>124.31846812567485</v>
      </c>
      <c r="Q1097" s="22"/>
      <c r="R1097" s="22"/>
      <c r="S1097" s="22"/>
      <c r="T1097" s="22">
        <v>325.93599396375362</v>
      </c>
      <c r="U1097" s="22"/>
      <c r="V1097" s="22"/>
      <c r="W1097" s="22"/>
      <c r="X1097" s="19"/>
      <c r="Y1097" s="22"/>
      <c r="Z1097" s="22"/>
      <c r="AA1097" s="22"/>
      <c r="AB1097" s="22"/>
      <c r="AC1097" s="22"/>
      <c r="AD1097" s="22"/>
      <c r="AE1097" s="22"/>
      <c r="AF1097" s="18"/>
      <c r="AG1097" s="18">
        <v>3.230488381655241</v>
      </c>
      <c r="AH1097" s="18"/>
      <c r="AI1097" s="18">
        <v>1.1804010272184902</v>
      </c>
      <c r="AK1097" s="18"/>
      <c r="AL1097" s="18"/>
      <c r="AM1097" s="40" t="s">
        <v>118</v>
      </c>
      <c r="AN1097" s="18"/>
      <c r="AO1097" s="22"/>
      <c r="AP1097" s="32"/>
      <c r="AQ1097" s="32"/>
      <c r="AR1097" s="32"/>
      <c r="AS1097" s="32"/>
      <c r="AT1097" s="32"/>
      <c r="AU1097" s="32"/>
      <c r="AV1097" s="32"/>
      <c r="AW1097" s="32"/>
      <c r="AX1097" s="32"/>
      <c r="AY1097" s="32"/>
      <c r="AZ1097" s="32"/>
      <c r="BA1097" s="32"/>
      <c r="BB1097" s="32"/>
      <c r="BC1097" s="32"/>
      <c r="BD1097" s="32"/>
      <c r="BE1097" s="32"/>
      <c r="BF1097" s="32"/>
      <c r="BG1097" s="32"/>
      <c r="BH1097" s="32"/>
      <c r="BI1097" s="32"/>
      <c r="BJ1097" s="22"/>
      <c r="BK1097" s="22"/>
      <c r="BL1097" s="22" t="s">
        <v>86</v>
      </c>
      <c r="BO1097" s="15"/>
    </row>
    <row r="1098" spans="1:67" s="5" customFormat="1">
      <c r="A1098" s="6" t="s">
        <v>85</v>
      </c>
      <c r="B1098" s="6"/>
      <c r="C1098" s="17">
        <v>32157.242200000001</v>
      </c>
      <c r="D1098" s="18">
        <v>5.000085422768783</v>
      </c>
      <c r="E1098" s="6"/>
      <c r="F1098" s="6"/>
      <c r="G1098" s="22"/>
      <c r="H1098" s="22"/>
      <c r="I1098" s="22"/>
      <c r="J1098" s="22"/>
      <c r="K1098" s="22"/>
      <c r="L1098" s="22"/>
      <c r="M1098" s="22"/>
      <c r="N1098" s="18"/>
      <c r="O1098" s="18"/>
      <c r="P1098" s="22"/>
      <c r="Q1098" s="22"/>
      <c r="R1098" s="22"/>
      <c r="S1098" s="22"/>
      <c r="T1098" s="22"/>
      <c r="U1098" s="22"/>
      <c r="V1098" s="6"/>
      <c r="W1098" s="6"/>
      <c r="X1098" s="19"/>
      <c r="Y1098" s="6"/>
      <c r="Z1098" s="6"/>
      <c r="AA1098" s="6"/>
      <c r="AB1098" s="6"/>
      <c r="AC1098" s="6"/>
      <c r="AD1098" s="6"/>
      <c r="AE1098" s="6"/>
      <c r="AF1098" s="18">
        <v>2.7</v>
      </c>
      <c r="AG1098" s="18"/>
      <c r="AH1098" s="18"/>
      <c r="AI1098" s="18"/>
      <c r="AK1098" s="18"/>
      <c r="AL1098" s="18"/>
      <c r="AM1098" s="18"/>
      <c r="AN1098" s="18"/>
      <c r="AO1098" s="6"/>
      <c r="AP1098" s="32"/>
      <c r="AQ1098" s="32"/>
      <c r="AR1098" s="32"/>
      <c r="AS1098" s="32"/>
      <c r="AT1098" s="32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2"/>
      <c r="BF1098" s="32"/>
      <c r="BG1098" s="32"/>
      <c r="BH1098" s="32"/>
      <c r="BI1098" s="32"/>
      <c r="BJ1098" s="6"/>
      <c r="BK1098" s="6"/>
      <c r="BL1098" s="6" t="s">
        <v>112</v>
      </c>
      <c r="BO1098" s="15"/>
    </row>
    <row r="1099" spans="1:67" s="5" customFormat="1">
      <c r="A1099" s="6" t="s">
        <v>88</v>
      </c>
      <c r="B1099" s="6"/>
      <c r="C1099" s="17">
        <v>32157.242200000001</v>
      </c>
      <c r="D1099" s="22">
        <v>5.000085422768783</v>
      </c>
      <c r="E1099" s="6">
        <v>77.767208332208341</v>
      </c>
      <c r="F1099" s="22">
        <v>1440.1320475</v>
      </c>
      <c r="G1099" s="22"/>
      <c r="H1099" s="22">
        <v>409.03186110858917</v>
      </c>
      <c r="I1099" s="22"/>
      <c r="J1099" s="22">
        <v>443.12364581769651</v>
      </c>
      <c r="K1099" s="22"/>
      <c r="L1099" s="22"/>
      <c r="M1099" s="22"/>
      <c r="N1099" s="18"/>
      <c r="O1099" s="18"/>
      <c r="P1099" s="22">
        <v>1851.5748712125715</v>
      </c>
      <c r="Q1099" s="22"/>
      <c r="R1099" s="22"/>
      <c r="S1099" s="22"/>
      <c r="T1099" s="22">
        <v>2703.7303781388568</v>
      </c>
      <c r="U1099" s="22"/>
      <c r="V1099" s="22"/>
      <c r="W1099" s="22"/>
      <c r="X1099" s="19"/>
      <c r="Y1099" s="22"/>
      <c r="Z1099" s="22"/>
      <c r="AA1099" s="22"/>
      <c r="AB1099" s="22"/>
      <c r="AC1099" s="22"/>
      <c r="AD1099" s="22"/>
      <c r="AE1099" s="22"/>
      <c r="AF1099" s="18"/>
      <c r="AG1099" s="18">
        <v>8.8608290736543633</v>
      </c>
      <c r="AH1099" s="18"/>
      <c r="AI1099" s="18">
        <v>8.8805922490385303</v>
      </c>
      <c r="AK1099" s="18"/>
      <c r="AL1099" s="18"/>
      <c r="AM1099" s="40" t="s">
        <v>118</v>
      </c>
      <c r="AN1099" s="18"/>
      <c r="AO1099" s="22"/>
      <c r="AP1099" s="32"/>
      <c r="AQ1099" s="32"/>
      <c r="AR1099" s="32"/>
      <c r="AS1099" s="32"/>
      <c r="AT1099" s="32"/>
      <c r="AU1099" s="32"/>
      <c r="AV1099" s="32"/>
      <c r="AW1099" s="32"/>
      <c r="AX1099" s="32"/>
      <c r="AY1099" s="32"/>
      <c r="AZ1099" s="32"/>
      <c r="BA1099" s="32"/>
      <c r="BB1099" s="32"/>
      <c r="BC1099" s="32"/>
      <c r="BD1099" s="32"/>
      <c r="BE1099" s="32"/>
      <c r="BF1099" s="32"/>
      <c r="BG1099" s="32"/>
      <c r="BH1099" s="32"/>
      <c r="BI1099" s="32"/>
      <c r="BJ1099" s="22"/>
      <c r="BK1099" s="22"/>
      <c r="BL1099" s="22" t="s">
        <v>86</v>
      </c>
      <c r="BO1099" s="15"/>
    </row>
    <row r="1100" spans="1:67" s="5" customFormat="1">
      <c r="A1100" s="6" t="s">
        <v>88</v>
      </c>
      <c r="B1100" s="6"/>
      <c r="C1100" s="17">
        <v>32157.242200000001</v>
      </c>
      <c r="D1100" s="18">
        <v>5.000085422768783</v>
      </c>
      <c r="E1100" s="6"/>
      <c r="F1100" s="6"/>
      <c r="G1100" s="22"/>
      <c r="H1100" s="22"/>
      <c r="I1100" s="22"/>
      <c r="J1100" s="22"/>
      <c r="K1100" s="22"/>
      <c r="L1100" s="22"/>
      <c r="M1100" s="22"/>
      <c r="N1100" s="18"/>
      <c r="O1100" s="18"/>
      <c r="P1100" s="22"/>
      <c r="Q1100" s="22"/>
      <c r="R1100" s="22"/>
      <c r="S1100" s="22"/>
      <c r="T1100" s="22"/>
      <c r="U1100" s="22"/>
      <c r="V1100" s="6"/>
      <c r="W1100" s="6"/>
      <c r="X1100" s="19"/>
      <c r="Y1100" s="6"/>
      <c r="Z1100" s="6"/>
      <c r="AA1100" s="6"/>
      <c r="AB1100" s="6"/>
      <c r="AC1100" s="6"/>
      <c r="AD1100" s="6"/>
      <c r="AE1100" s="6"/>
      <c r="AF1100" s="18">
        <v>6.8</v>
      </c>
      <c r="AG1100" s="18"/>
      <c r="AH1100" s="18"/>
      <c r="AI1100" s="18"/>
      <c r="AK1100" s="18"/>
      <c r="AL1100" s="18"/>
      <c r="AM1100" s="18"/>
      <c r="AN1100" s="18"/>
      <c r="AO1100" s="6"/>
      <c r="AP1100" s="32"/>
      <c r="AQ1100" s="32"/>
      <c r="AR1100" s="32"/>
      <c r="AS1100" s="32"/>
      <c r="AT1100" s="32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2"/>
      <c r="BF1100" s="32"/>
      <c r="BG1100" s="32"/>
      <c r="BH1100" s="32"/>
      <c r="BI1100" s="32"/>
      <c r="BJ1100" s="6"/>
      <c r="BK1100" s="6"/>
      <c r="BL1100" s="6" t="s">
        <v>112</v>
      </c>
      <c r="BO1100" s="15"/>
    </row>
    <row r="1101" spans="1:67" s="5" customFormat="1">
      <c r="A1101" s="6" t="s">
        <v>87</v>
      </c>
      <c r="B1101" s="6"/>
      <c r="C1101" s="17">
        <v>32157.242200000001</v>
      </c>
      <c r="D1101" s="22">
        <v>5.000085422768783</v>
      </c>
      <c r="E1101" s="6">
        <v>77.767208332208341</v>
      </c>
      <c r="F1101" s="22">
        <v>1440.1320475</v>
      </c>
      <c r="G1101" s="22"/>
      <c r="H1101" s="22">
        <v>414.8270132811611</v>
      </c>
      <c r="I1101" s="22"/>
      <c r="J1101" s="22">
        <v>454.28783810333255</v>
      </c>
      <c r="K1101" s="22"/>
      <c r="L1101" s="22"/>
      <c r="M1101" s="22"/>
      <c r="N1101" s="18"/>
      <c r="O1101" s="18"/>
      <c r="P1101" s="22">
        <v>1906.9817075221777</v>
      </c>
      <c r="Q1101" s="22"/>
      <c r="R1101" s="22"/>
      <c r="S1101" s="22"/>
      <c r="T1101" s="22">
        <v>2776.0965589066714</v>
      </c>
      <c r="U1101" s="22"/>
      <c r="V1101" s="22"/>
      <c r="W1101" s="22"/>
      <c r="X1101" s="19"/>
      <c r="Y1101" s="22"/>
      <c r="Z1101" s="22"/>
      <c r="AA1101" s="22"/>
      <c r="AB1101" s="22"/>
      <c r="AC1101" s="22"/>
      <c r="AD1101" s="22"/>
      <c r="AE1101" s="22"/>
      <c r="AF1101" s="18"/>
      <c r="AG1101" s="18">
        <v>8.9589700862819797</v>
      </c>
      <c r="AH1101" s="18"/>
      <c r="AI1101" s="18">
        <v>9.0784014786635172</v>
      </c>
      <c r="AK1101" s="18"/>
      <c r="AL1101" s="18"/>
      <c r="AM1101" s="40" t="s">
        <v>118</v>
      </c>
      <c r="AN1101" s="18"/>
      <c r="AO1101" s="22"/>
      <c r="AP1101" s="32"/>
      <c r="AQ1101" s="32"/>
      <c r="AR1101" s="32"/>
      <c r="AS1101" s="32"/>
      <c r="AT1101" s="32"/>
      <c r="AU1101" s="32"/>
      <c r="AV1101" s="32"/>
      <c r="AW1101" s="32"/>
      <c r="AX1101" s="32"/>
      <c r="AY1101" s="32"/>
      <c r="AZ1101" s="32"/>
      <c r="BA1101" s="32"/>
      <c r="BB1101" s="32"/>
      <c r="BC1101" s="32"/>
      <c r="BD1101" s="32"/>
      <c r="BE1101" s="32"/>
      <c r="BF1101" s="32"/>
      <c r="BG1101" s="32"/>
      <c r="BH1101" s="32"/>
      <c r="BI1101" s="32"/>
      <c r="BJ1101" s="22"/>
      <c r="BK1101" s="22"/>
      <c r="BL1101" s="22" t="s">
        <v>86</v>
      </c>
      <c r="BO1101" s="15"/>
    </row>
    <row r="1102" spans="1:67" s="5" customFormat="1">
      <c r="A1102" s="6" t="s">
        <v>87</v>
      </c>
      <c r="B1102" s="6"/>
      <c r="C1102" s="17">
        <v>32157.242200000001</v>
      </c>
      <c r="D1102" s="18">
        <v>5.000085422768783</v>
      </c>
      <c r="E1102" s="6"/>
      <c r="F1102" s="6"/>
      <c r="G1102" s="22"/>
      <c r="H1102" s="22"/>
      <c r="I1102" s="22"/>
      <c r="J1102" s="22"/>
      <c r="K1102" s="22"/>
      <c r="L1102" s="22"/>
      <c r="M1102" s="22"/>
      <c r="N1102" s="18"/>
      <c r="O1102" s="18"/>
      <c r="P1102" s="22"/>
      <c r="Q1102" s="22"/>
      <c r="R1102" s="22"/>
      <c r="S1102" s="22"/>
      <c r="T1102" s="22"/>
      <c r="U1102" s="22"/>
      <c r="V1102" s="6"/>
      <c r="W1102" s="6"/>
      <c r="X1102" s="19"/>
      <c r="Y1102" s="6"/>
      <c r="Z1102" s="6"/>
      <c r="AA1102" s="6"/>
      <c r="AB1102" s="6"/>
      <c r="AC1102" s="6"/>
      <c r="AD1102" s="6"/>
      <c r="AE1102" s="6"/>
      <c r="AF1102" s="18">
        <v>5.8</v>
      </c>
      <c r="AG1102" s="18"/>
      <c r="AH1102" s="18"/>
      <c r="AI1102" s="18"/>
      <c r="AK1102" s="18"/>
      <c r="AL1102" s="18"/>
      <c r="AM1102" s="18"/>
      <c r="AN1102" s="18"/>
      <c r="AO1102" s="6"/>
      <c r="AP1102" s="32"/>
      <c r="AQ1102" s="32"/>
      <c r="AR1102" s="32"/>
      <c r="AS1102" s="32"/>
      <c r="AT1102" s="32"/>
      <c r="AU1102" s="32"/>
      <c r="AV1102" s="32"/>
      <c r="AW1102" s="32"/>
      <c r="AX1102" s="32"/>
      <c r="AY1102" s="32"/>
      <c r="AZ1102" s="32"/>
      <c r="BA1102" s="32"/>
      <c r="BB1102" s="32"/>
      <c r="BC1102" s="32"/>
      <c r="BD1102" s="32"/>
      <c r="BE1102" s="32"/>
      <c r="BF1102" s="32"/>
      <c r="BG1102" s="32"/>
      <c r="BH1102" s="32"/>
      <c r="BI1102" s="32"/>
      <c r="BJ1102" s="6"/>
      <c r="BK1102" s="6"/>
      <c r="BL1102" s="6" t="s">
        <v>112</v>
      </c>
      <c r="BO1102" s="15"/>
    </row>
    <row r="1103" spans="1:67" s="5" customFormat="1">
      <c r="A1103" s="6" t="s">
        <v>89</v>
      </c>
      <c r="B1103" s="6"/>
      <c r="C1103" s="17">
        <v>32157.242200000001</v>
      </c>
      <c r="D1103" s="22">
        <v>5.000085422768783</v>
      </c>
      <c r="E1103" s="6">
        <v>78.461697896697899</v>
      </c>
      <c r="F1103" s="22">
        <v>1452.9929525</v>
      </c>
      <c r="G1103" s="22"/>
      <c r="H1103" s="22">
        <v>577.99256347346659</v>
      </c>
      <c r="I1103" s="22"/>
      <c r="J1103" s="22">
        <v>790.50061146626251</v>
      </c>
      <c r="K1103" s="22"/>
      <c r="L1103" s="22"/>
      <c r="M1103" s="22"/>
      <c r="N1103" s="18"/>
      <c r="O1103" s="18"/>
      <c r="P1103" s="22">
        <v>3609.6297559095701</v>
      </c>
      <c r="Q1103" s="22"/>
      <c r="R1103" s="22"/>
      <c r="S1103" s="22"/>
      <c r="T1103" s="22">
        <v>4978.1229308492993</v>
      </c>
      <c r="U1103" s="22"/>
      <c r="V1103" s="22"/>
      <c r="W1103" s="22"/>
      <c r="X1103" s="19"/>
      <c r="Y1103" s="22"/>
      <c r="Z1103" s="22"/>
      <c r="AA1103" s="22"/>
      <c r="AB1103" s="22"/>
      <c r="AC1103" s="22"/>
      <c r="AD1103" s="22"/>
      <c r="AE1103" s="22"/>
      <c r="AF1103" s="18"/>
      <c r="AG1103" s="18">
        <v>11.33285779588163</v>
      </c>
      <c r="AH1103" s="18"/>
      <c r="AI1103" s="18">
        <v>14.656601615708871</v>
      </c>
      <c r="AK1103" s="18"/>
      <c r="AL1103" s="18"/>
      <c r="AM1103" s="40" t="s">
        <v>118</v>
      </c>
      <c r="AN1103" s="18"/>
      <c r="AO1103" s="22"/>
      <c r="AP1103" s="32"/>
      <c r="AQ1103" s="32"/>
      <c r="AR1103" s="32"/>
      <c r="AS1103" s="32"/>
      <c r="AT1103" s="32"/>
      <c r="AU1103" s="32"/>
      <c r="AV1103" s="32"/>
      <c r="AW1103" s="32"/>
      <c r="AX1103" s="32"/>
      <c r="AY1103" s="32"/>
      <c r="AZ1103" s="32"/>
      <c r="BA1103" s="32"/>
      <c r="BB1103" s="32"/>
      <c r="BC1103" s="32"/>
      <c r="BD1103" s="32"/>
      <c r="BE1103" s="32"/>
      <c r="BF1103" s="32"/>
      <c r="BG1103" s="32"/>
      <c r="BH1103" s="32"/>
      <c r="BI1103" s="32"/>
      <c r="BJ1103" s="22"/>
      <c r="BK1103" s="22"/>
      <c r="BL1103" s="22" t="s">
        <v>86</v>
      </c>
      <c r="BO1103" s="15"/>
    </row>
    <row r="1104" spans="1:67" s="5" customFormat="1">
      <c r="A1104" s="6" t="s">
        <v>89</v>
      </c>
      <c r="B1104" s="6"/>
      <c r="C1104" s="17">
        <v>32157.242200000001</v>
      </c>
      <c r="D1104" s="18">
        <v>5.000085422768783</v>
      </c>
      <c r="E1104" s="6"/>
      <c r="F1104" s="6"/>
      <c r="G1104" s="22"/>
      <c r="H1104" s="22"/>
      <c r="I1104" s="22"/>
      <c r="J1104" s="22"/>
      <c r="K1104" s="22"/>
      <c r="L1104" s="22"/>
      <c r="M1104" s="22"/>
      <c r="N1104" s="18"/>
      <c r="O1104" s="18"/>
      <c r="P1104" s="22"/>
      <c r="Q1104" s="22"/>
      <c r="R1104" s="22"/>
      <c r="S1104" s="22"/>
      <c r="T1104" s="22"/>
      <c r="U1104" s="22"/>
      <c r="V1104" s="6"/>
      <c r="W1104" s="6"/>
      <c r="X1104" s="19"/>
      <c r="Y1104" s="6"/>
      <c r="Z1104" s="6"/>
      <c r="AA1104" s="6"/>
      <c r="AB1104" s="6"/>
      <c r="AC1104" s="6"/>
      <c r="AD1104" s="6"/>
      <c r="AE1104" s="6"/>
      <c r="AF1104" s="18">
        <v>7.2</v>
      </c>
      <c r="AG1104" s="18"/>
      <c r="AH1104" s="18"/>
      <c r="AI1104" s="18"/>
      <c r="AK1104" s="18"/>
      <c r="AL1104" s="18"/>
      <c r="AM1104" s="18"/>
      <c r="AN1104" s="18"/>
      <c r="AO1104" s="6"/>
      <c r="AP1104" s="32"/>
      <c r="AQ1104" s="32"/>
      <c r="AR1104" s="32"/>
      <c r="AS1104" s="32"/>
      <c r="AT1104" s="32"/>
      <c r="AU1104" s="32"/>
      <c r="AV1104" s="32"/>
      <c r="AW1104" s="32"/>
      <c r="AX1104" s="32"/>
      <c r="AY1104" s="32"/>
      <c r="AZ1104" s="32"/>
      <c r="BA1104" s="32"/>
      <c r="BB1104" s="32"/>
      <c r="BC1104" s="32"/>
      <c r="BD1104" s="32"/>
      <c r="BE1104" s="32"/>
      <c r="BF1104" s="32"/>
      <c r="BG1104" s="32"/>
      <c r="BH1104" s="32"/>
      <c r="BI1104" s="32"/>
      <c r="BJ1104" s="6"/>
      <c r="BK1104" s="6"/>
      <c r="BL1104" s="6" t="s">
        <v>112</v>
      </c>
      <c r="BO1104" s="15"/>
    </row>
    <row r="1105" spans="1:67" s="5" customFormat="1">
      <c r="A1105" s="6" t="s">
        <v>90</v>
      </c>
      <c r="B1105" s="6"/>
      <c r="C1105" s="17">
        <v>32157.242200000001</v>
      </c>
      <c r="D1105" s="22">
        <v>5.000085422768783</v>
      </c>
      <c r="E1105" s="6">
        <v>77.767208332208341</v>
      </c>
      <c r="F1105" s="22">
        <v>1440.1320475</v>
      </c>
      <c r="G1105" s="22"/>
      <c r="H1105" s="22">
        <v>242.57138824301995</v>
      </c>
      <c r="I1105" s="22"/>
      <c r="J1105" s="22">
        <v>65.490733318806832</v>
      </c>
      <c r="K1105" s="22"/>
      <c r="L1105" s="22"/>
      <c r="M1105" s="22"/>
      <c r="N1105" s="18"/>
      <c r="O1105" s="18"/>
      <c r="P1105" s="22">
        <v>620.79674010822589</v>
      </c>
      <c r="Q1105" s="22"/>
      <c r="R1105" s="22"/>
      <c r="S1105" s="22"/>
      <c r="T1105" s="22">
        <v>928.85886167005265</v>
      </c>
      <c r="U1105" s="22"/>
      <c r="V1105" s="22"/>
      <c r="W1105" s="22"/>
      <c r="X1105" s="19"/>
      <c r="Y1105" s="22"/>
      <c r="Z1105" s="22"/>
      <c r="AA1105" s="22"/>
      <c r="AB1105" s="22"/>
      <c r="AC1105" s="22"/>
      <c r="AD1105" s="22"/>
      <c r="AE1105" s="22"/>
      <c r="AF1105" s="18"/>
      <c r="AG1105" s="18">
        <v>5.5157059145715177</v>
      </c>
      <c r="AH1105" s="18"/>
      <c r="AI1105" s="18">
        <v>3.4410851294965896</v>
      </c>
      <c r="AK1105" s="18"/>
      <c r="AL1105" s="18"/>
      <c r="AM1105" s="40" t="s">
        <v>118</v>
      </c>
      <c r="AN1105" s="18"/>
      <c r="AO1105" s="22"/>
      <c r="AP1105" s="32"/>
      <c r="AQ1105" s="32"/>
      <c r="AR1105" s="32"/>
      <c r="AS1105" s="32"/>
      <c r="AT1105" s="32"/>
      <c r="AU1105" s="32"/>
      <c r="AV1105" s="32"/>
      <c r="AW1105" s="32"/>
      <c r="AX1105" s="32"/>
      <c r="AY1105" s="32"/>
      <c r="AZ1105" s="32"/>
      <c r="BA1105" s="32"/>
      <c r="BB1105" s="32"/>
      <c r="BC1105" s="32"/>
      <c r="BD1105" s="32"/>
      <c r="BE1105" s="32"/>
      <c r="BF1105" s="32"/>
      <c r="BG1105" s="32"/>
      <c r="BH1105" s="32"/>
      <c r="BI1105" s="32"/>
      <c r="BJ1105" s="22"/>
      <c r="BK1105" s="22"/>
      <c r="BL1105" s="22" t="s">
        <v>86</v>
      </c>
      <c r="BO1105" s="15"/>
    </row>
    <row r="1106" spans="1:67" s="5" customFormat="1" ht="13.25" customHeight="1">
      <c r="A1106" s="6" t="s">
        <v>92</v>
      </c>
      <c r="B1106" s="6"/>
      <c r="C1106" s="17">
        <v>32157.242200000001</v>
      </c>
      <c r="D1106" s="22">
        <v>5.000085422768783</v>
      </c>
      <c r="E1106" s="6">
        <v>74.295593730593737</v>
      </c>
      <c r="F1106" s="22">
        <v>1375.8429524999999</v>
      </c>
      <c r="G1106" s="22"/>
      <c r="H1106" s="22">
        <v>455.79211469679967</v>
      </c>
      <c r="I1106" s="22"/>
      <c r="J1106" s="22">
        <v>370.03170365585532</v>
      </c>
      <c r="K1106" s="22"/>
      <c r="L1106" s="22"/>
      <c r="M1106" s="22"/>
      <c r="N1106" s="18"/>
      <c r="O1106" s="18"/>
      <c r="P1106" s="22">
        <v>2689.5217118671385</v>
      </c>
      <c r="Q1106" s="22"/>
      <c r="R1106" s="22"/>
      <c r="S1106" s="22"/>
      <c r="T1106" s="22">
        <v>3515.3455302197935</v>
      </c>
      <c r="U1106" s="22"/>
      <c r="V1106" s="22"/>
      <c r="W1106" s="22"/>
      <c r="X1106" s="19"/>
      <c r="Y1106" s="22"/>
      <c r="Z1106" s="22"/>
      <c r="AA1106" s="22"/>
      <c r="AB1106" s="22"/>
      <c r="AC1106" s="22"/>
      <c r="AD1106" s="22"/>
      <c r="AE1106" s="22"/>
      <c r="AF1106" s="18"/>
      <c r="AG1106" s="18">
        <v>9.6114032467072743</v>
      </c>
      <c r="AH1106" s="18"/>
      <c r="AI1106" s="18">
        <v>9.9823629746972617</v>
      </c>
      <c r="AK1106" s="18"/>
      <c r="AL1106" s="18"/>
      <c r="AM1106" s="40" t="s">
        <v>118</v>
      </c>
      <c r="AN1106" s="18"/>
      <c r="AO1106" s="22"/>
      <c r="AP1106" s="32"/>
      <c r="AQ1106" s="32"/>
      <c r="AR1106" s="32"/>
      <c r="AS1106" s="32"/>
      <c r="AT1106" s="32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2"/>
      <c r="BF1106" s="32"/>
      <c r="BG1106" s="32"/>
      <c r="BH1106" s="32"/>
      <c r="BI1106" s="32"/>
      <c r="BJ1106" s="22"/>
      <c r="BK1106" s="22"/>
      <c r="BL1106" s="22" t="s">
        <v>86</v>
      </c>
      <c r="BO1106" s="15"/>
    </row>
    <row r="1107" spans="1:67" s="5" customFormat="1">
      <c r="A1107" s="6" t="s">
        <v>91</v>
      </c>
      <c r="B1107" s="6"/>
      <c r="C1107" s="17">
        <v>32157.242200000001</v>
      </c>
      <c r="D1107" s="22">
        <v>5.000085422768783</v>
      </c>
      <c r="E1107" s="6">
        <v>77.072927072927072</v>
      </c>
      <c r="F1107" s="22">
        <v>1427.2750000000001</v>
      </c>
      <c r="G1107" s="22"/>
      <c r="H1107" s="22">
        <v>460.82732183065639</v>
      </c>
      <c r="I1107" s="22"/>
      <c r="J1107" s="22">
        <v>362.25536123937724</v>
      </c>
      <c r="K1107" s="22"/>
      <c r="L1107" s="22"/>
      <c r="M1107" s="22"/>
      <c r="N1107" s="18"/>
      <c r="O1107" s="18"/>
      <c r="P1107" s="22">
        <v>2657.8198004421552</v>
      </c>
      <c r="Q1107" s="22"/>
      <c r="R1107" s="22"/>
      <c r="S1107" s="22"/>
      <c r="T1107" s="22">
        <v>3480.9024835121886</v>
      </c>
      <c r="U1107" s="22"/>
      <c r="V1107" s="22"/>
      <c r="W1107" s="22"/>
      <c r="X1107" s="19"/>
      <c r="Y1107" s="22"/>
      <c r="Z1107" s="22"/>
      <c r="AA1107" s="22"/>
      <c r="AB1107" s="22"/>
      <c r="AC1107" s="22"/>
      <c r="AD1107" s="22"/>
      <c r="AE1107" s="22"/>
      <c r="AF1107" s="18"/>
      <c r="AG1107" s="18">
        <v>9.4414793212488313</v>
      </c>
      <c r="AH1107" s="18"/>
      <c r="AI1107" s="18">
        <v>9.9926033405169932</v>
      </c>
      <c r="AK1107" s="18"/>
      <c r="AL1107" s="18"/>
      <c r="AM1107" s="40" t="s">
        <v>118</v>
      </c>
      <c r="AN1107" s="18"/>
      <c r="AO1107" s="22"/>
      <c r="AP1107" s="32"/>
      <c r="AQ1107" s="32"/>
      <c r="AR1107" s="32"/>
      <c r="AS1107" s="32"/>
      <c r="AT1107" s="32"/>
      <c r="AU1107" s="32"/>
      <c r="AV1107" s="32"/>
      <c r="AW1107" s="32"/>
      <c r="AX1107" s="32"/>
      <c r="AY1107" s="32"/>
      <c r="AZ1107" s="32"/>
      <c r="BA1107" s="32"/>
      <c r="BB1107" s="32"/>
      <c r="BC1107" s="32"/>
      <c r="BD1107" s="32"/>
      <c r="BE1107" s="32"/>
      <c r="BF1107" s="32"/>
      <c r="BG1107" s="32"/>
      <c r="BH1107" s="32"/>
      <c r="BI1107" s="32"/>
      <c r="BJ1107" s="22"/>
      <c r="BK1107" s="22"/>
      <c r="BL1107" s="22" t="s">
        <v>86</v>
      </c>
      <c r="BO1107" s="15"/>
    </row>
    <row r="1108" spans="1:67" s="5" customFormat="1">
      <c r="A1108" s="6" t="s">
        <v>93</v>
      </c>
      <c r="B1108" s="6"/>
      <c r="C1108" s="17">
        <v>32157.242200000001</v>
      </c>
      <c r="D1108" s="22">
        <v>5.000085422768783</v>
      </c>
      <c r="E1108" s="6">
        <v>71.518052083052083</v>
      </c>
      <c r="F1108" s="22">
        <v>1324.4070475000001</v>
      </c>
      <c r="G1108" s="22"/>
      <c r="H1108" s="22">
        <v>628.07583454612154</v>
      </c>
      <c r="I1108" s="22"/>
      <c r="J1108" s="22">
        <v>751.79021160705986</v>
      </c>
      <c r="K1108" s="22"/>
      <c r="L1108" s="22"/>
      <c r="M1108" s="22"/>
      <c r="N1108" s="18"/>
      <c r="O1108" s="18"/>
      <c r="P1108" s="22">
        <v>4815.7434119823838</v>
      </c>
      <c r="Q1108" s="22"/>
      <c r="R1108" s="22"/>
      <c r="S1108" s="22"/>
      <c r="T1108" s="22">
        <v>6195.6094581355655</v>
      </c>
      <c r="U1108" s="22"/>
      <c r="V1108" s="22"/>
      <c r="W1108" s="22"/>
      <c r="X1108" s="19"/>
      <c r="Y1108" s="22"/>
      <c r="Z1108" s="22"/>
      <c r="AA1108" s="22"/>
      <c r="AB1108" s="22"/>
      <c r="AC1108" s="22"/>
      <c r="AD1108" s="22"/>
      <c r="AE1108" s="22"/>
      <c r="AF1108" s="18"/>
      <c r="AG1108" s="18">
        <v>12.072582975170516</v>
      </c>
      <c r="AH1108" s="18"/>
      <c r="AI1108" s="18">
        <v>15.16047393231176</v>
      </c>
      <c r="AK1108" s="18"/>
      <c r="AL1108" s="18"/>
      <c r="AM1108" s="40" t="s">
        <v>118</v>
      </c>
      <c r="AN1108" s="18"/>
      <c r="AO1108" s="22"/>
      <c r="AP1108" s="32"/>
      <c r="AQ1108" s="32"/>
      <c r="AR1108" s="32"/>
      <c r="AS1108" s="32"/>
      <c r="AT1108" s="32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2"/>
      <c r="BF1108" s="32"/>
      <c r="BG1108" s="32"/>
      <c r="BH1108" s="32"/>
      <c r="BI1108" s="32"/>
      <c r="BJ1108" s="22"/>
      <c r="BK1108" s="22"/>
      <c r="BL1108" s="22" t="s">
        <v>86</v>
      </c>
      <c r="BO1108" s="15"/>
    </row>
    <row r="1109" spans="1:67" s="5" customFormat="1">
      <c r="A1109" s="6" t="s">
        <v>85</v>
      </c>
      <c r="B1109" s="6"/>
      <c r="C1109" s="17">
        <v>32522.484400000001</v>
      </c>
      <c r="D1109" s="22">
        <v>6.0000854227687848</v>
      </c>
      <c r="E1109" s="6">
        <v>77.072927072927072</v>
      </c>
      <c r="F1109" s="22">
        <v>1427.2750000000001</v>
      </c>
      <c r="G1109" s="22"/>
      <c r="H1109" s="22">
        <v>188.38296885673418</v>
      </c>
      <c r="I1109" s="22"/>
      <c r="J1109" s="22">
        <v>110.04468420111527</v>
      </c>
      <c r="K1109" s="22"/>
      <c r="L1109" s="22"/>
      <c r="M1109" s="22"/>
      <c r="N1109" s="18">
        <v>6.2573426573426572</v>
      </c>
      <c r="O1109" s="18"/>
      <c r="P1109" s="22">
        <v>351.57087048237162</v>
      </c>
      <c r="Q1109" s="22"/>
      <c r="R1109" s="22"/>
      <c r="S1109" s="22"/>
      <c r="T1109" s="22">
        <v>649.99852354022107</v>
      </c>
      <c r="U1109" s="22"/>
      <c r="V1109" s="22"/>
      <c r="W1109" s="22"/>
      <c r="X1109" s="19"/>
      <c r="Y1109" s="22"/>
      <c r="Z1109" s="22"/>
      <c r="AA1109" s="22"/>
      <c r="AB1109" s="22"/>
      <c r="AC1109" s="22"/>
      <c r="AD1109" s="22"/>
      <c r="AE1109" s="22"/>
      <c r="AF1109" s="18"/>
      <c r="AG1109" s="18">
        <v>4.7795165479101689</v>
      </c>
      <c r="AH1109" s="18"/>
      <c r="AI1109" s="18">
        <v>2.5607459522564411</v>
      </c>
      <c r="AK1109" s="18"/>
      <c r="AL1109" s="18"/>
      <c r="AM1109" s="40">
        <v>1.0428755953369675</v>
      </c>
      <c r="AN1109" s="18"/>
      <c r="AO1109" s="22"/>
      <c r="AP1109" s="32"/>
      <c r="AQ1109" s="32"/>
      <c r="AR1109" s="32"/>
      <c r="AS1109" s="32"/>
      <c r="AT1109" s="32"/>
      <c r="AU1109" s="32"/>
      <c r="AV1109" s="32"/>
      <c r="AW1109" s="32"/>
      <c r="AX1109" s="32"/>
      <c r="AY1109" s="32"/>
      <c r="AZ1109" s="32"/>
      <c r="BA1109" s="32"/>
      <c r="BB1109" s="32"/>
      <c r="BC1109" s="32"/>
      <c r="BD1109" s="32"/>
      <c r="BE1109" s="32"/>
      <c r="BF1109" s="32"/>
      <c r="BG1109" s="32"/>
      <c r="BH1109" s="32"/>
      <c r="BI1109" s="32"/>
      <c r="BJ1109" s="22"/>
      <c r="BK1109" s="22"/>
      <c r="BL1109" s="22" t="s">
        <v>86</v>
      </c>
      <c r="BO1109" s="15"/>
    </row>
    <row r="1110" spans="1:67" s="5" customFormat="1">
      <c r="A1110" s="6" t="s">
        <v>85</v>
      </c>
      <c r="B1110" s="6"/>
      <c r="C1110" s="17">
        <v>32522.484400000001</v>
      </c>
      <c r="D1110" s="18">
        <v>6.0000854227687848</v>
      </c>
      <c r="E1110" s="6"/>
      <c r="F1110" s="6"/>
      <c r="G1110" s="22"/>
      <c r="H1110" s="22"/>
      <c r="I1110" s="22"/>
      <c r="J1110" s="22"/>
      <c r="K1110" s="22"/>
      <c r="L1110" s="22"/>
      <c r="M1110" s="22"/>
      <c r="N1110" s="18"/>
      <c r="O1110" s="18"/>
      <c r="P1110" s="22"/>
      <c r="Q1110" s="22"/>
      <c r="R1110" s="22"/>
      <c r="S1110" s="22"/>
      <c r="T1110" s="22"/>
      <c r="U1110" s="22"/>
      <c r="V1110" s="6"/>
      <c r="W1110" s="6"/>
      <c r="X1110" s="19"/>
      <c r="Y1110" s="6"/>
      <c r="Z1110" s="6"/>
      <c r="AA1110" s="6"/>
      <c r="AB1110" s="6"/>
      <c r="AC1110" s="6"/>
      <c r="AD1110" s="6"/>
      <c r="AE1110" s="6"/>
      <c r="AF1110" s="18">
        <v>3.6</v>
      </c>
      <c r="AG1110" s="18"/>
      <c r="AH1110" s="18"/>
      <c r="AI1110" s="18"/>
      <c r="AK1110" s="18"/>
      <c r="AL1110" s="18"/>
      <c r="AM1110" s="18"/>
      <c r="AN1110" s="18"/>
      <c r="AO1110" s="6"/>
      <c r="AP1110" s="32"/>
      <c r="AQ1110" s="32"/>
      <c r="AR1110" s="32"/>
      <c r="AS1110" s="32"/>
      <c r="AT1110" s="32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2"/>
      <c r="BF1110" s="32"/>
      <c r="BG1110" s="32"/>
      <c r="BH1110" s="32"/>
      <c r="BI1110" s="32"/>
      <c r="BJ1110" s="6"/>
      <c r="BK1110" s="6"/>
      <c r="BL1110" s="6" t="s">
        <v>112</v>
      </c>
      <c r="BO1110" s="15"/>
    </row>
    <row r="1111" spans="1:67" s="5" customFormat="1" ht="13.25" customHeight="1">
      <c r="A1111" s="6" t="s">
        <v>88</v>
      </c>
      <c r="B1111" s="6"/>
      <c r="C1111" s="17">
        <v>32522.484400000001</v>
      </c>
      <c r="D1111" s="22">
        <v>6.0000854227687848</v>
      </c>
      <c r="E1111" s="6">
        <v>77.072927072927072</v>
      </c>
      <c r="F1111" s="22">
        <v>1427.2750000000001</v>
      </c>
      <c r="G1111" s="22"/>
      <c r="H1111" s="22">
        <v>488.13756513152504</v>
      </c>
      <c r="I1111" s="22"/>
      <c r="J1111" s="22">
        <v>664.13422554017347</v>
      </c>
      <c r="K1111" s="22"/>
      <c r="L1111" s="22"/>
      <c r="M1111" s="22"/>
      <c r="N1111" s="18">
        <v>48.78671328671328</v>
      </c>
      <c r="O1111" s="18"/>
      <c r="P1111" s="22">
        <v>3183.6402060956452</v>
      </c>
      <c r="Q1111" s="22"/>
      <c r="R1111" s="22"/>
      <c r="S1111" s="22"/>
      <c r="T1111" s="22">
        <v>4335.9119967673441</v>
      </c>
      <c r="U1111" s="22"/>
      <c r="V1111" s="22"/>
      <c r="W1111" s="22"/>
      <c r="X1111" s="19"/>
      <c r="Y1111" s="22"/>
      <c r="Z1111" s="22"/>
      <c r="AA1111" s="22"/>
      <c r="AB1111" s="22"/>
      <c r="AC1111" s="22"/>
      <c r="AD1111" s="22"/>
      <c r="AE1111" s="22"/>
      <c r="AF1111" s="18"/>
      <c r="AG1111" s="18">
        <v>10.885854377421458</v>
      </c>
      <c r="AH1111" s="18"/>
      <c r="AI1111" s="18">
        <v>13.28383879043715</v>
      </c>
      <c r="AK1111" s="18"/>
      <c r="AL1111" s="18"/>
      <c r="AM1111" s="40">
        <v>8.1310031189856424</v>
      </c>
      <c r="AN1111" s="18"/>
      <c r="AO1111" s="22"/>
      <c r="AP1111" s="32"/>
      <c r="AQ1111" s="32"/>
      <c r="AR1111" s="32"/>
      <c r="AS1111" s="32"/>
      <c r="AT1111" s="32"/>
      <c r="AU1111" s="32"/>
      <c r="AV1111" s="32"/>
      <c r="AW1111" s="32"/>
      <c r="AX1111" s="32"/>
      <c r="AY1111" s="32"/>
      <c r="AZ1111" s="32"/>
      <c r="BA1111" s="32"/>
      <c r="BB1111" s="32"/>
      <c r="BC1111" s="32"/>
      <c r="BD1111" s="32"/>
      <c r="BE1111" s="32"/>
      <c r="BF1111" s="32"/>
      <c r="BG1111" s="32"/>
      <c r="BH1111" s="32"/>
      <c r="BI1111" s="32"/>
      <c r="BJ1111" s="22"/>
      <c r="BK1111" s="22"/>
      <c r="BL1111" s="22" t="s">
        <v>86</v>
      </c>
      <c r="BO1111" s="15"/>
    </row>
    <row r="1112" spans="1:67" s="5" customFormat="1">
      <c r="A1112" s="6" t="s">
        <v>88</v>
      </c>
      <c r="B1112" s="6"/>
      <c r="C1112" s="17">
        <v>32522.484400000001</v>
      </c>
      <c r="D1112" s="18">
        <v>6.0000854227687848</v>
      </c>
      <c r="E1112" s="6"/>
      <c r="F1112" s="6"/>
      <c r="G1112" s="22"/>
      <c r="H1112" s="22"/>
      <c r="I1112" s="22"/>
      <c r="J1112" s="22"/>
      <c r="K1112" s="22"/>
      <c r="L1112" s="22"/>
      <c r="M1112" s="22"/>
      <c r="N1112" s="18"/>
      <c r="O1112" s="18"/>
      <c r="P1112" s="22"/>
      <c r="Q1112" s="22"/>
      <c r="R1112" s="22"/>
      <c r="S1112" s="22"/>
      <c r="T1112" s="22"/>
      <c r="U1112" s="22"/>
      <c r="V1112" s="6"/>
      <c r="W1112" s="6"/>
      <c r="X1112" s="19"/>
      <c r="Y1112" s="6"/>
      <c r="Z1112" s="6"/>
      <c r="AA1112" s="6"/>
      <c r="AB1112" s="6"/>
      <c r="AC1112" s="6"/>
      <c r="AD1112" s="6"/>
      <c r="AE1112" s="6"/>
      <c r="AF1112" s="18">
        <v>7.6</v>
      </c>
      <c r="AG1112" s="18"/>
      <c r="AH1112" s="18"/>
      <c r="AI1112" s="18"/>
      <c r="AK1112" s="18"/>
      <c r="AL1112" s="18"/>
      <c r="AM1112" s="18"/>
      <c r="AN1112" s="18"/>
      <c r="AO1112" s="6"/>
      <c r="AP1112" s="32"/>
      <c r="AQ1112" s="32"/>
      <c r="AR1112" s="32"/>
      <c r="AS1112" s="32"/>
      <c r="AT1112" s="32"/>
      <c r="AU1112" s="32"/>
      <c r="AV1112" s="32"/>
      <c r="AW1112" s="32"/>
      <c r="AX1112" s="32"/>
      <c r="AY1112" s="32"/>
      <c r="AZ1112" s="32"/>
      <c r="BA1112" s="32"/>
      <c r="BB1112" s="32"/>
      <c r="BC1112" s="32"/>
      <c r="BD1112" s="32"/>
      <c r="BE1112" s="32"/>
      <c r="BF1112" s="32"/>
      <c r="BG1112" s="32"/>
      <c r="BH1112" s="32"/>
      <c r="BI1112" s="32"/>
      <c r="BJ1112" s="6"/>
      <c r="BK1112" s="6"/>
      <c r="BL1112" s="6" t="s">
        <v>112</v>
      </c>
      <c r="BO1112" s="15"/>
    </row>
    <row r="1113" spans="1:67" s="5" customFormat="1" ht="13.25" customHeight="1">
      <c r="A1113" s="6" t="s">
        <v>87</v>
      </c>
      <c r="B1113" s="6"/>
      <c r="C1113" s="17">
        <v>32522.484400000001</v>
      </c>
      <c r="D1113" s="22">
        <v>6.0000854227687848</v>
      </c>
      <c r="E1113" s="6">
        <v>77.072927072927072</v>
      </c>
      <c r="F1113" s="22">
        <v>1427.2750000000001</v>
      </c>
      <c r="G1113" s="22"/>
      <c r="H1113" s="22">
        <v>469.14274411571159</v>
      </c>
      <c r="I1113" s="22"/>
      <c r="J1113" s="22">
        <v>622.03439245998231</v>
      </c>
      <c r="K1113" s="22"/>
      <c r="L1113" s="22"/>
      <c r="M1113" s="22"/>
      <c r="N1113" s="18">
        <v>43.774125874125872</v>
      </c>
      <c r="O1113" s="18"/>
      <c r="P1113" s="22">
        <v>2954.8728128751877</v>
      </c>
      <c r="Q1113" s="22"/>
      <c r="R1113" s="22"/>
      <c r="S1113" s="22"/>
      <c r="T1113" s="22">
        <v>4046.0499494508817</v>
      </c>
      <c r="U1113" s="22"/>
      <c r="V1113" s="22"/>
      <c r="W1113" s="22"/>
      <c r="X1113" s="19"/>
      <c r="Y1113" s="22"/>
      <c r="Z1113" s="22"/>
      <c r="AA1113" s="22"/>
      <c r="AB1113" s="22"/>
      <c r="AC1113" s="22"/>
      <c r="AD1113" s="22"/>
      <c r="AE1113" s="22"/>
      <c r="AF1113" s="18"/>
      <c r="AG1113" s="18">
        <v>10.586787770834141</v>
      </c>
      <c r="AH1113" s="18"/>
      <c r="AI1113" s="18">
        <v>12.563972287797831</v>
      </c>
      <c r="AK1113" s="18"/>
      <c r="AL1113" s="18"/>
      <c r="AM1113" s="40">
        <v>7.2955837775266161</v>
      </c>
      <c r="AN1113" s="18"/>
      <c r="AO1113" s="22"/>
      <c r="AP1113" s="32"/>
      <c r="AQ1113" s="32"/>
      <c r="AR1113" s="32"/>
      <c r="AS1113" s="32"/>
      <c r="AT1113" s="32"/>
      <c r="AU1113" s="32"/>
      <c r="AV1113" s="32"/>
      <c r="AW1113" s="32"/>
      <c r="AX1113" s="32"/>
      <c r="AY1113" s="32"/>
      <c r="AZ1113" s="32"/>
      <c r="BA1113" s="32"/>
      <c r="BB1113" s="32"/>
      <c r="BC1113" s="32"/>
      <c r="BD1113" s="32"/>
      <c r="BE1113" s="32"/>
      <c r="BF1113" s="32"/>
      <c r="BG1113" s="32"/>
      <c r="BH1113" s="32"/>
      <c r="BI1113" s="32"/>
      <c r="BJ1113" s="22"/>
      <c r="BK1113" s="22"/>
      <c r="BL1113" s="22" t="s">
        <v>86</v>
      </c>
      <c r="BO1113" s="15"/>
    </row>
    <row r="1114" spans="1:67" s="5" customFormat="1" ht="13.25" customHeight="1">
      <c r="A1114" s="6" t="s">
        <v>87</v>
      </c>
      <c r="B1114" s="6"/>
      <c r="C1114" s="17">
        <v>32522.484400000001</v>
      </c>
      <c r="D1114" s="18">
        <v>6.0000854227687848</v>
      </c>
      <c r="E1114" s="6"/>
      <c r="F1114" s="6"/>
      <c r="G1114" s="22"/>
      <c r="H1114" s="22"/>
      <c r="I1114" s="22"/>
      <c r="J1114" s="22"/>
      <c r="K1114" s="22"/>
      <c r="L1114" s="22"/>
      <c r="M1114" s="22"/>
      <c r="N1114" s="18"/>
      <c r="O1114" s="18"/>
      <c r="P1114" s="22"/>
      <c r="Q1114" s="22"/>
      <c r="R1114" s="22"/>
      <c r="S1114" s="22"/>
      <c r="T1114" s="22"/>
      <c r="U1114" s="22"/>
      <c r="V1114" s="6"/>
      <c r="W1114" s="6"/>
      <c r="X1114" s="19"/>
      <c r="Y1114" s="6"/>
      <c r="Z1114" s="6"/>
      <c r="AA1114" s="6"/>
      <c r="AB1114" s="6"/>
      <c r="AC1114" s="6"/>
      <c r="AD1114" s="6"/>
      <c r="AE1114" s="6"/>
      <c r="AF1114" s="18">
        <v>7.1</v>
      </c>
      <c r="AG1114" s="18"/>
      <c r="AH1114" s="18"/>
      <c r="AI1114" s="18"/>
      <c r="AK1114" s="18"/>
      <c r="AL1114" s="18"/>
      <c r="AM1114" s="18"/>
      <c r="AN1114" s="18"/>
      <c r="AO1114" s="6"/>
      <c r="AP1114" s="32"/>
      <c r="AQ1114" s="32"/>
      <c r="AR1114" s="32"/>
      <c r="AS1114" s="32"/>
      <c r="AT1114" s="32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2"/>
      <c r="BF1114" s="32"/>
      <c r="BG1114" s="32"/>
      <c r="BH1114" s="32"/>
      <c r="BI1114" s="32"/>
      <c r="BJ1114" s="6"/>
      <c r="BK1114" s="6"/>
      <c r="BL1114" s="6" t="s">
        <v>112</v>
      </c>
      <c r="BO1114" s="15"/>
    </row>
    <row r="1115" spans="1:67" s="5" customFormat="1" ht="13.25" customHeight="1">
      <c r="A1115" s="6" t="s">
        <v>89</v>
      </c>
      <c r="B1115" s="6"/>
      <c r="C1115" s="17">
        <v>32522.484400000001</v>
      </c>
      <c r="D1115" s="22">
        <v>6.0000854227687848</v>
      </c>
      <c r="E1115" s="6">
        <v>78.461697896697899</v>
      </c>
      <c r="F1115" s="22">
        <v>1452.9929525</v>
      </c>
      <c r="G1115" s="22"/>
      <c r="H1115" s="22">
        <v>650.62136208923971</v>
      </c>
      <c r="I1115" s="22"/>
      <c r="J1115" s="22">
        <v>1036.5791089788881</v>
      </c>
      <c r="K1115" s="22"/>
      <c r="L1115" s="22"/>
      <c r="M1115" s="22"/>
      <c r="N1115" s="18">
        <v>78.37342657342657</v>
      </c>
      <c r="O1115" s="18"/>
      <c r="P1115" s="22">
        <v>5209.7621074189137</v>
      </c>
      <c r="Q1115" s="22"/>
      <c r="R1115" s="22"/>
      <c r="S1115" s="22"/>
      <c r="T1115" s="22">
        <v>6896.9625784870414</v>
      </c>
      <c r="U1115" s="22"/>
      <c r="V1115" s="22"/>
      <c r="W1115" s="22"/>
      <c r="X1115" s="19"/>
      <c r="Y1115" s="22"/>
      <c r="Z1115" s="22"/>
      <c r="AA1115" s="22"/>
      <c r="AB1115" s="22"/>
      <c r="AC1115" s="22"/>
      <c r="AD1115" s="22"/>
      <c r="AE1115" s="22"/>
      <c r="AF1115" s="18"/>
      <c r="AG1115" s="18">
        <v>12.997824008646582</v>
      </c>
      <c r="AH1115" s="18"/>
      <c r="AI1115" s="18">
        <v>19.279497458967473</v>
      </c>
      <c r="AK1115" s="18"/>
      <c r="AL1115" s="18"/>
      <c r="AM1115" s="40">
        <v>13.062051796132689</v>
      </c>
      <c r="AN1115" s="18"/>
      <c r="AO1115" s="22"/>
      <c r="AP1115" s="32"/>
      <c r="AQ1115" s="32"/>
      <c r="AR1115" s="32"/>
      <c r="AS1115" s="32"/>
      <c r="AT1115" s="32"/>
      <c r="AU1115" s="32"/>
      <c r="AV1115" s="32"/>
      <c r="AW1115" s="32"/>
      <c r="AX1115" s="32"/>
      <c r="AY1115" s="32"/>
      <c r="AZ1115" s="32"/>
      <c r="BA1115" s="32"/>
      <c r="BB1115" s="32"/>
      <c r="BC1115" s="32"/>
      <c r="BD1115" s="32"/>
      <c r="BE1115" s="32"/>
      <c r="BF1115" s="32"/>
      <c r="BG1115" s="32"/>
      <c r="BH1115" s="32"/>
      <c r="BI1115" s="32"/>
      <c r="BJ1115" s="22"/>
      <c r="BK1115" s="22"/>
      <c r="BL1115" s="22" t="s">
        <v>86</v>
      </c>
      <c r="BO1115" s="15"/>
    </row>
    <row r="1116" spans="1:67" s="5" customFormat="1" ht="13.25" customHeight="1">
      <c r="A1116" s="6" t="s">
        <v>89</v>
      </c>
      <c r="B1116" s="6"/>
      <c r="C1116" s="17">
        <v>32522.484400000001</v>
      </c>
      <c r="D1116" s="18">
        <v>6.0000854227687848</v>
      </c>
      <c r="E1116" s="6"/>
      <c r="F1116" s="6"/>
      <c r="G1116" s="22"/>
      <c r="H1116" s="22"/>
      <c r="I1116" s="22"/>
      <c r="J1116" s="22"/>
      <c r="K1116" s="22"/>
      <c r="L1116" s="22"/>
      <c r="M1116" s="22"/>
      <c r="N1116" s="18"/>
      <c r="O1116" s="18"/>
      <c r="P1116" s="22"/>
      <c r="Q1116" s="22"/>
      <c r="R1116" s="22"/>
      <c r="S1116" s="22"/>
      <c r="T1116" s="22"/>
      <c r="U1116" s="22"/>
      <c r="V1116" s="6"/>
      <c r="W1116" s="6"/>
      <c r="X1116" s="19"/>
      <c r="Y1116" s="6"/>
      <c r="Z1116" s="6"/>
      <c r="AA1116" s="6"/>
      <c r="AB1116" s="6"/>
      <c r="AC1116" s="6"/>
      <c r="AD1116" s="6"/>
      <c r="AE1116" s="6"/>
      <c r="AF1116" s="18">
        <v>8.6</v>
      </c>
      <c r="AG1116" s="18"/>
      <c r="AH1116" s="18"/>
      <c r="AI1116" s="18"/>
      <c r="AK1116" s="18"/>
      <c r="AL1116" s="18"/>
      <c r="AM1116" s="18"/>
      <c r="AN1116" s="18"/>
      <c r="AO1116" s="6"/>
      <c r="AP1116" s="32"/>
      <c r="AQ1116" s="32"/>
      <c r="AR1116" s="32"/>
      <c r="AS1116" s="32"/>
      <c r="AT1116" s="32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2"/>
      <c r="BF1116" s="32"/>
      <c r="BG1116" s="32"/>
      <c r="BH1116" s="32"/>
      <c r="BI1116" s="32"/>
      <c r="BJ1116" s="6"/>
      <c r="BK1116" s="6"/>
      <c r="BL1116" s="6" t="s">
        <v>112</v>
      </c>
      <c r="BO1116" s="15"/>
    </row>
    <row r="1117" spans="1:67" s="5" customFormat="1" ht="13.25" customHeight="1">
      <c r="A1117" s="6" t="s">
        <v>90</v>
      </c>
      <c r="B1117" s="6"/>
      <c r="C1117" s="17">
        <v>32522.484400000001</v>
      </c>
      <c r="D1117" s="22">
        <v>6.0000854227687848</v>
      </c>
      <c r="E1117" s="6">
        <v>77.767208332208341</v>
      </c>
      <c r="F1117" s="22">
        <v>1440.1320475</v>
      </c>
      <c r="G1117" s="22"/>
      <c r="H1117" s="22">
        <v>286.40680513599023</v>
      </c>
      <c r="I1117" s="22"/>
      <c r="J1117" s="22">
        <v>117.74137668214928</v>
      </c>
      <c r="K1117" s="22"/>
      <c r="L1117" s="22"/>
      <c r="M1117" s="22"/>
      <c r="N1117" s="18">
        <v>14.029370629370629</v>
      </c>
      <c r="O1117" s="18"/>
      <c r="P1117" s="22">
        <v>1103.8986496744567</v>
      </c>
      <c r="Q1117" s="22"/>
      <c r="R1117" s="22"/>
      <c r="S1117" s="22"/>
      <c r="T1117" s="22">
        <v>1508.0468314925961</v>
      </c>
      <c r="U1117" s="22"/>
      <c r="V1117" s="22"/>
      <c r="W1117" s="22"/>
      <c r="X1117" s="19"/>
      <c r="Y1117" s="22"/>
      <c r="Z1117" s="22"/>
      <c r="AA1117" s="22"/>
      <c r="AB1117" s="22"/>
      <c r="AC1117" s="22"/>
      <c r="AD1117" s="22"/>
      <c r="AE1117" s="22"/>
      <c r="AF1117" s="18"/>
      <c r="AG1117" s="18">
        <v>6.8144480451180662</v>
      </c>
      <c r="AH1117" s="18"/>
      <c r="AI1117" s="18">
        <v>5.2523611616997457</v>
      </c>
      <c r="AK1117" s="18"/>
      <c r="AL1117" s="18"/>
      <c r="AM1117" s="40">
        <v>2.3381951490445063</v>
      </c>
      <c r="AN1117" s="18"/>
      <c r="AO1117" s="22"/>
      <c r="AP1117" s="32"/>
      <c r="AQ1117" s="32"/>
      <c r="AR1117" s="32"/>
      <c r="AS1117" s="32"/>
      <c r="AT1117" s="32"/>
      <c r="AU1117" s="32"/>
      <c r="AV1117" s="32"/>
      <c r="AW1117" s="32"/>
      <c r="AX1117" s="32"/>
      <c r="AY1117" s="32"/>
      <c r="AZ1117" s="32"/>
      <c r="BA1117" s="32"/>
      <c r="BB1117" s="32"/>
      <c r="BC1117" s="32"/>
      <c r="BD1117" s="32"/>
      <c r="BE1117" s="32"/>
      <c r="BF1117" s="32"/>
      <c r="BG1117" s="32"/>
      <c r="BH1117" s="32"/>
      <c r="BI1117" s="32"/>
      <c r="BJ1117" s="22"/>
      <c r="BK1117" s="22"/>
      <c r="BL1117" s="22" t="s">
        <v>86</v>
      </c>
      <c r="BO1117" s="15"/>
    </row>
    <row r="1118" spans="1:67" s="5" customFormat="1" ht="13.25" customHeight="1">
      <c r="A1118" s="6" t="s">
        <v>92</v>
      </c>
      <c r="B1118" s="6"/>
      <c r="C1118" s="17">
        <v>32522.484400000001</v>
      </c>
      <c r="D1118" s="22">
        <v>6.0000854227687848</v>
      </c>
      <c r="E1118" s="6">
        <v>74.295593730593737</v>
      </c>
      <c r="F1118" s="22">
        <v>1375.8429524999999</v>
      </c>
      <c r="G1118" s="22"/>
      <c r="H1118" s="22">
        <v>532.39893355452</v>
      </c>
      <c r="I1118" s="22"/>
      <c r="J1118" s="22">
        <v>544.29504842044355</v>
      </c>
      <c r="K1118" s="22"/>
      <c r="L1118" s="22"/>
      <c r="M1118" s="22"/>
      <c r="N1118" s="18">
        <v>46.54195804195804</v>
      </c>
      <c r="O1118" s="18"/>
      <c r="P1118" s="22">
        <v>3980.0154092388775</v>
      </c>
      <c r="Q1118" s="22"/>
      <c r="R1118" s="22"/>
      <c r="S1118" s="22"/>
      <c r="T1118" s="22">
        <v>5056.7093912138416</v>
      </c>
      <c r="U1118" s="22"/>
      <c r="V1118" s="22"/>
      <c r="W1118" s="22"/>
      <c r="X1118" s="19"/>
      <c r="Y1118" s="22"/>
      <c r="Z1118" s="22"/>
      <c r="AA1118" s="22"/>
      <c r="AB1118" s="22"/>
      <c r="AC1118" s="22"/>
      <c r="AD1118" s="22"/>
      <c r="AE1118" s="22"/>
      <c r="AF1118" s="18"/>
      <c r="AG1118" s="18">
        <v>11.099744937119493</v>
      </c>
      <c r="AH1118" s="18"/>
      <c r="AI1118" s="18">
        <v>13.313301239196765</v>
      </c>
      <c r="AK1118" s="18"/>
      <c r="AL1118" s="18"/>
      <c r="AM1118" s="40">
        <v>7.7568825712619445</v>
      </c>
      <c r="AN1118" s="18"/>
      <c r="AO1118" s="22"/>
      <c r="AP1118" s="32"/>
      <c r="AQ1118" s="32"/>
      <c r="AR1118" s="32"/>
      <c r="AS1118" s="32"/>
      <c r="AT1118" s="32"/>
      <c r="AU1118" s="32"/>
      <c r="AV1118" s="32"/>
      <c r="AW1118" s="32"/>
      <c r="AX1118" s="32"/>
      <c r="AY1118" s="32"/>
      <c r="AZ1118" s="32"/>
      <c r="BA1118" s="32"/>
      <c r="BB1118" s="32"/>
      <c r="BC1118" s="32"/>
      <c r="BD1118" s="32"/>
      <c r="BE1118" s="32"/>
      <c r="BF1118" s="32"/>
      <c r="BG1118" s="32"/>
      <c r="BH1118" s="32"/>
      <c r="BI1118" s="32"/>
      <c r="BJ1118" s="22"/>
      <c r="BK1118" s="22"/>
      <c r="BL1118" s="22" t="s">
        <v>86</v>
      </c>
      <c r="BO1118" s="15"/>
    </row>
    <row r="1119" spans="1:67" s="5" customFormat="1" ht="13.25" customHeight="1">
      <c r="A1119" s="6" t="s">
        <v>91</v>
      </c>
      <c r="B1119" s="6"/>
      <c r="C1119" s="17">
        <v>32522.484400000001</v>
      </c>
      <c r="D1119" s="22">
        <v>6.0000854227687848</v>
      </c>
      <c r="E1119" s="6">
        <v>77.072927072927072</v>
      </c>
      <c r="F1119" s="22">
        <v>1427.2750000000001</v>
      </c>
      <c r="G1119" s="22"/>
      <c r="H1119" s="22">
        <v>544.9552219775137</v>
      </c>
      <c r="I1119" s="22"/>
      <c r="J1119" s="22">
        <v>549.34672192227072</v>
      </c>
      <c r="K1119" s="22"/>
      <c r="L1119" s="22"/>
      <c r="M1119" s="22"/>
      <c r="N1119" s="18">
        <v>46.205594405594404</v>
      </c>
      <c r="O1119" s="18"/>
      <c r="P1119" s="22">
        <v>4035.8170980202049</v>
      </c>
      <c r="Q1119" s="22"/>
      <c r="R1119" s="22"/>
      <c r="S1119" s="22"/>
      <c r="T1119" s="22">
        <v>5130.1190419199902</v>
      </c>
      <c r="U1119" s="22"/>
      <c r="V1119" s="22"/>
      <c r="W1119" s="22"/>
      <c r="X1119" s="19"/>
      <c r="Y1119" s="22"/>
      <c r="Z1119" s="22"/>
      <c r="AA1119" s="22"/>
      <c r="AB1119" s="22"/>
      <c r="AC1119" s="22"/>
      <c r="AD1119" s="22"/>
      <c r="AE1119" s="22"/>
      <c r="AF1119" s="18"/>
      <c r="AG1119" s="18">
        <v>11.007258493632097</v>
      </c>
      <c r="AH1119" s="18"/>
      <c r="AI1119" s="18">
        <v>13.581786110600211</v>
      </c>
      <c r="AK1119" s="18"/>
      <c r="AL1119" s="18"/>
      <c r="AM1119" s="40">
        <v>7.700822763332007</v>
      </c>
      <c r="AN1119" s="18"/>
      <c r="AO1119" s="22"/>
      <c r="AP1119" s="32"/>
      <c r="AQ1119" s="32"/>
      <c r="AR1119" s="32"/>
      <c r="AS1119" s="32"/>
      <c r="AT1119" s="32"/>
      <c r="AU1119" s="32"/>
      <c r="AV1119" s="32"/>
      <c r="AW1119" s="32"/>
      <c r="AX1119" s="32"/>
      <c r="AY1119" s="32"/>
      <c r="AZ1119" s="32"/>
      <c r="BA1119" s="32"/>
      <c r="BB1119" s="32"/>
      <c r="BC1119" s="32"/>
      <c r="BD1119" s="32"/>
      <c r="BE1119" s="32"/>
      <c r="BF1119" s="32"/>
      <c r="BG1119" s="32"/>
      <c r="BH1119" s="32"/>
      <c r="BI1119" s="32"/>
      <c r="BJ1119" s="22"/>
      <c r="BK1119" s="22"/>
      <c r="BL1119" s="22" t="s">
        <v>86</v>
      </c>
      <c r="BO1119" s="15"/>
    </row>
    <row r="1120" spans="1:67" s="5" customFormat="1" ht="13.25" customHeight="1">
      <c r="A1120" s="6" t="s">
        <v>93</v>
      </c>
      <c r="B1120" s="6"/>
      <c r="C1120" s="17">
        <v>32522.484400000001</v>
      </c>
      <c r="D1120" s="22">
        <v>6.0000854227687848</v>
      </c>
      <c r="E1120" s="6">
        <v>70.12948956448956</v>
      </c>
      <c r="F1120" s="22">
        <v>1298.6929525</v>
      </c>
      <c r="G1120" s="22"/>
      <c r="H1120" s="22">
        <v>733.51424055735447</v>
      </c>
      <c r="I1120" s="22"/>
      <c r="J1120" s="22">
        <v>1055.2924651240505</v>
      </c>
      <c r="K1120" s="22"/>
      <c r="L1120" s="22"/>
      <c r="M1120" s="22"/>
      <c r="N1120" s="18">
        <v>71.69510489510489</v>
      </c>
      <c r="O1120" s="18"/>
      <c r="P1120" s="22">
        <v>6788.2570521993493</v>
      </c>
      <c r="Q1120" s="22"/>
      <c r="R1120" s="22"/>
      <c r="S1120" s="22"/>
      <c r="T1120" s="22">
        <v>8577.0637578807546</v>
      </c>
      <c r="U1120" s="22"/>
      <c r="V1120" s="22"/>
      <c r="W1120" s="22"/>
      <c r="X1120" s="19"/>
      <c r="Y1120" s="22"/>
      <c r="Z1120" s="22"/>
      <c r="AA1120" s="22"/>
      <c r="AB1120" s="22"/>
      <c r="AC1120" s="22"/>
      <c r="AD1120" s="22"/>
      <c r="AE1120" s="22"/>
      <c r="AF1120" s="18"/>
      <c r="AG1120" s="18">
        <v>13.794243966290811</v>
      </c>
      <c r="AH1120" s="18"/>
      <c r="AI1120" s="18">
        <v>19.408554262026943</v>
      </c>
      <c r="AK1120" s="18"/>
      <c r="AL1120" s="18"/>
      <c r="AM1120" s="40">
        <v>11.949014029540374</v>
      </c>
      <c r="AN1120" s="18"/>
      <c r="AO1120" s="22"/>
      <c r="AP1120" s="32"/>
      <c r="AQ1120" s="32"/>
      <c r="AR1120" s="32"/>
      <c r="AS1120" s="32"/>
      <c r="AT1120" s="32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2"/>
      <c r="BF1120" s="32"/>
      <c r="BG1120" s="32"/>
      <c r="BH1120" s="32"/>
      <c r="BI1120" s="32"/>
      <c r="BJ1120" s="22"/>
      <c r="BK1120" s="22"/>
      <c r="BL1120" s="22" t="s">
        <v>86</v>
      </c>
      <c r="BO1120" s="15"/>
    </row>
    <row r="1121" spans="1:67" s="5" customFormat="1">
      <c r="A1121" s="6" t="s">
        <v>85</v>
      </c>
      <c r="B1121" s="6"/>
      <c r="C1121" s="17">
        <v>32523</v>
      </c>
      <c r="D1121" s="22">
        <v>6.0014970887810879</v>
      </c>
      <c r="E1121" s="6"/>
      <c r="F1121" s="22"/>
      <c r="G1121" s="22"/>
      <c r="H1121" s="22"/>
      <c r="I1121" s="22"/>
      <c r="J1121" s="22"/>
      <c r="K1121" s="22"/>
      <c r="L1121" s="22"/>
      <c r="M1121" s="22"/>
      <c r="N1121" s="18"/>
      <c r="O1121" s="18"/>
      <c r="P1121" s="22"/>
      <c r="Q1121" s="22"/>
      <c r="R1121" s="22"/>
      <c r="S1121" s="22"/>
      <c r="T1121" s="22"/>
      <c r="U1121" s="22"/>
      <c r="V1121" s="22"/>
      <c r="W1121" s="18">
        <v>0.58117864775479933</v>
      </c>
      <c r="X1121" s="19"/>
      <c r="Y1121" s="18">
        <v>1.1436711041224348</v>
      </c>
      <c r="Z1121" s="22"/>
      <c r="AA1121" s="22"/>
      <c r="AB1121" s="22"/>
      <c r="AC1121" s="22"/>
      <c r="AD1121" s="22"/>
      <c r="AE1121" s="22"/>
      <c r="AF1121" s="18"/>
      <c r="AG1121" s="18"/>
      <c r="AH1121" s="18"/>
      <c r="AI1121" s="18"/>
      <c r="AK1121" s="18"/>
      <c r="AL1121" s="18"/>
      <c r="AM1121" s="40" t="s">
        <v>118</v>
      </c>
      <c r="AN1121" s="18"/>
      <c r="AO1121" s="22"/>
      <c r="AP1121" s="32"/>
      <c r="AQ1121" s="32"/>
      <c r="AR1121" s="32"/>
      <c r="AS1121" s="32"/>
      <c r="AT1121" s="32"/>
      <c r="AU1121" s="32"/>
      <c r="AV1121" s="32"/>
      <c r="AW1121" s="32"/>
      <c r="AX1121" s="32"/>
      <c r="AY1121" s="32"/>
      <c r="AZ1121" s="32"/>
      <c r="BA1121" s="32"/>
      <c r="BB1121" s="32"/>
      <c r="BC1121" s="32"/>
      <c r="BD1121" s="32"/>
      <c r="BE1121" s="32"/>
      <c r="BF1121" s="32"/>
      <c r="BG1121" s="32"/>
      <c r="BH1121" s="32"/>
      <c r="BI1121" s="32"/>
      <c r="BJ1121" s="22"/>
      <c r="BK1121" s="22"/>
      <c r="BL1121" s="22" t="s">
        <v>86</v>
      </c>
      <c r="BO1121" s="15"/>
    </row>
    <row r="1122" spans="1:67" s="5" customFormat="1">
      <c r="A1122" s="6" t="s">
        <v>88</v>
      </c>
      <c r="B1122" s="6"/>
      <c r="C1122" s="17">
        <v>32523</v>
      </c>
      <c r="D1122" s="22">
        <v>6.0014970887810879</v>
      </c>
      <c r="E1122" s="6"/>
      <c r="F1122" s="22"/>
      <c r="G1122" s="22"/>
      <c r="H1122" s="22"/>
      <c r="I1122" s="22"/>
      <c r="J1122" s="22"/>
      <c r="K1122" s="22"/>
      <c r="L1122" s="22"/>
      <c r="M1122" s="22"/>
      <c r="N1122" s="18"/>
      <c r="O1122" s="18"/>
      <c r="P1122" s="22"/>
      <c r="Q1122" s="22"/>
      <c r="R1122" s="22"/>
      <c r="S1122" s="22"/>
      <c r="T1122" s="22"/>
      <c r="U1122" s="22"/>
      <c r="V1122" s="22"/>
      <c r="W1122" s="18">
        <v>2.4265827256261958</v>
      </c>
      <c r="X1122" s="19"/>
      <c r="Y1122" s="18">
        <v>3.0629226407647083</v>
      </c>
      <c r="Z1122" s="22"/>
      <c r="AA1122" s="22"/>
      <c r="AB1122" s="22"/>
      <c r="AC1122" s="22"/>
      <c r="AD1122" s="22"/>
      <c r="AE1122" s="22"/>
      <c r="AF1122" s="18"/>
      <c r="AG1122" s="18"/>
      <c r="AH1122" s="18"/>
      <c r="AI1122" s="18"/>
      <c r="AK1122" s="18"/>
      <c r="AL1122" s="18"/>
      <c r="AM1122" s="40" t="s">
        <v>118</v>
      </c>
      <c r="AN1122" s="18"/>
      <c r="AO1122" s="22"/>
      <c r="AP1122" s="32"/>
      <c r="AQ1122" s="32"/>
      <c r="AR1122" s="32"/>
      <c r="AS1122" s="32"/>
      <c r="AT1122" s="32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2"/>
      <c r="BF1122" s="32"/>
      <c r="BG1122" s="32"/>
      <c r="BH1122" s="32"/>
      <c r="BI1122" s="32"/>
      <c r="BJ1122" s="22"/>
      <c r="BK1122" s="22"/>
      <c r="BL1122" s="22" t="s">
        <v>86</v>
      </c>
      <c r="BO1122" s="15"/>
    </row>
    <row r="1123" spans="1:67" s="5" customFormat="1">
      <c r="A1123" s="6" t="s">
        <v>87</v>
      </c>
      <c r="B1123" s="6"/>
      <c r="C1123" s="17">
        <v>32523</v>
      </c>
      <c r="D1123" s="22">
        <v>6.0014970887810879</v>
      </c>
      <c r="E1123" s="6"/>
      <c r="F1123" s="22"/>
      <c r="G1123" s="22"/>
      <c r="H1123" s="22"/>
      <c r="I1123" s="22"/>
      <c r="J1123" s="22"/>
      <c r="K1123" s="22"/>
      <c r="L1123" s="22"/>
      <c r="M1123" s="22"/>
      <c r="N1123" s="18"/>
      <c r="O1123" s="18"/>
      <c r="P1123" s="22"/>
      <c r="Q1123" s="22"/>
      <c r="R1123" s="22"/>
      <c r="S1123" s="22"/>
      <c r="T1123" s="22"/>
      <c r="U1123" s="22"/>
      <c r="V1123" s="22"/>
      <c r="W1123" s="18">
        <v>1.8175957903481994</v>
      </c>
      <c r="X1123" s="19"/>
      <c r="Y1123" s="18">
        <v>2.5105345831251058</v>
      </c>
      <c r="Z1123" s="22"/>
      <c r="AA1123" s="22"/>
      <c r="AB1123" s="22"/>
      <c r="AC1123" s="22"/>
      <c r="AD1123" s="22"/>
      <c r="AE1123" s="22"/>
      <c r="AF1123" s="18"/>
      <c r="AG1123" s="18"/>
      <c r="AH1123" s="18"/>
      <c r="AI1123" s="18"/>
      <c r="AK1123" s="18"/>
      <c r="AL1123" s="18"/>
      <c r="AM1123" s="40" t="s">
        <v>118</v>
      </c>
      <c r="AN1123" s="18"/>
      <c r="AO1123" s="22"/>
      <c r="AP1123" s="32"/>
      <c r="AQ1123" s="32"/>
      <c r="AR1123" s="32"/>
      <c r="AS1123" s="32"/>
      <c r="AT1123" s="32"/>
      <c r="AU1123" s="32"/>
      <c r="AV1123" s="32"/>
      <c r="AW1123" s="32"/>
      <c r="AX1123" s="32"/>
      <c r="AY1123" s="32"/>
      <c r="AZ1123" s="32"/>
      <c r="BA1123" s="32"/>
      <c r="BB1123" s="32"/>
      <c r="BC1123" s="32"/>
      <c r="BD1123" s="32"/>
      <c r="BE1123" s="32"/>
      <c r="BF1123" s="32"/>
      <c r="BG1123" s="32"/>
      <c r="BH1123" s="32"/>
      <c r="BI1123" s="32"/>
      <c r="BJ1123" s="22"/>
      <c r="BK1123" s="22"/>
      <c r="BL1123" s="22" t="s">
        <v>86</v>
      </c>
      <c r="BO1123" s="15"/>
    </row>
    <row r="1124" spans="1:67" s="5" customFormat="1">
      <c r="A1124" s="6" t="s">
        <v>89</v>
      </c>
      <c r="B1124" s="6"/>
      <c r="C1124" s="17">
        <v>32523</v>
      </c>
      <c r="D1124" s="22">
        <v>6.0014970887810879</v>
      </c>
      <c r="E1124" s="6"/>
      <c r="F1124" s="22"/>
      <c r="G1124" s="22"/>
      <c r="H1124" s="22"/>
      <c r="I1124" s="22"/>
      <c r="J1124" s="22"/>
      <c r="K1124" s="22"/>
      <c r="L1124" s="22"/>
      <c r="M1124" s="22"/>
      <c r="N1124" s="18"/>
      <c r="O1124" s="18"/>
      <c r="P1124" s="22"/>
      <c r="Q1124" s="22"/>
      <c r="R1124" s="22"/>
      <c r="S1124" s="22"/>
      <c r="T1124" s="22"/>
      <c r="U1124" s="22"/>
      <c r="V1124" s="22"/>
      <c r="W1124" s="18">
        <v>2.8327276748398105</v>
      </c>
      <c r="X1124" s="19"/>
      <c r="Y1124" s="18">
        <v>4.008726584309219</v>
      </c>
      <c r="Z1124" s="22"/>
      <c r="AA1124" s="22"/>
      <c r="AB1124" s="22"/>
      <c r="AC1124" s="22"/>
      <c r="AD1124" s="22"/>
      <c r="AE1124" s="22"/>
      <c r="AF1124" s="18"/>
      <c r="AG1124" s="18"/>
      <c r="AH1124" s="18"/>
      <c r="AI1124" s="18"/>
      <c r="AK1124" s="18"/>
      <c r="AL1124" s="18"/>
      <c r="AM1124" s="40" t="s">
        <v>118</v>
      </c>
      <c r="AN1124" s="18"/>
      <c r="AO1124" s="22"/>
      <c r="AP1124" s="32"/>
      <c r="AQ1124" s="32"/>
      <c r="AR1124" s="32"/>
      <c r="AS1124" s="32"/>
      <c r="AT1124" s="32"/>
      <c r="AU1124" s="32"/>
      <c r="AV1124" s="32"/>
      <c r="AW1124" s="32"/>
      <c r="AX1124" s="32"/>
      <c r="AY1124" s="32"/>
      <c r="AZ1124" s="32"/>
      <c r="BA1124" s="32"/>
      <c r="BB1124" s="32"/>
      <c r="BC1124" s="32"/>
      <c r="BD1124" s="32"/>
      <c r="BE1124" s="32"/>
      <c r="BF1124" s="32"/>
      <c r="BG1124" s="32"/>
      <c r="BH1124" s="32"/>
      <c r="BI1124" s="32"/>
      <c r="BJ1124" s="22"/>
      <c r="BK1124" s="22"/>
      <c r="BL1124" s="22" t="s">
        <v>86</v>
      </c>
      <c r="BO1124" s="15"/>
    </row>
    <row r="1125" spans="1:67" s="5" customFormat="1">
      <c r="A1125" s="6" t="s">
        <v>90</v>
      </c>
      <c r="B1125" s="6"/>
      <c r="C1125" s="17">
        <v>32523</v>
      </c>
      <c r="D1125" s="22">
        <v>6.0014970887810879</v>
      </c>
      <c r="E1125" s="6"/>
      <c r="F1125" s="22"/>
      <c r="G1125" s="22"/>
      <c r="H1125" s="22"/>
      <c r="I1125" s="22"/>
      <c r="J1125" s="22"/>
      <c r="K1125" s="22"/>
      <c r="L1125" s="22"/>
      <c r="M1125" s="22"/>
      <c r="N1125" s="18"/>
      <c r="O1125" s="18"/>
      <c r="P1125" s="22"/>
      <c r="Q1125" s="22"/>
      <c r="R1125" s="22"/>
      <c r="S1125" s="22"/>
      <c r="T1125" s="22"/>
      <c r="U1125" s="22"/>
      <c r="V1125" s="22"/>
      <c r="W1125" s="18">
        <v>0.87198168125057707</v>
      </c>
      <c r="X1125" s="19"/>
      <c r="Y1125" s="18">
        <v>1.4073328556558942</v>
      </c>
      <c r="Z1125" s="22"/>
      <c r="AA1125" s="22"/>
      <c r="AB1125" s="22"/>
      <c r="AC1125" s="22"/>
      <c r="AD1125" s="22"/>
      <c r="AE1125" s="22"/>
      <c r="AF1125" s="18"/>
      <c r="AG1125" s="18"/>
      <c r="AH1125" s="18"/>
      <c r="AI1125" s="18"/>
      <c r="AK1125" s="18"/>
      <c r="AL1125" s="18"/>
      <c r="AM1125" s="40" t="s">
        <v>118</v>
      </c>
      <c r="AN1125" s="18"/>
      <c r="AO1125" s="22"/>
      <c r="AP1125" s="32"/>
      <c r="AQ1125" s="32"/>
      <c r="AR1125" s="32"/>
      <c r="AS1125" s="32"/>
      <c r="AT1125" s="32"/>
      <c r="AU1125" s="32"/>
      <c r="AV1125" s="32"/>
      <c r="AW1125" s="32"/>
      <c r="AX1125" s="32"/>
      <c r="AY1125" s="32"/>
      <c r="AZ1125" s="32"/>
      <c r="BA1125" s="32"/>
      <c r="BB1125" s="32"/>
      <c r="BC1125" s="32"/>
      <c r="BD1125" s="32"/>
      <c r="BE1125" s="32"/>
      <c r="BF1125" s="32"/>
      <c r="BG1125" s="32"/>
      <c r="BH1125" s="32"/>
      <c r="BI1125" s="32"/>
      <c r="BJ1125" s="22"/>
      <c r="BK1125" s="22"/>
      <c r="BL1125" s="22" t="s">
        <v>86</v>
      </c>
      <c r="BO1125" s="15"/>
    </row>
    <row r="1126" spans="1:67" s="5" customFormat="1">
      <c r="A1126" s="6" t="s">
        <v>92</v>
      </c>
      <c r="B1126" s="6"/>
      <c r="C1126" s="17">
        <v>32523</v>
      </c>
      <c r="D1126" s="22">
        <v>6.0014970887810879</v>
      </c>
      <c r="E1126" s="6"/>
      <c r="F1126" s="22"/>
      <c r="G1126" s="22"/>
      <c r="H1126" s="22"/>
      <c r="I1126" s="22"/>
      <c r="J1126" s="22"/>
      <c r="K1126" s="22"/>
      <c r="L1126" s="22"/>
      <c r="M1126" s="22"/>
      <c r="N1126" s="18"/>
      <c r="O1126" s="18"/>
      <c r="P1126" s="22"/>
      <c r="Q1126" s="22"/>
      <c r="R1126" s="22"/>
      <c r="S1126" s="22"/>
      <c r="T1126" s="22"/>
      <c r="U1126" s="22"/>
      <c r="V1126" s="22"/>
      <c r="W1126" s="18">
        <v>1.8716257200971484</v>
      </c>
      <c r="X1126" s="19"/>
      <c r="Y1126" s="18">
        <v>2.8872415655766668</v>
      </c>
      <c r="Z1126" s="22"/>
      <c r="AA1126" s="22"/>
      <c r="AB1126" s="22"/>
      <c r="AC1126" s="22"/>
      <c r="AD1126" s="22"/>
      <c r="AE1126" s="22"/>
      <c r="AF1126" s="18"/>
      <c r="AG1126" s="18"/>
      <c r="AH1126" s="18"/>
      <c r="AI1126" s="18"/>
      <c r="AK1126" s="18"/>
      <c r="AL1126" s="18"/>
      <c r="AM1126" s="40" t="s">
        <v>118</v>
      </c>
      <c r="AN1126" s="18"/>
      <c r="AO1126" s="2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32"/>
      <c r="BI1126" s="32"/>
      <c r="BJ1126" s="22"/>
      <c r="BK1126" s="22"/>
      <c r="BL1126" s="22" t="s">
        <v>86</v>
      </c>
      <c r="BO1126" s="15"/>
    </row>
    <row r="1127" spans="1:67" s="5" customFormat="1">
      <c r="A1127" s="6" t="s">
        <v>91</v>
      </c>
      <c r="B1127" s="6"/>
      <c r="C1127" s="17">
        <v>32523</v>
      </c>
      <c r="D1127" s="22">
        <v>6.0014970887810879</v>
      </c>
      <c r="E1127" s="6"/>
      <c r="F1127" s="22"/>
      <c r="G1127" s="22"/>
      <c r="H1127" s="22"/>
      <c r="I1127" s="22"/>
      <c r="J1127" s="22"/>
      <c r="K1127" s="22"/>
      <c r="L1127" s="22"/>
      <c r="M1127" s="22"/>
      <c r="N1127" s="18"/>
      <c r="O1127" s="18"/>
      <c r="P1127" s="22"/>
      <c r="Q1127" s="22"/>
      <c r="R1127" s="22"/>
      <c r="S1127" s="22"/>
      <c r="T1127" s="22"/>
      <c r="U1127" s="22"/>
      <c r="V1127" s="22"/>
      <c r="W1127" s="18">
        <v>1.777700607335776</v>
      </c>
      <c r="X1127" s="19"/>
      <c r="Y1127" s="18">
        <v>2.4763088159180544</v>
      </c>
      <c r="Z1127" s="22"/>
      <c r="AA1127" s="22"/>
      <c r="AB1127" s="22"/>
      <c r="AC1127" s="22"/>
      <c r="AD1127" s="22"/>
      <c r="AE1127" s="22"/>
      <c r="AF1127" s="18"/>
      <c r="AG1127" s="18"/>
      <c r="AH1127" s="18"/>
      <c r="AI1127" s="18"/>
      <c r="AK1127" s="18"/>
      <c r="AL1127" s="18"/>
      <c r="AM1127" s="40" t="s">
        <v>118</v>
      </c>
      <c r="AN1127" s="18"/>
      <c r="AO1127" s="22"/>
      <c r="AP1127" s="32"/>
      <c r="AQ1127" s="32"/>
      <c r="AR1127" s="32"/>
      <c r="AS1127" s="32"/>
      <c r="AT1127" s="32"/>
      <c r="AU1127" s="32"/>
      <c r="AV1127" s="32"/>
      <c r="AW1127" s="32"/>
      <c r="AX1127" s="32"/>
      <c r="AY1127" s="32"/>
      <c r="AZ1127" s="32"/>
      <c r="BA1127" s="32"/>
      <c r="BB1127" s="32"/>
      <c r="BC1127" s="32"/>
      <c r="BD1127" s="32"/>
      <c r="BE1127" s="32"/>
      <c r="BF1127" s="32"/>
      <c r="BG1127" s="32"/>
      <c r="BH1127" s="32"/>
      <c r="BI1127" s="32"/>
      <c r="BJ1127" s="22"/>
      <c r="BK1127" s="22"/>
      <c r="BL1127" s="22" t="s">
        <v>86</v>
      </c>
      <c r="BO1127" s="15"/>
    </row>
    <row r="1128" spans="1:67" s="5" customFormat="1">
      <c r="A1128" s="6" t="s">
        <v>93</v>
      </c>
      <c r="B1128" s="6"/>
      <c r="C1128" s="17">
        <v>32523</v>
      </c>
      <c r="D1128" s="22">
        <v>6.0014970887810879</v>
      </c>
      <c r="E1128" s="6"/>
      <c r="F1128" s="22"/>
      <c r="G1128" s="22"/>
      <c r="H1128" s="22"/>
      <c r="I1128" s="22"/>
      <c r="J1128" s="22"/>
      <c r="K1128" s="22"/>
      <c r="L1128" s="22"/>
      <c r="M1128" s="22"/>
      <c r="N1128" s="18"/>
      <c r="O1128" s="18"/>
      <c r="P1128" s="22"/>
      <c r="Q1128" s="22"/>
      <c r="R1128" s="22"/>
      <c r="S1128" s="22"/>
      <c r="T1128" s="22"/>
      <c r="U1128" s="22"/>
      <c r="V1128" s="22"/>
      <c r="W1128" s="18">
        <v>2.3694441960917878</v>
      </c>
      <c r="X1128" s="19"/>
      <c r="Y1128" s="18">
        <v>3.0882959666920256</v>
      </c>
      <c r="Z1128" s="22"/>
      <c r="AA1128" s="22"/>
      <c r="AB1128" s="22"/>
      <c r="AC1128" s="22"/>
      <c r="AD1128" s="22"/>
      <c r="AE1128" s="22"/>
      <c r="AF1128" s="18"/>
      <c r="AG1128" s="18"/>
      <c r="AH1128" s="18"/>
      <c r="AI1128" s="18"/>
      <c r="AK1128" s="18"/>
      <c r="AL1128" s="18"/>
      <c r="AM1128" s="40" t="s">
        <v>118</v>
      </c>
      <c r="AN1128" s="18"/>
      <c r="AO1128" s="22"/>
      <c r="AP1128" s="32"/>
      <c r="AQ1128" s="32"/>
      <c r="AR1128" s="32"/>
      <c r="AS1128" s="32"/>
      <c r="AT1128" s="32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2"/>
      <c r="BF1128" s="32"/>
      <c r="BG1128" s="32"/>
      <c r="BH1128" s="32"/>
      <c r="BI1128" s="32"/>
      <c r="BJ1128" s="22"/>
      <c r="BK1128" s="22"/>
      <c r="BL1128" s="22" t="s">
        <v>86</v>
      </c>
      <c r="BO1128" s="15"/>
    </row>
    <row r="1129" spans="1:67" s="5" customFormat="1">
      <c r="A1129" s="6" t="s">
        <v>85</v>
      </c>
      <c r="B1129" s="6"/>
      <c r="C1129" s="17">
        <v>32887.726600000002</v>
      </c>
      <c r="D1129" s="22">
        <v>7.0000854227687865</v>
      </c>
      <c r="E1129" s="6">
        <v>77.072927072927072</v>
      </c>
      <c r="F1129" s="22">
        <v>1427.2750000000001</v>
      </c>
      <c r="G1129" s="22"/>
      <c r="H1129" s="22">
        <v>230.50094107556532</v>
      </c>
      <c r="I1129" s="22"/>
      <c r="J1129" s="22">
        <v>187.2461096158942</v>
      </c>
      <c r="K1129" s="22"/>
      <c r="L1129" s="22"/>
      <c r="M1129" s="22"/>
      <c r="N1129" s="18"/>
      <c r="O1129" s="18"/>
      <c r="P1129" s="22">
        <v>742.4375285986755</v>
      </c>
      <c r="Q1129" s="22"/>
      <c r="R1129" s="22"/>
      <c r="S1129" s="22"/>
      <c r="T1129" s="22">
        <v>1160.1845792901352</v>
      </c>
      <c r="U1129" s="22"/>
      <c r="V1129" s="22"/>
      <c r="W1129" s="22"/>
      <c r="X1129" s="19"/>
      <c r="Y1129" s="22"/>
      <c r="Z1129" s="22"/>
      <c r="AA1129" s="22"/>
      <c r="AB1129" s="22"/>
      <c r="AC1129" s="22"/>
      <c r="AD1129" s="22"/>
      <c r="AE1129" s="22"/>
      <c r="AF1129" s="18"/>
      <c r="AG1129" s="18">
        <v>6.3192298187461668</v>
      </c>
      <c r="AH1129" s="18"/>
      <c r="AI1129" s="18">
        <v>4.4763790654386408</v>
      </c>
      <c r="AK1129" s="18"/>
      <c r="AL1129" s="18"/>
      <c r="AM1129" s="40" t="s">
        <v>118</v>
      </c>
      <c r="AN1129" s="18"/>
      <c r="AO1129" s="22"/>
      <c r="AP1129" s="32"/>
      <c r="AQ1129" s="32"/>
      <c r="AR1129" s="32"/>
      <c r="AS1129" s="32"/>
      <c r="AT1129" s="32"/>
      <c r="AU1129" s="32"/>
      <c r="AV1129" s="32"/>
      <c r="AW1129" s="32"/>
      <c r="AX1129" s="32"/>
      <c r="AY1129" s="32"/>
      <c r="AZ1129" s="32"/>
      <c r="BA1129" s="32"/>
      <c r="BB1129" s="32"/>
      <c r="BC1129" s="32"/>
      <c r="BD1129" s="32"/>
      <c r="BE1129" s="32"/>
      <c r="BF1129" s="32"/>
      <c r="BG1129" s="32"/>
      <c r="BH1129" s="32"/>
      <c r="BI1129" s="32"/>
      <c r="BJ1129" s="22"/>
      <c r="BK1129" s="22"/>
      <c r="BL1129" s="22" t="s">
        <v>86</v>
      </c>
      <c r="BO1129" s="15"/>
    </row>
    <row r="1130" spans="1:67" s="5" customFormat="1">
      <c r="A1130" s="6" t="s">
        <v>85</v>
      </c>
      <c r="B1130" s="6"/>
      <c r="C1130" s="17">
        <v>32887.726600000002</v>
      </c>
      <c r="D1130" s="18">
        <v>7.0000854227687865</v>
      </c>
      <c r="E1130" s="6"/>
      <c r="F1130" s="6"/>
      <c r="G1130" s="22"/>
      <c r="H1130" s="22"/>
      <c r="I1130" s="22"/>
      <c r="J1130" s="22"/>
      <c r="K1130" s="22"/>
      <c r="L1130" s="22"/>
      <c r="M1130" s="22"/>
      <c r="N1130" s="18"/>
      <c r="O1130" s="18"/>
      <c r="P1130" s="22"/>
      <c r="Q1130" s="22"/>
      <c r="R1130" s="22"/>
      <c r="S1130" s="22"/>
      <c r="T1130" s="22"/>
      <c r="U1130" s="22"/>
      <c r="V1130" s="6"/>
      <c r="W1130" s="6"/>
      <c r="X1130" s="19"/>
      <c r="Y1130" s="6"/>
      <c r="Z1130" s="6"/>
      <c r="AA1130" s="6"/>
      <c r="AB1130" s="6"/>
      <c r="AC1130" s="6"/>
      <c r="AD1130" s="6"/>
      <c r="AE1130" s="6"/>
      <c r="AF1130" s="18">
        <v>4.5</v>
      </c>
      <c r="AG1130" s="18"/>
      <c r="AH1130" s="18"/>
      <c r="AI1130" s="18"/>
      <c r="AK1130" s="18"/>
      <c r="AL1130" s="18"/>
      <c r="AM1130" s="18"/>
      <c r="AN1130" s="18"/>
      <c r="AO1130" s="6"/>
      <c r="AP1130" s="32"/>
      <c r="AQ1130" s="32"/>
      <c r="AR1130" s="32"/>
      <c r="AS1130" s="32"/>
      <c r="AT1130" s="32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2"/>
      <c r="BF1130" s="32"/>
      <c r="BG1130" s="32"/>
      <c r="BH1130" s="32"/>
      <c r="BI1130" s="32"/>
      <c r="BJ1130" s="6"/>
      <c r="BK1130" s="6"/>
      <c r="BL1130" s="6" t="s">
        <v>112</v>
      </c>
      <c r="BO1130" s="15"/>
    </row>
    <row r="1131" spans="1:67" s="5" customFormat="1">
      <c r="A1131" s="6" t="s">
        <v>88</v>
      </c>
      <c r="B1131" s="6"/>
      <c r="C1131" s="17">
        <v>32887.726600000002</v>
      </c>
      <c r="D1131" s="22">
        <v>7.0000854227687865</v>
      </c>
      <c r="E1131" s="6">
        <v>77.072927072927072</v>
      </c>
      <c r="F1131" s="22">
        <v>1427.2750000000001</v>
      </c>
      <c r="G1131" s="22"/>
      <c r="H1131" s="22">
        <v>563.87593317685764</v>
      </c>
      <c r="I1131" s="22"/>
      <c r="J1131" s="22">
        <v>899.49937215018963</v>
      </c>
      <c r="K1131" s="22"/>
      <c r="L1131" s="22"/>
      <c r="M1131" s="22"/>
      <c r="N1131" s="18"/>
      <c r="O1131" s="18"/>
      <c r="P1131" s="22">
        <v>4728.9241358126437</v>
      </c>
      <c r="Q1131" s="22"/>
      <c r="R1131" s="22"/>
      <c r="S1131" s="22"/>
      <c r="T1131" s="22">
        <v>6192.2994411396912</v>
      </c>
      <c r="U1131" s="22"/>
      <c r="V1131" s="22"/>
      <c r="W1131" s="22"/>
      <c r="X1131" s="19"/>
      <c r="Y1131" s="22"/>
      <c r="Z1131" s="22"/>
      <c r="AA1131" s="22"/>
      <c r="AB1131" s="22"/>
      <c r="AC1131" s="22"/>
      <c r="AD1131" s="22"/>
      <c r="AE1131" s="22"/>
      <c r="AF1131" s="18"/>
      <c r="AG1131" s="18">
        <v>12.619935219502711</v>
      </c>
      <c r="AH1131" s="18"/>
      <c r="AI1131" s="18">
        <v>17.853065853145935</v>
      </c>
      <c r="AK1131" s="18"/>
      <c r="AL1131" s="18"/>
      <c r="AM1131" s="40" t="s">
        <v>118</v>
      </c>
      <c r="AN1131" s="18"/>
      <c r="AO1131" s="22"/>
      <c r="AP1131" s="32"/>
      <c r="AQ1131" s="32"/>
      <c r="AR1131" s="32"/>
      <c r="AS1131" s="32"/>
      <c r="AT1131" s="32"/>
      <c r="AU1131" s="32"/>
      <c r="AV1131" s="32"/>
      <c r="AW1131" s="32"/>
      <c r="AX1131" s="32"/>
      <c r="AY1131" s="32"/>
      <c r="AZ1131" s="32"/>
      <c r="BA1131" s="32"/>
      <c r="BB1131" s="32"/>
      <c r="BC1131" s="32"/>
      <c r="BD1131" s="32"/>
      <c r="BE1131" s="32"/>
      <c r="BF1131" s="32"/>
      <c r="BG1131" s="32"/>
      <c r="BH1131" s="32"/>
      <c r="BI1131" s="32"/>
      <c r="BJ1131" s="22"/>
      <c r="BK1131" s="22"/>
      <c r="BL1131" s="22" t="s">
        <v>86</v>
      </c>
      <c r="BO1131" s="15"/>
    </row>
    <row r="1132" spans="1:67" s="5" customFormat="1">
      <c r="A1132" s="6" t="s">
        <v>88</v>
      </c>
      <c r="B1132" s="6"/>
      <c r="C1132" s="17">
        <v>32887.726600000002</v>
      </c>
      <c r="D1132" s="18">
        <v>7.0000854227687865</v>
      </c>
      <c r="E1132" s="6"/>
      <c r="F1132" s="6"/>
      <c r="G1132" s="22"/>
      <c r="H1132" s="22"/>
      <c r="I1132" s="22"/>
      <c r="J1132" s="22"/>
      <c r="K1132" s="22"/>
      <c r="L1132" s="22"/>
      <c r="M1132" s="22"/>
      <c r="N1132" s="18"/>
      <c r="O1132" s="18"/>
      <c r="P1132" s="22"/>
      <c r="Q1132" s="22"/>
      <c r="R1132" s="22"/>
      <c r="S1132" s="22"/>
      <c r="T1132" s="22"/>
      <c r="U1132" s="22"/>
      <c r="V1132" s="6"/>
      <c r="W1132" s="6"/>
      <c r="X1132" s="19"/>
      <c r="Y1132" s="6"/>
      <c r="Z1132" s="6"/>
      <c r="AA1132" s="6"/>
      <c r="AB1132" s="6"/>
      <c r="AC1132" s="6"/>
      <c r="AD1132" s="6"/>
      <c r="AE1132" s="6"/>
      <c r="AF1132" s="18">
        <v>9</v>
      </c>
      <c r="AG1132" s="18"/>
      <c r="AH1132" s="18"/>
      <c r="AI1132" s="18"/>
      <c r="AK1132" s="18"/>
      <c r="AL1132" s="18"/>
      <c r="AM1132" s="18"/>
      <c r="AN1132" s="18"/>
      <c r="AO1132" s="6"/>
      <c r="AP1132" s="32"/>
      <c r="AQ1132" s="32"/>
      <c r="AR1132" s="32"/>
      <c r="AS1132" s="32"/>
      <c r="AT1132" s="32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2"/>
      <c r="BF1132" s="32"/>
      <c r="BG1132" s="32"/>
      <c r="BH1132" s="32"/>
      <c r="BI1132" s="32"/>
      <c r="BJ1132" s="6"/>
      <c r="BK1132" s="6"/>
      <c r="BL1132" s="6" t="s">
        <v>112</v>
      </c>
      <c r="BO1132" s="15"/>
    </row>
    <row r="1133" spans="1:67" s="5" customFormat="1">
      <c r="A1133" s="6" t="s">
        <v>87</v>
      </c>
      <c r="B1133" s="6"/>
      <c r="C1133" s="17">
        <v>32887.726600000002</v>
      </c>
      <c r="D1133" s="22">
        <v>7.0000854227687865</v>
      </c>
      <c r="E1133" s="6">
        <v>77.072927072927072</v>
      </c>
      <c r="F1133" s="22">
        <v>1427.2750000000001</v>
      </c>
      <c r="G1133" s="22"/>
      <c r="H1133" s="22">
        <v>515.42400161734145</v>
      </c>
      <c r="I1133" s="22"/>
      <c r="J1133" s="22">
        <v>781.28548495190546</v>
      </c>
      <c r="K1133" s="22"/>
      <c r="L1133" s="22"/>
      <c r="M1133" s="22"/>
      <c r="N1133" s="18"/>
      <c r="O1133" s="18"/>
      <c r="P1133" s="22">
        <v>4048.4608180100645</v>
      </c>
      <c r="Q1133" s="22"/>
      <c r="R1133" s="22"/>
      <c r="S1133" s="22"/>
      <c r="T1133" s="22">
        <v>5345.1703045793111</v>
      </c>
      <c r="U1133" s="22"/>
      <c r="V1133" s="22"/>
      <c r="W1133" s="22"/>
      <c r="X1133" s="19"/>
      <c r="Y1133" s="22"/>
      <c r="Z1133" s="22"/>
      <c r="AA1133" s="22"/>
      <c r="AB1133" s="22"/>
      <c r="AC1133" s="22"/>
      <c r="AD1133" s="22"/>
      <c r="AE1133" s="22"/>
      <c r="AF1133" s="18"/>
      <c r="AG1133" s="18">
        <v>11.908336190958067</v>
      </c>
      <c r="AH1133" s="18"/>
      <c r="AI1133" s="18">
        <v>15.89647127668481</v>
      </c>
      <c r="AK1133" s="18"/>
      <c r="AL1133" s="18"/>
      <c r="AM1133" s="40" t="s">
        <v>118</v>
      </c>
      <c r="AN1133" s="18"/>
      <c r="AO1133" s="22"/>
      <c r="AP1133" s="32"/>
      <c r="AQ1133" s="32"/>
      <c r="AR1133" s="32"/>
      <c r="AS1133" s="32"/>
      <c r="AT1133" s="32"/>
      <c r="AU1133" s="32"/>
      <c r="AV1133" s="32"/>
      <c r="AW1133" s="32"/>
      <c r="AX1133" s="32"/>
      <c r="AY1133" s="32"/>
      <c r="AZ1133" s="32"/>
      <c r="BA1133" s="32"/>
      <c r="BB1133" s="32"/>
      <c r="BC1133" s="32"/>
      <c r="BD1133" s="32"/>
      <c r="BE1133" s="32"/>
      <c r="BF1133" s="32"/>
      <c r="BG1133" s="32"/>
      <c r="BH1133" s="32"/>
      <c r="BI1133" s="32"/>
      <c r="BJ1133" s="22"/>
      <c r="BK1133" s="22"/>
      <c r="BL1133" s="22" t="s">
        <v>86</v>
      </c>
      <c r="BO1133" s="15"/>
    </row>
    <row r="1134" spans="1:67" s="5" customFormat="1">
      <c r="A1134" s="6" t="s">
        <v>87</v>
      </c>
      <c r="B1134" s="6"/>
      <c r="C1134" s="17">
        <v>32887.726600000002</v>
      </c>
      <c r="D1134" s="18">
        <v>7.0000854227687865</v>
      </c>
      <c r="E1134" s="6"/>
      <c r="F1134" s="6"/>
      <c r="G1134" s="22"/>
      <c r="H1134" s="22"/>
      <c r="I1134" s="22"/>
      <c r="J1134" s="22"/>
      <c r="K1134" s="22"/>
      <c r="L1134" s="22"/>
      <c r="M1134" s="22"/>
      <c r="N1134" s="18"/>
      <c r="O1134" s="18"/>
      <c r="P1134" s="22"/>
      <c r="Q1134" s="22"/>
      <c r="R1134" s="22"/>
      <c r="S1134" s="22"/>
      <c r="T1134" s="22"/>
      <c r="U1134" s="22"/>
      <c r="V1134" s="6"/>
      <c r="W1134" s="6"/>
      <c r="X1134" s="19"/>
      <c r="Y1134" s="6"/>
      <c r="Z1134" s="6"/>
      <c r="AA1134" s="6"/>
      <c r="AB1134" s="6"/>
      <c r="AC1134" s="6"/>
      <c r="AD1134" s="6"/>
      <c r="AE1134" s="6"/>
      <c r="AF1134" s="18">
        <v>8.3000000000000007</v>
      </c>
      <c r="AG1134" s="18"/>
      <c r="AH1134" s="18"/>
      <c r="AI1134" s="18"/>
      <c r="AK1134" s="18"/>
      <c r="AL1134" s="18"/>
      <c r="AM1134" s="18"/>
      <c r="AN1134" s="18"/>
      <c r="AO1134" s="6"/>
      <c r="AP1134" s="32"/>
      <c r="AQ1134" s="32"/>
      <c r="AR1134" s="32"/>
      <c r="AS1134" s="32"/>
      <c r="AT1134" s="32"/>
      <c r="AU1134" s="32"/>
      <c r="AV1134" s="32"/>
      <c r="AW1134" s="32"/>
      <c r="AX1134" s="32"/>
      <c r="AY1134" s="32"/>
      <c r="AZ1134" s="32"/>
      <c r="BA1134" s="32"/>
      <c r="BB1134" s="32"/>
      <c r="BC1134" s="32"/>
      <c r="BD1134" s="32"/>
      <c r="BE1134" s="32"/>
      <c r="BF1134" s="32"/>
      <c r="BG1134" s="32"/>
      <c r="BH1134" s="32"/>
      <c r="BI1134" s="32"/>
      <c r="BJ1134" s="6"/>
      <c r="BK1134" s="6"/>
      <c r="BL1134" s="6" t="s">
        <v>112</v>
      </c>
      <c r="BO1134" s="15"/>
    </row>
    <row r="1135" spans="1:67" s="5" customFormat="1">
      <c r="A1135" s="6" t="s">
        <v>89</v>
      </c>
      <c r="B1135" s="6"/>
      <c r="C1135" s="17">
        <v>32887.726600000002</v>
      </c>
      <c r="D1135" s="22">
        <v>7.0000854227687865</v>
      </c>
      <c r="E1135" s="6">
        <v>78.461697896697899</v>
      </c>
      <c r="F1135" s="22">
        <v>1452.9929525</v>
      </c>
      <c r="G1135" s="22"/>
      <c r="H1135" s="22">
        <v>713.42312908343024</v>
      </c>
      <c r="I1135" s="22"/>
      <c r="J1135" s="22">
        <v>1271.8265617517204</v>
      </c>
      <c r="K1135" s="22"/>
      <c r="L1135" s="22"/>
      <c r="M1135" s="22"/>
      <c r="N1135" s="18"/>
      <c r="O1135" s="18"/>
      <c r="P1135" s="22">
        <v>6853.6609816417094</v>
      </c>
      <c r="Q1135" s="22"/>
      <c r="R1135" s="22"/>
      <c r="S1135" s="22"/>
      <c r="T1135" s="22">
        <v>8838.9106724768608</v>
      </c>
      <c r="U1135" s="22"/>
      <c r="V1135" s="22"/>
      <c r="W1135" s="22"/>
      <c r="X1135" s="19"/>
      <c r="Y1135" s="22"/>
      <c r="Z1135" s="22"/>
      <c r="AA1135" s="22"/>
      <c r="AB1135" s="22"/>
      <c r="AC1135" s="22"/>
      <c r="AD1135" s="22"/>
      <c r="AE1135" s="22"/>
      <c r="AF1135" s="18"/>
      <c r="AG1135" s="18">
        <v>14.40009180456757</v>
      </c>
      <c r="AH1135" s="18"/>
      <c r="AI1135" s="18">
        <v>23.663823993114097</v>
      </c>
      <c r="AK1135" s="18"/>
      <c r="AL1135" s="18"/>
      <c r="AM1135" s="40" t="s">
        <v>118</v>
      </c>
      <c r="AN1135" s="18"/>
      <c r="AO1135" s="22"/>
      <c r="AP1135" s="32"/>
      <c r="AQ1135" s="32"/>
      <c r="AR1135" s="32"/>
      <c r="AS1135" s="32"/>
      <c r="AT1135" s="32"/>
      <c r="AU1135" s="32"/>
      <c r="AV1135" s="32"/>
      <c r="AW1135" s="32"/>
      <c r="AX1135" s="32"/>
      <c r="AY1135" s="32"/>
      <c r="AZ1135" s="32"/>
      <c r="BA1135" s="32"/>
      <c r="BB1135" s="32"/>
      <c r="BC1135" s="32"/>
      <c r="BD1135" s="32"/>
      <c r="BE1135" s="32"/>
      <c r="BF1135" s="32"/>
      <c r="BG1135" s="32"/>
      <c r="BH1135" s="32"/>
      <c r="BI1135" s="32"/>
      <c r="BJ1135" s="22"/>
      <c r="BK1135" s="22"/>
      <c r="BL1135" s="22" t="s">
        <v>86</v>
      </c>
      <c r="BO1135" s="15"/>
    </row>
    <row r="1136" spans="1:67" s="5" customFormat="1">
      <c r="A1136" s="6" t="s">
        <v>89</v>
      </c>
      <c r="B1136" s="6"/>
      <c r="C1136" s="17">
        <v>32887.726600000002</v>
      </c>
      <c r="D1136" s="18">
        <v>7.0000854227687865</v>
      </c>
      <c r="E1136" s="6"/>
      <c r="F1136" s="6"/>
      <c r="G1136" s="22"/>
      <c r="H1136" s="22"/>
      <c r="I1136" s="22"/>
      <c r="J1136" s="22"/>
      <c r="K1136" s="22"/>
      <c r="L1136" s="22"/>
      <c r="M1136" s="22"/>
      <c r="N1136" s="18"/>
      <c r="O1136" s="18"/>
      <c r="P1136" s="22"/>
      <c r="Q1136" s="22"/>
      <c r="R1136" s="22"/>
      <c r="S1136" s="22"/>
      <c r="T1136" s="22"/>
      <c r="U1136" s="22"/>
      <c r="V1136" s="6"/>
      <c r="W1136" s="6"/>
      <c r="X1136" s="19"/>
      <c r="Y1136" s="6"/>
      <c r="Z1136" s="6"/>
      <c r="AA1136" s="6"/>
      <c r="AB1136" s="6"/>
      <c r="AC1136" s="6"/>
      <c r="AD1136" s="6"/>
      <c r="AE1136" s="6"/>
      <c r="AF1136" s="18">
        <v>10</v>
      </c>
      <c r="AG1136" s="18"/>
      <c r="AH1136" s="18"/>
      <c r="AI1136" s="18"/>
      <c r="AK1136" s="18"/>
      <c r="AL1136" s="18"/>
      <c r="AM1136" s="18"/>
      <c r="AN1136" s="18"/>
      <c r="AO1136" s="6"/>
      <c r="AP1136" s="32"/>
      <c r="AQ1136" s="32"/>
      <c r="AR1136" s="32"/>
      <c r="AS1136" s="32"/>
      <c r="AT1136" s="32"/>
      <c r="AU1136" s="32"/>
      <c r="AV1136" s="32"/>
      <c r="AW1136" s="32"/>
      <c r="AX1136" s="32"/>
      <c r="AY1136" s="32"/>
      <c r="AZ1136" s="32"/>
      <c r="BA1136" s="32"/>
      <c r="BB1136" s="32"/>
      <c r="BC1136" s="32"/>
      <c r="BD1136" s="32"/>
      <c r="BE1136" s="32"/>
      <c r="BF1136" s="32"/>
      <c r="BG1136" s="32"/>
      <c r="BH1136" s="32"/>
      <c r="BI1136" s="32"/>
      <c r="BJ1136" s="6"/>
      <c r="BK1136" s="6"/>
      <c r="BL1136" s="6" t="s">
        <v>112</v>
      </c>
      <c r="BO1136" s="15"/>
    </row>
    <row r="1137" spans="1:67" s="5" customFormat="1">
      <c r="A1137" s="6" t="s">
        <v>90</v>
      </c>
      <c r="B1137" s="6"/>
      <c r="C1137" s="17">
        <v>32887.726600000002</v>
      </c>
      <c r="D1137" s="22">
        <v>7.0000854227687865</v>
      </c>
      <c r="E1137" s="6">
        <v>76.378645813645818</v>
      </c>
      <c r="F1137" s="22">
        <v>1414.4179525</v>
      </c>
      <c r="G1137" s="22"/>
      <c r="H1137" s="22">
        <v>336.37941026595809</v>
      </c>
      <c r="I1137" s="22"/>
      <c r="J1137" s="22">
        <v>197.54154633172217</v>
      </c>
      <c r="K1137" s="22"/>
      <c r="L1137" s="22"/>
      <c r="M1137" s="22"/>
      <c r="N1137" s="18"/>
      <c r="O1137" s="18"/>
      <c r="P1137" s="22">
        <v>1815.7431159829084</v>
      </c>
      <c r="Q1137" s="22"/>
      <c r="R1137" s="22"/>
      <c r="S1137" s="22"/>
      <c r="T1137" s="22">
        <v>2349.6640725805887</v>
      </c>
      <c r="U1137" s="22"/>
      <c r="V1137" s="22"/>
      <c r="W1137" s="22"/>
      <c r="X1137" s="19"/>
      <c r="Y1137" s="22"/>
      <c r="Z1137" s="22"/>
      <c r="AA1137" s="22"/>
      <c r="AB1137" s="22"/>
      <c r="AC1137" s="22"/>
      <c r="AD1137" s="22"/>
      <c r="AE1137" s="22"/>
      <c r="AF1137" s="18"/>
      <c r="AG1137" s="18">
        <v>8.2356558794332759</v>
      </c>
      <c r="AH1137" s="18"/>
      <c r="AI1137" s="18">
        <v>7.5346839524209139</v>
      </c>
      <c r="AK1137" s="18"/>
      <c r="AL1137" s="18"/>
      <c r="AM1137" s="40" t="s">
        <v>118</v>
      </c>
      <c r="AN1137" s="18"/>
      <c r="AO1137" s="22"/>
      <c r="AP1137" s="32"/>
      <c r="AQ1137" s="32"/>
      <c r="AR1137" s="32"/>
      <c r="AS1137" s="32"/>
      <c r="AT1137" s="32"/>
      <c r="AU1137" s="32"/>
      <c r="AV1137" s="32"/>
      <c r="AW1137" s="32"/>
      <c r="AX1137" s="32"/>
      <c r="AY1137" s="32"/>
      <c r="AZ1137" s="32"/>
      <c r="BA1137" s="32"/>
      <c r="BB1137" s="32"/>
      <c r="BC1137" s="32"/>
      <c r="BD1137" s="32"/>
      <c r="BE1137" s="32"/>
      <c r="BF1137" s="32"/>
      <c r="BG1137" s="32"/>
      <c r="BH1137" s="32"/>
      <c r="BI1137" s="32"/>
      <c r="BJ1137" s="22"/>
      <c r="BK1137" s="22"/>
      <c r="BL1137" s="22" t="s">
        <v>86</v>
      </c>
      <c r="BO1137" s="15"/>
    </row>
    <row r="1138" spans="1:67" s="5" customFormat="1">
      <c r="A1138" s="6" t="s">
        <v>92</v>
      </c>
      <c r="B1138" s="6"/>
      <c r="C1138" s="17">
        <v>32887.726600000002</v>
      </c>
      <c r="D1138" s="22">
        <v>7.0000854227687865</v>
      </c>
      <c r="E1138" s="6">
        <v>73.601104166104179</v>
      </c>
      <c r="F1138" s="22">
        <v>1362.9820475000001</v>
      </c>
      <c r="G1138" s="22"/>
      <c r="H1138" s="22">
        <v>602.46782568411561</v>
      </c>
      <c r="I1138" s="22"/>
      <c r="J1138" s="22">
        <v>726.59847074059576</v>
      </c>
      <c r="K1138" s="22"/>
      <c r="L1138" s="22"/>
      <c r="M1138" s="22"/>
      <c r="N1138" s="18"/>
      <c r="O1138" s="18"/>
      <c r="P1138" s="22">
        <v>5349.4849843075335</v>
      </c>
      <c r="Q1138" s="22"/>
      <c r="R1138" s="22"/>
      <c r="S1138" s="22"/>
      <c r="T1138" s="22">
        <v>6678.5512807322448</v>
      </c>
      <c r="U1138" s="22"/>
      <c r="V1138" s="22"/>
      <c r="W1138" s="22"/>
      <c r="X1138" s="19"/>
      <c r="Y1138" s="22"/>
      <c r="Z1138" s="22"/>
      <c r="AA1138" s="22"/>
      <c r="AB1138" s="22"/>
      <c r="AC1138" s="22"/>
      <c r="AD1138" s="22"/>
      <c r="AE1138" s="22"/>
      <c r="AF1138" s="18"/>
      <c r="AG1138" s="18">
        <v>12.41620287989806</v>
      </c>
      <c r="AH1138" s="18"/>
      <c r="AI1138" s="18">
        <v>16.502837874191382</v>
      </c>
      <c r="AK1138" s="18"/>
      <c r="AL1138" s="18"/>
      <c r="AM1138" s="40" t="s">
        <v>118</v>
      </c>
      <c r="AN1138" s="18"/>
      <c r="AO1138" s="22"/>
      <c r="AP1138" s="32"/>
      <c r="AQ1138" s="32"/>
      <c r="AR1138" s="32"/>
      <c r="AS1138" s="32"/>
      <c r="AT1138" s="32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2"/>
      <c r="BF1138" s="32"/>
      <c r="BG1138" s="32"/>
      <c r="BH1138" s="32"/>
      <c r="BI1138" s="32"/>
      <c r="BJ1138" s="22"/>
      <c r="BK1138" s="22"/>
      <c r="BL1138" s="22" t="s">
        <v>86</v>
      </c>
      <c r="BO1138" s="15"/>
    </row>
    <row r="1139" spans="1:67" s="5" customFormat="1">
      <c r="A1139" s="6" t="s">
        <v>91</v>
      </c>
      <c r="B1139" s="6"/>
      <c r="C1139" s="17">
        <v>32887.726600000002</v>
      </c>
      <c r="D1139" s="22">
        <v>7.0000854227687865</v>
      </c>
      <c r="E1139" s="6">
        <v>77.072927072927072</v>
      </c>
      <c r="F1139" s="22">
        <v>1427.2750000000001</v>
      </c>
      <c r="G1139" s="22"/>
      <c r="H1139" s="22">
        <v>616.57342188828318</v>
      </c>
      <c r="I1139" s="22"/>
      <c r="J1139" s="22">
        <v>728.24453836272789</v>
      </c>
      <c r="K1139" s="22"/>
      <c r="L1139" s="22"/>
      <c r="M1139" s="22"/>
      <c r="N1139" s="18"/>
      <c r="O1139" s="18"/>
      <c r="P1139" s="22">
        <v>5403.5298299009009</v>
      </c>
      <c r="Q1139" s="22"/>
      <c r="R1139" s="22"/>
      <c r="S1139" s="22"/>
      <c r="T1139" s="22">
        <v>6748.3477901519127</v>
      </c>
      <c r="U1139" s="22"/>
      <c r="V1139" s="22"/>
      <c r="W1139" s="22"/>
      <c r="X1139" s="19"/>
      <c r="Y1139" s="22"/>
      <c r="Z1139" s="22"/>
      <c r="AA1139" s="22"/>
      <c r="AB1139" s="22"/>
      <c r="AC1139" s="22"/>
      <c r="AD1139" s="22"/>
      <c r="AE1139" s="22"/>
      <c r="AF1139" s="18"/>
      <c r="AG1139" s="18">
        <v>12.252905659360447</v>
      </c>
      <c r="AH1139" s="18"/>
      <c r="AI1139" s="18">
        <v>16.829713976065435</v>
      </c>
      <c r="AK1139" s="18"/>
      <c r="AL1139" s="18"/>
      <c r="AM1139" s="40" t="s">
        <v>118</v>
      </c>
      <c r="AN1139" s="18"/>
      <c r="AO1139" s="22"/>
      <c r="AP1139" s="32"/>
      <c r="AQ1139" s="32"/>
      <c r="AR1139" s="32"/>
      <c r="AS1139" s="32"/>
      <c r="AT1139" s="32"/>
      <c r="AU1139" s="32"/>
      <c r="AV1139" s="32"/>
      <c r="AW1139" s="32"/>
      <c r="AX1139" s="32"/>
      <c r="AY1139" s="32"/>
      <c r="AZ1139" s="32"/>
      <c r="BA1139" s="32"/>
      <c r="BB1139" s="32"/>
      <c r="BC1139" s="32"/>
      <c r="BD1139" s="32"/>
      <c r="BE1139" s="32"/>
      <c r="BF1139" s="32"/>
      <c r="BG1139" s="32"/>
      <c r="BH1139" s="32"/>
      <c r="BI1139" s="32"/>
      <c r="BJ1139" s="22"/>
      <c r="BK1139" s="22"/>
      <c r="BL1139" s="22" t="s">
        <v>86</v>
      </c>
      <c r="BO1139" s="15"/>
    </row>
    <row r="1140" spans="1:67" s="5" customFormat="1">
      <c r="A1140" s="6" t="s">
        <v>93</v>
      </c>
      <c r="B1140" s="6"/>
      <c r="C1140" s="17">
        <v>32887.726600000002</v>
      </c>
      <c r="D1140" s="22">
        <v>7.0000854227687865</v>
      </c>
      <c r="E1140" s="6">
        <v>70.12948956448956</v>
      </c>
      <c r="F1140" s="22">
        <v>1298.6929525</v>
      </c>
      <c r="G1140" s="22"/>
      <c r="H1140" s="22">
        <v>821.88793199569648</v>
      </c>
      <c r="I1140" s="22"/>
      <c r="J1140" s="22">
        <v>1312.7520505208936</v>
      </c>
      <c r="K1140" s="22"/>
      <c r="L1140" s="22"/>
      <c r="M1140" s="22"/>
      <c r="N1140" s="18"/>
      <c r="O1140" s="18"/>
      <c r="P1140" s="22">
        <v>8585.4988468836564</v>
      </c>
      <c r="Q1140" s="22"/>
      <c r="R1140" s="22"/>
      <c r="S1140" s="22"/>
      <c r="T1140" s="22">
        <v>10720.138829400246</v>
      </c>
      <c r="U1140" s="22"/>
      <c r="V1140" s="22"/>
      <c r="W1140" s="22"/>
      <c r="X1140" s="19"/>
      <c r="Y1140" s="22"/>
      <c r="Z1140" s="22"/>
      <c r="AA1140" s="22"/>
      <c r="AB1140" s="22"/>
      <c r="AC1140" s="22"/>
      <c r="AD1140" s="22"/>
      <c r="AE1140" s="22"/>
      <c r="AF1140" s="18"/>
      <c r="AG1140" s="18">
        <v>15.037307080291844</v>
      </c>
      <c r="AH1140" s="18"/>
      <c r="AI1140" s="18">
        <v>23.064153406689265</v>
      </c>
      <c r="AK1140" s="18"/>
      <c r="AL1140" s="18"/>
      <c r="AM1140" s="40" t="s">
        <v>118</v>
      </c>
      <c r="AN1140" s="18"/>
      <c r="AO1140" s="22"/>
      <c r="AP1140" s="32"/>
      <c r="AQ1140" s="32"/>
      <c r="AR1140" s="32"/>
      <c r="AS1140" s="32"/>
      <c r="AT1140" s="32"/>
      <c r="AU1140" s="32"/>
      <c r="AV1140" s="32"/>
      <c r="AW1140" s="32"/>
      <c r="AX1140" s="32"/>
      <c r="AY1140" s="32"/>
      <c r="AZ1140" s="32"/>
      <c r="BA1140" s="32"/>
      <c r="BB1140" s="32"/>
      <c r="BC1140" s="32"/>
      <c r="BD1140" s="32"/>
      <c r="BE1140" s="32"/>
      <c r="BF1140" s="32"/>
      <c r="BG1140" s="32"/>
      <c r="BH1140" s="32"/>
      <c r="BI1140" s="32"/>
      <c r="BJ1140" s="22"/>
      <c r="BK1140" s="22"/>
      <c r="BL1140" s="22" t="s">
        <v>86</v>
      </c>
      <c r="BO1140" s="15"/>
    </row>
    <row r="1141" spans="1:67" s="5" customFormat="1">
      <c r="A1141" s="6" t="s">
        <v>85</v>
      </c>
      <c r="B1141" s="6"/>
      <c r="C1141" s="17">
        <v>32888.242200000001</v>
      </c>
      <c r="D1141" s="22">
        <v>7.0014970887810897</v>
      </c>
      <c r="E1141" s="6"/>
      <c r="F1141" s="22"/>
      <c r="G1141" s="22"/>
      <c r="H1141" s="22"/>
      <c r="I1141" s="22"/>
      <c r="J1141" s="22"/>
      <c r="K1141" s="22"/>
      <c r="L1141" s="22"/>
      <c r="M1141" s="22"/>
      <c r="N1141" s="18"/>
      <c r="O1141" s="18"/>
      <c r="P1141" s="22"/>
      <c r="Q1141" s="22"/>
      <c r="R1141" s="22"/>
      <c r="S1141" s="22"/>
      <c r="T1141" s="22"/>
      <c r="U1141" s="22"/>
      <c r="V1141" s="22"/>
      <c r="W1141" s="18">
        <v>0.81559955563902364</v>
      </c>
      <c r="X1141" s="19"/>
      <c r="Y1141" s="18">
        <v>1.5763616665446478</v>
      </c>
      <c r="Z1141" s="22"/>
      <c r="AA1141" s="22"/>
      <c r="AB1141" s="22"/>
      <c r="AC1141" s="22"/>
      <c r="AD1141" s="22"/>
      <c r="AE1141" s="22"/>
      <c r="AF1141" s="18"/>
      <c r="AG1141" s="18"/>
      <c r="AH1141" s="18"/>
      <c r="AI1141" s="18"/>
      <c r="AK1141" s="18"/>
      <c r="AL1141" s="18"/>
      <c r="AM1141" s="40" t="s">
        <v>118</v>
      </c>
      <c r="AN1141" s="18"/>
      <c r="AO1141" s="22"/>
      <c r="AP1141" s="32"/>
      <c r="AQ1141" s="32"/>
      <c r="AR1141" s="32"/>
      <c r="AS1141" s="32"/>
      <c r="AT1141" s="32"/>
      <c r="AU1141" s="32"/>
      <c r="AV1141" s="32"/>
      <c r="AW1141" s="32"/>
      <c r="AX1141" s="32"/>
      <c r="AY1141" s="32"/>
      <c r="AZ1141" s="32"/>
      <c r="BA1141" s="32"/>
      <c r="BB1141" s="32"/>
      <c r="BC1141" s="32"/>
      <c r="BD1141" s="32"/>
      <c r="BE1141" s="32"/>
      <c r="BF1141" s="32"/>
      <c r="BG1141" s="32"/>
      <c r="BH1141" s="32"/>
      <c r="BI1141" s="32"/>
      <c r="BJ1141" s="22"/>
      <c r="BK1141" s="22"/>
      <c r="BL1141" s="22" t="s">
        <v>86</v>
      </c>
      <c r="BO1141" s="15"/>
    </row>
    <row r="1142" spans="1:67" s="5" customFormat="1">
      <c r="A1142" s="6" t="s">
        <v>88</v>
      </c>
      <c r="B1142" s="6"/>
      <c r="C1142" s="17">
        <v>32888.242200000001</v>
      </c>
      <c r="D1142" s="22">
        <v>7.0014970887810897</v>
      </c>
      <c r="E1142" s="6"/>
      <c r="F1142" s="22"/>
      <c r="G1142" s="22"/>
      <c r="H1142" s="22"/>
      <c r="I1142" s="22"/>
      <c r="J1142" s="22"/>
      <c r="K1142" s="22"/>
      <c r="L1142" s="22"/>
      <c r="M1142" s="22"/>
      <c r="N1142" s="18"/>
      <c r="O1142" s="18"/>
      <c r="P1142" s="22"/>
      <c r="Q1142" s="22"/>
      <c r="R1142" s="22"/>
      <c r="S1142" s="22"/>
      <c r="T1142" s="22"/>
      <c r="U1142" s="22"/>
      <c r="V1142" s="22"/>
      <c r="W1142" s="18">
        <v>2.8582534538243372</v>
      </c>
      <c r="X1142" s="19"/>
      <c r="Y1142" s="18">
        <v>3.7364017105987735</v>
      </c>
      <c r="Z1142" s="22"/>
      <c r="AA1142" s="22"/>
      <c r="AB1142" s="22"/>
      <c r="AC1142" s="22"/>
      <c r="AD1142" s="22"/>
      <c r="AE1142" s="22"/>
      <c r="AF1142" s="18"/>
      <c r="AG1142" s="18"/>
      <c r="AH1142" s="18"/>
      <c r="AI1142" s="18"/>
      <c r="AK1142" s="18"/>
      <c r="AL1142" s="18"/>
      <c r="AM1142" s="40" t="s">
        <v>118</v>
      </c>
      <c r="AN1142" s="18"/>
      <c r="AO1142" s="22"/>
      <c r="AP1142" s="32"/>
      <c r="AQ1142" s="32"/>
      <c r="AR1142" s="32"/>
      <c r="AS1142" s="32"/>
      <c r="AT1142" s="32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2"/>
      <c r="BF1142" s="32"/>
      <c r="BG1142" s="32"/>
      <c r="BH1142" s="32"/>
      <c r="BI1142" s="32"/>
      <c r="BJ1142" s="22"/>
      <c r="BK1142" s="22"/>
      <c r="BL1142" s="22" t="s">
        <v>86</v>
      </c>
      <c r="BO1142" s="15"/>
    </row>
    <row r="1143" spans="1:67" s="5" customFormat="1">
      <c r="A1143" s="6" t="s">
        <v>87</v>
      </c>
      <c r="B1143" s="6"/>
      <c r="C1143" s="17">
        <v>32888.242200000001</v>
      </c>
      <c r="D1143" s="22">
        <v>7.0014970887810897</v>
      </c>
      <c r="E1143" s="6"/>
      <c r="F1143" s="22"/>
      <c r="G1143" s="22"/>
      <c r="H1143" s="22"/>
      <c r="I1143" s="22"/>
      <c r="J1143" s="22"/>
      <c r="K1143" s="22"/>
      <c r="L1143" s="22"/>
      <c r="M1143" s="22"/>
      <c r="N1143" s="18"/>
      <c r="O1143" s="18"/>
      <c r="P1143" s="22"/>
      <c r="Q1143" s="22"/>
      <c r="R1143" s="22"/>
      <c r="S1143" s="22"/>
      <c r="T1143" s="22"/>
      <c r="U1143" s="22"/>
      <c r="V1143" s="22"/>
      <c r="W1143" s="18">
        <v>2.2611683271846421</v>
      </c>
      <c r="X1143" s="19"/>
      <c r="Y1143" s="18">
        <v>3.1644421569969348</v>
      </c>
      <c r="Z1143" s="22"/>
      <c r="AA1143" s="22"/>
      <c r="AB1143" s="22"/>
      <c r="AC1143" s="22"/>
      <c r="AD1143" s="22"/>
      <c r="AE1143" s="22"/>
      <c r="AF1143" s="18"/>
      <c r="AG1143" s="18"/>
      <c r="AH1143" s="18"/>
      <c r="AI1143" s="18"/>
      <c r="AK1143" s="18"/>
      <c r="AL1143" s="18"/>
      <c r="AM1143" s="40" t="s">
        <v>118</v>
      </c>
      <c r="AN1143" s="18"/>
      <c r="AO1143" s="22"/>
      <c r="AP1143" s="32"/>
      <c r="AQ1143" s="32"/>
      <c r="AR1143" s="32"/>
      <c r="AS1143" s="32"/>
      <c r="AT1143" s="32"/>
      <c r="AU1143" s="32"/>
      <c r="AV1143" s="32"/>
      <c r="AW1143" s="32"/>
      <c r="AX1143" s="32"/>
      <c r="AY1143" s="32"/>
      <c r="AZ1143" s="32"/>
      <c r="BA1143" s="32"/>
      <c r="BB1143" s="32"/>
      <c r="BC1143" s="32"/>
      <c r="BD1143" s="32"/>
      <c r="BE1143" s="32"/>
      <c r="BF1143" s="32"/>
      <c r="BG1143" s="32"/>
      <c r="BH1143" s="32"/>
      <c r="BI1143" s="32"/>
      <c r="BJ1143" s="22"/>
      <c r="BK1143" s="22"/>
      <c r="BL1143" s="22" t="s">
        <v>86</v>
      </c>
      <c r="BO1143" s="15"/>
    </row>
    <row r="1144" spans="1:67" s="5" customFormat="1">
      <c r="A1144" s="6" t="s">
        <v>89</v>
      </c>
      <c r="B1144" s="6"/>
      <c r="C1144" s="17">
        <v>32888.242200000001</v>
      </c>
      <c r="D1144" s="22">
        <v>7.0014970887810897</v>
      </c>
      <c r="E1144" s="6"/>
      <c r="F1144" s="22"/>
      <c r="G1144" s="22"/>
      <c r="H1144" s="22"/>
      <c r="I1144" s="22"/>
      <c r="J1144" s="22"/>
      <c r="K1144" s="22"/>
      <c r="L1144" s="22"/>
      <c r="M1144" s="22"/>
      <c r="N1144" s="18"/>
      <c r="O1144" s="18"/>
      <c r="P1144" s="22"/>
      <c r="Q1144" s="22"/>
      <c r="R1144" s="22"/>
      <c r="S1144" s="22"/>
      <c r="T1144" s="22"/>
      <c r="U1144" s="22"/>
      <c r="V1144" s="22"/>
      <c r="W1144" s="18">
        <v>3.229908711830634</v>
      </c>
      <c r="X1144" s="19"/>
      <c r="Y1144" s="18">
        <v>4.5335916271696819</v>
      </c>
      <c r="Z1144" s="22"/>
      <c r="AA1144" s="22"/>
      <c r="AB1144" s="22"/>
      <c r="AC1144" s="22"/>
      <c r="AD1144" s="22"/>
      <c r="AE1144" s="22"/>
      <c r="AF1144" s="18"/>
      <c r="AG1144" s="18"/>
      <c r="AH1144" s="18"/>
      <c r="AI1144" s="18"/>
      <c r="AK1144" s="18"/>
      <c r="AL1144" s="18"/>
      <c r="AM1144" s="40" t="s">
        <v>118</v>
      </c>
      <c r="AN1144" s="18"/>
      <c r="AO1144" s="22"/>
      <c r="AP1144" s="32"/>
      <c r="AQ1144" s="32"/>
      <c r="AR1144" s="32"/>
      <c r="AS1144" s="32"/>
      <c r="AT1144" s="32"/>
      <c r="AU1144" s="32"/>
      <c r="AV1144" s="32"/>
      <c r="AW1144" s="32"/>
      <c r="AX1144" s="32"/>
      <c r="AY1144" s="32"/>
      <c r="AZ1144" s="32"/>
      <c r="BA1144" s="32"/>
      <c r="BB1144" s="32"/>
      <c r="BC1144" s="32"/>
      <c r="BD1144" s="32"/>
      <c r="BE1144" s="32"/>
      <c r="BF1144" s="32"/>
      <c r="BG1144" s="32"/>
      <c r="BH1144" s="32"/>
      <c r="BI1144" s="32"/>
      <c r="BJ1144" s="22"/>
      <c r="BK1144" s="22"/>
      <c r="BL1144" s="22" t="s">
        <v>86</v>
      </c>
      <c r="BO1144" s="15"/>
    </row>
    <row r="1145" spans="1:67" s="5" customFormat="1">
      <c r="A1145" s="6" t="s">
        <v>90</v>
      </c>
      <c r="B1145" s="6"/>
      <c r="C1145" s="17">
        <v>32888.242200000001</v>
      </c>
      <c r="D1145" s="22">
        <v>7.0014970887810897</v>
      </c>
      <c r="E1145" s="6"/>
      <c r="F1145" s="22"/>
      <c r="G1145" s="22"/>
      <c r="H1145" s="22"/>
      <c r="I1145" s="22"/>
      <c r="J1145" s="22"/>
      <c r="K1145" s="22"/>
      <c r="L1145" s="22"/>
      <c r="M1145" s="22"/>
      <c r="N1145" s="18"/>
      <c r="O1145" s="18"/>
      <c r="P1145" s="22"/>
      <c r="Q1145" s="22"/>
      <c r="R1145" s="22"/>
      <c r="S1145" s="22"/>
      <c r="T1145" s="22"/>
      <c r="U1145" s="22"/>
      <c r="V1145" s="22"/>
      <c r="W1145" s="18">
        <v>1.0979664214617439</v>
      </c>
      <c r="X1145" s="19"/>
      <c r="Y1145" s="18">
        <v>1.708922426223664</v>
      </c>
      <c r="Z1145" s="22"/>
      <c r="AA1145" s="22"/>
      <c r="AB1145" s="22"/>
      <c r="AC1145" s="22"/>
      <c r="AD1145" s="22"/>
      <c r="AE1145" s="22"/>
      <c r="AF1145" s="18"/>
      <c r="AG1145" s="18"/>
      <c r="AH1145" s="18"/>
      <c r="AI1145" s="18"/>
      <c r="AK1145" s="18"/>
      <c r="AL1145" s="18"/>
      <c r="AM1145" s="40" t="s">
        <v>118</v>
      </c>
      <c r="AN1145" s="18"/>
      <c r="AO1145" s="22"/>
      <c r="AP1145" s="32"/>
      <c r="AQ1145" s="32"/>
      <c r="AR1145" s="32"/>
      <c r="AS1145" s="32"/>
      <c r="AT1145" s="32"/>
      <c r="AU1145" s="32"/>
      <c r="AV1145" s="32"/>
      <c r="AW1145" s="32"/>
      <c r="AX1145" s="32"/>
      <c r="AY1145" s="32"/>
      <c r="AZ1145" s="32"/>
      <c r="BA1145" s="32"/>
      <c r="BB1145" s="32"/>
      <c r="BC1145" s="32"/>
      <c r="BD1145" s="32"/>
      <c r="BE1145" s="32"/>
      <c r="BF1145" s="32"/>
      <c r="BG1145" s="32"/>
      <c r="BH1145" s="32"/>
      <c r="BI1145" s="32"/>
      <c r="BJ1145" s="22"/>
      <c r="BK1145" s="22"/>
      <c r="BL1145" s="22" t="s">
        <v>86</v>
      </c>
      <c r="BO1145" s="15"/>
    </row>
    <row r="1146" spans="1:67" s="5" customFormat="1">
      <c r="A1146" s="6" t="s">
        <v>92</v>
      </c>
      <c r="B1146" s="6"/>
      <c r="C1146" s="17">
        <v>32888.242200000001</v>
      </c>
      <c r="D1146" s="22">
        <v>7.0014970887810897</v>
      </c>
      <c r="E1146" s="6"/>
      <c r="F1146" s="22"/>
      <c r="G1146" s="22"/>
      <c r="H1146" s="22"/>
      <c r="I1146" s="22"/>
      <c r="J1146" s="22"/>
      <c r="K1146" s="22"/>
      <c r="L1146" s="22"/>
      <c r="M1146" s="22"/>
      <c r="N1146" s="18"/>
      <c r="O1146" s="18"/>
      <c r="P1146" s="22"/>
      <c r="Q1146" s="22"/>
      <c r="R1146" s="22"/>
      <c r="S1146" s="22"/>
      <c r="T1146" s="22"/>
      <c r="U1146" s="22"/>
      <c r="V1146" s="22"/>
      <c r="W1146" s="18">
        <v>2.1537413637680283</v>
      </c>
      <c r="X1146" s="19"/>
      <c r="Y1146" s="18">
        <v>3.2526533729735578</v>
      </c>
      <c r="Z1146" s="22"/>
      <c r="AA1146" s="22"/>
      <c r="AB1146" s="22"/>
      <c r="AC1146" s="22"/>
      <c r="AD1146" s="22"/>
      <c r="AE1146" s="22"/>
      <c r="AF1146" s="18"/>
      <c r="AG1146" s="18"/>
      <c r="AH1146" s="18"/>
      <c r="AI1146" s="18"/>
      <c r="AK1146" s="18"/>
      <c r="AL1146" s="18"/>
      <c r="AM1146" s="40" t="s">
        <v>118</v>
      </c>
      <c r="AN1146" s="18"/>
      <c r="AO1146" s="22"/>
      <c r="AP1146" s="32"/>
      <c r="AQ1146" s="32"/>
      <c r="AR1146" s="32"/>
      <c r="AS1146" s="32"/>
      <c r="AT1146" s="32"/>
      <c r="AU1146" s="32"/>
      <c r="AV1146" s="32"/>
      <c r="AW1146" s="32"/>
      <c r="AX1146" s="32"/>
      <c r="AY1146" s="32"/>
      <c r="AZ1146" s="32"/>
      <c r="BA1146" s="32"/>
      <c r="BB1146" s="32"/>
      <c r="BC1146" s="32"/>
      <c r="BD1146" s="32"/>
      <c r="BE1146" s="32"/>
      <c r="BF1146" s="32"/>
      <c r="BG1146" s="32"/>
      <c r="BH1146" s="32"/>
      <c r="BI1146" s="32"/>
      <c r="BJ1146" s="22"/>
      <c r="BK1146" s="22"/>
      <c r="BL1146" s="22" t="s">
        <v>86</v>
      </c>
      <c r="BO1146" s="15"/>
    </row>
    <row r="1147" spans="1:67" s="5" customFormat="1">
      <c r="A1147" s="6" t="s">
        <v>91</v>
      </c>
      <c r="B1147" s="6"/>
      <c r="C1147" s="17">
        <v>32888.242200000001</v>
      </c>
      <c r="D1147" s="22">
        <v>7.0014970887810897</v>
      </c>
      <c r="E1147" s="6"/>
      <c r="F1147" s="22"/>
      <c r="G1147" s="22"/>
      <c r="H1147" s="22"/>
      <c r="I1147" s="22"/>
      <c r="J1147" s="22"/>
      <c r="K1147" s="22"/>
      <c r="L1147" s="22"/>
      <c r="M1147" s="22"/>
      <c r="N1147" s="18"/>
      <c r="O1147" s="18"/>
      <c r="P1147" s="22"/>
      <c r="Q1147" s="22"/>
      <c r="R1147" s="22"/>
      <c r="S1147" s="22"/>
      <c r="T1147" s="22"/>
      <c r="U1147" s="22"/>
      <c r="V1147" s="22"/>
      <c r="W1147" s="18">
        <v>2.1159938359238475</v>
      </c>
      <c r="X1147" s="19"/>
      <c r="Y1147" s="18">
        <v>3.0130313198093961</v>
      </c>
      <c r="Z1147" s="22"/>
      <c r="AA1147" s="22"/>
      <c r="AB1147" s="22"/>
      <c r="AC1147" s="22"/>
      <c r="AD1147" s="22"/>
      <c r="AE1147" s="22"/>
      <c r="AF1147" s="18"/>
      <c r="AG1147" s="18"/>
      <c r="AH1147" s="18"/>
      <c r="AI1147" s="18"/>
      <c r="AK1147" s="18"/>
      <c r="AL1147" s="18"/>
      <c r="AM1147" s="40" t="s">
        <v>118</v>
      </c>
      <c r="AN1147" s="18"/>
      <c r="AO1147" s="22"/>
      <c r="AP1147" s="32"/>
      <c r="AQ1147" s="32"/>
      <c r="AR1147" s="32"/>
      <c r="AS1147" s="32"/>
      <c r="AT1147" s="32"/>
      <c r="AU1147" s="32"/>
      <c r="AV1147" s="32"/>
      <c r="AW1147" s="32"/>
      <c r="AX1147" s="32"/>
      <c r="AY1147" s="32"/>
      <c r="AZ1147" s="32"/>
      <c r="BA1147" s="32"/>
      <c r="BB1147" s="32"/>
      <c r="BC1147" s="32"/>
      <c r="BD1147" s="32"/>
      <c r="BE1147" s="32"/>
      <c r="BF1147" s="32"/>
      <c r="BG1147" s="32"/>
      <c r="BH1147" s="32"/>
      <c r="BI1147" s="32"/>
      <c r="BJ1147" s="22"/>
      <c r="BK1147" s="22"/>
      <c r="BL1147" s="22" t="s">
        <v>86</v>
      </c>
      <c r="BO1147" s="15"/>
    </row>
    <row r="1148" spans="1:67" s="5" customFormat="1">
      <c r="A1148" s="6" t="s">
        <v>93</v>
      </c>
      <c r="B1148" s="6"/>
      <c r="C1148" s="17">
        <v>32888.242200000001</v>
      </c>
      <c r="D1148" s="22">
        <v>7.0014970887810897</v>
      </c>
      <c r="E1148" s="6"/>
      <c r="F1148" s="22"/>
      <c r="G1148" s="22"/>
      <c r="H1148" s="22"/>
      <c r="I1148" s="22"/>
      <c r="J1148" s="22"/>
      <c r="K1148" s="22"/>
      <c r="L1148" s="22"/>
      <c r="M1148" s="22"/>
      <c r="N1148" s="18"/>
      <c r="O1148" s="18"/>
      <c r="P1148" s="22"/>
      <c r="Q1148" s="22"/>
      <c r="R1148" s="22"/>
      <c r="S1148" s="22"/>
      <c r="T1148" s="22"/>
      <c r="U1148" s="22"/>
      <c r="V1148" s="22"/>
      <c r="W1148" s="18">
        <v>2.5692741850464254</v>
      </c>
      <c r="X1148" s="19"/>
      <c r="Y1148" s="18">
        <v>3.5115735057725548</v>
      </c>
      <c r="Z1148" s="22"/>
      <c r="AA1148" s="22"/>
      <c r="AB1148" s="22"/>
      <c r="AC1148" s="22"/>
      <c r="AD1148" s="22"/>
      <c r="AE1148" s="22"/>
      <c r="AF1148" s="18"/>
      <c r="AG1148" s="18"/>
      <c r="AH1148" s="18"/>
      <c r="AI1148" s="18"/>
      <c r="AK1148" s="18"/>
      <c r="AL1148" s="18"/>
      <c r="AM1148" s="40" t="s">
        <v>118</v>
      </c>
      <c r="AN1148" s="18"/>
      <c r="AO1148" s="22"/>
      <c r="AP1148" s="32"/>
      <c r="AQ1148" s="32"/>
      <c r="AR1148" s="32"/>
      <c r="AS1148" s="32"/>
      <c r="AT1148" s="32"/>
      <c r="AU1148" s="32"/>
      <c r="AV1148" s="32"/>
      <c r="AW1148" s="32"/>
      <c r="AX1148" s="32"/>
      <c r="AY1148" s="32"/>
      <c r="AZ1148" s="32"/>
      <c r="BA1148" s="32"/>
      <c r="BB1148" s="32"/>
      <c r="BC1148" s="32"/>
      <c r="BD1148" s="32"/>
      <c r="BE1148" s="32"/>
      <c r="BF1148" s="32"/>
      <c r="BG1148" s="32"/>
      <c r="BH1148" s="32"/>
      <c r="BI1148" s="32"/>
      <c r="BJ1148" s="22"/>
      <c r="BK1148" s="22"/>
      <c r="BL1148" s="22" t="s">
        <v>86</v>
      </c>
      <c r="BO1148" s="15"/>
    </row>
    <row r="1149" spans="1:67" s="5" customFormat="1">
      <c r="A1149" s="6" t="s">
        <v>85</v>
      </c>
      <c r="B1149" s="6"/>
      <c r="C1149" s="17">
        <v>33253.484400000001</v>
      </c>
      <c r="D1149" s="22">
        <v>8.0014970887810914</v>
      </c>
      <c r="E1149" s="6"/>
      <c r="F1149" s="22"/>
      <c r="G1149" s="22"/>
      <c r="H1149" s="22"/>
      <c r="I1149" s="22"/>
      <c r="J1149" s="22"/>
      <c r="K1149" s="22"/>
      <c r="L1149" s="22"/>
      <c r="M1149" s="22"/>
      <c r="N1149" s="18"/>
      <c r="O1149" s="18"/>
      <c r="P1149" s="22"/>
      <c r="Q1149" s="22"/>
      <c r="R1149" s="22"/>
      <c r="S1149" s="22"/>
      <c r="T1149" s="22"/>
      <c r="U1149" s="22"/>
      <c r="V1149" s="22"/>
      <c r="W1149" s="18">
        <v>1.0491366381354665</v>
      </c>
      <c r="X1149" s="19"/>
      <c r="Y1149" s="18">
        <v>1.8603383531905817</v>
      </c>
      <c r="Z1149" s="22"/>
      <c r="AA1149" s="22"/>
      <c r="AB1149" s="22"/>
      <c r="AC1149" s="22"/>
      <c r="AD1149" s="22"/>
      <c r="AE1149" s="22"/>
      <c r="AF1149" s="18"/>
      <c r="AG1149" s="18"/>
      <c r="AH1149" s="18"/>
      <c r="AI1149" s="18"/>
      <c r="AK1149" s="18"/>
      <c r="AL1149" s="18"/>
      <c r="AM1149" s="40" t="s">
        <v>118</v>
      </c>
      <c r="AN1149" s="18"/>
      <c r="AO1149" s="22"/>
      <c r="AP1149" s="32"/>
      <c r="AQ1149" s="32"/>
      <c r="AR1149" s="32"/>
      <c r="AS1149" s="32"/>
      <c r="AT1149" s="32"/>
      <c r="AU1149" s="32"/>
      <c r="AV1149" s="32"/>
      <c r="AW1149" s="32"/>
      <c r="AX1149" s="32"/>
      <c r="AY1149" s="32"/>
      <c r="AZ1149" s="32"/>
      <c r="BA1149" s="32"/>
      <c r="BB1149" s="32"/>
      <c r="BC1149" s="32"/>
      <c r="BD1149" s="32"/>
      <c r="BE1149" s="32"/>
      <c r="BF1149" s="32"/>
      <c r="BG1149" s="32"/>
      <c r="BH1149" s="32"/>
      <c r="BI1149" s="32"/>
      <c r="BJ1149" s="22"/>
      <c r="BK1149" s="22"/>
      <c r="BL1149" s="22" t="s">
        <v>86</v>
      </c>
      <c r="BO1149" s="15"/>
    </row>
    <row r="1150" spans="1:67" s="5" customFormat="1">
      <c r="A1150" s="6" t="s">
        <v>88</v>
      </c>
      <c r="B1150" s="6"/>
      <c r="C1150" s="17">
        <v>33253.484400000001</v>
      </c>
      <c r="D1150" s="22">
        <v>8.0014970887810914</v>
      </c>
      <c r="E1150" s="6"/>
      <c r="F1150" s="22"/>
      <c r="G1150" s="22"/>
      <c r="H1150" s="22"/>
      <c r="I1150" s="22"/>
      <c r="J1150" s="22"/>
      <c r="K1150" s="22"/>
      <c r="L1150" s="22"/>
      <c r="M1150" s="22"/>
      <c r="N1150" s="18"/>
      <c r="O1150" s="18"/>
      <c r="P1150" s="22"/>
      <c r="Q1150" s="22"/>
      <c r="R1150" s="22"/>
      <c r="S1150" s="22"/>
      <c r="T1150" s="22"/>
      <c r="U1150" s="22"/>
      <c r="V1150" s="22"/>
      <c r="W1150" s="18">
        <v>3.238047339086259</v>
      </c>
      <c r="X1150" s="19"/>
      <c r="Y1150" s="18">
        <v>4.3877079408834385</v>
      </c>
      <c r="Z1150" s="22"/>
      <c r="AA1150" s="22"/>
      <c r="AB1150" s="22"/>
      <c r="AC1150" s="22"/>
      <c r="AD1150" s="22"/>
      <c r="AE1150" s="22"/>
      <c r="AF1150" s="18"/>
      <c r="AG1150" s="18"/>
      <c r="AH1150" s="18"/>
      <c r="AI1150" s="18"/>
      <c r="AK1150" s="18"/>
      <c r="AL1150" s="18"/>
      <c r="AM1150" s="40" t="s">
        <v>118</v>
      </c>
      <c r="AN1150" s="18"/>
      <c r="AO1150" s="22"/>
      <c r="AP1150" s="32"/>
      <c r="AQ1150" s="32"/>
      <c r="AR1150" s="32"/>
      <c r="AS1150" s="32"/>
      <c r="AT1150" s="32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2"/>
      <c r="BF1150" s="32"/>
      <c r="BG1150" s="32"/>
      <c r="BH1150" s="32"/>
      <c r="BI1150" s="32"/>
      <c r="BJ1150" s="22"/>
      <c r="BK1150" s="22"/>
      <c r="BL1150" s="22" t="s">
        <v>86</v>
      </c>
      <c r="BO1150" s="15"/>
    </row>
    <row r="1151" spans="1:67" s="5" customFormat="1">
      <c r="A1151" s="6" t="s">
        <v>87</v>
      </c>
      <c r="B1151" s="6"/>
      <c r="C1151" s="17">
        <v>33253.484400000001</v>
      </c>
      <c r="D1151" s="22">
        <v>8.0014970887810914</v>
      </c>
      <c r="E1151" s="6"/>
      <c r="F1151" s="22"/>
      <c r="G1151" s="22"/>
      <c r="H1151" s="22"/>
      <c r="I1151" s="22"/>
      <c r="J1151" s="22"/>
      <c r="K1151" s="22"/>
      <c r="L1151" s="22"/>
      <c r="M1151" s="22"/>
      <c r="N1151" s="18"/>
      <c r="O1151" s="18"/>
      <c r="P1151" s="22"/>
      <c r="Q1151" s="22"/>
      <c r="R1151" s="22"/>
      <c r="S1151" s="22"/>
      <c r="T1151" s="22"/>
      <c r="U1151" s="22"/>
      <c r="V1151" s="22"/>
      <c r="W1151" s="18">
        <v>2.6933049901483006</v>
      </c>
      <c r="X1151" s="19"/>
      <c r="Y1151" s="18">
        <v>3.6885833574718538</v>
      </c>
      <c r="Z1151" s="22"/>
      <c r="AA1151" s="22"/>
      <c r="AB1151" s="22"/>
      <c r="AC1151" s="22"/>
      <c r="AD1151" s="22"/>
      <c r="AE1151" s="22"/>
      <c r="AF1151" s="18"/>
      <c r="AG1151" s="18"/>
      <c r="AH1151" s="18"/>
      <c r="AI1151" s="18"/>
      <c r="AK1151" s="18"/>
      <c r="AL1151" s="18"/>
      <c r="AM1151" s="40" t="s">
        <v>118</v>
      </c>
      <c r="AN1151" s="18"/>
      <c r="AO1151" s="22"/>
      <c r="AP1151" s="32"/>
      <c r="AQ1151" s="32"/>
      <c r="AR1151" s="32"/>
      <c r="AS1151" s="32"/>
      <c r="AT1151" s="32"/>
      <c r="AU1151" s="32"/>
      <c r="AV1151" s="32"/>
      <c r="AW1151" s="32"/>
      <c r="AX1151" s="32"/>
      <c r="AY1151" s="32"/>
      <c r="AZ1151" s="32"/>
      <c r="BA1151" s="32"/>
      <c r="BB1151" s="32"/>
      <c r="BC1151" s="32"/>
      <c r="BD1151" s="32"/>
      <c r="BE1151" s="32"/>
      <c r="BF1151" s="32"/>
      <c r="BG1151" s="32"/>
      <c r="BH1151" s="32"/>
      <c r="BI1151" s="32"/>
      <c r="BJ1151" s="22"/>
      <c r="BK1151" s="22"/>
      <c r="BL1151" s="22" t="s">
        <v>86</v>
      </c>
      <c r="BO1151" s="15"/>
    </row>
    <row r="1152" spans="1:67" s="5" customFormat="1">
      <c r="A1152" s="6" t="s">
        <v>89</v>
      </c>
      <c r="B1152" s="6"/>
      <c r="C1152" s="17">
        <v>33253.484400000001</v>
      </c>
      <c r="D1152" s="22">
        <v>8.0014970887810914</v>
      </c>
      <c r="E1152" s="6"/>
      <c r="F1152" s="22"/>
      <c r="G1152" s="22"/>
      <c r="H1152" s="22"/>
      <c r="I1152" s="22"/>
      <c r="J1152" s="22"/>
      <c r="K1152" s="22"/>
      <c r="L1152" s="22"/>
      <c r="M1152" s="22"/>
      <c r="N1152" s="18"/>
      <c r="O1152" s="18"/>
      <c r="P1152" s="22"/>
      <c r="Q1152" s="22"/>
      <c r="R1152" s="22"/>
      <c r="S1152" s="22"/>
      <c r="T1152" s="22"/>
      <c r="U1152" s="22"/>
      <c r="V1152" s="22"/>
      <c r="W1152" s="18">
        <v>3.351886009950376</v>
      </c>
      <c r="X1152" s="19"/>
      <c r="Y1152" s="18">
        <v>4.6468048408608382</v>
      </c>
      <c r="Z1152" s="22"/>
      <c r="AA1152" s="22"/>
      <c r="AB1152" s="22"/>
      <c r="AC1152" s="22"/>
      <c r="AD1152" s="22"/>
      <c r="AE1152" s="22"/>
      <c r="AF1152" s="18"/>
      <c r="AG1152" s="18"/>
      <c r="AH1152" s="18"/>
      <c r="AI1152" s="18"/>
      <c r="AK1152" s="18"/>
      <c r="AL1152" s="18"/>
      <c r="AM1152" s="40" t="s">
        <v>118</v>
      </c>
      <c r="AN1152" s="18"/>
      <c r="AO1152" s="22"/>
      <c r="AP1152" s="32"/>
      <c r="AQ1152" s="32"/>
      <c r="AR1152" s="32"/>
      <c r="AS1152" s="32"/>
      <c r="AT1152" s="32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2"/>
      <c r="BF1152" s="32"/>
      <c r="BG1152" s="32"/>
      <c r="BH1152" s="32"/>
      <c r="BI1152" s="32"/>
      <c r="BJ1152" s="22"/>
      <c r="BK1152" s="22"/>
      <c r="BL1152" s="22" t="s">
        <v>86</v>
      </c>
      <c r="BO1152" s="15"/>
    </row>
    <row r="1153" spans="1:67" s="5" customFormat="1">
      <c r="A1153" s="6" t="s">
        <v>90</v>
      </c>
      <c r="B1153" s="6"/>
      <c r="C1153" s="17">
        <v>33253.484400000001</v>
      </c>
      <c r="D1153" s="22">
        <v>8.0014970887810914</v>
      </c>
      <c r="E1153" s="6"/>
      <c r="F1153" s="22"/>
      <c r="G1153" s="22"/>
      <c r="H1153" s="22"/>
      <c r="I1153" s="22"/>
      <c r="J1153" s="22"/>
      <c r="K1153" s="22"/>
      <c r="L1153" s="22"/>
      <c r="M1153" s="22"/>
      <c r="N1153" s="18"/>
      <c r="O1153" s="18"/>
      <c r="P1153" s="22"/>
      <c r="Q1153" s="22"/>
      <c r="R1153" s="22"/>
      <c r="S1153" s="22"/>
      <c r="T1153" s="22"/>
      <c r="U1153" s="22"/>
      <c r="V1153" s="22"/>
      <c r="W1153" s="18">
        <v>1.3222327872192108</v>
      </c>
      <c r="X1153" s="19"/>
      <c r="Y1153" s="18">
        <v>2.1429336221467472</v>
      </c>
      <c r="Z1153" s="22"/>
      <c r="AA1153" s="22"/>
      <c r="AB1153" s="22"/>
      <c r="AC1153" s="22"/>
      <c r="AD1153" s="22"/>
      <c r="AE1153" s="22"/>
      <c r="AF1153" s="18"/>
      <c r="AG1153" s="18"/>
      <c r="AH1153" s="18"/>
      <c r="AI1153" s="18"/>
      <c r="AK1153" s="18"/>
      <c r="AL1153" s="18"/>
      <c r="AM1153" s="40" t="s">
        <v>118</v>
      </c>
      <c r="AN1153" s="18"/>
      <c r="AO1153" s="22"/>
      <c r="AP1153" s="32"/>
      <c r="AQ1153" s="32"/>
      <c r="AR1153" s="32"/>
      <c r="AS1153" s="32"/>
      <c r="AT1153" s="32"/>
      <c r="AU1153" s="32"/>
      <c r="AV1153" s="32"/>
      <c r="AW1153" s="32"/>
      <c r="AX1153" s="32"/>
      <c r="AY1153" s="32"/>
      <c r="AZ1153" s="32"/>
      <c r="BA1153" s="32"/>
      <c r="BB1153" s="32"/>
      <c r="BC1153" s="32"/>
      <c r="BD1153" s="32"/>
      <c r="BE1153" s="32"/>
      <c r="BF1153" s="32"/>
      <c r="BG1153" s="32"/>
      <c r="BH1153" s="32"/>
      <c r="BI1153" s="32"/>
      <c r="BJ1153" s="22"/>
      <c r="BK1153" s="22"/>
      <c r="BL1153" s="22" t="s">
        <v>86</v>
      </c>
      <c r="BO1153" s="15"/>
    </row>
    <row r="1154" spans="1:67" s="5" customFormat="1">
      <c r="A1154" s="6" t="s">
        <v>92</v>
      </c>
      <c r="B1154" s="6"/>
      <c r="C1154" s="17">
        <v>33253.484400000001</v>
      </c>
      <c r="D1154" s="22">
        <v>8.0014970887810914</v>
      </c>
      <c r="E1154" s="6"/>
      <c r="F1154" s="22"/>
      <c r="G1154" s="22"/>
      <c r="H1154" s="22"/>
      <c r="I1154" s="22"/>
      <c r="J1154" s="22"/>
      <c r="K1154" s="22"/>
      <c r="L1154" s="22"/>
      <c r="M1154" s="22"/>
      <c r="N1154" s="18"/>
      <c r="O1154" s="18"/>
      <c r="P1154" s="22"/>
      <c r="Q1154" s="22"/>
      <c r="R1154" s="22"/>
      <c r="S1154" s="22"/>
      <c r="T1154" s="22"/>
      <c r="U1154" s="22"/>
      <c r="V1154" s="22"/>
      <c r="W1154" s="18">
        <v>2.2909393931098587</v>
      </c>
      <c r="X1154" s="19"/>
      <c r="Y1154" s="18">
        <v>3.5464936099236377</v>
      </c>
      <c r="Z1154" s="22"/>
      <c r="AA1154" s="22"/>
      <c r="AB1154" s="22"/>
      <c r="AC1154" s="22"/>
      <c r="AD1154" s="22"/>
      <c r="AE1154" s="22"/>
      <c r="AF1154" s="18"/>
      <c r="AG1154" s="18"/>
      <c r="AH1154" s="18"/>
      <c r="AI1154" s="18"/>
      <c r="AK1154" s="18"/>
      <c r="AL1154" s="18"/>
      <c r="AM1154" s="40" t="s">
        <v>118</v>
      </c>
      <c r="AN1154" s="18"/>
      <c r="AO1154" s="22"/>
      <c r="AP1154" s="32"/>
      <c r="AQ1154" s="32"/>
      <c r="AR1154" s="32"/>
      <c r="AS1154" s="32"/>
      <c r="AT1154" s="32"/>
      <c r="AU1154" s="32"/>
      <c r="AV1154" s="32"/>
      <c r="AW1154" s="32"/>
      <c r="AX1154" s="32"/>
      <c r="AY1154" s="32"/>
      <c r="AZ1154" s="32"/>
      <c r="BA1154" s="32"/>
      <c r="BB1154" s="32"/>
      <c r="BC1154" s="32"/>
      <c r="BD1154" s="32"/>
      <c r="BE1154" s="32"/>
      <c r="BF1154" s="32"/>
      <c r="BG1154" s="32"/>
      <c r="BH1154" s="32"/>
      <c r="BI1154" s="32"/>
      <c r="BJ1154" s="22"/>
      <c r="BK1154" s="22"/>
      <c r="BL1154" s="22" t="s">
        <v>86</v>
      </c>
      <c r="BO1154" s="15"/>
    </row>
    <row r="1155" spans="1:67" s="5" customFormat="1">
      <c r="A1155" s="6" t="s">
        <v>91</v>
      </c>
      <c r="B1155" s="6"/>
      <c r="C1155" s="17">
        <v>33253.484400000001</v>
      </c>
      <c r="D1155" s="22">
        <v>8.0014970887810914</v>
      </c>
      <c r="E1155" s="6"/>
      <c r="F1155" s="22"/>
      <c r="G1155" s="22"/>
      <c r="H1155" s="22"/>
      <c r="I1155" s="22"/>
      <c r="J1155" s="22"/>
      <c r="K1155" s="22"/>
      <c r="L1155" s="22"/>
      <c r="M1155" s="22"/>
      <c r="N1155" s="18"/>
      <c r="O1155" s="18"/>
      <c r="P1155" s="22"/>
      <c r="Q1155" s="22"/>
      <c r="R1155" s="22"/>
      <c r="S1155" s="22"/>
      <c r="T1155" s="22"/>
      <c r="U1155" s="22"/>
      <c r="V1155" s="22"/>
      <c r="W1155" s="18">
        <v>2.3277210498505534</v>
      </c>
      <c r="X1155" s="19"/>
      <c r="Y1155" s="18">
        <v>3.3063466779560668</v>
      </c>
      <c r="Z1155" s="22"/>
      <c r="AA1155" s="22"/>
      <c r="AB1155" s="22"/>
      <c r="AC1155" s="22"/>
      <c r="AD1155" s="22"/>
      <c r="AE1155" s="22"/>
      <c r="AF1155" s="18"/>
      <c r="AG1155" s="18"/>
      <c r="AH1155" s="18"/>
      <c r="AI1155" s="18"/>
      <c r="AK1155" s="18"/>
      <c r="AL1155" s="18"/>
      <c r="AM1155" s="40" t="s">
        <v>118</v>
      </c>
      <c r="AN1155" s="18"/>
      <c r="AO1155" s="22"/>
      <c r="AP1155" s="32"/>
      <c r="AQ1155" s="32"/>
      <c r="AR1155" s="32"/>
      <c r="AS1155" s="32"/>
      <c r="AT1155" s="32"/>
      <c r="AU1155" s="32"/>
      <c r="AV1155" s="32"/>
      <c r="AW1155" s="32"/>
      <c r="AX1155" s="32"/>
      <c r="AY1155" s="32"/>
      <c r="AZ1155" s="32"/>
      <c r="BA1155" s="32"/>
      <c r="BB1155" s="32"/>
      <c r="BC1155" s="32"/>
      <c r="BD1155" s="32"/>
      <c r="BE1155" s="32"/>
      <c r="BF1155" s="32"/>
      <c r="BG1155" s="32"/>
      <c r="BH1155" s="32"/>
      <c r="BI1155" s="32"/>
      <c r="BJ1155" s="22"/>
      <c r="BK1155" s="22"/>
      <c r="BL1155" s="22" t="s">
        <v>86</v>
      </c>
      <c r="BO1155" s="15"/>
    </row>
    <row r="1156" spans="1:67" s="5" customFormat="1">
      <c r="A1156" s="6" t="s">
        <v>93</v>
      </c>
      <c r="B1156" s="6"/>
      <c r="C1156" s="17">
        <v>33253.484400000001</v>
      </c>
      <c r="D1156" s="22">
        <v>8.0014970887810914</v>
      </c>
      <c r="E1156" s="6"/>
      <c r="F1156" s="22"/>
      <c r="G1156" s="22"/>
      <c r="H1156" s="22"/>
      <c r="I1156" s="22"/>
      <c r="J1156" s="22"/>
      <c r="K1156" s="22"/>
      <c r="L1156" s="22"/>
      <c r="M1156" s="22"/>
      <c r="N1156" s="18"/>
      <c r="O1156" s="18"/>
      <c r="P1156" s="22"/>
      <c r="Q1156" s="22"/>
      <c r="R1156" s="22"/>
      <c r="S1156" s="22"/>
      <c r="T1156" s="22"/>
      <c r="U1156" s="22"/>
      <c r="V1156" s="22"/>
      <c r="W1156" s="18">
        <v>2.554606045983085</v>
      </c>
      <c r="X1156" s="19"/>
      <c r="Y1156" s="18">
        <v>3.609737152206367</v>
      </c>
      <c r="Z1156" s="22"/>
      <c r="AA1156" s="22"/>
      <c r="AB1156" s="22"/>
      <c r="AC1156" s="22"/>
      <c r="AD1156" s="22"/>
      <c r="AE1156" s="22"/>
      <c r="AF1156" s="18"/>
      <c r="AG1156" s="18"/>
      <c r="AH1156" s="18"/>
      <c r="AI1156" s="18"/>
      <c r="AK1156" s="18"/>
      <c r="AL1156" s="18"/>
      <c r="AM1156" s="40" t="s">
        <v>118</v>
      </c>
      <c r="AN1156" s="18"/>
      <c r="AO1156" s="22"/>
      <c r="AP1156" s="32"/>
      <c r="AQ1156" s="32"/>
      <c r="AR1156" s="32"/>
      <c r="AS1156" s="32"/>
      <c r="AT1156" s="32"/>
      <c r="AU1156" s="32"/>
      <c r="AV1156" s="32"/>
      <c r="AW1156" s="32"/>
      <c r="AX1156" s="32"/>
      <c r="AY1156" s="32"/>
      <c r="AZ1156" s="32"/>
      <c r="BA1156" s="32"/>
      <c r="BB1156" s="32"/>
      <c r="BC1156" s="32"/>
      <c r="BD1156" s="32"/>
      <c r="BE1156" s="32"/>
      <c r="BF1156" s="32"/>
      <c r="BG1156" s="32"/>
      <c r="BH1156" s="32"/>
      <c r="BI1156" s="32"/>
      <c r="BJ1156" s="22"/>
      <c r="BK1156" s="22"/>
      <c r="BL1156" s="22" t="s">
        <v>86</v>
      </c>
      <c r="BO1156" s="15"/>
    </row>
    <row r="1157" spans="1:67" s="5" customFormat="1">
      <c r="A1157" s="6" t="s">
        <v>85</v>
      </c>
      <c r="B1157" s="6"/>
      <c r="C1157" s="17">
        <v>33618.211000000003</v>
      </c>
      <c r="D1157" s="22">
        <v>9.0000854227687892</v>
      </c>
      <c r="E1157" s="6">
        <v>75.68415624915626</v>
      </c>
      <c r="F1157" s="22">
        <v>1401.5570475</v>
      </c>
      <c r="G1157" s="22"/>
      <c r="H1157" s="22">
        <v>279.1833681513869</v>
      </c>
      <c r="I1157" s="22"/>
      <c r="J1157" s="22">
        <v>320.35647596778114</v>
      </c>
      <c r="K1157" s="22"/>
      <c r="L1157" s="22"/>
      <c r="M1157" s="22"/>
      <c r="N1157" s="18">
        <v>27.827972027972027</v>
      </c>
      <c r="O1157" s="18"/>
      <c r="P1157" s="22">
        <v>1598.2102937759432</v>
      </c>
      <c r="Q1157" s="22"/>
      <c r="R1157" s="22"/>
      <c r="S1157" s="22"/>
      <c r="T1157" s="22">
        <v>2197.7501378951115</v>
      </c>
      <c r="U1157" s="22"/>
      <c r="V1157" s="22"/>
      <c r="W1157" s="22"/>
      <c r="X1157" s="19"/>
      <c r="Y1157" s="22"/>
      <c r="Z1157" s="22"/>
      <c r="AA1157" s="22"/>
      <c r="AB1157" s="22"/>
      <c r="AC1157" s="22"/>
      <c r="AD1157" s="22"/>
      <c r="AE1157" s="22"/>
      <c r="AF1157" s="18"/>
      <c r="AG1157" s="18">
        <v>8.4723749081914619</v>
      </c>
      <c r="AH1157" s="18"/>
      <c r="AI1157" s="18">
        <v>7.9015448061830256</v>
      </c>
      <c r="AK1157" s="18"/>
      <c r="AL1157" s="18"/>
      <c r="AM1157" s="40">
        <v>3.0919675448381492</v>
      </c>
      <c r="AN1157" s="18"/>
      <c r="AO1157" s="22"/>
      <c r="AP1157" s="32"/>
      <c r="AQ1157" s="32"/>
      <c r="AR1157" s="32"/>
      <c r="AS1157" s="32"/>
      <c r="AT1157" s="32"/>
      <c r="AU1157" s="32"/>
      <c r="AV1157" s="32"/>
      <c r="AW1157" s="32"/>
      <c r="AX1157" s="32"/>
      <c r="AY1157" s="32"/>
      <c r="AZ1157" s="32"/>
      <c r="BA1157" s="32"/>
      <c r="BB1157" s="32"/>
      <c r="BC1157" s="32"/>
      <c r="BD1157" s="32"/>
      <c r="BE1157" s="32"/>
      <c r="BF1157" s="32"/>
      <c r="BG1157" s="32"/>
      <c r="BH1157" s="32"/>
      <c r="BI1157" s="32"/>
      <c r="BJ1157" s="22"/>
      <c r="BK1157" s="22"/>
      <c r="BL1157" s="22" t="s">
        <v>86</v>
      </c>
      <c r="BO1157" s="15"/>
    </row>
    <row r="1158" spans="1:67" s="5" customFormat="1">
      <c r="A1158" s="6" t="s">
        <v>88</v>
      </c>
      <c r="B1158" s="6"/>
      <c r="C1158" s="17">
        <v>33618.211000000003</v>
      </c>
      <c r="D1158" s="22">
        <v>9.0000854227687892</v>
      </c>
      <c r="E1158" s="6">
        <v>77.072927072927072</v>
      </c>
      <c r="F1158" s="22">
        <v>1427.2750000000001</v>
      </c>
      <c r="G1158" s="22"/>
      <c r="H1158" s="22">
        <v>658.12128429366601</v>
      </c>
      <c r="I1158" s="22"/>
      <c r="J1158" s="22">
        <v>1262.7282910900358</v>
      </c>
      <c r="K1158" s="22"/>
      <c r="L1158" s="22"/>
      <c r="M1158" s="22"/>
      <c r="N1158" s="18">
        <v>121.56153846153845</v>
      </c>
      <c r="O1158" s="18"/>
      <c r="P1158" s="22">
        <v>7436.4297315268268</v>
      </c>
      <c r="Q1158" s="22"/>
      <c r="R1158" s="22"/>
      <c r="S1158" s="22"/>
      <c r="T1158" s="22">
        <v>9357.2793069105282</v>
      </c>
      <c r="U1158" s="22"/>
      <c r="V1158" s="22"/>
      <c r="W1158" s="22"/>
      <c r="X1158" s="19"/>
      <c r="Y1158" s="22"/>
      <c r="Z1158" s="22"/>
      <c r="AA1158" s="22"/>
      <c r="AB1158" s="22"/>
      <c r="AC1158" s="22"/>
      <c r="AD1158" s="22"/>
      <c r="AE1158" s="22"/>
      <c r="AF1158" s="18"/>
      <c r="AG1158" s="18">
        <v>14.945239090967405</v>
      </c>
      <c r="AH1158" s="18"/>
      <c r="AI1158" s="18">
        <v>25.038268373048446</v>
      </c>
      <c r="AK1158" s="18"/>
      <c r="AL1158" s="18"/>
      <c r="AM1158" s="40">
        <v>13.50670940900261</v>
      </c>
      <c r="AN1158" s="18"/>
      <c r="AO1158" s="22"/>
      <c r="AP1158" s="32"/>
      <c r="AQ1158" s="32"/>
      <c r="AR1158" s="32"/>
      <c r="AS1158" s="32"/>
      <c r="AT1158" s="32"/>
      <c r="AU1158" s="32"/>
      <c r="AV1158" s="32"/>
      <c r="AW1158" s="32"/>
      <c r="AX1158" s="32"/>
      <c r="AY1158" s="32"/>
      <c r="AZ1158" s="32"/>
      <c r="BA1158" s="32"/>
      <c r="BB1158" s="32"/>
      <c r="BC1158" s="32"/>
      <c r="BD1158" s="32"/>
      <c r="BE1158" s="32"/>
      <c r="BF1158" s="32"/>
      <c r="BG1158" s="32"/>
      <c r="BH1158" s="32"/>
      <c r="BI1158" s="32"/>
      <c r="BJ1158" s="22"/>
      <c r="BK1158" s="22"/>
      <c r="BL1158" s="22" t="s">
        <v>86</v>
      </c>
      <c r="BO1158" s="15"/>
    </row>
    <row r="1159" spans="1:67" s="5" customFormat="1">
      <c r="A1159" s="6" t="s">
        <v>87</v>
      </c>
      <c r="B1159" s="6"/>
      <c r="C1159" s="17">
        <v>33618.211000000003</v>
      </c>
      <c r="D1159" s="22">
        <v>9.0000854227687892</v>
      </c>
      <c r="E1159" s="6">
        <v>77.072927072927072</v>
      </c>
      <c r="F1159" s="22">
        <v>1427.2750000000001</v>
      </c>
      <c r="G1159" s="22"/>
      <c r="H1159" s="22">
        <v>584.23055983500535</v>
      </c>
      <c r="I1159" s="22"/>
      <c r="J1159" s="22">
        <v>1059.7248314103413</v>
      </c>
      <c r="K1159" s="22"/>
      <c r="L1159" s="22"/>
      <c r="M1159" s="22"/>
      <c r="N1159" s="18">
        <v>101.14545454545454</v>
      </c>
      <c r="O1159" s="18"/>
      <c r="P1159" s="22">
        <v>6181.0814693588418</v>
      </c>
      <c r="Q1159" s="22"/>
      <c r="R1159" s="22"/>
      <c r="S1159" s="22"/>
      <c r="T1159" s="22">
        <v>7825.0368606041884</v>
      </c>
      <c r="U1159" s="22"/>
      <c r="V1159" s="22"/>
      <c r="W1159" s="22"/>
      <c r="X1159" s="19"/>
      <c r="Y1159" s="22"/>
      <c r="Z1159" s="22"/>
      <c r="AA1159" s="22"/>
      <c r="AB1159" s="22"/>
      <c r="AC1159" s="22"/>
      <c r="AD1159" s="22"/>
      <c r="AE1159" s="22"/>
      <c r="AF1159" s="18"/>
      <c r="AG1159" s="18">
        <v>13.947769117732118</v>
      </c>
      <c r="AH1159" s="18"/>
      <c r="AI1159" s="18">
        <v>21.807609167741369</v>
      </c>
      <c r="AK1159" s="18"/>
      <c r="AL1159" s="18"/>
      <c r="AM1159" s="40">
        <v>11.238277171189129</v>
      </c>
      <c r="AN1159" s="18"/>
      <c r="AO1159" s="22"/>
      <c r="AP1159" s="32"/>
      <c r="AQ1159" s="32"/>
      <c r="AR1159" s="32"/>
      <c r="AS1159" s="32"/>
      <c r="AT1159" s="32"/>
      <c r="AU1159" s="32"/>
      <c r="AV1159" s="32"/>
      <c r="AW1159" s="32"/>
      <c r="AX1159" s="32"/>
      <c r="AY1159" s="32"/>
      <c r="AZ1159" s="32"/>
      <c r="BA1159" s="32"/>
      <c r="BB1159" s="32"/>
      <c r="BC1159" s="32"/>
      <c r="BD1159" s="32"/>
      <c r="BE1159" s="32"/>
      <c r="BF1159" s="32"/>
      <c r="BG1159" s="32"/>
      <c r="BH1159" s="32"/>
      <c r="BI1159" s="32"/>
      <c r="BJ1159" s="22"/>
      <c r="BK1159" s="22"/>
      <c r="BL1159" s="22" t="s">
        <v>86</v>
      </c>
      <c r="BO1159" s="15"/>
    </row>
    <row r="1160" spans="1:67" s="5" customFormat="1">
      <c r="A1160" s="6" t="s">
        <v>89</v>
      </c>
      <c r="B1160" s="6"/>
      <c r="C1160" s="17">
        <v>33618.211000000003</v>
      </c>
      <c r="D1160" s="22">
        <v>9.0000854227687892</v>
      </c>
      <c r="E1160" s="6">
        <v>77.767208332208341</v>
      </c>
      <c r="F1160" s="22">
        <v>1440.1320475</v>
      </c>
      <c r="G1160" s="22"/>
      <c r="H1160" s="22">
        <v>772.87935845556865</v>
      </c>
      <c r="I1160" s="22"/>
      <c r="J1160" s="22">
        <v>1582.5270783445235</v>
      </c>
      <c r="K1160" s="22"/>
      <c r="L1160" s="22"/>
      <c r="M1160" s="22"/>
      <c r="N1160" s="18">
        <v>151.83636363636364</v>
      </c>
      <c r="O1160" s="18"/>
      <c r="P1160" s="22">
        <v>9383.6312677708065</v>
      </c>
      <c r="Q1160" s="22"/>
      <c r="R1160" s="22"/>
      <c r="S1160" s="22"/>
      <c r="T1160" s="22">
        <v>11739.037704570897</v>
      </c>
      <c r="U1160" s="22"/>
      <c r="V1160" s="22"/>
      <c r="W1160" s="22"/>
      <c r="X1160" s="19"/>
      <c r="Y1160" s="22"/>
      <c r="Z1160" s="22"/>
      <c r="AA1160" s="22"/>
      <c r="AB1160" s="22"/>
      <c r="AC1160" s="22"/>
      <c r="AD1160" s="22"/>
      <c r="AE1160" s="22"/>
      <c r="AF1160" s="18"/>
      <c r="AG1160" s="18">
        <v>16.247309630127091</v>
      </c>
      <c r="AH1160" s="18"/>
      <c r="AI1160" s="18">
        <v>29.857684589663673</v>
      </c>
      <c r="AK1160" s="18"/>
      <c r="AL1160" s="18"/>
      <c r="AM1160" s="40">
        <v>16.870546945281397</v>
      </c>
      <c r="AN1160" s="18"/>
      <c r="AO1160" s="22"/>
      <c r="AP1160" s="32"/>
      <c r="AQ1160" s="32"/>
      <c r="AR1160" s="32"/>
      <c r="AS1160" s="32"/>
      <c r="AT1160" s="32"/>
      <c r="AU1160" s="32"/>
      <c r="AV1160" s="32"/>
      <c r="AW1160" s="32"/>
      <c r="AX1160" s="32"/>
      <c r="AY1160" s="32"/>
      <c r="AZ1160" s="32"/>
      <c r="BA1160" s="32"/>
      <c r="BB1160" s="32"/>
      <c r="BC1160" s="32"/>
      <c r="BD1160" s="32"/>
      <c r="BE1160" s="32"/>
      <c r="BF1160" s="32"/>
      <c r="BG1160" s="32"/>
      <c r="BH1160" s="32"/>
      <c r="BI1160" s="32"/>
      <c r="BJ1160" s="22"/>
      <c r="BK1160" s="22"/>
      <c r="BL1160" s="22" t="s">
        <v>86</v>
      </c>
      <c r="BO1160" s="15"/>
    </row>
    <row r="1161" spans="1:67" s="5" customFormat="1">
      <c r="A1161" s="6" t="s">
        <v>90</v>
      </c>
      <c r="B1161" s="6"/>
      <c r="C1161" s="17">
        <v>33618.211000000003</v>
      </c>
      <c r="D1161" s="22">
        <v>9.0000854227687892</v>
      </c>
      <c r="E1161" s="6">
        <v>73.601104166104179</v>
      </c>
      <c r="F1161" s="22">
        <v>1362.9820475000001</v>
      </c>
      <c r="G1161" s="22"/>
      <c r="H1161" s="22">
        <v>409.25735459585786</v>
      </c>
      <c r="I1161" s="22"/>
      <c r="J1161" s="22">
        <v>354.66384671811653</v>
      </c>
      <c r="K1161" s="22"/>
      <c r="L1161" s="22"/>
      <c r="M1161" s="22"/>
      <c r="N1161" s="18"/>
      <c r="O1161" s="18"/>
      <c r="P1161" s="22">
        <v>3252.9397518815726</v>
      </c>
      <c r="Q1161" s="22"/>
      <c r="R1161" s="22"/>
      <c r="S1161" s="22"/>
      <c r="T1161" s="22">
        <v>4016.8609531955472</v>
      </c>
      <c r="U1161" s="22"/>
      <c r="V1161" s="22"/>
      <c r="W1161" s="22"/>
      <c r="X1161" s="19"/>
      <c r="Y1161" s="22"/>
      <c r="Z1161" s="22"/>
      <c r="AA1161" s="22"/>
      <c r="AB1161" s="22"/>
      <c r="AC1161" s="22"/>
      <c r="AD1161" s="22"/>
      <c r="AE1161" s="22"/>
      <c r="AF1161" s="18"/>
      <c r="AG1161" s="18">
        <v>10.342568705359797</v>
      </c>
      <c r="AH1161" s="18"/>
      <c r="AI1161" s="18">
        <v>11.450853585463751</v>
      </c>
      <c r="AK1161" s="18"/>
      <c r="AL1161" s="18"/>
      <c r="AM1161" s="40" t="s">
        <v>118</v>
      </c>
      <c r="AN1161" s="18"/>
      <c r="AO1161" s="22"/>
      <c r="AP1161" s="32"/>
      <c r="AQ1161" s="32"/>
      <c r="AR1161" s="32"/>
      <c r="AS1161" s="32"/>
      <c r="AT1161" s="32"/>
      <c r="AU1161" s="32"/>
      <c r="AV1161" s="32"/>
      <c r="AW1161" s="32"/>
      <c r="AX1161" s="32"/>
      <c r="AY1161" s="32"/>
      <c r="AZ1161" s="32"/>
      <c r="BA1161" s="32"/>
      <c r="BB1161" s="32"/>
      <c r="BC1161" s="32"/>
      <c r="BD1161" s="32"/>
      <c r="BE1161" s="32"/>
      <c r="BF1161" s="32"/>
      <c r="BG1161" s="32"/>
      <c r="BH1161" s="32"/>
      <c r="BI1161" s="32"/>
      <c r="BJ1161" s="22"/>
      <c r="BK1161" s="22"/>
      <c r="BL1161" s="22" t="s">
        <v>86</v>
      </c>
      <c r="BO1161" s="15"/>
    </row>
    <row r="1162" spans="1:67" s="5" customFormat="1">
      <c r="A1162" s="6" t="s">
        <v>92</v>
      </c>
      <c r="B1162" s="6"/>
      <c r="C1162" s="17">
        <v>33618.211000000003</v>
      </c>
      <c r="D1162" s="22">
        <v>9.0000854227687892</v>
      </c>
      <c r="E1162" s="6">
        <v>70.823770823770829</v>
      </c>
      <c r="F1162" s="22">
        <v>1311.55</v>
      </c>
      <c r="G1162" s="22"/>
      <c r="H1162" s="22">
        <v>691.64195327458322</v>
      </c>
      <c r="I1162" s="22"/>
      <c r="J1162" s="22">
        <v>1006.4089448139855</v>
      </c>
      <c r="K1162" s="22"/>
      <c r="L1162" s="22"/>
      <c r="M1162" s="22"/>
      <c r="N1162" s="18"/>
      <c r="O1162" s="18"/>
      <c r="P1162" s="22">
        <v>7621.2835080540899</v>
      </c>
      <c r="Q1162" s="22"/>
      <c r="R1162" s="22"/>
      <c r="S1162" s="22"/>
      <c r="T1162" s="22">
        <v>9319.3344061426596</v>
      </c>
      <c r="U1162" s="22"/>
      <c r="V1162" s="22"/>
      <c r="W1162" s="22"/>
      <c r="X1162" s="19"/>
      <c r="Y1162" s="22"/>
      <c r="Z1162" s="22"/>
      <c r="AA1162" s="22"/>
      <c r="AB1162" s="22"/>
      <c r="AC1162" s="22"/>
      <c r="AD1162" s="22"/>
      <c r="AE1162" s="22"/>
      <c r="AF1162" s="18"/>
      <c r="AG1162" s="18">
        <v>14.341440632076894</v>
      </c>
      <c r="AH1162" s="18"/>
      <c r="AI1162" s="18">
        <v>21.186601968561359</v>
      </c>
      <c r="AK1162" s="18"/>
      <c r="AL1162" s="18"/>
      <c r="AM1162" s="40" t="s">
        <v>118</v>
      </c>
      <c r="AN1162" s="18"/>
      <c r="AO1162" s="22"/>
      <c r="AP1162" s="32"/>
      <c r="AQ1162" s="32"/>
      <c r="AR1162" s="32"/>
      <c r="AS1162" s="32"/>
      <c r="AT1162" s="32"/>
      <c r="AU1162" s="32"/>
      <c r="AV1162" s="32"/>
      <c r="AW1162" s="32"/>
      <c r="AX1162" s="32"/>
      <c r="AY1162" s="32"/>
      <c r="AZ1162" s="32"/>
      <c r="BA1162" s="32"/>
      <c r="BB1162" s="32"/>
      <c r="BC1162" s="32"/>
      <c r="BD1162" s="32"/>
      <c r="BE1162" s="32"/>
      <c r="BF1162" s="32"/>
      <c r="BG1162" s="32"/>
      <c r="BH1162" s="32"/>
      <c r="BI1162" s="32"/>
      <c r="BJ1162" s="22"/>
      <c r="BK1162" s="22"/>
      <c r="BL1162" s="22" t="s">
        <v>86</v>
      </c>
      <c r="BO1162" s="15"/>
    </row>
    <row r="1163" spans="1:67" s="5" customFormat="1">
      <c r="A1163" s="6" t="s">
        <v>91</v>
      </c>
      <c r="B1163" s="6"/>
      <c r="C1163" s="17">
        <v>33618.211000000003</v>
      </c>
      <c r="D1163" s="22">
        <v>9.0000854227687892</v>
      </c>
      <c r="E1163" s="6">
        <v>75.68415624915626</v>
      </c>
      <c r="F1163" s="22">
        <v>1401.5570475</v>
      </c>
      <c r="G1163" s="22"/>
      <c r="H1163" s="22">
        <v>706.47070262328816</v>
      </c>
      <c r="I1163" s="22"/>
      <c r="J1163" s="22">
        <v>994.14023931530357</v>
      </c>
      <c r="K1163" s="22"/>
      <c r="L1163" s="22"/>
      <c r="M1163" s="22"/>
      <c r="N1163" s="18"/>
      <c r="O1163" s="18"/>
      <c r="P1163" s="22">
        <v>7640.3512413276621</v>
      </c>
      <c r="Q1163" s="22"/>
      <c r="R1163" s="22"/>
      <c r="S1163" s="22"/>
      <c r="T1163" s="22">
        <v>9340.9621832662542</v>
      </c>
      <c r="U1163" s="22"/>
      <c r="V1163" s="22"/>
      <c r="W1163" s="22"/>
      <c r="X1163" s="19"/>
      <c r="Y1163" s="22"/>
      <c r="Z1163" s="22"/>
      <c r="AA1163" s="22"/>
      <c r="AB1163" s="22"/>
      <c r="AC1163" s="22"/>
      <c r="AD1163" s="22"/>
      <c r="AE1163" s="22"/>
      <c r="AF1163" s="18"/>
      <c r="AG1163" s="18">
        <v>14.008843377298108</v>
      </c>
      <c r="AH1163" s="18"/>
      <c r="AI1163" s="18">
        <v>21.602610536744422</v>
      </c>
      <c r="AK1163" s="18"/>
      <c r="AL1163" s="18"/>
      <c r="AM1163" s="40" t="s">
        <v>118</v>
      </c>
      <c r="AN1163" s="18"/>
      <c r="AO1163" s="22"/>
      <c r="AP1163" s="32"/>
      <c r="AQ1163" s="32"/>
      <c r="AR1163" s="32"/>
      <c r="AS1163" s="32"/>
      <c r="AT1163" s="32"/>
      <c r="AU1163" s="32"/>
      <c r="AV1163" s="32"/>
      <c r="AW1163" s="32"/>
      <c r="AX1163" s="32"/>
      <c r="AY1163" s="32"/>
      <c r="AZ1163" s="32"/>
      <c r="BA1163" s="32"/>
      <c r="BB1163" s="32"/>
      <c r="BC1163" s="32"/>
      <c r="BD1163" s="32"/>
      <c r="BE1163" s="32"/>
      <c r="BF1163" s="32"/>
      <c r="BG1163" s="32"/>
      <c r="BH1163" s="32"/>
      <c r="BI1163" s="32"/>
      <c r="BJ1163" s="22"/>
      <c r="BK1163" s="22"/>
      <c r="BL1163" s="22" t="s">
        <v>86</v>
      </c>
      <c r="BO1163" s="15"/>
    </row>
    <row r="1164" spans="1:67" s="5" customFormat="1">
      <c r="A1164" s="6" t="s">
        <v>93</v>
      </c>
      <c r="B1164" s="6"/>
      <c r="C1164" s="17">
        <v>33618.211000000003</v>
      </c>
      <c r="D1164" s="22">
        <v>9.0000854227687892</v>
      </c>
      <c r="E1164" s="6">
        <v>69.435000000000002</v>
      </c>
      <c r="F1164" s="22">
        <v>1285.8320475</v>
      </c>
      <c r="G1164" s="22"/>
      <c r="H1164" s="22">
        <v>929.07095633693848</v>
      </c>
      <c r="I1164" s="22"/>
      <c r="J1164" s="22">
        <v>1653.5945592494368</v>
      </c>
      <c r="K1164" s="22"/>
      <c r="L1164" s="22"/>
      <c r="M1164" s="22"/>
      <c r="N1164" s="18"/>
      <c r="O1164" s="18"/>
      <c r="P1164" s="22">
        <v>11323.99963097512</v>
      </c>
      <c r="Q1164" s="22"/>
      <c r="R1164" s="22"/>
      <c r="S1164" s="22"/>
      <c r="T1164" s="22">
        <v>13906.665146561496</v>
      </c>
      <c r="U1164" s="22"/>
      <c r="V1164" s="22"/>
      <c r="W1164" s="22"/>
      <c r="X1164" s="19"/>
      <c r="Y1164" s="22"/>
      <c r="Z1164" s="22"/>
      <c r="AA1164" s="22"/>
      <c r="AB1164" s="22"/>
      <c r="AC1164" s="22"/>
      <c r="AD1164" s="22"/>
      <c r="AE1164" s="22"/>
      <c r="AF1164" s="18"/>
      <c r="AG1164" s="18">
        <v>16.708046463733069</v>
      </c>
      <c r="AH1164" s="18"/>
      <c r="AI1164" s="18">
        <v>28.192039246595982</v>
      </c>
      <c r="AK1164" s="18"/>
      <c r="AL1164" s="18"/>
      <c r="AM1164" s="40" t="s">
        <v>118</v>
      </c>
      <c r="AN1164" s="18"/>
      <c r="AO1164" s="22"/>
      <c r="AP1164" s="32"/>
      <c r="AQ1164" s="32"/>
      <c r="AR1164" s="32"/>
      <c r="AS1164" s="32"/>
      <c r="AT1164" s="32"/>
      <c r="AU1164" s="32"/>
      <c r="AV1164" s="32"/>
      <c r="AW1164" s="32"/>
      <c r="AX1164" s="32"/>
      <c r="AY1164" s="32"/>
      <c r="AZ1164" s="32"/>
      <c r="BA1164" s="32"/>
      <c r="BB1164" s="32"/>
      <c r="BC1164" s="32"/>
      <c r="BD1164" s="32"/>
      <c r="BE1164" s="32"/>
      <c r="BF1164" s="32"/>
      <c r="BG1164" s="32"/>
      <c r="BH1164" s="32"/>
      <c r="BI1164" s="32"/>
      <c r="BJ1164" s="22"/>
      <c r="BK1164" s="22"/>
      <c r="BL1164" s="22" t="s">
        <v>86</v>
      </c>
      <c r="BO1164" s="15"/>
    </row>
    <row r="1165" spans="1:67" s="5" customFormat="1">
      <c r="A1165" s="6" t="s">
        <v>85</v>
      </c>
      <c r="B1165" s="6"/>
      <c r="C1165" s="17">
        <v>33618.726600000002</v>
      </c>
      <c r="D1165" s="22">
        <v>9.0014970887810932</v>
      </c>
      <c r="E1165" s="6"/>
      <c r="F1165" s="22"/>
      <c r="G1165" s="22"/>
      <c r="H1165" s="22"/>
      <c r="I1165" s="22"/>
      <c r="J1165" s="22"/>
      <c r="K1165" s="22"/>
      <c r="L1165" s="22"/>
      <c r="M1165" s="22"/>
      <c r="N1165" s="18"/>
      <c r="O1165" s="18"/>
      <c r="P1165" s="22"/>
      <c r="Q1165" s="22"/>
      <c r="R1165" s="22"/>
      <c r="S1165" s="22"/>
      <c r="T1165" s="22"/>
      <c r="U1165" s="22"/>
      <c r="V1165" s="22"/>
      <c r="W1165" s="18">
        <v>1.1790292437905647</v>
      </c>
      <c r="X1165" s="19"/>
      <c r="Y1165" s="18">
        <v>2.0066868356469176</v>
      </c>
      <c r="Z1165" s="22"/>
      <c r="AA1165" s="22"/>
      <c r="AB1165" s="22"/>
      <c r="AC1165" s="22"/>
      <c r="AD1165" s="22"/>
      <c r="AE1165" s="22"/>
      <c r="AF1165" s="18"/>
      <c r="AG1165" s="18"/>
      <c r="AH1165" s="18"/>
      <c r="AI1165" s="18"/>
      <c r="AK1165" s="18"/>
      <c r="AL1165" s="18"/>
      <c r="AM1165" s="40" t="s">
        <v>118</v>
      </c>
      <c r="AN1165" s="18"/>
      <c r="AO1165" s="22"/>
      <c r="AP1165" s="32"/>
      <c r="AQ1165" s="32"/>
      <c r="AR1165" s="32"/>
      <c r="AS1165" s="32"/>
      <c r="AT1165" s="32"/>
      <c r="AU1165" s="32"/>
      <c r="AV1165" s="32"/>
      <c r="AW1165" s="32"/>
      <c r="AX1165" s="32"/>
      <c r="AY1165" s="32"/>
      <c r="AZ1165" s="32"/>
      <c r="BA1165" s="32"/>
      <c r="BB1165" s="32"/>
      <c r="BC1165" s="32"/>
      <c r="BD1165" s="32"/>
      <c r="BE1165" s="32"/>
      <c r="BF1165" s="32"/>
      <c r="BG1165" s="32"/>
      <c r="BH1165" s="32"/>
      <c r="BI1165" s="32"/>
      <c r="BJ1165" s="22"/>
      <c r="BK1165" s="22"/>
      <c r="BL1165" s="22" t="s">
        <v>86</v>
      </c>
      <c r="BO1165" s="15"/>
    </row>
    <row r="1166" spans="1:67" s="5" customFormat="1">
      <c r="A1166" s="6" t="s">
        <v>88</v>
      </c>
      <c r="B1166" s="6"/>
      <c r="C1166" s="17">
        <v>33618.726600000002</v>
      </c>
      <c r="D1166" s="22">
        <v>9.0014970887810932</v>
      </c>
      <c r="E1166" s="6"/>
      <c r="F1166" s="22"/>
      <c r="G1166" s="22"/>
      <c r="H1166" s="22"/>
      <c r="I1166" s="22"/>
      <c r="J1166" s="22"/>
      <c r="K1166" s="22"/>
      <c r="L1166" s="22"/>
      <c r="M1166" s="22"/>
      <c r="N1166" s="18"/>
      <c r="O1166" s="18"/>
      <c r="P1166" s="22"/>
      <c r="Q1166" s="22"/>
      <c r="R1166" s="22"/>
      <c r="S1166" s="22"/>
      <c r="T1166" s="22"/>
      <c r="U1166" s="22"/>
      <c r="V1166" s="22"/>
      <c r="W1166" s="18">
        <v>3.3217744677058434</v>
      </c>
      <c r="X1166" s="19"/>
      <c r="Y1166" s="18">
        <v>4.7974642076146159</v>
      </c>
      <c r="Z1166" s="22"/>
      <c r="AA1166" s="22"/>
      <c r="AB1166" s="22"/>
      <c r="AC1166" s="22"/>
      <c r="AD1166" s="22"/>
      <c r="AE1166" s="22"/>
      <c r="AF1166" s="18"/>
      <c r="AG1166" s="18"/>
      <c r="AH1166" s="18"/>
      <c r="AI1166" s="18"/>
      <c r="AK1166" s="18"/>
      <c r="AL1166" s="18"/>
      <c r="AM1166" s="40" t="s">
        <v>118</v>
      </c>
      <c r="AN1166" s="18"/>
      <c r="AO1166" s="2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  <c r="BF1166" s="32"/>
      <c r="BG1166" s="32"/>
      <c r="BH1166" s="32"/>
      <c r="BI1166" s="32"/>
      <c r="BJ1166" s="22"/>
      <c r="BK1166" s="22"/>
      <c r="BL1166" s="22" t="s">
        <v>86</v>
      </c>
      <c r="BO1166" s="15"/>
    </row>
    <row r="1167" spans="1:67" s="5" customFormat="1">
      <c r="A1167" s="6" t="s">
        <v>87</v>
      </c>
      <c r="B1167" s="6"/>
      <c r="C1167" s="17">
        <v>33618.726600000002</v>
      </c>
      <c r="D1167" s="22">
        <v>9.0014970887810932</v>
      </c>
      <c r="E1167" s="6"/>
      <c r="F1167" s="22"/>
      <c r="G1167" s="22"/>
      <c r="H1167" s="22"/>
      <c r="I1167" s="22"/>
      <c r="J1167" s="22"/>
      <c r="K1167" s="22"/>
      <c r="L1167" s="22"/>
      <c r="M1167" s="22"/>
      <c r="N1167" s="18"/>
      <c r="O1167" s="18"/>
      <c r="P1167" s="22"/>
      <c r="Q1167" s="22"/>
      <c r="R1167" s="22"/>
      <c r="S1167" s="22"/>
      <c r="T1167" s="22"/>
      <c r="U1167" s="22"/>
      <c r="V1167" s="22"/>
      <c r="W1167" s="18">
        <v>2.6253636668056624</v>
      </c>
      <c r="X1167" s="19"/>
      <c r="Y1167" s="18">
        <v>3.6458943401271329</v>
      </c>
      <c r="Z1167" s="22"/>
      <c r="AA1167" s="22"/>
      <c r="AB1167" s="22"/>
      <c r="AC1167" s="22"/>
      <c r="AD1167" s="22"/>
      <c r="AE1167" s="22"/>
      <c r="AF1167" s="18"/>
      <c r="AG1167" s="18"/>
      <c r="AH1167" s="18"/>
      <c r="AI1167" s="18"/>
      <c r="AK1167" s="18"/>
      <c r="AL1167" s="18"/>
      <c r="AM1167" s="40" t="s">
        <v>118</v>
      </c>
      <c r="AN1167" s="18"/>
      <c r="AO1167" s="22"/>
      <c r="AP1167" s="32"/>
      <c r="AQ1167" s="32"/>
      <c r="AR1167" s="32"/>
      <c r="AS1167" s="32"/>
      <c r="AT1167" s="32"/>
      <c r="AU1167" s="32"/>
      <c r="AV1167" s="32"/>
      <c r="AW1167" s="32"/>
      <c r="AX1167" s="32"/>
      <c r="AY1167" s="32"/>
      <c r="AZ1167" s="32"/>
      <c r="BA1167" s="32"/>
      <c r="BB1167" s="32"/>
      <c r="BC1167" s="32"/>
      <c r="BD1167" s="32"/>
      <c r="BE1167" s="32"/>
      <c r="BF1167" s="32"/>
      <c r="BG1167" s="32"/>
      <c r="BH1167" s="32"/>
      <c r="BI1167" s="32"/>
      <c r="BJ1167" s="22"/>
      <c r="BK1167" s="22"/>
      <c r="BL1167" s="22" t="s">
        <v>86</v>
      </c>
      <c r="BO1167" s="15"/>
    </row>
    <row r="1168" spans="1:67" s="5" customFormat="1">
      <c r="A1168" s="6" t="s">
        <v>89</v>
      </c>
      <c r="B1168" s="6"/>
      <c r="C1168" s="17">
        <v>33618.726600000002</v>
      </c>
      <c r="D1168" s="22">
        <v>9.0014970887810932</v>
      </c>
      <c r="E1168" s="6"/>
      <c r="F1168" s="22"/>
      <c r="G1168" s="22"/>
      <c r="H1168" s="22"/>
      <c r="I1168" s="22"/>
      <c r="J1168" s="22"/>
      <c r="K1168" s="22"/>
      <c r="L1168" s="22"/>
      <c r="M1168" s="22"/>
      <c r="N1168" s="18"/>
      <c r="O1168" s="18"/>
      <c r="P1168" s="22"/>
      <c r="Q1168" s="22"/>
      <c r="R1168" s="22"/>
      <c r="S1168" s="22"/>
      <c r="T1168" s="22"/>
      <c r="U1168" s="22"/>
      <c r="V1168" s="22"/>
      <c r="W1168" s="18">
        <v>3.3061125576539268</v>
      </c>
      <c r="X1168" s="19"/>
      <c r="Y1168" s="18">
        <v>4.5388209887350035</v>
      </c>
      <c r="Z1168" s="22"/>
      <c r="AA1168" s="22"/>
      <c r="AB1168" s="22"/>
      <c r="AC1168" s="22"/>
      <c r="AD1168" s="22"/>
      <c r="AE1168" s="22"/>
      <c r="AF1168" s="18"/>
      <c r="AG1168" s="18"/>
      <c r="AH1168" s="18"/>
      <c r="AI1168" s="18"/>
      <c r="AK1168" s="18"/>
      <c r="AL1168" s="18"/>
      <c r="AM1168" s="40" t="s">
        <v>118</v>
      </c>
      <c r="AN1168" s="18"/>
      <c r="AO1168" s="22"/>
      <c r="AP1168" s="32"/>
      <c r="AQ1168" s="32"/>
      <c r="AR1168" s="32"/>
      <c r="AS1168" s="32"/>
      <c r="AT1168" s="32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2"/>
      <c r="BF1168" s="32"/>
      <c r="BG1168" s="32"/>
      <c r="BH1168" s="32"/>
      <c r="BI1168" s="32"/>
      <c r="BJ1168" s="22"/>
      <c r="BK1168" s="22"/>
      <c r="BL1168" s="22" t="s">
        <v>86</v>
      </c>
      <c r="BO1168" s="15"/>
    </row>
    <row r="1169" spans="1:67" s="5" customFormat="1">
      <c r="A1169" s="6" t="s">
        <v>90</v>
      </c>
      <c r="B1169" s="6"/>
      <c r="C1169" s="17">
        <v>33618.726600000002</v>
      </c>
      <c r="D1169" s="22">
        <v>9.0014970887810932</v>
      </c>
      <c r="E1169" s="6"/>
      <c r="F1169" s="22"/>
      <c r="G1169" s="22"/>
      <c r="H1169" s="22"/>
      <c r="I1169" s="22"/>
      <c r="J1169" s="22"/>
      <c r="K1169" s="22"/>
      <c r="L1169" s="22"/>
      <c r="M1169" s="22"/>
      <c r="N1169" s="18"/>
      <c r="O1169" s="18"/>
      <c r="P1169" s="22"/>
      <c r="Q1169" s="22"/>
      <c r="R1169" s="22"/>
      <c r="S1169" s="22"/>
      <c r="T1169" s="22"/>
      <c r="U1169" s="22"/>
      <c r="V1169" s="22"/>
      <c r="W1169" s="18">
        <v>1.4059949248628878</v>
      </c>
      <c r="X1169" s="19"/>
      <c r="Y1169" s="18">
        <v>2.187345421585885</v>
      </c>
      <c r="Z1169" s="22"/>
      <c r="AA1169" s="22"/>
      <c r="AB1169" s="22"/>
      <c r="AC1169" s="22"/>
      <c r="AD1169" s="22"/>
      <c r="AE1169" s="22"/>
      <c r="AF1169" s="18"/>
      <c r="AG1169" s="18"/>
      <c r="AH1169" s="18"/>
      <c r="AI1169" s="18"/>
      <c r="AK1169" s="18"/>
      <c r="AL1169" s="18"/>
      <c r="AM1169" s="40" t="s">
        <v>118</v>
      </c>
      <c r="AN1169" s="18"/>
      <c r="AO1169" s="22"/>
      <c r="AP1169" s="32"/>
      <c r="AQ1169" s="32"/>
      <c r="AR1169" s="32"/>
      <c r="AS1169" s="32"/>
      <c r="AT1169" s="32"/>
      <c r="AU1169" s="32"/>
      <c r="AV1169" s="32"/>
      <c r="AW1169" s="32"/>
      <c r="AX1169" s="32"/>
      <c r="AY1169" s="32"/>
      <c r="AZ1169" s="32"/>
      <c r="BA1169" s="32"/>
      <c r="BB1169" s="32"/>
      <c r="BC1169" s="32"/>
      <c r="BD1169" s="32"/>
      <c r="BE1169" s="32"/>
      <c r="BF1169" s="32"/>
      <c r="BG1169" s="32"/>
      <c r="BH1169" s="32"/>
      <c r="BI1169" s="32"/>
      <c r="BJ1169" s="22"/>
      <c r="BK1169" s="22"/>
      <c r="BL1169" s="22" t="s">
        <v>86</v>
      </c>
      <c r="BO1169" s="15"/>
    </row>
    <row r="1170" spans="1:67" s="5" customFormat="1">
      <c r="A1170" s="6" t="s">
        <v>92</v>
      </c>
      <c r="B1170" s="6"/>
      <c r="C1170" s="17">
        <v>33618.726600000002</v>
      </c>
      <c r="D1170" s="22">
        <v>9.0014970887810932</v>
      </c>
      <c r="E1170" s="6"/>
      <c r="F1170" s="22"/>
      <c r="G1170" s="22"/>
      <c r="H1170" s="22"/>
      <c r="I1170" s="22"/>
      <c r="J1170" s="22"/>
      <c r="K1170" s="22"/>
      <c r="L1170" s="22"/>
      <c r="M1170" s="22"/>
      <c r="N1170" s="18"/>
      <c r="O1170" s="18"/>
      <c r="P1170" s="22"/>
      <c r="Q1170" s="22"/>
      <c r="R1170" s="22"/>
      <c r="S1170" s="22"/>
      <c r="T1170" s="22"/>
      <c r="U1170" s="22"/>
      <c r="V1170" s="22"/>
      <c r="W1170" s="18">
        <v>2.1863620093646849</v>
      </c>
      <c r="X1170" s="19"/>
      <c r="Y1170" s="18">
        <v>3.3765517651889647</v>
      </c>
      <c r="Z1170" s="22"/>
      <c r="AA1170" s="22"/>
      <c r="AB1170" s="22"/>
      <c r="AC1170" s="22"/>
      <c r="AD1170" s="22"/>
      <c r="AE1170" s="22"/>
      <c r="AF1170" s="18"/>
      <c r="AG1170" s="18"/>
      <c r="AH1170" s="18"/>
      <c r="AI1170" s="18"/>
      <c r="AK1170" s="18"/>
      <c r="AL1170" s="18"/>
      <c r="AM1170" s="40" t="s">
        <v>118</v>
      </c>
      <c r="AN1170" s="18"/>
      <c r="AO1170" s="22"/>
      <c r="AP1170" s="32"/>
      <c r="AQ1170" s="32"/>
      <c r="AR1170" s="32"/>
      <c r="AS1170" s="32"/>
      <c r="AT1170" s="32"/>
      <c r="AU1170" s="32"/>
      <c r="AV1170" s="32"/>
      <c r="AW1170" s="32"/>
      <c r="AX1170" s="32"/>
      <c r="AY1170" s="32"/>
      <c r="AZ1170" s="32"/>
      <c r="BA1170" s="32"/>
      <c r="BB1170" s="32"/>
      <c r="BC1170" s="32"/>
      <c r="BD1170" s="32"/>
      <c r="BE1170" s="32"/>
      <c r="BF1170" s="32"/>
      <c r="BG1170" s="32"/>
      <c r="BH1170" s="32"/>
      <c r="BI1170" s="32"/>
      <c r="BJ1170" s="22"/>
      <c r="BK1170" s="22"/>
      <c r="BL1170" s="22" t="s">
        <v>86</v>
      </c>
      <c r="BO1170" s="15"/>
    </row>
    <row r="1171" spans="1:67" s="5" customFormat="1">
      <c r="A1171" s="6" t="s">
        <v>91</v>
      </c>
      <c r="B1171" s="6"/>
      <c r="C1171" s="17">
        <v>33618.726600000002</v>
      </c>
      <c r="D1171" s="22">
        <v>9.0014970887810932</v>
      </c>
      <c r="E1171" s="6"/>
      <c r="F1171" s="22"/>
      <c r="G1171" s="22"/>
      <c r="H1171" s="22"/>
      <c r="I1171" s="22"/>
      <c r="J1171" s="22"/>
      <c r="K1171" s="22"/>
      <c r="L1171" s="22"/>
      <c r="M1171" s="22"/>
      <c r="N1171" s="18"/>
      <c r="O1171" s="18"/>
      <c r="P1171" s="22"/>
      <c r="Q1171" s="22"/>
      <c r="R1171" s="22"/>
      <c r="S1171" s="22"/>
      <c r="T1171" s="22"/>
      <c r="U1171" s="22"/>
      <c r="V1171" s="22"/>
      <c r="W1171" s="18">
        <v>2.2571737553277162</v>
      </c>
      <c r="X1171" s="19"/>
      <c r="Y1171" s="18">
        <v>3.199020798385531</v>
      </c>
      <c r="Z1171" s="22"/>
      <c r="AA1171" s="22"/>
      <c r="AB1171" s="22"/>
      <c r="AC1171" s="22"/>
      <c r="AD1171" s="22"/>
      <c r="AE1171" s="22"/>
      <c r="AF1171" s="18"/>
      <c r="AG1171" s="18"/>
      <c r="AH1171" s="18"/>
      <c r="AI1171" s="18"/>
      <c r="AK1171" s="18"/>
      <c r="AL1171" s="18"/>
      <c r="AM1171" s="40" t="s">
        <v>118</v>
      </c>
      <c r="AN1171" s="18"/>
      <c r="AO1171" s="22"/>
      <c r="AP1171" s="32"/>
      <c r="AQ1171" s="32"/>
      <c r="AR1171" s="32"/>
      <c r="AS1171" s="32"/>
      <c r="AT1171" s="32"/>
      <c r="AU1171" s="32"/>
      <c r="AV1171" s="32"/>
      <c r="AW1171" s="32"/>
      <c r="AX1171" s="32"/>
      <c r="AY1171" s="32"/>
      <c r="AZ1171" s="32"/>
      <c r="BA1171" s="32"/>
      <c r="BB1171" s="32"/>
      <c r="BC1171" s="32"/>
      <c r="BD1171" s="32"/>
      <c r="BE1171" s="32"/>
      <c r="BF1171" s="32"/>
      <c r="BG1171" s="32"/>
      <c r="BH1171" s="32"/>
      <c r="BI1171" s="32"/>
      <c r="BJ1171" s="22"/>
      <c r="BK1171" s="22"/>
      <c r="BL1171" s="22" t="s">
        <v>86</v>
      </c>
      <c r="BO1171" s="15"/>
    </row>
    <row r="1172" spans="1:67" s="5" customFormat="1">
      <c r="A1172" s="6" t="s">
        <v>93</v>
      </c>
      <c r="B1172" s="6"/>
      <c r="C1172" s="17">
        <v>33618.726600000002</v>
      </c>
      <c r="D1172" s="22">
        <v>9.0014970887810932</v>
      </c>
      <c r="E1172" s="6"/>
      <c r="F1172" s="22"/>
      <c r="G1172" s="22"/>
      <c r="H1172" s="22"/>
      <c r="I1172" s="22"/>
      <c r="J1172" s="22"/>
      <c r="K1172" s="22"/>
      <c r="L1172" s="22"/>
      <c r="M1172" s="22"/>
      <c r="N1172" s="18"/>
      <c r="O1172" s="18"/>
      <c r="P1172" s="22"/>
      <c r="Q1172" s="22"/>
      <c r="R1172" s="22"/>
      <c r="S1172" s="22"/>
      <c r="T1172" s="22"/>
      <c r="U1172" s="22"/>
      <c r="V1172" s="22"/>
      <c r="W1172" s="18">
        <v>2.4542002638791187</v>
      </c>
      <c r="X1172" s="19"/>
      <c r="Y1172" s="18">
        <v>3.4273198412268946</v>
      </c>
      <c r="Z1172" s="22"/>
      <c r="AA1172" s="22"/>
      <c r="AB1172" s="22"/>
      <c r="AC1172" s="22"/>
      <c r="AD1172" s="22"/>
      <c r="AE1172" s="22"/>
      <c r="AF1172" s="18"/>
      <c r="AG1172" s="18"/>
      <c r="AH1172" s="18"/>
      <c r="AI1172" s="18"/>
      <c r="AK1172" s="18"/>
      <c r="AL1172" s="18"/>
      <c r="AM1172" s="40" t="s">
        <v>118</v>
      </c>
      <c r="AN1172" s="18"/>
      <c r="AO1172" s="22"/>
      <c r="AP1172" s="32"/>
      <c r="AQ1172" s="32"/>
      <c r="AR1172" s="32"/>
      <c r="AS1172" s="32"/>
      <c r="AT1172" s="32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2"/>
      <c r="BF1172" s="32"/>
      <c r="BG1172" s="32"/>
      <c r="BH1172" s="32"/>
      <c r="BI1172" s="32"/>
      <c r="BJ1172" s="22"/>
      <c r="BK1172" s="22"/>
      <c r="BL1172" s="22" t="s">
        <v>86</v>
      </c>
      <c r="BO1172" s="15"/>
    </row>
    <row r="1173" spans="1:67" s="5" customFormat="1">
      <c r="A1173" s="6" t="s">
        <v>85</v>
      </c>
      <c r="B1173" s="6"/>
      <c r="C1173" s="17">
        <v>33983.453200000004</v>
      </c>
      <c r="D1173" s="22">
        <v>10.000085422768791</v>
      </c>
      <c r="E1173" s="6">
        <v>75.68415624915626</v>
      </c>
      <c r="F1173" s="22">
        <v>1401.5570475</v>
      </c>
      <c r="G1173" s="22"/>
      <c r="H1173" s="22">
        <v>309.90422222129575</v>
      </c>
      <c r="I1173" s="22"/>
      <c r="J1173" s="22">
        <v>408.40130995582092</v>
      </c>
      <c r="K1173" s="22"/>
      <c r="L1173" s="22"/>
      <c r="M1173" s="22"/>
      <c r="N1173" s="18">
        <v>38.250349650349648</v>
      </c>
      <c r="O1173" s="18"/>
      <c r="P1173" s="22">
        <v>2220.2081581461407</v>
      </c>
      <c r="Q1173" s="22"/>
      <c r="R1173" s="22"/>
      <c r="S1173" s="22"/>
      <c r="T1173" s="22">
        <v>2938.5136903232574</v>
      </c>
      <c r="U1173" s="22"/>
      <c r="V1173" s="22"/>
      <c r="W1173" s="22"/>
      <c r="X1173" s="19"/>
      <c r="Y1173" s="22"/>
      <c r="Z1173" s="22"/>
      <c r="AA1173" s="22"/>
      <c r="AB1173" s="22"/>
      <c r="AC1173" s="22"/>
      <c r="AD1173" s="22"/>
      <c r="AE1173" s="22"/>
      <c r="AF1173" s="18"/>
      <c r="AG1173" s="18">
        <v>9.5793649569387682</v>
      </c>
      <c r="AH1173" s="18"/>
      <c r="AI1173" s="18">
        <v>10.101249896264184</v>
      </c>
      <c r="AK1173" s="18"/>
      <c r="AL1173" s="18"/>
      <c r="AM1173" s="40">
        <v>3.8250022908063337</v>
      </c>
      <c r="AN1173" s="18"/>
      <c r="AO1173" s="22"/>
      <c r="AP1173" s="32"/>
      <c r="AQ1173" s="32"/>
      <c r="AR1173" s="32"/>
      <c r="AS1173" s="32"/>
      <c r="AT1173" s="32"/>
      <c r="AU1173" s="32"/>
      <c r="AV1173" s="32"/>
      <c r="AW1173" s="32"/>
      <c r="AX1173" s="32"/>
      <c r="AY1173" s="32"/>
      <c r="AZ1173" s="32"/>
      <c r="BA1173" s="32"/>
      <c r="BB1173" s="32"/>
      <c r="BC1173" s="32"/>
      <c r="BD1173" s="32"/>
      <c r="BE1173" s="32"/>
      <c r="BF1173" s="32"/>
      <c r="BG1173" s="32"/>
      <c r="BH1173" s="32"/>
      <c r="BI1173" s="32"/>
      <c r="BJ1173" s="22"/>
      <c r="BK1173" s="22"/>
      <c r="BL1173" s="22" t="s">
        <v>86</v>
      </c>
      <c r="BO1173" s="15"/>
    </row>
    <row r="1174" spans="1:67" s="5" customFormat="1">
      <c r="A1174" s="6" t="s">
        <v>88</v>
      </c>
      <c r="B1174" s="6"/>
      <c r="C1174" s="17">
        <v>33983.453200000004</v>
      </c>
      <c r="D1174" s="22">
        <v>10.000085422768791</v>
      </c>
      <c r="E1174" s="6">
        <v>77.072927072927072</v>
      </c>
      <c r="F1174" s="22">
        <v>1427.2750000000001</v>
      </c>
      <c r="G1174" s="22"/>
      <c r="H1174" s="22">
        <v>712.22171344322453</v>
      </c>
      <c r="I1174" s="22"/>
      <c r="J1174" s="22">
        <v>1473.5528794259417</v>
      </c>
      <c r="K1174" s="22"/>
      <c r="L1174" s="22"/>
      <c r="M1174" s="22"/>
      <c r="N1174" s="18">
        <v>147.86223776223775</v>
      </c>
      <c r="O1174" s="18"/>
      <c r="P1174" s="22">
        <v>9045.8493118863225</v>
      </c>
      <c r="Q1174" s="22"/>
      <c r="R1174" s="22"/>
      <c r="S1174" s="22"/>
      <c r="T1174" s="22">
        <v>11231.623904755488</v>
      </c>
      <c r="U1174" s="22"/>
      <c r="V1174" s="22"/>
      <c r="W1174" s="22"/>
      <c r="X1174" s="19"/>
      <c r="Y1174" s="22"/>
      <c r="Z1174" s="22"/>
      <c r="AA1174" s="22"/>
      <c r="AB1174" s="22"/>
      <c r="AC1174" s="22"/>
      <c r="AD1174" s="22"/>
      <c r="AE1174" s="22"/>
      <c r="AF1174" s="18"/>
      <c r="AG1174" s="18">
        <v>16.080090586719926</v>
      </c>
      <c r="AH1174" s="18"/>
      <c r="AI1174" s="18">
        <v>28.98514903436088</v>
      </c>
      <c r="AK1174" s="18"/>
      <c r="AL1174" s="18"/>
      <c r="AM1174" s="40">
        <v>14.786097469285231</v>
      </c>
      <c r="AN1174" s="18"/>
      <c r="AO1174" s="22"/>
      <c r="AP1174" s="32"/>
      <c r="AQ1174" s="32"/>
      <c r="AR1174" s="32"/>
      <c r="AS1174" s="32"/>
      <c r="AT1174" s="32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2"/>
      <c r="BF1174" s="32"/>
      <c r="BG1174" s="32"/>
      <c r="BH1174" s="32"/>
      <c r="BI1174" s="32"/>
      <c r="BJ1174" s="22"/>
      <c r="BK1174" s="22"/>
      <c r="BL1174" s="22" t="s">
        <v>86</v>
      </c>
      <c r="BO1174" s="15"/>
    </row>
    <row r="1175" spans="1:67" s="5" customFormat="1">
      <c r="A1175" s="6" t="s">
        <v>87</v>
      </c>
      <c r="B1175" s="6"/>
      <c r="C1175" s="17">
        <v>33983.453200000004</v>
      </c>
      <c r="D1175" s="22">
        <v>10.000085422768791</v>
      </c>
      <c r="E1175" s="6">
        <v>77.072927072927072</v>
      </c>
      <c r="F1175" s="22">
        <v>1427.2750000000001</v>
      </c>
      <c r="G1175" s="22"/>
      <c r="H1175" s="22">
        <v>629.3249960382451</v>
      </c>
      <c r="I1175" s="22"/>
      <c r="J1175" s="22">
        <v>1234.5820228481323</v>
      </c>
      <c r="K1175" s="22"/>
      <c r="L1175" s="22"/>
      <c r="M1175" s="22"/>
      <c r="N1175" s="18">
        <v>123.17132867132865</v>
      </c>
      <c r="O1175" s="18"/>
      <c r="P1175" s="22">
        <v>7535.573147268231</v>
      </c>
      <c r="Q1175" s="22"/>
      <c r="R1175" s="22"/>
      <c r="S1175" s="22"/>
      <c r="T1175" s="22">
        <v>9399.480166154608</v>
      </c>
      <c r="U1175" s="22"/>
      <c r="V1175" s="22"/>
      <c r="W1175" s="22"/>
      <c r="X1175" s="19"/>
      <c r="Y1175" s="22"/>
      <c r="Z1175" s="22"/>
      <c r="AA1175" s="22"/>
      <c r="AB1175" s="22"/>
      <c r="AC1175" s="22"/>
      <c r="AD1175" s="22"/>
      <c r="AE1175" s="22"/>
      <c r="AF1175" s="18"/>
      <c r="AG1175" s="18">
        <v>15.019366086012218</v>
      </c>
      <c r="AH1175" s="18"/>
      <c r="AI1175" s="18">
        <v>25.287259293392896</v>
      </c>
      <c r="AK1175" s="18"/>
      <c r="AL1175" s="18"/>
      <c r="AM1175" s="40">
        <v>12.317027651672337</v>
      </c>
      <c r="AN1175" s="18"/>
      <c r="AO1175" s="22"/>
      <c r="AP1175" s="32"/>
      <c r="AQ1175" s="32"/>
      <c r="AR1175" s="32"/>
      <c r="AS1175" s="32"/>
      <c r="AT1175" s="32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2"/>
      <c r="BF1175" s="32"/>
      <c r="BG1175" s="32"/>
      <c r="BH1175" s="32"/>
      <c r="BI1175" s="32"/>
      <c r="BJ1175" s="22"/>
      <c r="BK1175" s="22"/>
      <c r="BL1175" s="22" t="s">
        <v>86</v>
      </c>
      <c r="BO1175" s="15"/>
    </row>
    <row r="1176" spans="1:67" s="5" customFormat="1">
      <c r="A1176" s="6" t="s">
        <v>89</v>
      </c>
      <c r="B1176" s="6"/>
      <c r="C1176" s="17">
        <v>33983.453200000004</v>
      </c>
      <c r="D1176" s="22">
        <v>10.000085422768791</v>
      </c>
      <c r="E1176" s="6">
        <v>77.767208332208341</v>
      </c>
      <c r="F1176" s="22">
        <v>1440.1320475</v>
      </c>
      <c r="G1176" s="22"/>
      <c r="H1176" s="22">
        <v>813.97302903440664</v>
      </c>
      <c r="I1176" s="22"/>
      <c r="J1176" s="22">
        <v>1768.5799258999803</v>
      </c>
      <c r="K1176" s="22"/>
      <c r="L1176" s="22"/>
      <c r="M1176" s="22"/>
      <c r="N1176" s="18">
        <v>175.99230769230769</v>
      </c>
      <c r="O1176" s="18"/>
      <c r="P1176" s="22">
        <v>10878.191589876462</v>
      </c>
      <c r="Q1176" s="22"/>
      <c r="R1176" s="22"/>
      <c r="S1176" s="22"/>
      <c r="T1176" s="22">
        <v>13460.744544810848</v>
      </c>
      <c r="U1176" s="22"/>
      <c r="V1176" s="22"/>
      <c r="W1176" s="22"/>
      <c r="X1176" s="19"/>
      <c r="Y1176" s="22"/>
      <c r="Z1176" s="22"/>
      <c r="AA1176" s="22"/>
      <c r="AB1176" s="22"/>
      <c r="AC1176" s="22"/>
      <c r="AD1176" s="22"/>
      <c r="AE1176" s="22"/>
      <c r="AF1176" s="18"/>
      <c r="AG1176" s="18">
        <v>17.169580674362049</v>
      </c>
      <c r="AH1176" s="18"/>
      <c r="AI1176" s="18">
        <v>33.343607820433881</v>
      </c>
      <c r="AK1176" s="18"/>
      <c r="AL1176" s="18"/>
      <c r="AM1176" s="40">
        <v>17.599080433012894</v>
      </c>
      <c r="AN1176" s="18"/>
      <c r="AO1176" s="22"/>
      <c r="AP1176" s="32"/>
      <c r="AQ1176" s="32"/>
      <c r="AR1176" s="32"/>
      <c r="AS1176" s="32"/>
      <c r="AT1176" s="32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2"/>
      <c r="BF1176" s="32"/>
      <c r="BG1176" s="32"/>
      <c r="BH1176" s="32"/>
      <c r="BI1176" s="32"/>
      <c r="BJ1176" s="22"/>
      <c r="BK1176" s="22"/>
      <c r="BL1176" s="22" t="s">
        <v>86</v>
      </c>
      <c r="BO1176" s="15"/>
    </row>
    <row r="1177" spans="1:67" s="5" customFormat="1">
      <c r="A1177" s="6" t="s">
        <v>90</v>
      </c>
      <c r="B1177" s="6"/>
      <c r="C1177" s="17">
        <v>33983.453200000004</v>
      </c>
      <c r="D1177" s="22">
        <v>10.000085422768791</v>
      </c>
      <c r="E1177" s="6">
        <v>73.601104166104179</v>
      </c>
      <c r="F1177" s="22">
        <v>1362.9820475000001</v>
      </c>
      <c r="G1177" s="22"/>
      <c r="H1177" s="22">
        <v>457.10150194357414</v>
      </c>
      <c r="I1177" s="22"/>
      <c r="J1177" s="22">
        <v>459.07373917541508</v>
      </c>
      <c r="K1177" s="22"/>
      <c r="L1177" s="22"/>
      <c r="M1177" s="22"/>
      <c r="N1177" s="18"/>
      <c r="O1177" s="18"/>
      <c r="P1177" s="22">
        <v>4196.9966739306165</v>
      </c>
      <c r="Q1177" s="22"/>
      <c r="R1177" s="22"/>
      <c r="S1177" s="22"/>
      <c r="T1177" s="22">
        <v>5113.1719150496065</v>
      </c>
      <c r="U1177" s="22"/>
      <c r="V1177" s="22"/>
      <c r="W1177" s="22"/>
      <c r="X1177" s="19"/>
      <c r="Y1177" s="22"/>
      <c r="Z1177" s="22"/>
      <c r="AA1177" s="22"/>
      <c r="AB1177" s="22"/>
      <c r="AC1177" s="22"/>
      <c r="AD1177" s="22"/>
      <c r="AE1177" s="22"/>
      <c r="AF1177" s="18"/>
      <c r="AG1177" s="18">
        <v>11.357430990714644</v>
      </c>
      <c r="AH1177" s="18"/>
      <c r="AI1177" s="18">
        <v>13.808332807333858</v>
      </c>
      <c r="AK1177" s="18"/>
      <c r="AL1177" s="18"/>
      <c r="AM1177" s="40" t="s">
        <v>118</v>
      </c>
      <c r="AN1177" s="18"/>
      <c r="AO1177" s="22"/>
      <c r="AP1177" s="32"/>
      <c r="AQ1177" s="32"/>
      <c r="AR1177" s="32"/>
      <c r="AS1177" s="32"/>
      <c r="AT1177" s="32"/>
      <c r="AU1177" s="32"/>
      <c r="AV1177" s="32"/>
      <c r="AW1177" s="32"/>
      <c r="AX1177" s="32"/>
      <c r="AY1177" s="32"/>
      <c r="AZ1177" s="32"/>
      <c r="BA1177" s="32"/>
      <c r="BB1177" s="32"/>
      <c r="BC1177" s="32"/>
      <c r="BD1177" s="32"/>
      <c r="BE1177" s="32"/>
      <c r="BF1177" s="32"/>
      <c r="BG1177" s="32"/>
      <c r="BH1177" s="32"/>
      <c r="BI1177" s="32"/>
      <c r="BJ1177" s="22"/>
      <c r="BK1177" s="22"/>
      <c r="BL1177" s="22" t="s">
        <v>86</v>
      </c>
      <c r="BO1177" s="15"/>
    </row>
    <row r="1178" spans="1:67" s="5" customFormat="1">
      <c r="A1178" s="6" t="s">
        <v>92</v>
      </c>
      <c r="B1178" s="6"/>
      <c r="C1178" s="17">
        <v>33983.453200000004</v>
      </c>
      <c r="D1178" s="22">
        <v>10.000085422768791</v>
      </c>
      <c r="E1178" s="6">
        <v>70.823770823770829</v>
      </c>
      <c r="F1178" s="22">
        <v>1311.55</v>
      </c>
      <c r="G1178" s="22"/>
      <c r="H1178" s="22">
        <v>754.59694542726561</v>
      </c>
      <c r="I1178" s="22"/>
      <c r="J1178" s="22">
        <v>1182.8032012925535</v>
      </c>
      <c r="K1178" s="22"/>
      <c r="L1178" s="22"/>
      <c r="M1178" s="22"/>
      <c r="N1178" s="18"/>
      <c r="O1178" s="18"/>
      <c r="P1178" s="22">
        <v>9034.1088296372618</v>
      </c>
      <c r="Q1178" s="22"/>
      <c r="R1178" s="22"/>
      <c r="S1178" s="22"/>
      <c r="T1178" s="22">
        <v>10971.508976357081</v>
      </c>
      <c r="U1178" s="22"/>
      <c r="V1178" s="22"/>
      <c r="W1178" s="22"/>
      <c r="X1178" s="19"/>
      <c r="Y1178" s="22"/>
      <c r="Z1178" s="22"/>
      <c r="AA1178" s="22"/>
      <c r="AB1178" s="22"/>
      <c r="AC1178" s="22"/>
      <c r="AD1178" s="22"/>
      <c r="AE1178" s="22"/>
      <c r="AF1178" s="18"/>
      <c r="AG1178" s="18">
        <v>15.265958516858916</v>
      </c>
      <c r="AH1178" s="18"/>
      <c r="AI1178" s="18">
        <v>24.006226785346101</v>
      </c>
      <c r="AK1178" s="18"/>
      <c r="AL1178" s="18"/>
      <c r="AM1178" s="40" t="s">
        <v>118</v>
      </c>
      <c r="AN1178" s="18"/>
      <c r="AO1178" s="22"/>
      <c r="AP1178" s="32"/>
      <c r="AQ1178" s="32"/>
      <c r="AR1178" s="32"/>
      <c r="AS1178" s="32"/>
      <c r="AT1178" s="32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2"/>
      <c r="BF1178" s="32"/>
      <c r="BG1178" s="32"/>
      <c r="BH1178" s="32"/>
      <c r="BI1178" s="32"/>
      <c r="BJ1178" s="22"/>
      <c r="BK1178" s="22"/>
      <c r="BL1178" s="22" t="s">
        <v>86</v>
      </c>
      <c r="BO1178" s="15"/>
    </row>
    <row r="1179" spans="1:67" s="5" customFormat="1">
      <c r="A1179" s="6" t="s">
        <v>91</v>
      </c>
      <c r="B1179" s="6"/>
      <c r="C1179" s="17">
        <v>33983.453200000004</v>
      </c>
      <c r="D1179" s="22">
        <v>10.000085422768791</v>
      </c>
      <c r="E1179" s="6">
        <v>73.601104166104179</v>
      </c>
      <c r="F1179" s="22">
        <v>1362.9820475000001</v>
      </c>
      <c r="G1179" s="22"/>
      <c r="H1179" s="22">
        <v>765.86936818172876</v>
      </c>
      <c r="I1179" s="22"/>
      <c r="J1179" s="22">
        <v>1181.8098441065208</v>
      </c>
      <c r="K1179" s="22"/>
      <c r="L1179" s="22"/>
      <c r="M1179" s="22"/>
      <c r="N1179" s="18"/>
      <c r="O1179" s="18"/>
      <c r="P1179" s="22">
        <v>9095.2958740587819</v>
      </c>
      <c r="Q1179" s="22"/>
      <c r="R1179" s="22"/>
      <c r="S1179" s="22"/>
      <c r="T1179" s="22">
        <v>11042.975086347033</v>
      </c>
      <c r="U1179" s="22"/>
      <c r="V1179" s="22"/>
      <c r="W1179" s="22"/>
      <c r="X1179" s="19"/>
      <c r="Y1179" s="22"/>
      <c r="Z1179" s="22"/>
      <c r="AA1179" s="22"/>
      <c r="AB1179" s="22"/>
      <c r="AC1179" s="22"/>
      <c r="AD1179" s="22"/>
      <c r="AE1179" s="22"/>
      <c r="AF1179" s="18"/>
      <c r="AG1179" s="18">
        <v>15.089133823354013</v>
      </c>
      <c r="AH1179" s="18"/>
      <c r="AI1179" s="18">
        <v>24.373037293160223</v>
      </c>
      <c r="AK1179" s="18"/>
      <c r="AL1179" s="18"/>
      <c r="AM1179" s="40" t="s">
        <v>118</v>
      </c>
      <c r="AN1179" s="18"/>
      <c r="AO1179" s="22"/>
      <c r="AP1179" s="32"/>
      <c r="AQ1179" s="32"/>
      <c r="AR1179" s="32"/>
      <c r="AS1179" s="32"/>
      <c r="AT1179" s="32"/>
      <c r="AU1179" s="32"/>
      <c r="AV1179" s="32"/>
      <c r="AW1179" s="32"/>
      <c r="AX1179" s="32"/>
      <c r="AY1179" s="32"/>
      <c r="AZ1179" s="32"/>
      <c r="BA1179" s="32"/>
      <c r="BB1179" s="32"/>
      <c r="BC1179" s="32"/>
      <c r="BD1179" s="32"/>
      <c r="BE1179" s="32"/>
      <c r="BF1179" s="32"/>
      <c r="BG1179" s="32"/>
      <c r="BH1179" s="32"/>
      <c r="BI1179" s="32"/>
      <c r="BJ1179" s="22"/>
      <c r="BK1179" s="22"/>
      <c r="BL1179" s="22" t="s">
        <v>86</v>
      </c>
      <c r="BO1179" s="15"/>
    </row>
    <row r="1180" spans="1:67" s="5" customFormat="1">
      <c r="A1180" s="6" t="s">
        <v>93</v>
      </c>
      <c r="B1180" s="6"/>
      <c r="C1180" s="17">
        <v>33983.453200000004</v>
      </c>
      <c r="D1180" s="22">
        <v>10.000085422768791</v>
      </c>
      <c r="E1180" s="6">
        <v>68.046437481437479</v>
      </c>
      <c r="F1180" s="22">
        <v>1260.1179525</v>
      </c>
      <c r="G1180" s="22"/>
      <c r="H1180" s="22">
        <v>994.48639806585766</v>
      </c>
      <c r="I1180" s="22"/>
      <c r="J1180" s="22">
        <v>1869.3910238213302</v>
      </c>
      <c r="K1180" s="22"/>
      <c r="L1180" s="22"/>
      <c r="M1180" s="22"/>
      <c r="N1180" s="18"/>
      <c r="O1180" s="18"/>
      <c r="P1180" s="22">
        <v>12926.863915576503</v>
      </c>
      <c r="Q1180" s="22"/>
      <c r="R1180" s="22"/>
      <c r="S1180" s="22"/>
      <c r="T1180" s="22">
        <v>15790.741337463691</v>
      </c>
      <c r="U1180" s="22"/>
      <c r="V1180" s="22"/>
      <c r="W1180" s="22"/>
      <c r="X1180" s="19"/>
      <c r="Y1180" s="22"/>
      <c r="Z1180" s="22"/>
      <c r="AA1180" s="22"/>
      <c r="AB1180" s="22"/>
      <c r="AC1180" s="22"/>
      <c r="AD1180" s="22"/>
      <c r="AE1180" s="22"/>
      <c r="AF1180" s="18"/>
      <c r="AG1180" s="18">
        <v>17.671299953256511</v>
      </c>
      <c r="AH1180" s="18"/>
      <c r="AI1180" s="18">
        <v>30.905736188824605</v>
      </c>
      <c r="AK1180" s="18"/>
      <c r="AL1180" s="18"/>
      <c r="AM1180" s="40" t="s">
        <v>118</v>
      </c>
      <c r="AN1180" s="18"/>
      <c r="AO1180" s="22"/>
      <c r="AP1180" s="32"/>
      <c r="AQ1180" s="32"/>
      <c r="AR1180" s="32"/>
      <c r="AS1180" s="32"/>
      <c r="AT1180" s="32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2"/>
      <c r="BF1180" s="32"/>
      <c r="BG1180" s="32"/>
      <c r="BH1180" s="32"/>
      <c r="BI1180" s="32"/>
      <c r="BJ1180" s="22"/>
      <c r="BK1180" s="22"/>
      <c r="BL1180" s="22" t="s">
        <v>86</v>
      </c>
      <c r="BO1180" s="15"/>
    </row>
    <row r="1181" spans="1:67" s="5" customFormat="1">
      <c r="A1181" s="6" t="s">
        <v>85</v>
      </c>
      <c r="B1181" s="6"/>
      <c r="C1181" s="17">
        <v>33983.968800000002</v>
      </c>
      <c r="D1181" s="22">
        <v>10.001497088781093</v>
      </c>
      <c r="E1181" s="6"/>
      <c r="F1181" s="22"/>
      <c r="G1181" s="22"/>
      <c r="H1181" s="22"/>
      <c r="I1181" s="22"/>
      <c r="J1181" s="22"/>
      <c r="K1181" s="22"/>
      <c r="L1181" s="22"/>
      <c r="M1181" s="22"/>
      <c r="N1181" s="18"/>
      <c r="O1181" s="18"/>
      <c r="P1181" s="22"/>
      <c r="Q1181" s="22"/>
      <c r="R1181" s="22"/>
      <c r="S1181" s="22"/>
      <c r="T1181" s="22"/>
      <c r="U1181" s="22"/>
      <c r="V1181" s="22"/>
      <c r="W1181" s="18">
        <v>1.2431727765239895</v>
      </c>
      <c r="X1181" s="19"/>
      <c r="Y1181" s="18">
        <v>2.1175655298749998</v>
      </c>
      <c r="Z1181" s="22"/>
      <c r="AA1181" s="22"/>
      <c r="AB1181" s="22"/>
      <c r="AC1181" s="22"/>
      <c r="AD1181" s="22"/>
      <c r="AE1181" s="22"/>
      <c r="AF1181" s="18"/>
      <c r="AG1181" s="18"/>
      <c r="AH1181" s="18"/>
      <c r="AI1181" s="18"/>
      <c r="AK1181" s="18"/>
      <c r="AL1181" s="18"/>
      <c r="AM1181" s="40" t="s">
        <v>118</v>
      </c>
      <c r="AN1181" s="18"/>
      <c r="AO1181" s="22"/>
      <c r="AP1181" s="32"/>
      <c r="AQ1181" s="32"/>
      <c r="AR1181" s="32"/>
      <c r="AS1181" s="32"/>
      <c r="AT1181" s="32"/>
      <c r="AU1181" s="32"/>
      <c r="AV1181" s="32"/>
      <c r="AW1181" s="32"/>
      <c r="AX1181" s="32"/>
      <c r="AY1181" s="32"/>
      <c r="AZ1181" s="32"/>
      <c r="BA1181" s="32"/>
      <c r="BB1181" s="32"/>
      <c r="BC1181" s="32"/>
      <c r="BD1181" s="32"/>
      <c r="BE1181" s="32"/>
      <c r="BF1181" s="32"/>
      <c r="BG1181" s="32"/>
      <c r="BH1181" s="32"/>
      <c r="BI1181" s="32"/>
      <c r="BJ1181" s="22"/>
      <c r="BK1181" s="22"/>
      <c r="BL1181" s="22" t="s">
        <v>86</v>
      </c>
      <c r="BO1181" s="15"/>
    </row>
    <row r="1182" spans="1:67" s="5" customFormat="1">
      <c r="A1182" s="6" t="s">
        <v>88</v>
      </c>
      <c r="B1182" s="6"/>
      <c r="C1182" s="17">
        <v>33983.968800000002</v>
      </c>
      <c r="D1182" s="22">
        <v>10.001497088781093</v>
      </c>
      <c r="E1182" s="6"/>
      <c r="F1182" s="22"/>
      <c r="G1182" s="22"/>
      <c r="H1182" s="22"/>
      <c r="I1182" s="22"/>
      <c r="J1182" s="22"/>
      <c r="K1182" s="22"/>
      <c r="L1182" s="22"/>
      <c r="M1182" s="22"/>
      <c r="N1182" s="18"/>
      <c r="O1182" s="18"/>
      <c r="P1182" s="22"/>
      <c r="Q1182" s="22"/>
      <c r="R1182" s="22"/>
      <c r="S1182" s="22"/>
      <c r="T1182" s="22"/>
      <c r="U1182" s="22"/>
      <c r="V1182" s="22"/>
      <c r="W1182" s="18">
        <v>3.2104348594183203</v>
      </c>
      <c r="X1182" s="19"/>
      <c r="Y1182" s="18">
        <v>4.4983668620029986</v>
      </c>
      <c r="Z1182" s="22"/>
      <c r="AA1182" s="22"/>
      <c r="AB1182" s="22"/>
      <c r="AC1182" s="22"/>
      <c r="AD1182" s="22"/>
      <c r="AE1182" s="22"/>
      <c r="AF1182" s="18"/>
      <c r="AG1182" s="18"/>
      <c r="AH1182" s="18"/>
      <c r="AI1182" s="18"/>
      <c r="AK1182" s="18"/>
      <c r="AL1182" s="18"/>
      <c r="AM1182" s="40" t="s">
        <v>118</v>
      </c>
      <c r="AN1182" s="18"/>
      <c r="AO1182" s="22"/>
      <c r="AP1182" s="32"/>
      <c r="AQ1182" s="32"/>
      <c r="AR1182" s="32"/>
      <c r="AS1182" s="32"/>
      <c r="AT1182" s="32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2"/>
      <c r="BF1182" s="32"/>
      <c r="BG1182" s="32"/>
      <c r="BH1182" s="32"/>
      <c r="BI1182" s="32"/>
      <c r="BJ1182" s="22"/>
      <c r="BK1182" s="22"/>
      <c r="BL1182" s="22" t="s">
        <v>86</v>
      </c>
      <c r="BO1182" s="15"/>
    </row>
    <row r="1183" spans="1:67" s="5" customFormat="1">
      <c r="A1183" s="6" t="s">
        <v>87</v>
      </c>
      <c r="B1183" s="6"/>
      <c r="C1183" s="17">
        <v>33983.968800000002</v>
      </c>
      <c r="D1183" s="22">
        <v>10.001497088781093</v>
      </c>
      <c r="E1183" s="6"/>
      <c r="F1183" s="22"/>
      <c r="G1183" s="22"/>
      <c r="H1183" s="22"/>
      <c r="I1183" s="22"/>
      <c r="J1183" s="22"/>
      <c r="K1183" s="22"/>
      <c r="L1183" s="22"/>
      <c r="M1183" s="22"/>
      <c r="N1183" s="18"/>
      <c r="O1183" s="18"/>
      <c r="P1183" s="22"/>
      <c r="Q1183" s="22"/>
      <c r="R1183" s="22"/>
      <c r="S1183" s="22"/>
      <c r="T1183" s="22"/>
      <c r="U1183" s="22"/>
      <c r="V1183" s="22"/>
      <c r="W1183" s="18">
        <v>2.6541470109084893</v>
      </c>
      <c r="X1183" s="19"/>
      <c r="Y1183" s="18">
        <v>3.8559597369484879</v>
      </c>
      <c r="Z1183" s="22"/>
      <c r="AA1183" s="22"/>
      <c r="AB1183" s="22"/>
      <c r="AC1183" s="22"/>
      <c r="AD1183" s="22"/>
      <c r="AE1183" s="22"/>
      <c r="AF1183" s="18"/>
      <c r="AG1183" s="18"/>
      <c r="AH1183" s="18"/>
      <c r="AI1183" s="18"/>
      <c r="AK1183" s="18"/>
      <c r="AL1183" s="18"/>
      <c r="AM1183" s="40" t="s">
        <v>118</v>
      </c>
      <c r="AN1183" s="18"/>
      <c r="AO1183" s="22"/>
      <c r="AP1183" s="32"/>
      <c r="AQ1183" s="32"/>
      <c r="AR1183" s="32"/>
      <c r="AS1183" s="32"/>
      <c r="AT1183" s="32"/>
      <c r="AU1183" s="32"/>
      <c r="AV1183" s="32"/>
      <c r="AW1183" s="32"/>
      <c r="AX1183" s="32"/>
      <c r="AY1183" s="32"/>
      <c r="AZ1183" s="32"/>
      <c r="BA1183" s="32"/>
      <c r="BB1183" s="32"/>
      <c r="BC1183" s="32"/>
      <c r="BD1183" s="32"/>
      <c r="BE1183" s="32"/>
      <c r="BF1183" s="32"/>
      <c r="BG1183" s="32"/>
      <c r="BH1183" s="32"/>
      <c r="BI1183" s="32"/>
      <c r="BJ1183" s="22"/>
      <c r="BK1183" s="22"/>
      <c r="BL1183" s="22" t="s">
        <v>86</v>
      </c>
      <c r="BO1183" s="15"/>
    </row>
    <row r="1184" spans="1:67" s="5" customFormat="1">
      <c r="A1184" s="6" t="s">
        <v>89</v>
      </c>
      <c r="B1184" s="6"/>
      <c r="C1184" s="17">
        <v>33983.968800000002</v>
      </c>
      <c r="D1184" s="22">
        <v>10.001497088781093</v>
      </c>
      <c r="E1184" s="6"/>
      <c r="F1184" s="22"/>
      <c r="G1184" s="22"/>
      <c r="H1184" s="22"/>
      <c r="I1184" s="22"/>
      <c r="J1184" s="22"/>
      <c r="K1184" s="22"/>
      <c r="L1184" s="22"/>
      <c r="M1184" s="22"/>
      <c r="N1184" s="18"/>
      <c r="O1184" s="18"/>
      <c r="P1184" s="22"/>
      <c r="Q1184" s="22"/>
      <c r="R1184" s="22"/>
      <c r="S1184" s="22"/>
      <c r="T1184" s="22"/>
      <c r="U1184" s="22"/>
      <c r="V1184" s="22"/>
      <c r="W1184" s="18">
        <v>3.2420775308044658</v>
      </c>
      <c r="X1184" s="19"/>
      <c r="Y1184" s="18">
        <v>4.5355355409203622</v>
      </c>
      <c r="Z1184" s="22"/>
      <c r="AA1184" s="22"/>
      <c r="AB1184" s="22"/>
      <c r="AC1184" s="22"/>
      <c r="AD1184" s="22"/>
      <c r="AE1184" s="22"/>
      <c r="AF1184" s="18"/>
      <c r="AG1184" s="18"/>
      <c r="AH1184" s="18"/>
      <c r="AI1184" s="18"/>
      <c r="AK1184" s="18"/>
      <c r="AL1184" s="18"/>
      <c r="AM1184" s="40" t="s">
        <v>118</v>
      </c>
      <c r="AN1184" s="18"/>
      <c r="AO1184" s="22"/>
      <c r="AP1184" s="32"/>
      <c r="AQ1184" s="32"/>
      <c r="AR1184" s="32"/>
      <c r="AS1184" s="32"/>
      <c r="AT1184" s="32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2"/>
      <c r="BF1184" s="32"/>
      <c r="BG1184" s="32"/>
      <c r="BH1184" s="32"/>
      <c r="BI1184" s="32"/>
      <c r="BJ1184" s="22"/>
      <c r="BK1184" s="22"/>
      <c r="BL1184" s="22" t="s">
        <v>86</v>
      </c>
      <c r="BO1184" s="15"/>
    </row>
    <row r="1185" spans="1:67" s="5" customFormat="1">
      <c r="A1185" s="6" t="s">
        <v>90</v>
      </c>
      <c r="B1185" s="6"/>
      <c r="C1185" s="17">
        <v>33983.968800000002</v>
      </c>
      <c r="D1185" s="22">
        <v>10.001497088781093</v>
      </c>
      <c r="E1185" s="6"/>
      <c r="F1185" s="22"/>
      <c r="G1185" s="22"/>
      <c r="H1185" s="22"/>
      <c r="I1185" s="22"/>
      <c r="J1185" s="22"/>
      <c r="K1185" s="22"/>
      <c r="L1185" s="22"/>
      <c r="M1185" s="22"/>
      <c r="N1185" s="18"/>
      <c r="O1185" s="18"/>
      <c r="P1185" s="22"/>
      <c r="Q1185" s="22"/>
      <c r="R1185" s="22"/>
      <c r="S1185" s="22"/>
      <c r="T1185" s="22"/>
      <c r="U1185" s="22"/>
      <c r="V1185" s="22"/>
      <c r="W1185" s="18">
        <v>1.3916014378069703</v>
      </c>
      <c r="X1185" s="19"/>
      <c r="Y1185" s="18">
        <v>2.0679224844744222</v>
      </c>
      <c r="Z1185" s="22"/>
      <c r="AA1185" s="22"/>
      <c r="AB1185" s="22"/>
      <c r="AC1185" s="22"/>
      <c r="AD1185" s="22"/>
      <c r="AE1185" s="22"/>
      <c r="AF1185" s="18"/>
      <c r="AG1185" s="18"/>
      <c r="AH1185" s="18"/>
      <c r="AI1185" s="18"/>
      <c r="AK1185" s="18"/>
      <c r="AL1185" s="18"/>
      <c r="AM1185" s="40" t="s">
        <v>118</v>
      </c>
      <c r="AN1185" s="18"/>
      <c r="AO1185" s="2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  <c r="BF1185" s="32"/>
      <c r="BG1185" s="32"/>
      <c r="BH1185" s="32"/>
      <c r="BI1185" s="32"/>
      <c r="BJ1185" s="22"/>
      <c r="BK1185" s="22"/>
      <c r="BL1185" s="22" t="s">
        <v>86</v>
      </c>
      <c r="BO1185" s="15"/>
    </row>
    <row r="1186" spans="1:67" s="5" customFormat="1">
      <c r="A1186" s="6" t="s">
        <v>92</v>
      </c>
      <c r="B1186" s="6"/>
      <c r="C1186" s="17">
        <v>33983.968800000002</v>
      </c>
      <c r="D1186" s="22">
        <v>10.001497088781093</v>
      </c>
      <c r="E1186" s="6"/>
      <c r="F1186" s="22"/>
      <c r="G1186" s="22"/>
      <c r="H1186" s="22"/>
      <c r="I1186" s="22"/>
      <c r="J1186" s="22"/>
      <c r="K1186" s="22"/>
      <c r="L1186" s="22"/>
      <c r="M1186" s="22"/>
      <c r="N1186" s="18"/>
      <c r="O1186" s="18"/>
      <c r="P1186" s="22"/>
      <c r="Q1186" s="22"/>
      <c r="R1186" s="22"/>
      <c r="S1186" s="22"/>
      <c r="T1186" s="22"/>
      <c r="U1186" s="22"/>
      <c r="V1186" s="22"/>
      <c r="W1186" s="18">
        <v>2.1198841981289727</v>
      </c>
      <c r="X1186" s="19"/>
      <c r="Y1186" s="18">
        <v>3.2848614013922885</v>
      </c>
      <c r="Z1186" s="22"/>
      <c r="AA1186" s="22"/>
      <c r="AB1186" s="22"/>
      <c r="AC1186" s="22"/>
      <c r="AD1186" s="22"/>
      <c r="AE1186" s="22"/>
      <c r="AF1186" s="18"/>
      <c r="AG1186" s="18"/>
      <c r="AH1186" s="18"/>
      <c r="AI1186" s="18"/>
      <c r="AK1186" s="18"/>
      <c r="AL1186" s="18"/>
      <c r="AM1186" s="40" t="s">
        <v>118</v>
      </c>
      <c r="AN1186" s="18"/>
      <c r="AO1186" s="22"/>
      <c r="AP1186" s="32"/>
      <c r="AQ1186" s="32"/>
      <c r="AR1186" s="32"/>
      <c r="AS1186" s="32"/>
      <c r="AT1186" s="32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  <c r="BF1186" s="32"/>
      <c r="BG1186" s="32"/>
      <c r="BH1186" s="32"/>
      <c r="BI1186" s="32"/>
      <c r="BJ1186" s="22"/>
      <c r="BK1186" s="22"/>
      <c r="BL1186" s="22" t="s">
        <v>86</v>
      </c>
      <c r="BO1186" s="15"/>
    </row>
    <row r="1187" spans="1:67" s="5" customFormat="1">
      <c r="A1187" s="6" t="s">
        <v>91</v>
      </c>
      <c r="B1187" s="6"/>
      <c r="C1187" s="17">
        <v>33983.968800000002</v>
      </c>
      <c r="D1187" s="22">
        <v>10.001497088781093</v>
      </c>
      <c r="E1187" s="6"/>
      <c r="F1187" s="22"/>
      <c r="G1187" s="22"/>
      <c r="H1187" s="22"/>
      <c r="I1187" s="22"/>
      <c r="J1187" s="22"/>
      <c r="K1187" s="22"/>
      <c r="L1187" s="22"/>
      <c r="M1187" s="22"/>
      <c r="N1187" s="18"/>
      <c r="O1187" s="18"/>
      <c r="P1187" s="22"/>
      <c r="Q1187" s="22"/>
      <c r="R1187" s="22"/>
      <c r="S1187" s="22"/>
      <c r="T1187" s="22"/>
      <c r="U1187" s="22"/>
      <c r="V1187" s="22"/>
      <c r="W1187" s="18">
        <v>2.2738229167396127</v>
      </c>
      <c r="X1187" s="19"/>
      <c r="Y1187" s="18">
        <v>3.3458656381004523</v>
      </c>
      <c r="Z1187" s="22"/>
      <c r="AA1187" s="22"/>
      <c r="AB1187" s="22"/>
      <c r="AC1187" s="22"/>
      <c r="AD1187" s="22"/>
      <c r="AE1187" s="22"/>
      <c r="AF1187" s="18"/>
      <c r="AG1187" s="18"/>
      <c r="AH1187" s="18"/>
      <c r="AI1187" s="18"/>
      <c r="AK1187" s="18"/>
      <c r="AL1187" s="18"/>
      <c r="AM1187" s="40" t="s">
        <v>118</v>
      </c>
      <c r="AN1187" s="18"/>
      <c r="AO1187" s="22"/>
      <c r="AP1187" s="32"/>
      <c r="AQ1187" s="32"/>
      <c r="AR1187" s="32"/>
      <c r="AS1187" s="32"/>
      <c r="AT1187" s="32"/>
      <c r="AU1187" s="32"/>
      <c r="AV1187" s="32"/>
      <c r="AW1187" s="32"/>
      <c r="AX1187" s="32"/>
      <c r="AY1187" s="32"/>
      <c r="AZ1187" s="32"/>
      <c r="BA1187" s="32"/>
      <c r="BB1187" s="32"/>
      <c r="BC1187" s="32"/>
      <c r="BD1187" s="32"/>
      <c r="BE1187" s="32"/>
      <c r="BF1187" s="32"/>
      <c r="BG1187" s="32"/>
      <c r="BH1187" s="32"/>
      <c r="BI1187" s="32"/>
      <c r="BJ1187" s="22"/>
      <c r="BK1187" s="22"/>
      <c r="BL1187" s="22" t="s">
        <v>86</v>
      </c>
      <c r="BO1187" s="15"/>
    </row>
    <row r="1188" spans="1:67" s="5" customFormat="1">
      <c r="A1188" s="6" t="s">
        <v>93</v>
      </c>
      <c r="B1188" s="6"/>
      <c r="C1188" s="17">
        <v>33983.968800000002</v>
      </c>
      <c r="D1188" s="22">
        <v>10.001497088781093</v>
      </c>
      <c r="E1188" s="6"/>
      <c r="F1188" s="22"/>
      <c r="G1188" s="22"/>
      <c r="H1188" s="22"/>
      <c r="I1188" s="22"/>
      <c r="J1188" s="22"/>
      <c r="K1188" s="22"/>
      <c r="L1188" s="22"/>
      <c r="M1188" s="22"/>
      <c r="N1188" s="18"/>
      <c r="O1188" s="18"/>
      <c r="P1188" s="22"/>
      <c r="Q1188" s="22"/>
      <c r="R1188" s="22"/>
      <c r="S1188" s="22"/>
      <c r="T1188" s="22"/>
      <c r="U1188" s="22"/>
      <c r="V1188" s="22"/>
      <c r="W1188" s="18">
        <v>2.4763176191037024</v>
      </c>
      <c r="X1188" s="19"/>
      <c r="Y1188" s="18">
        <v>3.3539979087022815</v>
      </c>
      <c r="Z1188" s="22"/>
      <c r="AA1188" s="22"/>
      <c r="AB1188" s="22"/>
      <c r="AC1188" s="22"/>
      <c r="AD1188" s="22"/>
      <c r="AE1188" s="22"/>
      <c r="AF1188" s="18"/>
      <c r="AG1188" s="18"/>
      <c r="AH1188" s="18"/>
      <c r="AI1188" s="18"/>
      <c r="AK1188" s="18"/>
      <c r="AL1188" s="18"/>
      <c r="AM1188" s="40" t="s">
        <v>118</v>
      </c>
      <c r="AN1188" s="18"/>
      <c r="AO1188" s="22"/>
      <c r="AP1188" s="32"/>
      <c r="AQ1188" s="32"/>
      <c r="AR1188" s="32"/>
      <c r="AS1188" s="32"/>
      <c r="AT1188" s="32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  <c r="BF1188" s="32"/>
      <c r="BG1188" s="32"/>
      <c r="BH1188" s="32"/>
      <c r="BI1188" s="32"/>
      <c r="BJ1188" s="22"/>
      <c r="BK1188" s="22"/>
      <c r="BL1188" s="22" t="s">
        <v>86</v>
      </c>
      <c r="BO1188" s="15"/>
    </row>
    <row r="1189" spans="1:67" s="5" customFormat="1">
      <c r="A1189" s="6" t="s">
        <v>85</v>
      </c>
      <c r="B1189" s="6"/>
      <c r="C1189" s="17">
        <v>34348.695400000004</v>
      </c>
      <c r="D1189" s="22">
        <v>11.000085422768793</v>
      </c>
      <c r="E1189" s="6">
        <v>77.072927072927072</v>
      </c>
      <c r="F1189" s="22">
        <v>1427.2750000000001</v>
      </c>
      <c r="G1189" s="22"/>
      <c r="H1189" s="22">
        <v>329.16414044503546</v>
      </c>
      <c r="I1189" s="22"/>
      <c r="J1189" s="22">
        <v>469.87754205106637</v>
      </c>
      <c r="K1189" s="22"/>
      <c r="L1189" s="22"/>
      <c r="M1189" s="22"/>
      <c r="N1189" s="18">
        <v>46.579020979020981</v>
      </c>
      <c r="O1189" s="18"/>
      <c r="P1189" s="22">
        <v>2702.5747089441729</v>
      </c>
      <c r="Q1189" s="22"/>
      <c r="R1189" s="22"/>
      <c r="S1189" s="22"/>
      <c r="T1189" s="22">
        <v>3501.616391440275</v>
      </c>
      <c r="U1189" s="22"/>
      <c r="V1189" s="22"/>
      <c r="W1189" s="22"/>
      <c r="X1189" s="19"/>
      <c r="Y1189" s="22"/>
      <c r="Z1189" s="22"/>
      <c r="AA1189" s="22"/>
      <c r="AB1189" s="22"/>
      <c r="AC1189" s="22"/>
      <c r="AD1189" s="22"/>
      <c r="AE1189" s="22"/>
      <c r="AF1189" s="18"/>
      <c r="AG1189" s="18">
        <v>10.239624135402295</v>
      </c>
      <c r="AH1189" s="18"/>
      <c r="AI1189" s="18">
        <v>11.753483078789225</v>
      </c>
      <c r="AK1189" s="18"/>
      <c r="AL1189" s="18"/>
      <c r="AM1189" s="40">
        <v>4.2344235693486771</v>
      </c>
      <c r="AN1189" s="18"/>
      <c r="AO1189" s="22"/>
      <c r="AP1189" s="32"/>
      <c r="AQ1189" s="32"/>
      <c r="AR1189" s="32"/>
      <c r="AS1189" s="32"/>
      <c r="AT1189" s="32"/>
      <c r="AU1189" s="32"/>
      <c r="AV1189" s="32"/>
      <c r="AW1189" s="32"/>
      <c r="AX1189" s="32"/>
      <c r="AY1189" s="32"/>
      <c r="AZ1189" s="32"/>
      <c r="BA1189" s="32"/>
      <c r="BB1189" s="32"/>
      <c r="BC1189" s="32"/>
      <c r="BD1189" s="32"/>
      <c r="BE1189" s="32"/>
      <c r="BF1189" s="32"/>
      <c r="BG1189" s="32"/>
      <c r="BH1189" s="32"/>
      <c r="BI1189" s="32"/>
      <c r="BJ1189" s="22"/>
      <c r="BK1189" s="22"/>
      <c r="BL1189" s="22" t="s">
        <v>86</v>
      </c>
      <c r="BO1189" s="15"/>
    </row>
    <row r="1190" spans="1:67" s="5" customFormat="1">
      <c r="A1190" s="6" t="s">
        <v>88</v>
      </c>
      <c r="B1190" s="6"/>
      <c r="C1190" s="17">
        <v>34348.695400000004</v>
      </c>
      <c r="D1190" s="22">
        <v>11.000085422768793</v>
      </c>
      <c r="E1190" s="6">
        <v>74.295593730593737</v>
      </c>
      <c r="F1190" s="22">
        <v>1375.8429524999999</v>
      </c>
      <c r="G1190" s="22"/>
      <c r="H1190" s="22">
        <v>725.10902366985124</v>
      </c>
      <c r="I1190" s="22"/>
      <c r="J1190" s="22">
        <v>1588.7256962994911</v>
      </c>
      <c r="K1190" s="22"/>
      <c r="L1190" s="22"/>
      <c r="M1190" s="22"/>
      <c r="N1190" s="18">
        <v>164.89720279720279</v>
      </c>
      <c r="O1190" s="18"/>
      <c r="P1190" s="22">
        <v>10087.625108364351</v>
      </c>
      <c r="Q1190" s="22"/>
      <c r="R1190" s="22"/>
      <c r="S1190" s="22"/>
      <c r="T1190" s="22">
        <v>12401.459828333693</v>
      </c>
      <c r="U1190" s="22"/>
      <c r="V1190" s="22"/>
      <c r="W1190" s="22"/>
      <c r="X1190" s="19"/>
      <c r="Y1190" s="22"/>
      <c r="Z1190" s="22"/>
      <c r="AA1190" s="22"/>
      <c r="AB1190" s="22"/>
      <c r="AC1190" s="22"/>
      <c r="AD1190" s="22"/>
      <c r="AE1190" s="22"/>
      <c r="AF1190" s="18"/>
      <c r="AG1190" s="18">
        <v>16.979611304103834</v>
      </c>
      <c r="AH1190" s="18"/>
      <c r="AI1190" s="18">
        <v>31.15410281941406</v>
      </c>
      <c r="AK1190" s="18"/>
      <c r="AL1190" s="18"/>
      <c r="AM1190" s="40">
        <v>14.990538387628003</v>
      </c>
      <c r="AN1190" s="18"/>
      <c r="AO1190" s="22"/>
      <c r="AP1190" s="32"/>
      <c r="AQ1190" s="32"/>
      <c r="AR1190" s="32"/>
      <c r="AS1190" s="32"/>
      <c r="AT1190" s="32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2"/>
      <c r="BF1190" s="32"/>
      <c r="BG1190" s="32"/>
      <c r="BH1190" s="32"/>
      <c r="BI1190" s="32"/>
      <c r="BJ1190" s="22"/>
      <c r="BK1190" s="22"/>
      <c r="BL1190" s="22" t="s">
        <v>86</v>
      </c>
      <c r="BO1190" s="15"/>
    </row>
    <row r="1191" spans="1:67" s="5" customFormat="1">
      <c r="A1191" s="6" t="s">
        <v>87</v>
      </c>
      <c r="B1191" s="6"/>
      <c r="C1191" s="17">
        <v>34348.695400000004</v>
      </c>
      <c r="D1191" s="22">
        <v>11.000085422768793</v>
      </c>
      <c r="E1191" s="6">
        <v>77.072927072927072</v>
      </c>
      <c r="F1191" s="22">
        <v>1427.2750000000001</v>
      </c>
      <c r="G1191" s="22"/>
      <c r="H1191" s="22">
        <v>651.60258737072968</v>
      </c>
      <c r="I1191" s="22"/>
      <c r="J1191" s="22">
        <v>1347.5839281443991</v>
      </c>
      <c r="K1191" s="22"/>
      <c r="L1191" s="22"/>
      <c r="M1191" s="22"/>
      <c r="N1191" s="18">
        <v>139.41538461538462</v>
      </c>
      <c r="O1191" s="18"/>
      <c r="P1191" s="22">
        <v>8528.0884063726116</v>
      </c>
      <c r="Q1191" s="22"/>
      <c r="R1191" s="22"/>
      <c r="S1191" s="22"/>
      <c r="T1191" s="22">
        <v>10527.27492188774</v>
      </c>
      <c r="U1191" s="22"/>
      <c r="V1191" s="22"/>
      <c r="W1191" s="22"/>
      <c r="X1191" s="19"/>
      <c r="Y1191" s="22"/>
      <c r="Z1191" s="22"/>
      <c r="AA1191" s="22"/>
      <c r="AB1191" s="22"/>
      <c r="AC1191" s="22"/>
      <c r="AD1191" s="22"/>
      <c r="AE1191" s="22"/>
      <c r="AF1191" s="18"/>
      <c r="AG1191" s="18">
        <v>15.729895374031754</v>
      </c>
      <c r="AH1191" s="18"/>
      <c r="AI1191" s="18">
        <v>27.736408417350344</v>
      </c>
      <c r="AK1191" s="18"/>
      <c r="AL1191" s="18"/>
      <c r="AM1191" s="40">
        <v>12.674027451351634</v>
      </c>
      <c r="AN1191" s="18"/>
      <c r="AO1191" s="22"/>
      <c r="AP1191" s="32"/>
      <c r="AQ1191" s="32"/>
      <c r="AR1191" s="32"/>
      <c r="AS1191" s="32"/>
      <c r="AT1191" s="32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2"/>
      <c r="BF1191" s="32"/>
      <c r="BG1191" s="32"/>
      <c r="BH1191" s="32"/>
      <c r="BI1191" s="32"/>
      <c r="BJ1191" s="22"/>
      <c r="BK1191" s="22"/>
      <c r="BL1191" s="22" t="s">
        <v>86</v>
      </c>
      <c r="BO1191" s="15"/>
    </row>
    <row r="1192" spans="1:67" s="5" customFormat="1">
      <c r="A1192" s="6" t="s">
        <v>89</v>
      </c>
      <c r="B1192" s="6"/>
      <c r="C1192" s="17">
        <v>34348.695400000004</v>
      </c>
      <c r="D1192" s="22">
        <v>11.000085422768793</v>
      </c>
      <c r="E1192" s="6">
        <v>77.767208332208341</v>
      </c>
      <c r="F1192" s="22">
        <v>1440.1320475</v>
      </c>
      <c r="G1192" s="22"/>
      <c r="H1192" s="22">
        <v>849.67112924025389</v>
      </c>
      <c r="I1192" s="22"/>
      <c r="J1192" s="22">
        <v>1940.1478815135415</v>
      </c>
      <c r="K1192" s="22"/>
      <c r="L1192" s="22"/>
      <c r="M1192" s="22"/>
      <c r="N1192" s="18">
        <v>198.97692307692307</v>
      </c>
      <c r="O1192" s="18"/>
      <c r="P1192" s="22">
        <v>12309.576905827776</v>
      </c>
      <c r="Q1192" s="22"/>
      <c r="R1192" s="22"/>
      <c r="S1192" s="22"/>
      <c r="T1192" s="22">
        <v>15099.395916581572</v>
      </c>
      <c r="U1192" s="22"/>
      <c r="V1192" s="22"/>
      <c r="W1192" s="22"/>
      <c r="X1192" s="19"/>
      <c r="Y1192" s="22"/>
      <c r="Z1192" s="22"/>
      <c r="AA1192" s="22"/>
      <c r="AB1192" s="22"/>
      <c r="AC1192" s="22"/>
      <c r="AD1192" s="22"/>
      <c r="AE1192" s="22"/>
      <c r="AF1192" s="18"/>
      <c r="AG1192" s="18">
        <v>17.981073710675542</v>
      </c>
      <c r="AH1192" s="18"/>
      <c r="AI1192" s="18">
        <v>36.569957412593617</v>
      </c>
      <c r="AK1192" s="18"/>
      <c r="AL1192" s="18"/>
      <c r="AM1192" s="40">
        <v>18.088670717507874</v>
      </c>
      <c r="AN1192" s="18"/>
      <c r="AO1192" s="22"/>
      <c r="AP1192" s="32"/>
      <c r="AQ1192" s="32"/>
      <c r="AR1192" s="32"/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  <c r="BF1192" s="32"/>
      <c r="BG1192" s="32"/>
      <c r="BH1192" s="32"/>
      <c r="BI1192" s="32"/>
      <c r="BJ1192" s="22"/>
      <c r="BK1192" s="22"/>
      <c r="BL1192" s="22" t="s">
        <v>86</v>
      </c>
      <c r="BO1192" s="15"/>
    </row>
    <row r="1193" spans="1:67" s="5" customFormat="1">
      <c r="A1193" s="6" t="s">
        <v>90</v>
      </c>
      <c r="B1193" s="6"/>
      <c r="C1193" s="17">
        <v>34348.695400000004</v>
      </c>
      <c r="D1193" s="22">
        <v>11.000085422768793</v>
      </c>
      <c r="E1193" s="6">
        <v>71.518052083052083</v>
      </c>
      <c r="F1193" s="22">
        <v>1324.4070475000001</v>
      </c>
      <c r="G1193" s="22"/>
      <c r="H1193" s="22">
        <v>487.47057191265611</v>
      </c>
      <c r="I1193" s="22"/>
      <c r="J1193" s="22">
        <v>547.55926422025072</v>
      </c>
      <c r="K1193" s="22"/>
      <c r="L1193" s="22"/>
      <c r="M1193" s="22"/>
      <c r="N1193" s="18">
        <v>49.739160839160839</v>
      </c>
      <c r="O1193" s="18"/>
      <c r="P1193" s="22">
        <v>5008.8028781733701</v>
      </c>
      <c r="Q1193" s="22"/>
      <c r="R1193" s="22"/>
      <c r="S1193" s="22"/>
      <c r="T1193" s="22">
        <v>6043.832714306277</v>
      </c>
      <c r="U1193" s="22"/>
      <c r="V1193" s="22"/>
      <c r="W1193" s="22"/>
      <c r="X1193" s="19"/>
      <c r="Y1193" s="22"/>
      <c r="Z1193" s="22"/>
      <c r="AA1193" s="22"/>
      <c r="AB1193" s="22"/>
      <c r="AC1193" s="22"/>
      <c r="AD1193" s="22"/>
      <c r="AE1193" s="22"/>
      <c r="AF1193" s="18"/>
      <c r="AG1193" s="18">
        <v>12.248165640973106</v>
      </c>
      <c r="AH1193" s="18"/>
      <c r="AI1193" s="18">
        <v>15.60466616217567</v>
      </c>
      <c r="AK1193" s="18"/>
      <c r="AL1193" s="18"/>
      <c r="AM1193" s="40">
        <v>4.5217067802225461</v>
      </c>
      <c r="AN1193" s="18"/>
      <c r="AO1193" s="22"/>
      <c r="AP1193" s="32"/>
      <c r="AQ1193" s="32"/>
      <c r="AR1193" s="32"/>
      <c r="AS1193" s="32"/>
      <c r="AT1193" s="32"/>
      <c r="AU1193" s="32"/>
      <c r="AV1193" s="32"/>
      <c r="AW1193" s="32"/>
      <c r="AX1193" s="32"/>
      <c r="AY1193" s="32"/>
      <c r="AZ1193" s="32"/>
      <c r="BA1193" s="32"/>
      <c r="BB1193" s="32"/>
      <c r="BC1193" s="32"/>
      <c r="BD1193" s="32"/>
      <c r="BE1193" s="32"/>
      <c r="BF1193" s="32"/>
      <c r="BG1193" s="32"/>
      <c r="BH1193" s="32"/>
      <c r="BI1193" s="32"/>
      <c r="BJ1193" s="22"/>
      <c r="BK1193" s="22"/>
      <c r="BL1193" s="22" t="s">
        <v>86</v>
      </c>
      <c r="BO1193" s="15"/>
    </row>
    <row r="1194" spans="1:67" s="5" customFormat="1">
      <c r="A1194" s="6" t="s">
        <v>92</v>
      </c>
      <c r="B1194" s="6"/>
      <c r="C1194" s="17">
        <v>34348.695400000004</v>
      </c>
      <c r="D1194" s="22">
        <v>11.000085422768793</v>
      </c>
      <c r="E1194" s="6">
        <v>69.435000000000002</v>
      </c>
      <c r="F1194" s="22">
        <v>1285.8320475</v>
      </c>
      <c r="G1194" s="22"/>
      <c r="H1194" s="22">
        <v>787.5464311158936</v>
      </c>
      <c r="I1194" s="22"/>
      <c r="J1194" s="22">
        <v>1297.9513541617837</v>
      </c>
      <c r="K1194" s="22"/>
      <c r="L1194" s="22"/>
      <c r="M1194" s="22"/>
      <c r="N1194" s="18">
        <v>98.916083916083906</v>
      </c>
      <c r="O1194" s="18"/>
      <c r="P1194" s="22">
        <v>10047.729767044588</v>
      </c>
      <c r="Q1194" s="22"/>
      <c r="R1194" s="22"/>
      <c r="S1194" s="22"/>
      <c r="T1194" s="22">
        <v>12133.227552322265</v>
      </c>
      <c r="U1194" s="22"/>
      <c r="V1194" s="22"/>
      <c r="W1194" s="22"/>
      <c r="X1194" s="19"/>
      <c r="Y1194" s="22"/>
      <c r="Z1194" s="22"/>
      <c r="AA1194" s="22"/>
      <c r="AB1194" s="22"/>
      <c r="AC1194" s="22"/>
      <c r="AD1194" s="22"/>
      <c r="AE1194" s="22"/>
      <c r="AF1194" s="18"/>
      <c r="AG1194" s="18">
        <v>15.990004726108412</v>
      </c>
      <c r="AH1194" s="18"/>
      <c r="AI1194" s="18">
        <v>25.820956549580885</v>
      </c>
      <c r="AK1194" s="18"/>
      <c r="AL1194" s="18"/>
      <c r="AM1194" s="40">
        <v>8.9923014335270572</v>
      </c>
      <c r="AN1194" s="18"/>
      <c r="AO1194" s="2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  <c r="BF1194" s="32"/>
      <c r="BG1194" s="32"/>
      <c r="BH1194" s="32"/>
      <c r="BI1194" s="32"/>
      <c r="BJ1194" s="22"/>
      <c r="BK1194" s="22"/>
      <c r="BL1194" s="22" t="s">
        <v>86</v>
      </c>
      <c r="BO1194" s="15"/>
    </row>
    <row r="1195" spans="1:67" s="5" customFormat="1">
      <c r="A1195" s="6" t="s">
        <v>91</v>
      </c>
      <c r="B1195" s="6"/>
      <c r="C1195" s="17">
        <v>34348.695400000004</v>
      </c>
      <c r="D1195" s="22">
        <v>11.000085422768793</v>
      </c>
      <c r="E1195" s="6">
        <v>72.90682290682291</v>
      </c>
      <c r="F1195" s="22">
        <v>1350.125</v>
      </c>
      <c r="G1195" s="22"/>
      <c r="H1195" s="22">
        <v>817.44198337547687</v>
      </c>
      <c r="I1195" s="22"/>
      <c r="J1195" s="22">
        <v>1337.8089498875988</v>
      </c>
      <c r="K1195" s="22"/>
      <c r="L1195" s="22"/>
      <c r="M1195" s="22"/>
      <c r="N1195" s="18">
        <v>100.19510489510489</v>
      </c>
      <c r="O1195" s="18"/>
      <c r="P1195" s="22">
        <v>10394.21441611549</v>
      </c>
      <c r="Q1195" s="22"/>
      <c r="R1195" s="22"/>
      <c r="S1195" s="22"/>
      <c r="T1195" s="22">
        <v>12549.465349378566</v>
      </c>
      <c r="U1195" s="22"/>
      <c r="V1195" s="22"/>
      <c r="W1195" s="22"/>
      <c r="X1195" s="19"/>
      <c r="Y1195" s="22"/>
      <c r="Z1195" s="22"/>
      <c r="AA1195" s="22"/>
      <c r="AB1195" s="22"/>
      <c r="AC1195" s="22"/>
      <c r="AD1195" s="22"/>
      <c r="AE1195" s="22"/>
      <c r="AF1195" s="18"/>
      <c r="AG1195" s="18">
        <v>15.902789728530299</v>
      </c>
      <c r="AH1195" s="18"/>
      <c r="AI1195" s="18">
        <v>26.817081337992207</v>
      </c>
      <c r="AK1195" s="18"/>
      <c r="AL1195" s="18"/>
      <c r="AM1195" s="40">
        <v>9.1085751650358677</v>
      </c>
      <c r="AN1195" s="18"/>
      <c r="AO1195" s="22"/>
      <c r="AP1195" s="32"/>
      <c r="AQ1195" s="32"/>
      <c r="AR1195" s="32"/>
      <c r="AS1195" s="32"/>
      <c r="AT1195" s="32"/>
      <c r="AU1195" s="32"/>
      <c r="AV1195" s="32"/>
      <c r="AW1195" s="32"/>
      <c r="AX1195" s="32"/>
      <c r="AY1195" s="32"/>
      <c r="AZ1195" s="32"/>
      <c r="BA1195" s="32"/>
      <c r="BB1195" s="32"/>
      <c r="BC1195" s="32"/>
      <c r="BD1195" s="32"/>
      <c r="BE1195" s="32"/>
      <c r="BF1195" s="32"/>
      <c r="BG1195" s="32"/>
      <c r="BH1195" s="32"/>
      <c r="BI1195" s="32"/>
      <c r="BJ1195" s="22"/>
      <c r="BK1195" s="22"/>
      <c r="BL1195" s="22" t="s">
        <v>86</v>
      </c>
      <c r="BO1195" s="15"/>
    </row>
    <row r="1196" spans="1:67" s="5" customFormat="1">
      <c r="A1196" s="6" t="s">
        <v>93</v>
      </c>
      <c r="B1196" s="6"/>
      <c r="C1196" s="17">
        <v>34348.695400000004</v>
      </c>
      <c r="D1196" s="22">
        <v>11.000085422768793</v>
      </c>
      <c r="E1196" s="6">
        <v>66.657666657666667</v>
      </c>
      <c r="F1196" s="22">
        <v>1234.4000000000001</v>
      </c>
      <c r="G1196" s="22"/>
      <c r="H1196" s="22">
        <v>1039.4629009709449</v>
      </c>
      <c r="I1196" s="22"/>
      <c r="J1196" s="22">
        <v>2026.5908622146276</v>
      </c>
      <c r="K1196" s="22"/>
      <c r="L1196" s="22"/>
      <c r="M1196" s="22"/>
      <c r="N1196" s="18">
        <v>131.49160839160837</v>
      </c>
      <c r="O1196" s="18"/>
      <c r="P1196" s="22">
        <v>14208.957466901138</v>
      </c>
      <c r="Q1196" s="22"/>
      <c r="R1196" s="22"/>
      <c r="S1196" s="22"/>
      <c r="T1196" s="22">
        <v>17275.011230086711</v>
      </c>
      <c r="U1196" s="22"/>
      <c r="V1196" s="22"/>
      <c r="W1196" s="22"/>
      <c r="X1196" s="19"/>
      <c r="Y1196" s="22"/>
      <c r="Z1196" s="22"/>
      <c r="AA1196" s="22"/>
      <c r="AB1196" s="22"/>
      <c r="AC1196" s="22"/>
      <c r="AD1196" s="22"/>
      <c r="AE1196" s="22"/>
      <c r="AF1196" s="18"/>
      <c r="AG1196" s="18">
        <v>18.435071916132536</v>
      </c>
      <c r="AH1196" s="18"/>
      <c r="AI1196" s="18">
        <v>32.94856330499092</v>
      </c>
      <c r="AK1196" s="18"/>
      <c r="AL1196" s="18"/>
      <c r="AM1196" s="40">
        <v>11.953689752212041</v>
      </c>
      <c r="AN1196" s="18"/>
      <c r="AO1196" s="22"/>
      <c r="AP1196" s="32"/>
      <c r="AQ1196" s="32"/>
      <c r="AR1196" s="32"/>
      <c r="AS1196" s="32"/>
      <c r="AT1196" s="32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  <c r="BF1196" s="32"/>
      <c r="BG1196" s="32"/>
      <c r="BH1196" s="32"/>
      <c r="BI1196" s="32"/>
      <c r="BJ1196" s="22"/>
      <c r="BK1196" s="22"/>
      <c r="BL1196" s="22" t="s">
        <v>86</v>
      </c>
      <c r="BO1196" s="15"/>
    </row>
    <row r="1197" spans="1:67" s="5" customFormat="1">
      <c r="A1197" s="6" t="s">
        <v>85</v>
      </c>
      <c r="B1197" s="6"/>
      <c r="C1197" s="17">
        <v>34349.211000000003</v>
      </c>
      <c r="D1197" s="22">
        <v>11.001497088781095</v>
      </c>
      <c r="E1197" s="6"/>
      <c r="F1197" s="22"/>
      <c r="G1197" s="22"/>
      <c r="H1197" s="22"/>
      <c r="I1197" s="22"/>
      <c r="J1197" s="22"/>
      <c r="K1197" s="22"/>
      <c r="L1197" s="22"/>
      <c r="M1197" s="22"/>
      <c r="N1197" s="18"/>
      <c r="O1197" s="18"/>
      <c r="P1197" s="22"/>
      <c r="Q1197" s="22"/>
      <c r="R1197" s="22"/>
      <c r="S1197" s="22"/>
      <c r="T1197" s="22"/>
      <c r="U1197" s="22"/>
      <c r="V1197" s="22"/>
      <c r="W1197" s="18">
        <v>1.3789026706222007</v>
      </c>
      <c r="X1197" s="19"/>
      <c r="Y1197" s="18">
        <v>2.2409965132305616</v>
      </c>
      <c r="Z1197" s="22"/>
      <c r="AA1197" s="22"/>
      <c r="AB1197" s="22"/>
      <c r="AC1197" s="22"/>
      <c r="AD1197" s="22"/>
      <c r="AE1197" s="22"/>
      <c r="AF1197" s="18"/>
      <c r="AG1197" s="18"/>
      <c r="AH1197" s="18"/>
      <c r="AI1197" s="18"/>
      <c r="AK1197" s="18"/>
      <c r="AL1197" s="18"/>
      <c r="AM1197" s="40" t="s">
        <v>118</v>
      </c>
      <c r="AN1197" s="18"/>
      <c r="AO1197" s="22"/>
      <c r="AP1197" s="32"/>
      <c r="AQ1197" s="32"/>
      <c r="AR1197" s="32"/>
      <c r="AS1197" s="32"/>
      <c r="AT1197" s="32"/>
      <c r="AU1197" s="32"/>
      <c r="AV1197" s="32"/>
      <c r="AW1197" s="32"/>
      <c r="AX1197" s="32"/>
      <c r="AY1197" s="32"/>
      <c r="AZ1197" s="32"/>
      <c r="BA1197" s="32"/>
      <c r="BB1197" s="32"/>
      <c r="BC1197" s="32"/>
      <c r="BD1197" s="32"/>
      <c r="BE1197" s="32"/>
      <c r="BF1197" s="32"/>
      <c r="BG1197" s="32"/>
      <c r="BH1197" s="32"/>
      <c r="BI1197" s="32"/>
      <c r="BJ1197" s="22"/>
      <c r="BK1197" s="22"/>
      <c r="BL1197" s="22" t="s">
        <v>86</v>
      </c>
      <c r="BO1197" s="15"/>
    </row>
    <row r="1198" spans="1:67" s="5" customFormat="1">
      <c r="A1198" s="6" t="s">
        <v>88</v>
      </c>
      <c r="B1198" s="6"/>
      <c r="C1198" s="17">
        <v>34349.211000000003</v>
      </c>
      <c r="D1198" s="22">
        <v>11.001497088781095</v>
      </c>
      <c r="E1198" s="6"/>
      <c r="F1198" s="22"/>
      <c r="G1198" s="22"/>
      <c r="H1198" s="22"/>
      <c r="I1198" s="22"/>
      <c r="J1198" s="22"/>
      <c r="K1198" s="22"/>
      <c r="L1198" s="22"/>
      <c r="M1198" s="22"/>
      <c r="N1198" s="18"/>
      <c r="O1198" s="18"/>
      <c r="P1198" s="22"/>
      <c r="Q1198" s="22"/>
      <c r="R1198" s="22"/>
      <c r="S1198" s="22"/>
      <c r="T1198" s="22"/>
      <c r="U1198" s="22"/>
      <c r="V1198" s="22"/>
      <c r="W1198" s="18">
        <v>3.152281827036628</v>
      </c>
      <c r="X1198" s="19"/>
      <c r="Y1198" s="18">
        <v>4.1068975837076129</v>
      </c>
      <c r="Z1198" s="22"/>
      <c r="AA1198" s="22"/>
      <c r="AB1198" s="22"/>
      <c r="AC1198" s="22"/>
      <c r="AD1198" s="22"/>
      <c r="AE1198" s="22"/>
      <c r="AF1198" s="18"/>
      <c r="AG1198" s="18"/>
      <c r="AH1198" s="18"/>
      <c r="AI1198" s="18"/>
      <c r="AK1198" s="18"/>
      <c r="AL1198" s="18"/>
      <c r="AM1198" s="40" t="s">
        <v>118</v>
      </c>
      <c r="AN1198" s="18"/>
      <c r="AO1198" s="2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  <c r="BF1198" s="32"/>
      <c r="BG1198" s="32"/>
      <c r="BH1198" s="32"/>
      <c r="BI1198" s="32"/>
      <c r="BJ1198" s="22"/>
      <c r="BK1198" s="22"/>
      <c r="BL1198" s="22" t="s">
        <v>86</v>
      </c>
      <c r="BO1198" s="15"/>
    </row>
    <row r="1199" spans="1:67" s="5" customFormat="1">
      <c r="A1199" s="6" t="s">
        <v>87</v>
      </c>
      <c r="B1199" s="6"/>
      <c r="C1199" s="17">
        <v>34349.211000000003</v>
      </c>
      <c r="D1199" s="22">
        <v>11.001497088781095</v>
      </c>
      <c r="E1199" s="6"/>
      <c r="F1199" s="22"/>
      <c r="G1199" s="22"/>
      <c r="H1199" s="22"/>
      <c r="I1199" s="22"/>
      <c r="J1199" s="22"/>
      <c r="K1199" s="22"/>
      <c r="L1199" s="22"/>
      <c r="M1199" s="22"/>
      <c r="N1199" s="18"/>
      <c r="O1199" s="18"/>
      <c r="P1199" s="22"/>
      <c r="Q1199" s="22"/>
      <c r="R1199" s="22"/>
      <c r="S1199" s="22"/>
      <c r="T1199" s="22"/>
      <c r="U1199" s="22"/>
      <c r="V1199" s="22"/>
      <c r="W1199" s="18">
        <v>2.7307171225398603</v>
      </c>
      <c r="X1199" s="19"/>
      <c r="Y1199" s="18">
        <v>3.8773979704544517</v>
      </c>
      <c r="Z1199" s="22"/>
      <c r="AA1199" s="22"/>
      <c r="AB1199" s="22"/>
      <c r="AC1199" s="22"/>
      <c r="AD1199" s="22"/>
      <c r="AE1199" s="22"/>
      <c r="AF1199" s="18"/>
      <c r="AG1199" s="18"/>
      <c r="AH1199" s="18"/>
      <c r="AI1199" s="18"/>
      <c r="AK1199" s="18"/>
      <c r="AL1199" s="18"/>
      <c r="AM1199" s="40" t="s">
        <v>118</v>
      </c>
      <c r="AN1199" s="18"/>
      <c r="AO1199" s="22"/>
      <c r="AP1199" s="32"/>
      <c r="AQ1199" s="32"/>
      <c r="AR1199" s="32"/>
      <c r="AS1199" s="32"/>
      <c r="AT1199" s="32"/>
      <c r="AU1199" s="32"/>
      <c r="AV1199" s="32"/>
      <c r="AW1199" s="32"/>
      <c r="AX1199" s="32"/>
      <c r="AY1199" s="32"/>
      <c r="AZ1199" s="32"/>
      <c r="BA1199" s="32"/>
      <c r="BB1199" s="32"/>
      <c r="BC1199" s="32"/>
      <c r="BD1199" s="32"/>
      <c r="BE1199" s="32"/>
      <c r="BF1199" s="32"/>
      <c r="BG1199" s="32"/>
      <c r="BH1199" s="32"/>
      <c r="BI1199" s="32"/>
      <c r="BJ1199" s="22"/>
      <c r="BK1199" s="22"/>
      <c r="BL1199" s="22" t="s">
        <v>86</v>
      </c>
      <c r="BO1199" s="15"/>
    </row>
    <row r="1200" spans="1:67" s="5" customFormat="1">
      <c r="A1200" s="6" t="s">
        <v>89</v>
      </c>
      <c r="B1200" s="6"/>
      <c r="C1200" s="17">
        <v>34349.211000000003</v>
      </c>
      <c r="D1200" s="22">
        <v>11.001497088781095</v>
      </c>
      <c r="E1200" s="6"/>
      <c r="F1200" s="22"/>
      <c r="G1200" s="22"/>
      <c r="H1200" s="22"/>
      <c r="I1200" s="22"/>
      <c r="J1200" s="22"/>
      <c r="K1200" s="22"/>
      <c r="L1200" s="22"/>
      <c r="M1200" s="22"/>
      <c r="N1200" s="18"/>
      <c r="O1200" s="18"/>
      <c r="P1200" s="22"/>
      <c r="Q1200" s="22"/>
      <c r="R1200" s="22"/>
      <c r="S1200" s="22"/>
      <c r="T1200" s="22"/>
      <c r="U1200" s="22"/>
      <c r="V1200" s="22"/>
      <c r="W1200" s="18">
        <v>3.223863056605095</v>
      </c>
      <c r="X1200" s="19"/>
      <c r="Y1200" s="18">
        <v>4.3475916208034784</v>
      </c>
      <c r="Z1200" s="22"/>
      <c r="AA1200" s="22"/>
      <c r="AB1200" s="22"/>
      <c r="AC1200" s="22"/>
      <c r="AD1200" s="22"/>
      <c r="AE1200" s="22"/>
      <c r="AF1200" s="18"/>
      <c r="AG1200" s="18"/>
      <c r="AH1200" s="18"/>
      <c r="AI1200" s="18"/>
      <c r="AK1200" s="18"/>
      <c r="AL1200" s="18"/>
      <c r="AM1200" s="40" t="s">
        <v>118</v>
      </c>
      <c r="AN1200" s="18"/>
      <c r="AO1200" s="2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  <c r="BF1200" s="32"/>
      <c r="BG1200" s="32"/>
      <c r="BH1200" s="32"/>
      <c r="BI1200" s="32"/>
      <c r="BJ1200" s="22"/>
      <c r="BK1200" s="22"/>
      <c r="BL1200" s="22" t="s">
        <v>86</v>
      </c>
      <c r="BO1200" s="15"/>
    </row>
    <row r="1201" spans="1:67" s="5" customFormat="1">
      <c r="A1201" s="6" t="s">
        <v>90</v>
      </c>
      <c r="B1201" s="6"/>
      <c r="C1201" s="17">
        <v>34349.211000000003</v>
      </c>
      <c r="D1201" s="22">
        <v>11.001497088781095</v>
      </c>
      <c r="E1201" s="6"/>
      <c r="F1201" s="22"/>
      <c r="G1201" s="22"/>
      <c r="H1201" s="22"/>
      <c r="I1201" s="22"/>
      <c r="J1201" s="22"/>
      <c r="K1201" s="22"/>
      <c r="L1201" s="22"/>
      <c r="M1201" s="22"/>
      <c r="N1201" s="18"/>
      <c r="O1201" s="18"/>
      <c r="P1201" s="22"/>
      <c r="Q1201" s="22"/>
      <c r="R1201" s="22"/>
      <c r="S1201" s="22"/>
      <c r="T1201" s="22"/>
      <c r="U1201" s="22"/>
      <c r="V1201" s="22"/>
      <c r="W1201" s="18">
        <v>1.4984510731826877</v>
      </c>
      <c r="X1201" s="19"/>
      <c r="Y1201" s="18">
        <v>2.1751285810688219</v>
      </c>
      <c r="Z1201" s="22"/>
      <c r="AA1201" s="22"/>
      <c r="AB1201" s="22"/>
      <c r="AC1201" s="22"/>
      <c r="AD1201" s="22"/>
      <c r="AE1201" s="22"/>
      <c r="AF1201" s="18"/>
      <c r="AG1201" s="18"/>
      <c r="AH1201" s="18"/>
      <c r="AI1201" s="18"/>
      <c r="AK1201" s="18"/>
      <c r="AL1201" s="18"/>
      <c r="AM1201" s="40" t="s">
        <v>118</v>
      </c>
      <c r="AN1201" s="18"/>
      <c r="AO1201" s="22"/>
      <c r="AP1201" s="32"/>
      <c r="AQ1201" s="32"/>
      <c r="AR1201" s="32"/>
      <c r="AS1201" s="32"/>
      <c r="AT1201" s="32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2"/>
      <c r="BF1201" s="32"/>
      <c r="BG1201" s="32"/>
      <c r="BH1201" s="32"/>
      <c r="BI1201" s="32"/>
      <c r="BJ1201" s="22"/>
      <c r="BK1201" s="22"/>
      <c r="BL1201" s="22" t="s">
        <v>86</v>
      </c>
      <c r="BO1201" s="15"/>
    </row>
    <row r="1202" spans="1:67" s="5" customFormat="1">
      <c r="A1202" s="6" t="s">
        <v>92</v>
      </c>
      <c r="B1202" s="6"/>
      <c r="C1202" s="17">
        <v>34349.211000000003</v>
      </c>
      <c r="D1202" s="22">
        <v>11.001497088781095</v>
      </c>
      <c r="E1202" s="6"/>
      <c r="F1202" s="22"/>
      <c r="G1202" s="22"/>
      <c r="H1202" s="22"/>
      <c r="I1202" s="22"/>
      <c r="J1202" s="22"/>
      <c r="K1202" s="22"/>
      <c r="L1202" s="22"/>
      <c r="M1202" s="22"/>
      <c r="N1202" s="18"/>
      <c r="O1202" s="18"/>
      <c r="P1202" s="22"/>
      <c r="Q1202" s="22"/>
      <c r="R1202" s="22"/>
      <c r="S1202" s="22"/>
      <c r="T1202" s="22"/>
      <c r="U1202" s="22"/>
      <c r="V1202" s="22"/>
      <c r="W1202" s="18">
        <v>2.184204192463052</v>
      </c>
      <c r="X1202" s="19"/>
      <c r="Y1202" s="18">
        <v>3.1992015699056848</v>
      </c>
      <c r="Z1202" s="22"/>
      <c r="AA1202" s="22"/>
      <c r="AB1202" s="22"/>
      <c r="AC1202" s="22"/>
      <c r="AD1202" s="22"/>
      <c r="AE1202" s="22"/>
      <c r="AF1202" s="18"/>
      <c r="AG1202" s="18"/>
      <c r="AH1202" s="18"/>
      <c r="AI1202" s="18"/>
      <c r="AK1202" s="18"/>
      <c r="AL1202" s="18"/>
      <c r="AM1202" s="40" t="s">
        <v>118</v>
      </c>
      <c r="AN1202" s="18"/>
      <c r="AO1202" s="22"/>
      <c r="AP1202" s="32"/>
      <c r="AQ1202" s="32"/>
      <c r="AR1202" s="32"/>
      <c r="AS1202" s="32"/>
      <c r="AT1202" s="32"/>
      <c r="AU1202" s="32"/>
      <c r="AV1202" s="32"/>
      <c r="AW1202" s="32"/>
      <c r="AX1202" s="32"/>
      <c r="AY1202" s="32"/>
      <c r="AZ1202" s="32"/>
      <c r="BA1202" s="32"/>
      <c r="BB1202" s="32"/>
      <c r="BC1202" s="32"/>
      <c r="BD1202" s="32"/>
      <c r="BE1202" s="32"/>
      <c r="BF1202" s="32"/>
      <c r="BG1202" s="32"/>
      <c r="BH1202" s="32"/>
      <c r="BI1202" s="32"/>
      <c r="BJ1202" s="22"/>
      <c r="BK1202" s="22"/>
      <c r="BL1202" s="22" t="s">
        <v>86</v>
      </c>
      <c r="BO1202" s="15"/>
    </row>
    <row r="1203" spans="1:67" s="5" customFormat="1">
      <c r="A1203" s="6" t="s">
        <v>91</v>
      </c>
      <c r="B1203" s="6"/>
      <c r="C1203" s="17">
        <v>34349.211000000003</v>
      </c>
      <c r="D1203" s="22">
        <v>11.001497088781095</v>
      </c>
      <c r="E1203" s="6"/>
      <c r="F1203" s="22"/>
      <c r="G1203" s="22"/>
      <c r="H1203" s="22"/>
      <c r="I1203" s="22"/>
      <c r="J1203" s="22"/>
      <c r="K1203" s="22"/>
      <c r="L1203" s="22"/>
      <c r="M1203" s="22"/>
      <c r="N1203" s="18"/>
      <c r="O1203" s="18"/>
      <c r="P1203" s="22"/>
      <c r="Q1203" s="22"/>
      <c r="R1203" s="22"/>
      <c r="S1203" s="22"/>
      <c r="T1203" s="22"/>
      <c r="U1203" s="22"/>
      <c r="V1203" s="22"/>
      <c r="W1203" s="18">
        <v>2.3052600046473284</v>
      </c>
      <c r="X1203" s="19"/>
      <c r="Y1203" s="18">
        <v>3.1098402270824645</v>
      </c>
      <c r="Z1203" s="22"/>
      <c r="AA1203" s="22"/>
      <c r="AB1203" s="22"/>
      <c r="AC1203" s="22"/>
      <c r="AD1203" s="22"/>
      <c r="AE1203" s="22"/>
      <c r="AF1203" s="18"/>
      <c r="AG1203" s="18"/>
      <c r="AH1203" s="18"/>
      <c r="AI1203" s="18"/>
      <c r="AK1203" s="18"/>
      <c r="AL1203" s="18"/>
      <c r="AM1203" s="40" t="s">
        <v>118</v>
      </c>
      <c r="AN1203" s="18"/>
      <c r="AO1203" s="22"/>
      <c r="AP1203" s="32"/>
      <c r="AQ1203" s="32"/>
      <c r="AR1203" s="32"/>
      <c r="AS1203" s="32"/>
      <c r="AT1203" s="32"/>
      <c r="AU1203" s="32"/>
      <c r="AV1203" s="32"/>
      <c r="AW1203" s="32"/>
      <c r="AX1203" s="32"/>
      <c r="AY1203" s="32"/>
      <c r="AZ1203" s="32"/>
      <c r="BA1203" s="32"/>
      <c r="BB1203" s="32"/>
      <c r="BC1203" s="32"/>
      <c r="BD1203" s="32"/>
      <c r="BE1203" s="32"/>
      <c r="BF1203" s="32"/>
      <c r="BG1203" s="32"/>
      <c r="BH1203" s="32"/>
      <c r="BI1203" s="32"/>
      <c r="BJ1203" s="22"/>
      <c r="BK1203" s="22"/>
      <c r="BL1203" s="22" t="s">
        <v>86</v>
      </c>
      <c r="BO1203" s="15"/>
    </row>
    <row r="1204" spans="1:67" s="5" customFormat="1">
      <c r="A1204" s="6" t="s">
        <v>93</v>
      </c>
      <c r="B1204" s="6"/>
      <c r="C1204" s="17">
        <v>34349.211000000003</v>
      </c>
      <c r="D1204" s="22">
        <v>11.001497088781095</v>
      </c>
      <c r="E1204" s="6"/>
      <c r="F1204" s="22"/>
      <c r="G1204" s="22"/>
      <c r="H1204" s="22"/>
      <c r="I1204" s="22"/>
      <c r="J1204" s="22"/>
      <c r="K1204" s="22"/>
      <c r="L1204" s="22"/>
      <c r="M1204" s="22"/>
      <c r="N1204" s="18"/>
      <c r="O1204" s="18"/>
      <c r="P1204" s="22"/>
      <c r="Q1204" s="22"/>
      <c r="R1204" s="22"/>
      <c r="S1204" s="22"/>
      <c r="T1204" s="22"/>
      <c r="U1204" s="22"/>
      <c r="V1204" s="22"/>
      <c r="W1204" s="18">
        <v>2.4617085141600272</v>
      </c>
      <c r="X1204" s="19"/>
      <c r="Y1204" s="18">
        <v>3.095527916118908</v>
      </c>
      <c r="Z1204" s="22"/>
      <c r="AA1204" s="22"/>
      <c r="AB1204" s="22"/>
      <c r="AC1204" s="22"/>
      <c r="AD1204" s="22"/>
      <c r="AE1204" s="22"/>
      <c r="AF1204" s="18"/>
      <c r="AG1204" s="18"/>
      <c r="AH1204" s="18"/>
      <c r="AI1204" s="18"/>
      <c r="AK1204" s="18"/>
      <c r="AL1204" s="18"/>
      <c r="AM1204" s="40" t="s">
        <v>118</v>
      </c>
      <c r="AN1204" s="18"/>
      <c r="AO1204" s="2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2"/>
      <c r="BF1204" s="32"/>
      <c r="BG1204" s="32"/>
      <c r="BH1204" s="32"/>
      <c r="BI1204" s="32"/>
      <c r="BJ1204" s="22"/>
      <c r="BK1204" s="22"/>
      <c r="BL1204" s="22" t="s">
        <v>86</v>
      </c>
      <c r="BO1204" s="15"/>
    </row>
    <row r="1205" spans="1:67" s="5" customFormat="1">
      <c r="A1205" s="6" t="s">
        <v>85</v>
      </c>
      <c r="B1205" s="6"/>
      <c r="C1205" s="17">
        <v>34714.453200000004</v>
      </c>
      <c r="D1205" s="22">
        <v>12.001497088781097</v>
      </c>
      <c r="E1205" s="6"/>
      <c r="F1205" s="22"/>
      <c r="G1205" s="22"/>
      <c r="H1205" s="22"/>
      <c r="I1205" s="22"/>
      <c r="J1205" s="22"/>
      <c r="K1205" s="22"/>
      <c r="L1205" s="22"/>
      <c r="M1205" s="22"/>
      <c r="N1205" s="18"/>
      <c r="O1205" s="18"/>
      <c r="P1205" s="22"/>
      <c r="Q1205" s="22"/>
      <c r="R1205" s="22"/>
      <c r="S1205" s="22"/>
      <c r="T1205" s="22"/>
      <c r="U1205" s="22"/>
      <c r="V1205" s="22"/>
      <c r="W1205" s="18">
        <v>1.4503454909774989</v>
      </c>
      <c r="X1205" s="19"/>
      <c r="Y1205" s="18">
        <v>2.3558171795173783</v>
      </c>
      <c r="Z1205" s="22"/>
      <c r="AA1205" s="22"/>
      <c r="AB1205" s="22"/>
      <c r="AC1205" s="22"/>
      <c r="AD1205" s="22"/>
      <c r="AE1205" s="22"/>
      <c r="AF1205" s="18"/>
      <c r="AG1205" s="18"/>
      <c r="AH1205" s="18"/>
      <c r="AI1205" s="18"/>
      <c r="AK1205" s="18"/>
      <c r="AL1205" s="18"/>
      <c r="AM1205" s="40" t="s">
        <v>118</v>
      </c>
      <c r="AN1205" s="18"/>
      <c r="AO1205" s="22"/>
      <c r="AP1205" s="32"/>
      <c r="AQ1205" s="32"/>
      <c r="AR1205" s="32"/>
      <c r="AS1205" s="32"/>
      <c r="AT1205" s="32"/>
      <c r="AU1205" s="32"/>
      <c r="AV1205" s="32"/>
      <c r="AW1205" s="32"/>
      <c r="AX1205" s="32"/>
      <c r="AY1205" s="32"/>
      <c r="AZ1205" s="32"/>
      <c r="BA1205" s="32"/>
      <c r="BB1205" s="32"/>
      <c r="BC1205" s="32"/>
      <c r="BD1205" s="32"/>
      <c r="BE1205" s="32"/>
      <c r="BF1205" s="32"/>
      <c r="BG1205" s="32"/>
      <c r="BH1205" s="32"/>
      <c r="BI1205" s="32"/>
      <c r="BJ1205" s="22"/>
      <c r="BK1205" s="22"/>
      <c r="BL1205" s="22" t="s">
        <v>86</v>
      </c>
      <c r="BO1205" s="15"/>
    </row>
    <row r="1206" spans="1:67" s="5" customFormat="1">
      <c r="A1206" s="6" t="s">
        <v>88</v>
      </c>
      <c r="B1206" s="6"/>
      <c r="C1206" s="17">
        <v>34714.453200000004</v>
      </c>
      <c r="D1206" s="22">
        <v>12.001497088781097</v>
      </c>
      <c r="E1206" s="6"/>
      <c r="F1206" s="22"/>
      <c r="G1206" s="22"/>
      <c r="H1206" s="22"/>
      <c r="I1206" s="22"/>
      <c r="J1206" s="22"/>
      <c r="K1206" s="22"/>
      <c r="L1206" s="22"/>
      <c r="M1206" s="22"/>
      <c r="N1206" s="18"/>
      <c r="O1206" s="18"/>
      <c r="P1206" s="22"/>
      <c r="Q1206" s="22"/>
      <c r="R1206" s="22"/>
      <c r="S1206" s="22"/>
      <c r="T1206" s="22"/>
      <c r="U1206" s="22"/>
      <c r="V1206" s="22"/>
      <c r="W1206" s="18">
        <v>3.1021204501542217</v>
      </c>
      <c r="X1206" s="19"/>
      <c r="Y1206" s="18">
        <v>4.1106973570707828</v>
      </c>
      <c r="Z1206" s="22"/>
      <c r="AA1206" s="22"/>
      <c r="AB1206" s="22"/>
      <c r="AC1206" s="22"/>
      <c r="AD1206" s="22"/>
      <c r="AE1206" s="22"/>
      <c r="AF1206" s="18"/>
      <c r="AG1206" s="18"/>
      <c r="AH1206" s="18"/>
      <c r="AI1206" s="18"/>
      <c r="AK1206" s="18"/>
      <c r="AL1206" s="18"/>
      <c r="AM1206" s="40" t="s">
        <v>118</v>
      </c>
      <c r="AN1206" s="18"/>
      <c r="AO1206" s="2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2"/>
      <c r="BF1206" s="32"/>
      <c r="BG1206" s="32"/>
      <c r="BH1206" s="32"/>
      <c r="BI1206" s="32"/>
      <c r="BJ1206" s="22"/>
      <c r="BK1206" s="22"/>
      <c r="BL1206" s="22" t="s">
        <v>86</v>
      </c>
      <c r="BO1206" s="15"/>
    </row>
    <row r="1207" spans="1:67" s="5" customFormat="1">
      <c r="A1207" s="6" t="s">
        <v>87</v>
      </c>
      <c r="B1207" s="6"/>
      <c r="C1207" s="17">
        <v>34714.453200000004</v>
      </c>
      <c r="D1207" s="22">
        <v>12.001497088781097</v>
      </c>
      <c r="E1207" s="6"/>
      <c r="F1207" s="22"/>
      <c r="G1207" s="22"/>
      <c r="H1207" s="22"/>
      <c r="I1207" s="22"/>
      <c r="J1207" s="22"/>
      <c r="K1207" s="22"/>
      <c r="L1207" s="22"/>
      <c r="M1207" s="22"/>
      <c r="N1207" s="18"/>
      <c r="O1207" s="18"/>
      <c r="P1207" s="22"/>
      <c r="Q1207" s="22"/>
      <c r="R1207" s="22"/>
      <c r="S1207" s="22"/>
      <c r="T1207" s="22"/>
      <c r="U1207" s="22"/>
      <c r="V1207" s="22"/>
      <c r="W1207" s="18">
        <v>2.697036976180851</v>
      </c>
      <c r="X1207" s="19"/>
      <c r="Y1207" s="18">
        <v>3.7570999621210919</v>
      </c>
      <c r="Z1207" s="22"/>
      <c r="AA1207" s="22"/>
      <c r="AB1207" s="22"/>
      <c r="AC1207" s="22"/>
      <c r="AD1207" s="22"/>
      <c r="AE1207" s="22"/>
      <c r="AF1207" s="18"/>
      <c r="AG1207" s="18"/>
      <c r="AH1207" s="18"/>
      <c r="AI1207" s="18"/>
      <c r="AK1207" s="18"/>
      <c r="AL1207" s="18"/>
      <c r="AM1207" s="40" t="s">
        <v>118</v>
      </c>
      <c r="AN1207" s="18"/>
      <c r="AO1207" s="22"/>
      <c r="AP1207" s="32"/>
      <c r="AQ1207" s="32"/>
      <c r="AR1207" s="32"/>
      <c r="AS1207" s="32"/>
      <c r="AT1207" s="32"/>
      <c r="AU1207" s="32"/>
      <c r="AV1207" s="32"/>
      <c r="AW1207" s="32"/>
      <c r="AX1207" s="32"/>
      <c r="AY1207" s="32"/>
      <c r="AZ1207" s="32"/>
      <c r="BA1207" s="32"/>
      <c r="BB1207" s="32"/>
      <c r="BC1207" s="32"/>
      <c r="BD1207" s="32"/>
      <c r="BE1207" s="32"/>
      <c r="BF1207" s="32"/>
      <c r="BG1207" s="32"/>
      <c r="BH1207" s="32"/>
      <c r="BI1207" s="32"/>
      <c r="BJ1207" s="22"/>
      <c r="BK1207" s="22"/>
      <c r="BL1207" s="22" t="s">
        <v>86</v>
      </c>
      <c r="BO1207" s="15"/>
    </row>
    <row r="1208" spans="1:67" s="5" customFormat="1">
      <c r="A1208" s="6" t="s">
        <v>89</v>
      </c>
      <c r="B1208" s="6"/>
      <c r="C1208" s="17">
        <v>34714.453200000004</v>
      </c>
      <c r="D1208" s="22">
        <v>12.001497088781097</v>
      </c>
      <c r="E1208" s="6"/>
      <c r="F1208" s="22"/>
      <c r="G1208" s="22"/>
      <c r="H1208" s="22"/>
      <c r="I1208" s="22"/>
      <c r="J1208" s="22"/>
      <c r="K1208" s="22"/>
      <c r="L1208" s="22"/>
      <c r="M1208" s="22"/>
      <c r="N1208" s="18"/>
      <c r="O1208" s="18"/>
      <c r="P1208" s="22"/>
      <c r="Q1208" s="22"/>
      <c r="R1208" s="22"/>
      <c r="S1208" s="22"/>
      <c r="T1208" s="22"/>
      <c r="U1208" s="22"/>
      <c r="V1208" s="22"/>
      <c r="W1208" s="18">
        <v>3.0585152661550361</v>
      </c>
      <c r="X1208" s="19"/>
      <c r="Y1208" s="18">
        <v>4.1483003638285076</v>
      </c>
      <c r="Z1208" s="22"/>
      <c r="AA1208" s="22"/>
      <c r="AB1208" s="22"/>
      <c r="AC1208" s="22"/>
      <c r="AD1208" s="22"/>
      <c r="AE1208" s="22"/>
      <c r="AF1208" s="18"/>
      <c r="AG1208" s="18"/>
      <c r="AH1208" s="18"/>
      <c r="AI1208" s="18"/>
      <c r="AK1208" s="18"/>
      <c r="AL1208" s="18"/>
      <c r="AM1208" s="40" t="s">
        <v>118</v>
      </c>
      <c r="AN1208" s="18"/>
      <c r="AO1208" s="22"/>
      <c r="AP1208" s="32"/>
      <c r="AQ1208" s="32"/>
      <c r="AR1208" s="32"/>
      <c r="AS1208" s="32"/>
      <c r="AT1208" s="32"/>
      <c r="AU1208" s="32"/>
      <c r="AV1208" s="32"/>
      <c r="AW1208" s="32"/>
      <c r="AX1208" s="32"/>
      <c r="AY1208" s="32"/>
      <c r="AZ1208" s="32"/>
      <c r="BA1208" s="32"/>
      <c r="BB1208" s="32"/>
      <c r="BC1208" s="32"/>
      <c r="BD1208" s="32"/>
      <c r="BE1208" s="32"/>
      <c r="BF1208" s="32"/>
      <c r="BG1208" s="32"/>
      <c r="BH1208" s="32"/>
      <c r="BI1208" s="32"/>
      <c r="BJ1208" s="22"/>
      <c r="BK1208" s="22"/>
      <c r="BL1208" s="22" t="s">
        <v>86</v>
      </c>
      <c r="BO1208" s="15"/>
    </row>
    <row r="1209" spans="1:67" s="5" customFormat="1">
      <c r="A1209" s="6" t="s">
        <v>90</v>
      </c>
      <c r="B1209" s="6"/>
      <c r="C1209" s="17">
        <v>34714.453200000004</v>
      </c>
      <c r="D1209" s="22">
        <v>12.001497088781097</v>
      </c>
      <c r="E1209" s="6"/>
      <c r="F1209" s="22"/>
      <c r="G1209" s="22"/>
      <c r="H1209" s="22"/>
      <c r="I1209" s="22"/>
      <c r="J1209" s="22"/>
      <c r="K1209" s="22"/>
      <c r="L1209" s="22"/>
      <c r="M1209" s="22"/>
      <c r="N1209" s="18"/>
      <c r="O1209" s="18"/>
      <c r="P1209" s="22"/>
      <c r="Q1209" s="22"/>
      <c r="R1209" s="22"/>
      <c r="S1209" s="22"/>
      <c r="T1209" s="22"/>
      <c r="U1209" s="22"/>
      <c r="V1209" s="22"/>
      <c r="W1209" s="18">
        <v>1.511912161676094</v>
      </c>
      <c r="X1209" s="19"/>
      <c r="Y1209" s="18">
        <v>2.1129980914123103</v>
      </c>
      <c r="Z1209" s="22"/>
      <c r="AA1209" s="22"/>
      <c r="AB1209" s="22"/>
      <c r="AC1209" s="22"/>
      <c r="AD1209" s="22"/>
      <c r="AE1209" s="22"/>
      <c r="AF1209" s="18"/>
      <c r="AG1209" s="18"/>
      <c r="AH1209" s="18"/>
      <c r="AI1209" s="18"/>
      <c r="AK1209" s="18"/>
      <c r="AL1209" s="18"/>
      <c r="AM1209" s="40" t="s">
        <v>118</v>
      </c>
      <c r="AN1209" s="18"/>
      <c r="AO1209" s="22"/>
      <c r="AP1209" s="32"/>
      <c r="AQ1209" s="32"/>
      <c r="AR1209" s="32"/>
      <c r="AS1209" s="32"/>
      <c r="AT1209" s="32"/>
      <c r="AU1209" s="32"/>
      <c r="AV1209" s="32"/>
      <c r="AW1209" s="32"/>
      <c r="AX1209" s="32"/>
      <c r="AY1209" s="32"/>
      <c r="AZ1209" s="32"/>
      <c r="BA1209" s="32"/>
      <c r="BB1209" s="32"/>
      <c r="BC1209" s="32"/>
      <c r="BD1209" s="32"/>
      <c r="BE1209" s="32"/>
      <c r="BF1209" s="32"/>
      <c r="BG1209" s="32"/>
      <c r="BH1209" s="32"/>
      <c r="BI1209" s="32"/>
      <c r="BJ1209" s="22"/>
      <c r="BK1209" s="22"/>
      <c r="BL1209" s="22" t="s">
        <v>86</v>
      </c>
      <c r="BO1209" s="15"/>
    </row>
    <row r="1210" spans="1:67" s="5" customFormat="1">
      <c r="A1210" s="6" t="s">
        <v>92</v>
      </c>
      <c r="B1210" s="6"/>
      <c r="C1210" s="17">
        <v>34714.453200000004</v>
      </c>
      <c r="D1210" s="22">
        <v>12.001497088781097</v>
      </c>
      <c r="E1210" s="6"/>
      <c r="F1210" s="22"/>
      <c r="G1210" s="22"/>
      <c r="H1210" s="22"/>
      <c r="I1210" s="22"/>
      <c r="J1210" s="22"/>
      <c r="K1210" s="22"/>
      <c r="L1210" s="22"/>
      <c r="M1210" s="22"/>
      <c r="N1210" s="18"/>
      <c r="O1210" s="18"/>
      <c r="P1210" s="22"/>
      <c r="Q1210" s="22"/>
      <c r="R1210" s="22"/>
      <c r="S1210" s="22"/>
      <c r="T1210" s="22"/>
      <c r="U1210" s="22"/>
      <c r="V1210" s="22"/>
      <c r="W1210" s="18">
        <v>2.11911810739148</v>
      </c>
      <c r="X1210" s="19"/>
      <c r="Y1210" s="18">
        <v>3.0606925502691316</v>
      </c>
      <c r="Z1210" s="22"/>
      <c r="AA1210" s="22"/>
      <c r="AB1210" s="22"/>
      <c r="AC1210" s="22"/>
      <c r="AD1210" s="22"/>
      <c r="AE1210" s="22"/>
      <c r="AF1210" s="18"/>
      <c r="AG1210" s="18"/>
      <c r="AH1210" s="18"/>
      <c r="AI1210" s="18"/>
      <c r="AK1210" s="18"/>
      <c r="AL1210" s="18"/>
      <c r="AM1210" s="40" t="s">
        <v>118</v>
      </c>
      <c r="AN1210" s="18"/>
      <c r="AO1210" s="22"/>
      <c r="AP1210" s="32"/>
      <c r="AQ1210" s="32"/>
      <c r="AR1210" s="32"/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2"/>
      <c r="BF1210" s="32"/>
      <c r="BG1210" s="32"/>
      <c r="BH1210" s="32"/>
      <c r="BI1210" s="32"/>
      <c r="BJ1210" s="22"/>
      <c r="BK1210" s="22"/>
      <c r="BL1210" s="22" t="s">
        <v>86</v>
      </c>
      <c r="BO1210" s="15"/>
    </row>
    <row r="1211" spans="1:67" s="5" customFormat="1">
      <c r="A1211" s="6" t="s">
        <v>91</v>
      </c>
      <c r="B1211" s="6"/>
      <c r="C1211" s="17">
        <v>34714.453200000004</v>
      </c>
      <c r="D1211" s="22">
        <v>12.001497088781097</v>
      </c>
      <c r="E1211" s="6"/>
      <c r="F1211" s="22"/>
      <c r="G1211" s="22"/>
      <c r="H1211" s="22"/>
      <c r="I1211" s="22"/>
      <c r="J1211" s="22"/>
      <c r="K1211" s="22"/>
      <c r="L1211" s="22"/>
      <c r="M1211" s="22"/>
      <c r="N1211" s="18"/>
      <c r="O1211" s="18"/>
      <c r="P1211" s="22"/>
      <c r="Q1211" s="22"/>
      <c r="R1211" s="22"/>
      <c r="S1211" s="22"/>
      <c r="T1211" s="22"/>
      <c r="U1211" s="22"/>
      <c r="V1211" s="22"/>
      <c r="W1211" s="18">
        <v>2.2094494727192284</v>
      </c>
      <c r="X1211" s="19"/>
      <c r="Y1211" s="18">
        <v>2.9790244258480576</v>
      </c>
      <c r="Z1211" s="22"/>
      <c r="AA1211" s="22"/>
      <c r="AB1211" s="22"/>
      <c r="AC1211" s="22"/>
      <c r="AD1211" s="22"/>
      <c r="AE1211" s="22"/>
      <c r="AF1211" s="18"/>
      <c r="AG1211" s="18"/>
      <c r="AH1211" s="18"/>
      <c r="AI1211" s="18"/>
      <c r="AK1211" s="18"/>
      <c r="AL1211" s="18"/>
      <c r="AM1211" s="40" t="s">
        <v>118</v>
      </c>
      <c r="AN1211" s="18"/>
      <c r="AO1211" s="22"/>
      <c r="AP1211" s="32"/>
      <c r="AQ1211" s="32"/>
      <c r="AR1211" s="32"/>
      <c r="AS1211" s="32"/>
      <c r="AT1211" s="32"/>
      <c r="AU1211" s="32"/>
      <c r="AV1211" s="32"/>
      <c r="AW1211" s="32"/>
      <c r="AX1211" s="32"/>
      <c r="AY1211" s="32"/>
      <c r="AZ1211" s="32"/>
      <c r="BA1211" s="32"/>
      <c r="BB1211" s="32"/>
      <c r="BC1211" s="32"/>
      <c r="BD1211" s="32"/>
      <c r="BE1211" s="32"/>
      <c r="BF1211" s="32"/>
      <c r="BG1211" s="32"/>
      <c r="BH1211" s="32"/>
      <c r="BI1211" s="32"/>
      <c r="BJ1211" s="22"/>
      <c r="BK1211" s="22"/>
      <c r="BL1211" s="22" t="s">
        <v>86</v>
      </c>
      <c r="BO1211" s="15"/>
    </row>
    <row r="1212" spans="1:67" s="5" customFormat="1">
      <c r="A1212" s="6" t="s">
        <v>93</v>
      </c>
      <c r="B1212" s="6"/>
      <c r="C1212" s="17">
        <v>34714.453200000004</v>
      </c>
      <c r="D1212" s="22">
        <v>12.001497088781097</v>
      </c>
      <c r="E1212" s="6"/>
      <c r="F1212" s="22"/>
      <c r="G1212" s="22"/>
      <c r="H1212" s="22"/>
      <c r="I1212" s="22"/>
      <c r="J1212" s="22"/>
      <c r="K1212" s="22"/>
      <c r="L1212" s="22"/>
      <c r="M1212" s="22"/>
      <c r="N1212" s="18"/>
      <c r="O1212" s="18"/>
      <c r="P1212" s="22"/>
      <c r="Q1212" s="22"/>
      <c r="R1212" s="22"/>
      <c r="S1212" s="22"/>
      <c r="T1212" s="22"/>
      <c r="U1212" s="22"/>
      <c r="V1212" s="22"/>
      <c r="W1212" s="18">
        <v>2.3823948783896052</v>
      </c>
      <c r="X1212" s="19"/>
      <c r="Y1212" s="18">
        <v>3.0734037490570061</v>
      </c>
      <c r="Z1212" s="22"/>
      <c r="AA1212" s="22"/>
      <c r="AB1212" s="22"/>
      <c r="AC1212" s="22"/>
      <c r="AD1212" s="22"/>
      <c r="AE1212" s="22"/>
      <c r="AF1212" s="18"/>
      <c r="AG1212" s="18"/>
      <c r="AH1212" s="18"/>
      <c r="AI1212" s="18"/>
      <c r="AK1212" s="18"/>
      <c r="AL1212" s="18"/>
      <c r="AM1212" s="40" t="s">
        <v>118</v>
      </c>
      <c r="AN1212" s="18"/>
      <c r="AO1212" s="22"/>
      <c r="AP1212" s="32"/>
      <c r="AQ1212" s="32"/>
      <c r="AR1212" s="32"/>
      <c r="AS1212" s="32"/>
      <c r="AT1212" s="32"/>
      <c r="AU1212" s="32"/>
      <c r="AV1212" s="32"/>
      <c r="AW1212" s="32"/>
      <c r="AX1212" s="32"/>
      <c r="AY1212" s="32"/>
      <c r="AZ1212" s="32"/>
      <c r="BA1212" s="32"/>
      <c r="BB1212" s="32"/>
      <c r="BC1212" s="32"/>
      <c r="BD1212" s="32"/>
      <c r="BE1212" s="32"/>
      <c r="BF1212" s="32"/>
      <c r="BG1212" s="32"/>
      <c r="BH1212" s="32"/>
      <c r="BI1212" s="32"/>
      <c r="BJ1212" s="22"/>
      <c r="BK1212" s="22"/>
      <c r="BL1212" s="22" t="s">
        <v>86</v>
      </c>
      <c r="BO1212" s="15"/>
    </row>
    <row r="1213" spans="1:67" s="5" customFormat="1">
      <c r="A1213" s="6" t="s">
        <v>85</v>
      </c>
      <c r="B1213" s="6"/>
      <c r="C1213" s="17">
        <v>35079.179800000005</v>
      </c>
      <c r="D1213" s="22">
        <v>13.000085422768796</v>
      </c>
      <c r="E1213" s="6">
        <v>74.989874989874991</v>
      </c>
      <c r="F1213" s="22">
        <v>1388.7</v>
      </c>
      <c r="G1213" s="22"/>
      <c r="H1213" s="22">
        <v>360.21668014865361</v>
      </c>
      <c r="I1213" s="22"/>
      <c r="J1213" s="22">
        <v>601.92554301178814</v>
      </c>
      <c r="K1213" s="22"/>
      <c r="L1213" s="22"/>
      <c r="M1213" s="22"/>
      <c r="N1213" s="18">
        <v>65.127272727272725</v>
      </c>
      <c r="O1213" s="18"/>
      <c r="P1213" s="22">
        <v>3825.018682431757</v>
      </c>
      <c r="Q1213" s="22"/>
      <c r="R1213" s="22"/>
      <c r="S1213" s="22"/>
      <c r="T1213" s="22">
        <v>4787.160905592199</v>
      </c>
      <c r="U1213" s="22"/>
      <c r="V1213" s="22"/>
      <c r="W1213" s="22"/>
      <c r="X1213" s="19"/>
      <c r="Y1213" s="22"/>
      <c r="Z1213" s="22"/>
      <c r="AA1213" s="22"/>
      <c r="AB1213" s="22"/>
      <c r="AC1213" s="22"/>
      <c r="AD1213" s="22"/>
      <c r="AE1213" s="22"/>
      <c r="AF1213" s="18"/>
      <c r="AG1213" s="18">
        <v>11.77837360251894</v>
      </c>
      <c r="AH1213" s="18"/>
      <c r="AI1213" s="18">
        <v>15.13108196787932</v>
      </c>
      <c r="AK1213" s="18"/>
      <c r="AL1213" s="18"/>
      <c r="AM1213" s="40">
        <v>5.0097572907641501</v>
      </c>
      <c r="AN1213" s="18"/>
      <c r="AO1213" s="22"/>
      <c r="AP1213" s="32"/>
      <c r="AQ1213" s="32"/>
      <c r="AR1213" s="32"/>
      <c r="AS1213" s="32"/>
      <c r="AT1213" s="32"/>
      <c r="AU1213" s="32"/>
      <c r="AV1213" s="32"/>
      <c r="AW1213" s="32"/>
      <c r="AX1213" s="32"/>
      <c r="AY1213" s="32"/>
      <c r="AZ1213" s="32"/>
      <c r="BA1213" s="32"/>
      <c r="BB1213" s="32"/>
      <c r="BC1213" s="32"/>
      <c r="BD1213" s="32"/>
      <c r="BE1213" s="32"/>
      <c r="BF1213" s="32"/>
      <c r="BG1213" s="32"/>
      <c r="BH1213" s="32"/>
      <c r="BI1213" s="32"/>
      <c r="BJ1213" s="22"/>
      <c r="BK1213" s="22"/>
      <c r="BL1213" s="22" t="s">
        <v>86</v>
      </c>
      <c r="BO1213" s="15"/>
    </row>
    <row r="1214" spans="1:67" s="5" customFormat="1">
      <c r="A1214" s="6" t="s">
        <v>88</v>
      </c>
      <c r="B1214" s="6"/>
      <c r="C1214" s="17">
        <v>35079.179800000005</v>
      </c>
      <c r="D1214" s="22">
        <v>13.000085422768796</v>
      </c>
      <c r="E1214" s="6">
        <v>72.212541647541642</v>
      </c>
      <c r="F1214" s="22">
        <v>1337.2679524999999</v>
      </c>
      <c r="G1214" s="22"/>
      <c r="H1214" s="22">
        <v>765.62270673300247</v>
      </c>
      <c r="I1214" s="22"/>
      <c r="J1214" s="22">
        <v>1833.7748299326238</v>
      </c>
      <c r="K1214" s="22"/>
      <c r="L1214" s="22"/>
      <c r="M1214" s="22"/>
      <c r="N1214" s="18">
        <v>200.20769230769227</v>
      </c>
      <c r="O1214" s="18"/>
      <c r="P1214" s="22">
        <v>12286.148634500456</v>
      </c>
      <c r="Q1214" s="22"/>
      <c r="R1214" s="22"/>
      <c r="S1214" s="22"/>
      <c r="T1214" s="22">
        <v>14885.546171166081</v>
      </c>
      <c r="U1214" s="22"/>
      <c r="V1214" s="22"/>
      <c r="W1214" s="22"/>
      <c r="X1214" s="19"/>
      <c r="Y1214" s="22"/>
      <c r="Z1214" s="22"/>
      <c r="AA1214" s="22"/>
      <c r="AB1214" s="22"/>
      <c r="AC1214" s="22"/>
      <c r="AD1214" s="22"/>
      <c r="AE1214" s="22"/>
      <c r="AF1214" s="18"/>
      <c r="AG1214" s="18">
        <v>18.472668988866875</v>
      </c>
      <c r="AH1214" s="18"/>
      <c r="AI1214" s="18">
        <v>35.840051927926496</v>
      </c>
      <c r="AK1214" s="18"/>
      <c r="AL1214" s="18"/>
      <c r="AM1214" s="40">
        <v>15.40049051962702</v>
      </c>
      <c r="AN1214" s="18"/>
      <c r="AO1214" s="22"/>
      <c r="AP1214" s="32"/>
      <c r="AQ1214" s="32"/>
      <c r="AR1214" s="32"/>
      <c r="AS1214" s="32"/>
      <c r="AT1214" s="32"/>
      <c r="AU1214" s="32"/>
      <c r="AV1214" s="32"/>
      <c r="AW1214" s="32"/>
      <c r="AX1214" s="32"/>
      <c r="AY1214" s="32"/>
      <c r="AZ1214" s="32"/>
      <c r="BA1214" s="32"/>
      <c r="BB1214" s="32"/>
      <c r="BC1214" s="32"/>
      <c r="BD1214" s="32"/>
      <c r="BE1214" s="32"/>
      <c r="BF1214" s="32"/>
      <c r="BG1214" s="32"/>
      <c r="BH1214" s="32"/>
      <c r="BI1214" s="32"/>
      <c r="BJ1214" s="22"/>
      <c r="BK1214" s="22"/>
      <c r="BL1214" s="22" t="s">
        <v>86</v>
      </c>
      <c r="BO1214" s="15"/>
    </row>
    <row r="1215" spans="1:67" s="5" customFormat="1">
      <c r="A1215" s="6" t="s">
        <v>87</v>
      </c>
      <c r="B1215" s="6"/>
      <c r="C1215" s="17">
        <v>35079.179800000005</v>
      </c>
      <c r="D1215" s="22">
        <v>13.000085422768796</v>
      </c>
      <c r="E1215" s="6">
        <v>76.378645813645818</v>
      </c>
      <c r="F1215" s="22">
        <v>1414.4179525</v>
      </c>
      <c r="G1215" s="22"/>
      <c r="H1215" s="22">
        <v>698.84344755954521</v>
      </c>
      <c r="I1215" s="22"/>
      <c r="J1215" s="22">
        <v>1588.2865502737766</v>
      </c>
      <c r="K1215" s="22"/>
      <c r="L1215" s="22"/>
      <c r="M1215" s="22"/>
      <c r="N1215" s="18">
        <v>174.11748251748253</v>
      </c>
      <c r="O1215" s="18"/>
      <c r="P1215" s="22">
        <v>10665.012436959609</v>
      </c>
      <c r="Q1215" s="22"/>
      <c r="R1215" s="22"/>
      <c r="S1215" s="22"/>
      <c r="T1215" s="22">
        <v>12952.142434792931</v>
      </c>
      <c r="U1215" s="22"/>
      <c r="V1215" s="22"/>
      <c r="W1215" s="22"/>
      <c r="X1215" s="19"/>
      <c r="Y1215" s="22"/>
      <c r="Z1215" s="22"/>
      <c r="AA1215" s="22"/>
      <c r="AB1215" s="22"/>
      <c r="AC1215" s="22"/>
      <c r="AD1215" s="22"/>
      <c r="AE1215" s="22"/>
      <c r="AF1215" s="18"/>
      <c r="AG1215" s="18">
        <v>17.158200693260646</v>
      </c>
      <c r="AH1215" s="18"/>
      <c r="AI1215" s="18">
        <v>32.704848639995078</v>
      </c>
      <c r="AK1215" s="18"/>
      <c r="AL1215" s="18"/>
      <c r="AM1215" s="40">
        <v>13.393564492470732</v>
      </c>
      <c r="AN1215" s="18"/>
      <c r="AO1215" s="22"/>
      <c r="AP1215" s="32"/>
      <c r="AQ1215" s="32"/>
      <c r="AR1215" s="32"/>
      <c r="AS1215" s="32"/>
      <c r="AT1215" s="32"/>
      <c r="AU1215" s="32"/>
      <c r="AV1215" s="32"/>
      <c r="AW1215" s="32"/>
      <c r="AX1215" s="32"/>
      <c r="AY1215" s="32"/>
      <c r="AZ1215" s="32"/>
      <c r="BA1215" s="32"/>
      <c r="BB1215" s="32"/>
      <c r="BC1215" s="32"/>
      <c r="BD1215" s="32"/>
      <c r="BE1215" s="32"/>
      <c r="BF1215" s="32"/>
      <c r="BG1215" s="32"/>
      <c r="BH1215" s="32"/>
      <c r="BI1215" s="32"/>
      <c r="BJ1215" s="22"/>
      <c r="BK1215" s="22"/>
      <c r="BL1215" s="22" t="s">
        <v>86</v>
      </c>
      <c r="BO1215" s="15"/>
    </row>
    <row r="1216" spans="1:67" s="5" customFormat="1">
      <c r="A1216" s="6" t="s">
        <v>89</v>
      </c>
      <c r="B1216" s="6"/>
      <c r="C1216" s="17">
        <v>35079.179800000005</v>
      </c>
      <c r="D1216" s="22">
        <v>13.000085422768796</v>
      </c>
      <c r="E1216" s="6">
        <v>76.378645813645818</v>
      </c>
      <c r="F1216" s="22">
        <v>1414.4179525</v>
      </c>
      <c r="G1216" s="22"/>
      <c r="H1216" s="22">
        <v>877.52955362699072</v>
      </c>
      <c r="I1216" s="22"/>
      <c r="J1216" s="22">
        <v>2157.7074505290311</v>
      </c>
      <c r="K1216" s="22"/>
      <c r="L1216" s="22"/>
      <c r="M1216" s="22"/>
      <c r="N1216" s="18">
        <v>232.70139860139861</v>
      </c>
      <c r="O1216" s="18"/>
      <c r="P1216" s="22">
        <v>14410.897773385359</v>
      </c>
      <c r="Q1216" s="22"/>
      <c r="R1216" s="22"/>
      <c r="S1216" s="22"/>
      <c r="T1216" s="22">
        <v>17446.134777541381</v>
      </c>
      <c r="U1216" s="22"/>
      <c r="V1216" s="22"/>
      <c r="W1216" s="22"/>
      <c r="X1216" s="19"/>
      <c r="Y1216" s="22"/>
      <c r="Z1216" s="22"/>
      <c r="AA1216" s="22"/>
      <c r="AB1216" s="22"/>
      <c r="AC1216" s="22"/>
      <c r="AD1216" s="22"/>
      <c r="AE1216" s="22"/>
      <c r="AF1216" s="18"/>
      <c r="AG1216" s="18">
        <v>19.200350062851641</v>
      </c>
      <c r="AH1216" s="18"/>
      <c r="AI1216" s="18">
        <v>40.953115920747045</v>
      </c>
      <c r="AK1216" s="18"/>
      <c r="AL1216" s="18"/>
      <c r="AM1216" s="40">
        <v>17.899989964207265</v>
      </c>
      <c r="AN1216" s="18"/>
      <c r="AO1216" s="2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2"/>
      <c r="BF1216" s="32"/>
      <c r="BG1216" s="32"/>
      <c r="BH1216" s="32"/>
      <c r="BI1216" s="32"/>
      <c r="BJ1216" s="22"/>
      <c r="BK1216" s="22"/>
      <c r="BL1216" s="22" t="s">
        <v>86</v>
      </c>
      <c r="BO1216" s="15"/>
    </row>
    <row r="1217" spans="1:67" s="5" customFormat="1">
      <c r="A1217" s="6" t="s">
        <v>90</v>
      </c>
      <c r="B1217" s="6"/>
      <c r="C1217" s="17">
        <v>35079.179800000005</v>
      </c>
      <c r="D1217" s="22">
        <v>13.000085422768796</v>
      </c>
      <c r="E1217" s="6">
        <v>70.823770823770829</v>
      </c>
      <c r="F1217" s="22">
        <v>1311.55</v>
      </c>
      <c r="G1217" s="22"/>
      <c r="H1217" s="22">
        <v>547.01345327482898</v>
      </c>
      <c r="I1217" s="22"/>
      <c r="J1217" s="22">
        <v>705.93850514092344</v>
      </c>
      <c r="K1217" s="22"/>
      <c r="L1217" s="22"/>
      <c r="M1217" s="22"/>
      <c r="N1217" s="18"/>
      <c r="O1217" s="18"/>
      <c r="P1217" s="22">
        <v>6559.1161612452006</v>
      </c>
      <c r="Q1217" s="22"/>
      <c r="R1217" s="22"/>
      <c r="S1217" s="22"/>
      <c r="T1217" s="22">
        <v>7812.068119660953</v>
      </c>
      <c r="U1217" s="22"/>
      <c r="V1217" s="22"/>
      <c r="W1217" s="22"/>
      <c r="X1217" s="19"/>
      <c r="Y1217" s="22"/>
      <c r="Z1217" s="22"/>
      <c r="AA1217" s="22"/>
      <c r="AB1217" s="22"/>
      <c r="AC1217" s="22"/>
      <c r="AD1217" s="22"/>
      <c r="AE1217" s="22"/>
      <c r="AF1217" s="18"/>
      <c r="AG1217" s="18">
        <v>13.572129874517456</v>
      </c>
      <c r="AH1217" s="18"/>
      <c r="AI1217" s="18">
        <v>18.974562121224384</v>
      </c>
      <c r="AK1217" s="18"/>
      <c r="AL1217" s="18"/>
      <c r="AM1217" s="40" t="s">
        <v>118</v>
      </c>
      <c r="AN1217" s="18"/>
      <c r="AO1217" s="22"/>
      <c r="AP1217" s="32"/>
      <c r="AQ1217" s="32"/>
      <c r="AR1217" s="32"/>
      <c r="AS1217" s="32"/>
      <c r="AT1217" s="32"/>
      <c r="AU1217" s="32"/>
      <c r="AV1217" s="32"/>
      <c r="AW1217" s="32"/>
      <c r="AX1217" s="32"/>
      <c r="AY1217" s="32"/>
      <c r="AZ1217" s="32"/>
      <c r="BA1217" s="32"/>
      <c r="BB1217" s="32"/>
      <c r="BC1217" s="32"/>
      <c r="BD1217" s="32"/>
      <c r="BE1217" s="32"/>
      <c r="BF1217" s="32"/>
      <c r="BG1217" s="32"/>
      <c r="BH1217" s="32"/>
      <c r="BI1217" s="32"/>
      <c r="BJ1217" s="22"/>
      <c r="BK1217" s="22"/>
      <c r="BL1217" s="22" t="s">
        <v>86</v>
      </c>
      <c r="BO1217" s="15"/>
    </row>
    <row r="1218" spans="1:67" s="5" customFormat="1">
      <c r="A1218" s="6" t="s">
        <v>92</v>
      </c>
      <c r="B1218" s="6"/>
      <c r="C1218" s="17">
        <v>35079.179800000005</v>
      </c>
      <c r="D1218" s="22">
        <v>13.000085422768796</v>
      </c>
      <c r="E1218" s="6">
        <v>64.574614574614571</v>
      </c>
      <c r="F1218" s="22">
        <v>1195.825</v>
      </c>
      <c r="G1218" s="22"/>
      <c r="H1218" s="22">
        <v>834.86215913964475</v>
      </c>
      <c r="I1218" s="22"/>
      <c r="J1218" s="22">
        <v>1501.8292892885233</v>
      </c>
      <c r="K1218" s="22"/>
      <c r="L1218" s="22"/>
      <c r="M1218" s="22"/>
      <c r="N1218" s="18"/>
      <c r="O1218" s="18"/>
      <c r="P1218" s="22">
        <v>11834.69019068713</v>
      </c>
      <c r="Q1218" s="22"/>
      <c r="R1218" s="22"/>
      <c r="S1218" s="22"/>
      <c r="T1218" s="22">
        <v>14171.381639115298</v>
      </c>
      <c r="U1218" s="22"/>
      <c r="V1218" s="22"/>
      <c r="W1218" s="22"/>
      <c r="X1218" s="19"/>
      <c r="Y1218" s="22"/>
      <c r="Z1218" s="22"/>
      <c r="AA1218" s="22"/>
      <c r="AB1218" s="22"/>
      <c r="AC1218" s="22"/>
      <c r="AD1218" s="22"/>
      <c r="AE1218" s="22"/>
      <c r="AF1218" s="18"/>
      <c r="AG1218" s="18">
        <v>17.439761682204747</v>
      </c>
      <c r="AH1218" s="18"/>
      <c r="AI1218" s="18">
        <v>28.565354450889505</v>
      </c>
      <c r="AK1218" s="18"/>
      <c r="AL1218" s="18"/>
      <c r="AM1218" s="40" t="s">
        <v>118</v>
      </c>
      <c r="AN1218" s="18"/>
      <c r="AO1218" s="2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2"/>
      <c r="BF1218" s="32"/>
      <c r="BG1218" s="32"/>
      <c r="BH1218" s="32"/>
      <c r="BI1218" s="32"/>
      <c r="BJ1218" s="22"/>
      <c r="BK1218" s="22"/>
      <c r="BL1218" s="22" t="s">
        <v>86</v>
      </c>
      <c r="BO1218" s="15"/>
    </row>
    <row r="1219" spans="1:67" s="5" customFormat="1">
      <c r="A1219" s="6" t="s">
        <v>91</v>
      </c>
      <c r="B1219" s="6"/>
      <c r="C1219" s="17">
        <v>35079.179800000005</v>
      </c>
      <c r="D1219" s="22">
        <v>13.000085422768796</v>
      </c>
      <c r="E1219" s="6">
        <v>72.212541647541642</v>
      </c>
      <c r="F1219" s="22">
        <v>1337.2679524999999</v>
      </c>
      <c r="G1219" s="22"/>
      <c r="H1219" s="22">
        <v>897.15387247841079</v>
      </c>
      <c r="I1219" s="22"/>
      <c r="J1219" s="22">
        <v>1580.7029501136437</v>
      </c>
      <c r="K1219" s="22"/>
      <c r="L1219" s="22"/>
      <c r="M1219" s="22"/>
      <c r="N1219" s="18"/>
      <c r="O1219" s="18"/>
      <c r="P1219" s="22">
        <v>12611.311388715332</v>
      </c>
      <c r="Q1219" s="22"/>
      <c r="R1219" s="22"/>
      <c r="S1219" s="22"/>
      <c r="T1219" s="22">
        <v>15089.168211307388</v>
      </c>
      <c r="U1219" s="22"/>
      <c r="V1219" s="22"/>
      <c r="W1219" s="22"/>
      <c r="X1219" s="19"/>
      <c r="Y1219" s="22"/>
      <c r="Z1219" s="22"/>
      <c r="AA1219" s="22"/>
      <c r="AB1219" s="22"/>
      <c r="AC1219" s="22"/>
      <c r="AD1219" s="22"/>
      <c r="AE1219" s="22"/>
      <c r="AF1219" s="18"/>
      <c r="AG1219" s="18">
        <v>17.133478347153279</v>
      </c>
      <c r="AH1219" s="18"/>
      <c r="AI1219" s="18">
        <v>30.831908890702412</v>
      </c>
      <c r="AK1219" s="18"/>
      <c r="AL1219" s="18"/>
      <c r="AM1219" s="40" t="s">
        <v>118</v>
      </c>
      <c r="AN1219" s="18"/>
      <c r="AO1219" s="22"/>
      <c r="AP1219" s="32"/>
      <c r="AQ1219" s="32"/>
      <c r="AR1219" s="32"/>
      <c r="AS1219" s="32"/>
      <c r="AT1219" s="32"/>
      <c r="AU1219" s="32"/>
      <c r="AV1219" s="32"/>
      <c r="AW1219" s="32"/>
      <c r="AX1219" s="32"/>
      <c r="AY1219" s="32"/>
      <c r="AZ1219" s="32"/>
      <c r="BA1219" s="32"/>
      <c r="BB1219" s="32"/>
      <c r="BC1219" s="32"/>
      <c r="BD1219" s="32"/>
      <c r="BE1219" s="32"/>
      <c r="BF1219" s="32"/>
      <c r="BG1219" s="32"/>
      <c r="BH1219" s="32"/>
      <c r="BI1219" s="32"/>
      <c r="BJ1219" s="22"/>
      <c r="BK1219" s="22"/>
      <c r="BL1219" s="22" t="s">
        <v>86</v>
      </c>
      <c r="BO1219" s="15"/>
    </row>
    <row r="1220" spans="1:67" s="5" customFormat="1">
      <c r="A1220" s="6" t="s">
        <v>93</v>
      </c>
      <c r="B1220" s="6"/>
      <c r="C1220" s="17">
        <v>35079.179800000005</v>
      </c>
      <c r="D1220" s="22">
        <v>13.000085422768796</v>
      </c>
      <c r="E1220" s="6">
        <v>65.26889583389584</v>
      </c>
      <c r="F1220" s="22">
        <v>1208.6820475</v>
      </c>
      <c r="G1220" s="22"/>
      <c r="H1220" s="22">
        <v>1101.4198247785432</v>
      </c>
      <c r="I1220" s="22"/>
      <c r="J1220" s="22">
        <v>2236.2822974030546</v>
      </c>
      <c r="K1220" s="22"/>
      <c r="L1220" s="22"/>
      <c r="M1220" s="22"/>
      <c r="N1220" s="18"/>
      <c r="O1220" s="18"/>
      <c r="P1220" s="22">
        <v>16244.26147868043</v>
      </c>
      <c r="Q1220" s="22"/>
      <c r="R1220" s="22"/>
      <c r="S1220" s="22"/>
      <c r="T1220" s="22">
        <v>19581.963600862025</v>
      </c>
      <c r="U1220" s="22"/>
      <c r="V1220" s="22"/>
      <c r="W1220" s="22"/>
      <c r="X1220" s="19"/>
      <c r="Y1220" s="22"/>
      <c r="Z1220" s="22"/>
      <c r="AA1220" s="22"/>
      <c r="AB1220" s="22"/>
      <c r="AC1220" s="22"/>
      <c r="AD1220" s="22"/>
      <c r="AE1220" s="22"/>
      <c r="AF1220" s="18"/>
      <c r="AG1220" s="18">
        <v>19.514642524863163</v>
      </c>
      <c r="AH1220" s="18"/>
      <c r="AI1220" s="18">
        <v>36.151320785925847</v>
      </c>
      <c r="AK1220" s="18"/>
      <c r="AL1220" s="18"/>
      <c r="AM1220" s="40" t="s">
        <v>118</v>
      </c>
      <c r="AN1220" s="18"/>
      <c r="AO1220" s="22"/>
      <c r="AP1220" s="32"/>
      <c r="AQ1220" s="32"/>
      <c r="AR1220" s="32"/>
      <c r="AS1220" s="32"/>
      <c r="AT1220" s="32"/>
      <c r="AU1220" s="32"/>
      <c r="AV1220" s="32"/>
      <c r="AW1220" s="32"/>
      <c r="AX1220" s="32"/>
      <c r="AY1220" s="32"/>
      <c r="AZ1220" s="32"/>
      <c r="BA1220" s="32"/>
      <c r="BB1220" s="32"/>
      <c r="BC1220" s="32"/>
      <c r="BD1220" s="32"/>
      <c r="BE1220" s="32"/>
      <c r="BF1220" s="32"/>
      <c r="BG1220" s="32"/>
      <c r="BH1220" s="32"/>
      <c r="BI1220" s="32"/>
      <c r="BJ1220" s="22"/>
      <c r="BK1220" s="22"/>
      <c r="BL1220" s="22" t="s">
        <v>86</v>
      </c>
      <c r="BO1220" s="15"/>
    </row>
    <row r="1221" spans="1:67" s="5" customFormat="1">
      <c r="A1221" s="6" t="s">
        <v>85</v>
      </c>
      <c r="B1221" s="6"/>
      <c r="C1221" s="17">
        <v>35079.695400000004</v>
      </c>
      <c r="D1221" s="22">
        <v>13.001497088781099</v>
      </c>
      <c r="E1221" s="6"/>
      <c r="F1221" s="22"/>
      <c r="G1221" s="22"/>
      <c r="H1221" s="22"/>
      <c r="I1221" s="22"/>
      <c r="J1221" s="22"/>
      <c r="K1221" s="22"/>
      <c r="L1221" s="22"/>
      <c r="M1221" s="22"/>
      <c r="N1221" s="18"/>
      <c r="O1221" s="18"/>
      <c r="P1221" s="22"/>
      <c r="Q1221" s="22"/>
      <c r="R1221" s="22"/>
      <c r="S1221" s="22"/>
      <c r="T1221" s="22"/>
      <c r="U1221" s="22"/>
      <c r="V1221" s="22"/>
      <c r="W1221" s="18">
        <v>1.3419964088248308</v>
      </c>
      <c r="X1221" s="19"/>
      <c r="Y1221" s="18">
        <v>2.290016111268498</v>
      </c>
      <c r="Z1221" s="22"/>
      <c r="AA1221" s="22"/>
      <c r="AB1221" s="22"/>
      <c r="AC1221" s="22"/>
      <c r="AD1221" s="22"/>
      <c r="AE1221" s="22"/>
      <c r="AF1221" s="18"/>
      <c r="AG1221" s="18"/>
      <c r="AH1221" s="18"/>
      <c r="AI1221" s="18"/>
      <c r="AK1221" s="18"/>
      <c r="AL1221" s="18"/>
      <c r="AM1221" s="40" t="s">
        <v>118</v>
      </c>
      <c r="AN1221" s="18"/>
      <c r="AO1221" s="22"/>
      <c r="AP1221" s="32"/>
      <c r="AQ1221" s="32"/>
      <c r="AR1221" s="32"/>
      <c r="AS1221" s="32"/>
      <c r="AT1221" s="32"/>
      <c r="AU1221" s="32"/>
      <c r="AV1221" s="32"/>
      <c r="AW1221" s="32"/>
      <c r="AX1221" s="32"/>
      <c r="AY1221" s="32"/>
      <c r="AZ1221" s="32"/>
      <c r="BA1221" s="32"/>
      <c r="BB1221" s="32"/>
      <c r="BC1221" s="32"/>
      <c r="BD1221" s="32"/>
      <c r="BE1221" s="32"/>
      <c r="BF1221" s="32"/>
      <c r="BG1221" s="32"/>
      <c r="BH1221" s="32"/>
      <c r="BI1221" s="32"/>
      <c r="BJ1221" s="22"/>
      <c r="BK1221" s="22"/>
      <c r="BL1221" s="22" t="s">
        <v>86</v>
      </c>
      <c r="BO1221" s="15"/>
    </row>
    <row r="1222" spans="1:67" s="5" customFormat="1">
      <c r="A1222" s="6" t="s">
        <v>88</v>
      </c>
      <c r="B1222" s="6"/>
      <c r="C1222" s="17">
        <v>35079.695400000004</v>
      </c>
      <c r="D1222" s="22">
        <v>13.001497088781099</v>
      </c>
      <c r="E1222" s="6"/>
      <c r="F1222" s="22"/>
      <c r="G1222" s="22"/>
      <c r="H1222" s="22"/>
      <c r="I1222" s="22"/>
      <c r="J1222" s="22"/>
      <c r="K1222" s="22"/>
      <c r="L1222" s="22"/>
      <c r="M1222" s="22"/>
      <c r="N1222" s="18"/>
      <c r="O1222" s="18"/>
      <c r="P1222" s="22"/>
      <c r="Q1222" s="22"/>
      <c r="R1222" s="22"/>
      <c r="S1222" s="22"/>
      <c r="T1222" s="22"/>
      <c r="U1222" s="22"/>
      <c r="V1222" s="22"/>
      <c r="W1222" s="18">
        <v>3.0070666815211404</v>
      </c>
      <c r="X1222" s="19"/>
      <c r="Y1222" s="18">
        <v>4.1608041787757157</v>
      </c>
      <c r="Z1222" s="22"/>
      <c r="AA1222" s="22"/>
      <c r="AB1222" s="22"/>
      <c r="AC1222" s="22"/>
      <c r="AD1222" s="22"/>
      <c r="AE1222" s="22"/>
      <c r="AF1222" s="18"/>
      <c r="AG1222" s="18"/>
      <c r="AH1222" s="18"/>
      <c r="AI1222" s="18"/>
      <c r="AK1222" s="18"/>
      <c r="AL1222" s="18"/>
      <c r="AM1222" s="40" t="s">
        <v>118</v>
      </c>
      <c r="AN1222" s="18"/>
      <c r="AO1222" s="22"/>
      <c r="AP1222" s="32"/>
      <c r="AQ1222" s="32"/>
      <c r="AR1222" s="32"/>
      <c r="AS1222" s="32"/>
      <c r="AT1222" s="32"/>
      <c r="AU1222" s="32"/>
      <c r="AV1222" s="32"/>
      <c r="AW1222" s="32"/>
      <c r="AX1222" s="32"/>
      <c r="AY1222" s="32"/>
      <c r="AZ1222" s="32"/>
      <c r="BA1222" s="32"/>
      <c r="BB1222" s="32"/>
      <c r="BC1222" s="32"/>
      <c r="BD1222" s="32"/>
      <c r="BE1222" s="32"/>
      <c r="BF1222" s="32"/>
      <c r="BG1222" s="32"/>
      <c r="BH1222" s="32"/>
      <c r="BI1222" s="32"/>
      <c r="BJ1222" s="22"/>
      <c r="BK1222" s="22"/>
      <c r="BL1222" s="22" t="s">
        <v>86</v>
      </c>
      <c r="BO1222" s="15"/>
    </row>
    <row r="1223" spans="1:67" s="5" customFormat="1">
      <c r="A1223" s="6" t="s">
        <v>87</v>
      </c>
      <c r="B1223" s="6"/>
      <c r="C1223" s="17">
        <v>35079.695400000004</v>
      </c>
      <c r="D1223" s="22">
        <v>13.001497088781099</v>
      </c>
      <c r="E1223" s="6"/>
      <c r="F1223" s="22"/>
      <c r="G1223" s="22"/>
      <c r="H1223" s="22"/>
      <c r="I1223" s="22"/>
      <c r="J1223" s="22"/>
      <c r="K1223" s="22"/>
      <c r="L1223" s="22"/>
      <c r="M1223" s="22"/>
      <c r="N1223" s="18"/>
      <c r="O1223" s="18"/>
      <c r="P1223" s="22"/>
      <c r="Q1223" s="22"/>
      <c r="R1223" s="22"/>
      <c r="S1223" s="22"/>
      <c r="T1223" s="22"/>
      <c r="U1223" s="22"/>
      <c r="V1223" s="22"/>
      <c r="W1223" s="18">
        <v>2.5862588950181276</v>
      </c>
      <c r="X1223" s="19"/>
      <c r="Y1223" s="18">
        <v>3.7380117106306043</v>
      </c>
      <c r="Z1223" s="22"/>
      <c r="AA1223" s="22"/>
      <c r="AB1223" s="22"/>
      <c r="AC1223" s="22"/>
      <c r="AD1223" s="22"/>
      <c r="AE1223" s="22"/>
      <c r="AF1223" s="18"/>
      <c r="AG1223" s="18"/>
      <c r="AH1223" s="18"/>
      <c r="AI1223" s="18"/>
      <c r="AK1223" s="18"/>
      <c r="AL1223" s="18"/>
      <c r="AM1223" s="40" t="s">
        <v>118</v>
      </c>
      <c r="AN1223" s="18"/>
      <c r="AO1223" s="22"/>
      <c r="AP1223" s="32"/>
      <c r="AQ1223" s="32"/>
      <c r="AR1223" s="32"/>
      <c r="AS1223" s="32"/>
      <c r="AT1223" s="32"/>
      <c r="AU1223" s="32"/>
      <c r="AV1223" s="32"/>
      <c r="AW1223" s="32"/>
      <c r="AX1223" s="32"/>
      <c r="AY1223" s="32"/>
      <c r="AZ1223" s="32"/>
      <c r="BA1223" s="32"/>
      <c r="BB1223" s="32"/>
      <c r="BC1223" s="32"/>
      <c r="BD1223" s="32"/>
      <c r="BE1223" s="32"/>
      <c r="BF1223" s="32"/>
      <c r="BG1223" s="32"/>
      <c r="BH1223" s="32"/>
      <c r="BI1223" s="32"/>
      <c r="BJ1223" s="22"/>
      <c r="BK1223" s="22"/>
      <c r="BL1223" s="22" t="s">
        <v>86</v>
      </c>
      <c r="BO1223" s="15"/>
    </row>
    <row r="1224" spans="1:67" s="5" customFormat="1">
      <c r="A1224" s="6" t="s">
        <v>89</v>
      </c>
      <c r="B1224" s="6"/>
      <c r="C1224" s="17">
        <v>35079.695400000004</v>
      </c>
      <c r="D1224" s="22">
        <v>13.001497088781099</v>
      </c>
      <c r="E1224" s="6"/>
      <c r="F1224" s="22"/>
      <c r="G1224" s="22"/>
      <c r="H1224" s="22"/>
      <c r="I1224" s="22"/>
      <c r="J1224" s="22"/>
      <c r="K1224" s="22"/>
      <c r="L1224" s="22"/>
      <c r="M1224" s="22"/>
      <c r="N1224" s="18"/>
      <c r="O1224" s="18"/>
      <c r="P1224" s="22"/>
      <c r="Q1224" s="22"/>
      <c r="R1224" s="22"/>
      <c r="S1224" s="22"/>
      <c r="T1224" s="22"/>
      <c r="U1224" s="22"/>
      <c r="V1224" s="22"/>
      <c r="W1224" s="18">
        <v>2.8343042192011052</v>
      </c>
      <c r="X1224" s="19"/>
      <c r="Y1224" s="18">
        <v>3.9091152250930263</v>
      </c>
      <c r="Z1224" s="22"/>
      <c r="AA1224" s="22"/>
      <c r="AB1224" s="22"/>
      <c r="AC1224" s="22"/>
      <c r="AD1224" s="22"/>
      <c r="AE1224" s="22"/>
      <c r="AF1224" s="18"/>
      <c r="AG1224" s="18"/>
      <c r="AH1224" s="18"/>
      <c r="AI1224" s="18"/>
      <c r="AK1224" s="18"/>
      <c r="AL1224" s="18"/>
      <c r="AM1224" s="40" t="s">
        <v>118</v>
      </c>
      <c r="AN1224" s="18"/>
      <c r="AO1224" s="22"/>
      <c r="AP1224" s="32"/>
      <c r="AQ1224" s="32"/>
      <c r="AR1224" s="32"/>
      <c r="AS1224" s="32"/>
      <c r="AT1224" s="32"/>
      <c r="AU1224" s="32"/>
      <c r="AV1224" s="32"/>
      <c r="AW1224" s="32"/>
      <c r="AX1224" s="32"/>
      <c r="AY1224" s="32"/>
      <c r="AZ1224" s="32"/>
      <c r="BA1224" s="32"/>
      <c r="BB1224" s="32"/>
      <c r="BC1224" s="32"/>
      <c r="BD1224" s="32"/>
      <c r="BE1224" s="32"/>
      <c r="BF1224" s="32"/>
      <c r="BG1224" s="32"/>
      <c r="BH1224" s="32"/>
      <c r="BI1224" s="32"/>
      <c r="BJ1224" s="22"/>
      <c r="BK1224" s="22"/>
      <c r="BL1224" s="22" t="s">
        <v>86</v>
      </c>
      <c r="BO1224" s="15"/>
    </row>
    <row r="1225" spans="1:67" s="5" customFormat="1">
      <c r="A1225" s="6" t="s">
        <v>90</v>
      </c>
      <c r="B1225" s="6"/>
      <c r="C1225" s="17">
        <v>35079.695400000004</v>
      </c>
      <c r="D1225" s="22">
        <v>13.001497088781099</v>
      </c>
      <c r="E1225" s="6"/>
      <c r="F1225" s="22"/>
      <c r="G1225" s="22"/>
      <c r="H1225" s="22"/>
      <c r="I1225" s="22"/>
      <c r="J1225" s="22"/>
      <c r="K1225" s="22"/>
      <c r="L1225" s="22"/>
      <c r="M1225" s="22"/>
      <c r="N1225" s="18"/>
      <c r="O1225" s="18"/>
      <c r="P1225" s="22"/>
      <c r="Q1225" s="22"/>
      <c r="R1225" s="22"/>
      <c r="S1225" s="22"/>
      <c r="T1225" s="22"/>
      <c r="U1225" s="22"/>
      <c r="V1225" s="22"/>
      <c r="W1225" s="18">
        <v>1.6055100955248776</v>
      </c>
      <c r="X1225" s="19"/>
      <c r="Y1225" s="18">
        <v>2.2346141422018788</v>
      </c>
      <c r="Z1225" s="22"/>
      <c r="AA1225" s="22"/>
      <c r="AB1225" s="22"/>
      <c r="AC1225" s="22"/>
      <c r="AD1225" s="22"/>
      <c r="AE1225" s="22"/>
      <c r="AF1225" s="18"/>
      <c r="AG1225" s="18"/>
      <c r="AH1225" s="18"/>
      <c r="AI1225" s="18"/>
      <c r="AK1225" s="18"/>
      <c r="AL1225" s="18"/>
      <c r="AM1225" s="40" t="s">
        <v>118</v>
      </c>
      <c r="AN1225" s="18"/>
      <c r="AO1225" s="22"/>
      <c r="AP1225" s="32"/>
      <c r="AQ1225" s="32"/>
      <c r="AR1225" s="32"/>
      <c r="AS1225" s="32"/>
      <c r="AT1225" s="32"/>
      <c r="AU1225" s="32"/>
      <c r="AV1225" s="32"/>
      <c r="AW1225" s="32"/>
      <c r="AX1225" s="32"/>
      <c r="AY1225" s="32"/>
      <c r="AZ1225" s="32"/>
      <c r="BA1225" s="32"/>
      <c r="BB1225" s="32"/>
      <c r="BC1225" s="32"/>
      <c r="BD1225" s="32"/>
      <c r="BE1225" s="32"/>
      <c r="BF1225" s="32"/>
      <c r="BG1225" s="32"/>
      <c r="BH1225" s="32"/>
      <c r="BI1225" s="32"/>
      <c r="BJ1225" s="22"/>
      <c r="BK1225" s="22"/>
      <c r="BL1225" s="22" t="s">
        <v>86</v>
      </c>
      <c r="BO1225" s="15"/>
    </row>
    <row r="1226" spans="1:67" s="5" customFormat="1">
      <c r="A1226" s="6" t="s">
        <v>92</v>
      </c>
      <c r="B1226" s="6"/>
      <c r="C1226" s="17">
        <v>35079.695400000004</v>
      </c>
      <c r="D1226" s="22">
        <v>13.001497088781099</v>
      </c>
      <c r="E1226" s="6"/>
      <c r="F1226" s="22"/>
      <c r="G1226" s="22"/>
      <c r="H1226" s="22"/>
      <c r="I1226" s="22"/>
      <c r="J1226" s="22"/>
      <c r="K1226" s="22"/>
      <c r="L1226" s="22"/>
      <c r="M1226" s="22"/>
      <c r="N1226" s="18"/>
      <c r="O1226" s="18"/>
      <c r="P1226" s="22"/>
      <c r="Q1226" s="22"/>
      <c r="R1226" s="22"/>
      <c r="S1226" s="22"/>
      <c r="T1226" s="22"/>
      <c r="U1226" s="22"/>
      <c r="V1226" s="22"/>
      <c r="W1226" s="18">
        <v>2.1847524536938305</v>
      </c>
      <c r="X1226" s="19"/>
      <c r="Y1226" s="18">
        <v>3.1383008263331624</v>
      </c>
      <c r="Z1226" s="22"/>
      <c r="AA1226" s="22"/>
      <c r="AB1226" s="22"/>
      <c r="AC1226" s="22"/>
      <c r="AD1226" s="22"/>
      <c r="AE1226" s="22"/>
      <c r="AF1226" s="18"/>
      <c r="AG1226" s="18"/>
      <c r="AH1226" s="18"/>
      <c r="AI1226" s="18"/>
      <c r="AK1226" s="18"/>
      <c r="AL1226" s="18"/>
      <c r="AM1226" s="40" t="s">
        <v>118</v>
      </c>
      <c r="AN1226" s="18"/>
      <c r="AO1226" s="22"/>
      <c r="AP1226" s="32"/>
      <c r="AQ1226" s="32"/>
      <c r="AR1226" s="32"/>
      <c r="AS1226" s="32"/>
      <c r="AT1226" s="32"/>
      <c r="AU1226" s="32"/>
      <c r="AV1226" s="32"/>
      <c r="AW1226" s="32"/>
      <c r="AX1226" s="32"/>
      <c r="AY1226" s="32"/>
      <c r="AZ1226" s="32"/>
      <c r="BA1226" s="32"/>
      <c r="BB1226" s="32"/>
      <c r="BC1226" s="32"/>
      <c r="BD1226" s="32"/>
      <c r="BE1226" s="32"/>
      <c r="BF1226" s="32"/>
      <c r="BG1226" s="32"/>
      <c r="BH1226" s="32"/>
      <c r="BI1226" s="32"/>
      <c r="BJ1226" s="22"/>
      <c r="BK1226" s="22"/>
      <c r="BL1226" s="22" t="s">
        <v>86</v>
      </c>
      <c r="BO1226" s="15"/>
    </row>
    <row r="1227" spans="1:67" s="5" customFormat="1">
      <c r="A1227" s="6" t="s">
        <v>91</v>
      </c>
      <c r="B1227" s="6"/>
      <c r="C1227" s="17">
        <v>35079.695400000004</v>
      </c>
      <c r="D1227" s="22">
        <v>13.001497088781099</v>
      </c>
      <c r="E1227" s="6"/>
      <c r="F1227" s="22"/>
      <c r="G1227" s="22"/>
      <c r="H1227" s="22"/>
      <c r="I1227" s="22"/>
      <c r="J1227" s="22"/>
      <c r="K1227" s="22"/>
      <c r="L1227" s="22"/>
      <c r="M1227" s="22"/>
      <c r="N1227" s="18"/>
      <c r="O1227" s="18"/>
      <c r="P1227" s="22"/>
      <c r="Q1227" s="22"/>
      <c r="R1227" s="22"/>
      <c r="S1227" s="22"/>
      <c r="T1227" s="22"/>
      <c r="U1227" s="22"/>
      <c r="V1227" s="22"/>
      <c r="W1227" s="18">
        <v>2.3636084457233442</v>
      </c>
      <c r="X1227" s="19"/>
      <c r="Y1227" s="18">
        <v>3.251902087796307</v>
      </c>
      <c r="Z1227" s="22"/>
      <c r="AA1227" s="22"/>
      <c r="AB1227" s="22"/>
      <c r="AC1227" s="22"/>
      <c r="AD1227" s="22"/>
      <c r="AE1227" s="22"/>
      <c r="AF1227" s="18"/>
      <c r="AG1227" s="18"/>
      <c r="AH1227" s="18"/>
      <c r="AI1227" s="18"/>
      <c r="AK1227" s="18"/>
      <c r="AL1227" s="18"/>
      <c r="AM1227" s="40" t="s">
        <v>118</v>
      </c>
      <c r="AN1227" s="18"/>
      <c r="AO1227" s="22"/>
      <c r="AP1227" s="32"/>
      <c r="AQ1227" s="32"/>
      <c r="AR1227" s="32"/>
      <c r="AS1227" s="32"/>
      <c r="AT1227" s="32"/>
      <c r="AU1227" s="32"/>
      <c r="AV1227" s="32"/>
      <c r="AW1227" s="32"/>
      <c r="AX1227" s="32"/>
      <c r="AY1227" s="32"/>
      <c r="AZ1227" s="32"/>
      <c r="BA1227" s="32"/>
      <c r="BB1227" s="32"/>
      <c r="BC1227" s="32"/>
      <c r="BD1227" s="32"/>
      <c r="BE1227" s="32"/>
      <c r="BF1227" s="32"/>
      <c r="BG1227" s="32"/>
      <c r="BH1227" s="32"/>
      <c r="BI1227" s="32"/>
      <c r="BJ1227" s="22"/>
      <c r="BK1227" s="22"/>
      <c r="BL1227" s="22" t="s">
        <v>86</v>
      </c>
      <c r="BO1227" s="15"/>
    </row>
    <row r="1228" spans="1:67" s="5" customFormat="1">
      <c r="A1228" s="6" t="s">
        <v>93</v>
      </c>
      <c r="B1228" s="6"/>
      <c r="C1228" s="17">
        <v>35079.695400000004</v>
      </c>
      <c r="D1228" s="22">
        <v>13.001497088781099</v>
      </c>
      <c r="E1228" s="6"/>
      <c r="F1228" s="22"/>
      <c r="G1228" s="22"/>
      <c r="H1228" s="22"/>
      <c r="I1228" s="22"/>
      <c r="J1228" s="22"/>
      <c r="K1228" s="22"/>
      <c r="L1228" s="22"/>
      <c r="M1228" s="22"/>
      <c r="N1228" s="18"/>
      <c r="O1228" s="18"/>
      <c r="P1228" s="22"/>
      <c r="Q1228" s="22"/>
      <c r="R1228" s="22"/>
      <c r="S1228" s="22"/>
      <c r="T1228" s="22"/>
      <c r="U1228" s="22"/>
      <c r="V1228" s="22"/>
      <c r="W1228" s="18">
        <v>2.4571103928265625</v>
      </c>
      <c r="X1228" s="19"/>
      <c r="Y1228" s="18">
        <v>3.1669236272078791</v>
      </c>
      <c r="Z1228" s="22"/>
      <c r="AA1228" s="22"/>
      <c r="AB1228" s="22"/>
      <c r="AC1228" s="22"/>
      <c r="AD1228" s="22"/>
      <c r="AE1228" s="22"/>
      <c r="AF1228" s="18"/>
      <c r="AG1228" s="18"/>
      <c r="AH1228" s="18"/>
      <c r="AI1228" s="18"/>
      <c r="AK1228" s="18"/>
      <c r="AL1228" s="18"/>
      <c r="AM1228" s="40" t="s">
        <v>118</v>
      </c>
      <c r="AN1228" s="18"/>
      <c r="AO1228" s="22"/>
      <c r="AP1228" s="32"/>
      <c r="AQ1228" s="32"/>
      <c r="AR1228" s="32"/>
      <c r="AS1228" s="32"/>
      <c r="AT1228" s="32"/>
      <c r="AU1228" s="32"/>
      <c r="AV1228" s="32"/>
      <c r="AW1228" s="32"/>
      <c r="AX1228" s="32"/>
      <c r="AY1228" s="32"/>
      <c r="AZ1228" s="32"/>
      <c r="BA1228" s="32"/>
      <c r="BB1228" s="32"/>
      <c r="BC1228" s="32"/>
      <c r="BD1228" s="32"/>
      <c r="BE1228" s="32"/>
      <c r="BF1228" s="32"/>
      <c r="BG1228" s="32"/>
      <c r="BH1228" s="32"/>
      <c r="BI1228" s="32"/>
      <c r="BJ1228" s="22"/>
      <c r="BK1228" s="22"/>
      <c r="BL1228" s="22" t="s">
        <v>86</v>
      </c>
      <c r="BO1228" s="15"/>
    </row>
    <row r="1229" spans="1:67" s="5" customFormat="1">
      <c r="A1229" s="6" t="s">
        <v>85</v>
      </c>
      <c r="B1229" s="6"/>
      <c r="C1229" s="17">
        <v>35444.422000000006</v>
      </c>
      <c r="D1229" s="22">
        <v>14.000085422768798</v>
      </c>
      <c r="E1229" s="6">
        <v>74.295593730593737</v>
      </c>
      <c r="F1229" s="22">
        <v>1375.8429524999999</v>
      </c>
      <c r="G1229" s="22"/>
      <c r="H1229" s="22">
        <v>365.87887009067668</v>
      </c>
      <c r="I1229" s="22"/>
      <c r="J1229" s="22">
        <v>642.16340264832706</v>
      </c>
      <c r="K1229" s="22"/>
      <c r="L1229" s="22"/>
      <c r="M1229" s="22"/>
      <c r="N1229" s="18">
        <v>70.700699300699299</v>
      </c>
      <c r="O1229" s="18"/>
      <c r="P1229" s="22">
        <v>4228.0240321927486</v>
      </c>
      <c r="Q1229" s="22"/>
      <c r="R1229" s="22"/>
      <c r="S1229" s="22"/>
      <c r="T1229" s="22">
        <v>5236.0663049317527</v>
      </c>
      <c r="U1229" s="22"/>
      <c r="V1229" s="22"/>
      <c r="W1229" s="22"/>
      <c r="X1229" s="19"/>
      <c r="Y1229" s="22"/>
      <c r="Z1229" s="22"/>
      <c r="AA1229" s="22"/>
      <c r="AB1229" s="22"/>
      <c r="AC1229" s="22"/>
      <c r="AD1229" s="22"/>
      <c r="AE1229" s="22"/>
      <c r="AF1229" s="18"/>
      <c r="AG1229" s="18">
        <v>12.270051836260292</v>
      </c>
      <c r="AH1229" s="18"/>
      <c r="AI1229" s="18">
        <v>16.268688939312305</v>
      </c>
      <c r="AK1229" s="18"/>
      <c r="AL1229" s="18"/>
      <c r="AM1229" s="40">
        <v>5.0500191367201541</v>
      </c>
      <c r="AN1229" s="18"/>
      <c r="AO1229" s="2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2"/>
      <c r="BF1229" s="32"/>
      <c r="BG1229" s="32"/>
      <c r="BH1229" s="32"/>
      <c r="BI1229" s="32"/>
      <c r="BJ1229" s="22"/>
      <c r="BK1229" s="22"/>
      <c r="BL1229" s="22" t="s">
        <v>86</v>
      </c>
      <c r="BO1229" s="15"/>
    </row>
    <row r="1230" spans="1:67" s="5" customFormat="1">
      <c r="A1230" s="6" t="s">
        <v>88</v>
      </c>
      <c r="B1230" s="6"/>
      <c r="C1230" s="17">
        <v>35444.422000000006</v>
      </c>
      <c r="D1230" s="22">
        <v>14.000085422768798</v>
      </c>
      <c r="E1230" s="6">
        <v>72.212541647541642</v>
      </c>
      <c r="F1230" s="22">
        <v>1337.2679524999999</v>
      </c>
      <c r="G1230" s="22"/>
      <c r="H1230" s="22">
        <v>765.99010939848665</v>
      </c>
      <c r="I1230" s="22"/>
      <c r="J1230" s="22">
        <v>1882.0233798380928</v>
      </c>
      <c r="K1230" s="22"/>
      <c r="L1230" s="22"/>
      <c r="M1230" s="22"/>
      <c r="N1230" s="18">
        <v>240.66993006993005</v>
      </c>
      <c r="O1230" s="18"/>
      <c r="P1230" s="22">
        <v>12908.575553195606</v>
      </c>
      <c r="Q1230" s="22"/>
      <c r="R1230" s="22"/>
      <c r="S1230" s="22"/>
      <c r="T1230" s="22">
        <v>15556.589042432184</v>
      </c>
      <c r="U1230" s="22"/>
      <c r="V1230" s="22"/>
      <c r="W1230" s="22"/>
      <c r="X1230" s="19"/>
      <c r="Y1230" s="22"/>
      <c r="Z1230" s="22"/>
      <c r="AA1230" s="22"/>
      <c r="AB1230" s="22"/>
      <c r="AC1230" s="22"/>
      <c r="AD1230" s="22"/>
      <c r="AE1230" s="22"/>
      <c r="AF1230" s="18"/>
      <c r="AG1230" s="18">
        <v>18.81687645529442</v>
      </c>
      <c r="AH1230" s="18"/>
      <c r="AI1230" s="18">
        <v>37.188135169496988</v>
      </c>
      <c r="AK1230" s="18"/>
      <c r="AL1230" s="18"/>
      <c r="AM1230" s="40">
        <v>17.190604400064636</v>
      </c>
      <c r="AN1230" s="18"/>
      <c r="AO1230" s="22"/>
      <c r="AP1230" s="32"/>
      <c r="AQ1230" s="32"/>
      <c r="AR1230" s="32"/>
      <c r="AS1230" s="32"/>
      <c r="AT1230" s="32"/>
      <c r="AU1230" s="32"/>
      <c r="AV1230" s="32"/>
      <c r="AW1230" s="32"/>
      <c r="AX1230" s="32"/>
      <c r="AY1230" s="32"/>
      <c r="AZ1230" s="32"/>
      <c r="BA1230" s="32"/>
      <c r="BB1230" s="32"/>
      <c r="BC1230" s="32"/>
      <c r="BD1230" s="32"/>
      <c r="BE1230" s="32"/>
      <c r="BF1230" s="32"/>
      <c r="BG1230" s="32"/>
      <c r="BH1230" s="32"/>
      <c r="BI1230" s="32"/>
      <c r="BJ1230" s="22"/>
      <c r="BK1230" s="22"/>
      <c r="BL1230" s="22" t="s">
        <v>86</v>
      </c>
      <c r="BO1230" s="15"/>
    </row>
    <row r="1231" spans="1:67" s="5" customFormat="1">
      <c r="A1231" s="6" t="s">
        <v>87</v>
      </c>
      <c r="B1231" s="6"/>
      <c r="C1231" s="17">
        <v>35444.422000000006</v>
      </c>
      <c r="D1231" s="22">
        <v>14.000085422768798</v>
      </c>
      <c r="E1231" s="6">
        <v>76.378645813645818</v>
      </c>
      <c r="F1231" s="22">
        <v>1414.4179525</v>
      </c>
      <c r="G1231" s="22"/>
      <c r="H1231" s="22">
        <v>696.70836675960936</v>
      </c>
      <c r="I1231" s="22"/>
      <c r="J1231" s="22">
        <v>1624.6005126230486</v>
      </c>
      <c r="K1231" s="22"/>
      <c r="L1231" s="22"/>
      <c r="M1231" s="22"/>
      <c r="N1231" s="18">
        <v>195.93706293706293</v>
      </c>
      <c r="O1231" s="18"/>
      <c r="P1231" s="22">
        <v>11181.566378644582</v>
      </c>
      <c r="Q1231" s="22"/>
      <c r="R1231" s="22"/>
      <c r="S1231" s="22"/>
      <c r="T1231" s="22">
        <v>13502.875258027239</v>
      </c>
      <c r="U1231" s="22"/>
      <c r="V1231" s="22"/>
      <c r="W1231" s="22"/>
      <c r="X1231" s="19"/>
      <c r="Y1231" s="22"/>
      <c r="Z1231" s="22"/>
      <c r="AA1231" s="22"/>
      <c r="AB1231" s="22"/>
      <c r="AC1231" s="22"/>
      <c r="AD1231" s="22"/>
      <c r="AE1231" s="22"/>
      <c r="AF1231" s="18"/>
      <c r="AG1231" s="18">
        <v>17.464069960694079</v>
      </c>
      <c r="AH1231" s="18"/>
      <c r="AI1231" s="18">
        <v>33.88126226813332</v>
      </c>
      <c r="AK1231" s="18"/>
      <c r="AL1231" s="18"/>
      <c r="AM1231" s="40">
        <v>13.995419100686632</v>
      </c>
      <c r="AN1231" s="18"/>
      <c r="AO1231" s="22"/>
      <c r="AP1231" s="32"/>
      <c r="AQ1231" s="32"/>
      <c r="AR1231" s="32"/>
      <c r="AS1231" s="32"/>
      <c r="AT1231" s="32"/>
      <c r="AU1231" s="32"/>
      <c r="AV1231" s="32"/>
      <c r="AW1231" s="32"/>
      <c r="AX1231" s="32"/>
      <c r="AY1231" s="32"/>
      <c r="AZ1231" s="32"/>
      <c r="BA1231" s="32"/>
      <c r="BB1231" s="32"/>
      <c r="BC1231" s="32"/>
      <c r="BD1231" s="32"/>
      <c r="BE1231" s="32"/>
      <c r="BF1231" s="32"/>
      <c r="BG1231" s="32"/>
      <c r="BH1231" s="32"/>
      <c r="BI1231" s="32"/>
      <c r="BJ1231" s="22"/>
      <c r="BK1231" s="22"/>
      <c r="BL1231" s="22" t="s">
        <v>86</v>
      </c>
      <c r="BO1231" s="15"/>
    </row>
    <row r="1232" spans="1:67" s="5" customFormat="1">
      <c r="A1232" s="6" t="s">
        <v>89</v>
      </c>
      <c r="B1232" s="6"/>
      <c r="C1232" s="17">
        <v>35444.422000000006</v>
      </c>
      <c r="D1232" s="22">
        <v>14.000085422768798</v>
      </c>
      <c r="E1232" s="6">
        <v>74.989874989874991</v>
      </c>
      <c r="F1232" s="22">
        <v>1388.7</v>
      </c>
      <c r="G1232" s="22"/>
      <c r="H1232" s="22">
        <v>849.87567937275367</v>
      </c>
      <c r="I1232" s="22"/>
      <c r="J1232" s="22">
        <v>2132.6986752335688</v>
      </c>
      <c r="K1232" s="22"/>
      <c r="L1232" s="22"/>
      <c r="M1232" s="22"/>
      <c r="N1232" s="18">
        <v>264.79860139860136</v>
      </c>
      <c r="O1232" s="18"/>
      <c r="P1232" s="22">
        <v>14583.815225163751</v>
      </c>
      <c r="Q1232" s="22"/>
      <c r="R1232" s="22"/>
      <c r="S1232" s="22"/>
      <c r="T1232" s="22">
        <v>17566.389579770075</v>
      </c>
      <c r="U1232" s="22"/>
      <c r="V1232" s="22"/>
      <c r="W1232" s="22"/>
      <c r="X1232" s="19"/>
      <c r="Y1232" s="22"/>
      <c r="Z1232" s="22"/>
      <c r="AA1232" s="22"/>
      <c r="AB1232" s="22"/>
      <c r="AC1232" s="22"/>
      <c r="AD1232" s="22"/>
      <c r="AE1232" s="22"/>
      <c r="AF1232" s="18"/>
      <c r="AG1232" s="18">
        <v>19.418758278200833</v>
      </c>
      <c r="AH1232" s="18"/>
      <c r="AI1232" s="18">
        <v>41.128440650002844</v>
      </c>
      <c r="AK1232" s="18"/>
      <c r="AL1232" s="18"/>
      <c r="AM1232" s="40">
        <v>18.914070407595563</v>
      </c>
      <c r="AN1232" s="18"/>
      <c r="AO1232" s="22"/>
      <c r="AP1232" s="32"/>
      <c r="AQ1232" s="32"/>
      <c r="AR1232" s="32"/>
      <c r="AS1232" s="32"/>
      <c r="AT1232" s="32"/>
      <c r="AU1232" s="32"/>
      <c r="AV1232" s="32"/>
      <c r="AW1232" s="32"/>
      <c r="AX1232" s="32"/>
      <c r="AY1232" s="32"/>
      <c r="AZ1232" s="32"/>
      <c r="BA1232" s="32"/>
      <c r="BB1232" s="32"/>
      <c r="BC1232" s="32"/>
      <c r="BD1232" s="32"/>
      <c r="BE1232" s="32"/>
      <c r="BF1232" s="32"/>
      <c r="BG1232" s="32"/>
      <c r="BH1232" s="32"/>
      <c r="BI1232" s="32"/>
      <c r="BJ1232" s="22"/>
      <c r="BK1232" s="22"/>
      <c r="BL1232" s="22" t="s">
        <v>86</v>
      </c>
      <c r="BO1232" s="15"/>
    </row>
    <row r="1233" spans="1:67" s="5" customFormat="1">
      <c r="A1233" s="6" t="s">
        <v>90</v>
      </c>
      <c r="B1233" s="6"/>
      <c r="C1233" s="17">
        <v>35444.422000000006</v>
      </c>
      <c r="D1233" s="22">
        <v>14.000085422768798</v>
      </c>
      <c r="E1233" s="6">
        <v>68.046437481437479</v>
      </c>
      <c r="F1233" s="22">
        <v>1260.1179525</v>
      </c>
      <c r="G1233" s="22"/>
      <c r="H1233" s="22">
        <v>549.1610454280742</v>
      </c>
      <c r="I1233" s="22"/>
      <c r="J1233" s="22">
        <v>741.96704688800469</v>
      </c>
      <c r="K1233" s="22"/>
      <c r="L1233" s="22"/>
      <c r="M1233" s="22"/>
      <c r="N1233" s="18">
        <v>93.132167832167823</v>
      </c>
      <c r="O1233" s="18"/>
      <c r="P1233" s="22">
        <v>6971.667826804407</v>
      </c>
      <c r="Q1233" s="22"/>
      <c r="R1233" s="22"/>
      <c r="S1233" s="22"/>
      <c r="T1233" s="22">
        <v>8262.7959191204864</v>
      </c>
      <c r="U1233" s="22"/>
      <c r="V1233" s="22"/>
      <c r="W1233" s="22"/>
      <c r="X1233" s="19"/>
      <c r="Y1233" s="22"/>
      <c r="Z1233" s="22"/>
      <c r="AA1233" s="22"/>
      <c r="AB1233" s="22"/>
      <c r="AC1233" s="22"/>
      <c r="AD1233" s="22"/>
      <c r="AE1233" s="22"/>
      <c r="AF1233" s="18"/>
      <c r="AG1233" s="18">
        <v>14.085158396589925</v>
      </c>
      <c r="AH1233" s="18"/>
      <c r="AI1233" s="18">
        <v>19.63475860631431</v>
      </c>
      <c r="AK1233" s="18"/>
      <c r="AL1233" s="18"/>
      <c r="AM1233" s="40">
        <v>6.6522571127104646</v>
      </c>
      <c r="AN1233" s="18"/>
      <c r="AO1233" s="22"/>
      <c r="AP1233" s="32"/>
      <c r="AQ1233" s="32"/>
      <c r="AR1233" s="32"/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2"/>
      <c r="BF1233" s="32"/>
      <c r="BG1233" s="32"/>
      <c r="BH1233" s="32"/>
      <c r="BI1233" s="32"/>
      <c r="BJ1233" s="22"/>
      <c r="BK1233" s="22"/>
      <c r="BL1233" s="22" t="s">
        <v>86</v>
      </c>
      <c r="BO1233" s="15"/>
    </row>
    <row r="1234" spans="1:67" s="5" customFormat="1">
      <c r="A1234" s="6" t="s">
        <v>92</v>
      </c>
      <c r="B1234" s="6"/>
      <c r="C1234" s="17">
        <v>35444.422000000006</v>
      </c>
      <c r="D1234" s="22">
        <v>14.000085422768798</v>
      </c>
      <c r="E1234" s="6">
        <v>64.574614574614571</v>
      </c>
      <c r="F1234" s="22">
        <v>1195.825</v>
      </c>
      <c r="G1234" s="22"/>
      <c r="H1234" s="22">
        <v>855.93933875212531</v>
      </c>
      <c r="I1234" s="22"/>
      <c r="J1234" s="22">
        <v>1566.8415442420585</v>
      </c>
      <c r="K1234" s="22"/>
      <c r="L1234" s="22"/>
      <c r="M1234" s="22"/>
      <c r="N1234" s="18">
        <v>171.84965034965032</v>
      </c>
      <c r="O1234" s="18"/>
      <c r="P1234" s="22">
        <v>12577.451096481922</v>
      </c>
      <c r="Q1234" s="22"/>
      <c r="R1234" s="22"/>
      <c r="S1234" s="22"/>
      <c r="T1234" s="22">
        <v>15000.231979476106</v>
      </c>
      <c r="U1234" s="22"/>
      <c r="V1234" s="22"/>
      <c r="W1234" s="22"/>
      <c r="X1234" s="19"/>
      <c r="Y1234" s="22"/>
      <c r="Z1234" s="22"/>
      <c r="AA1234" s="22"/>
      <c r="AB1234" s="22"/>
      <c r="AC1234" s="22"/>
      <c r="AD1234" s="22"/>
      <c r="AE1234" s="22"/>
      <c r="AF1234" s="18"/>
      <c r="AG1234" s="18">
        <v>17.834119191995864</v>
      </c>
      <c r="AH1234" s="18"/>
      <c r="AI1234" s="18">
        <v>29.871831801046888</v>
      </c>
      <c r="AK1234" s="18"/>
      <c r="AL1234" s="18"/>
      <c r="AM1234" s="40">
        <v>12.274900128121047</v>
      </c>
      <c r="AN1234" s="18"/>
      <c r="AO1234" s="22"/>
      <c r="AP1234" s="32"/>
      <c r="AQ1234" s="32"/>
      <c r="AR1234" s="32"/>
      <c r="AS1234" s="32"/>
      <c r="AT1234" s="32"/>
      <c r="AU1234" s="32"/>
      <c r="AV1234" s="32"/>
      <c r="AW1234" s="32"/>
      <c r="AX1234" s="32"/>
      <c r="AY1234" s="32"/>
      <c r="AZ1234" s="32"/>
      <c r="BA1234" s="32"/>
      <c r="BB1234" s="32"/>
      <c r="BC1234" s="32"/>
      <c r="BD1234" s="32"/>
      <c r="BE1234" s="32"/>
      <c r="BF1234" s="32"/>
      <c r="BG1234" s="32"/>
      <c r="BH1234" s="32"/>
      <c r="BI1234" s="32"/>
      <c r="BJ1234" s="22"/>
      <c r="BK1234" s="22"/>
      <c r="BL1234" s="22" t="s">
        <v>86</v>
      </c>
      <c r="BO1234" s="15"/>
    </row>
    <row r="1235" spans="1:67" s="5" customFormat="1">
      <c r="A1235" s="6" t="s">
        <v>91</v>
      </c>
      <c r="B1235" s="6"/>
      <c r="C1235" s="17">
        <v>35444.422000000006</v>
      </c>
      <c r="D1235" s="22">
        <v>14.000085422768798</v>
      </c>
      <c r="E1235" s="6">
        <v>71.518052083052083</v>
      </c>
      <c r="F1235" s="22">
        <v>1324.4070475000001</v>
      </c>
      <c r="G1235" s="22"/>
      <c r="H1235" s="22">
        <v>916.38168389459133</v>
      </c>
      <c r="I1235" s="22"/>
      <c r="J1235" s="22">
        <v>1649.4707055166521</v>
      </c>
      <c r="K1235" s="22"/>
      <c r="L1235" s="22"/>
      <c r="M1235" s="22"/>
      <c r="N1235" s="18">
        <v>182.33706293706294</v>
      </c>
      <c r="O1235" s="18"/>
      <c r="P1235" s="22">
        <v>13380.057074142576</v>
      </c>
      <c r="Q1235" s="22"/>
      <c r="R1235" s="22"/>
      <c r="S1235" s="22"/>
      <c r="T1235" s="22">
        <v>15945.90946355382</v>
      </c>
      <c r="U1235" s="22"/>
      <c r="V1235" s="22"/>
      <c r="W1235" s="22"/>
      <c r="X1235" s="19"/>
      <c r="Y1235" s="22"/>
      <c r="Z1235" s="22"/>
      <c r="AA1235" s="22"/>
      <c r="AB1235" s="22"/>
      <c r="AC1235" s="22"/>
      <c r="AD1235" s="22"/>
      <c r="AE1235" s="22"/>
      <c r="AF1235" s="18"/>
      <c r="AG1235" s="18">
        <v>17.572246587722681</v>
      </c>
      <c r="AH1235" s="18"/>
      <c r="AI1235" s="18">
        <v>32.119365541711844</v>
      </c>
      <c r="AK1235" s="18"/>
      <c r="AL1235" s="18"/>
      <c r="AM1235" s="40">
        <v>13.023996456516057</v>
      </c>
      <c r="AN1235" s="18"/>
      <c r="AO1235" s="22"/>
      <c r="AP1235" s="32"/>
      <c r="AQ1235" s="32"/>
      <c r="AR1235" s="32"/>
      <c r="AS1235" s="32"/>
      <c r="AT1235" s="32"/>
      <c r="AU1235" s="32"/>
      <c r="AV1235" s="32"/>
      <c r="AW1235" s="32"/>
      <c r="AX1235" s="32"/>
      <c r="AY1235" s="32"/>
      <c r="AZ1235" s="32"/>
      <c r="BA1235" s="32"/>
      <c r="BB1235" s="32"/>
      <c r="BC1235" s="32"/>
      <c r="BD1235" s="32"/>
      <c r="BE1235" s="32"/>
      <c r="BF1235" s="32"/>
      <c r="BG1235" s="32"/>
      <c r="BH1235" s="32"/>
      <c r="BI1235" s="32"/>
      <c r="BJ1235" s="22"/>
      <c r="BK1235" s="22"/>
      <c r="BL1235" s="22" t="s">
        <v>86</v>
      </c>
      <c r="BO1235" s="15"/>
    </row>
    <row r="1236" spans="1:67" s="5" customFormat="1">
      <c r="A1236" s="6" t="s">
        <v>93</v>
      </c>
      <c r="B1236" s="6"/>
      <c r="C1236" s="17">
        <v>35444.422000000006</v>
      </c>
      <c r="D1236" s="22">
        <v>14.000085422768798</v>
      </c>
      <c r="E1236" s="6">
        <v>64.574614574614571</v>
      </c>
      <c r="F1236" s="22">
        <v>1195.825</v>
      </c>
      <c r="G1236" s="22"/>
      <c r="H1236" s="22">
        <v>1069.171863351688</v>
      </c>
      <c r="I1236" s="22"/>
      <c r="J1236" s="22">
        <v>2159.3392269871883</v>
      </c>
      <c r="K1236" s="22"/>
      <c r="L1236" s="22"/>
      <c r="M1236" s="22"/>
      <c r="N1236" s="18">
        <v>213.65034965034963</v>
      </c>
      <c r="O1236" s="18"/>
      <c r="P1236" s="22">
        <v>16197.553092096907</v>
      </c>
      <c r="Q1236" s="22"/>
      <c r="R1236" s="22"/>
      <c r="S1236" s="22"/>
      <c r="T1236" s="22">
        <v>19426.064182435781</v>
      </c>
      <c r="U1236" s="22"/>
      <c r="V1236" s="22"/>
      <c r="W1236" s="22"/>
      <c r="X1236" s="19"/>
      <c r="Y1236" s="22"/>
      <c r="Z1236" s="22"/>
      <c r="AA1236" s="22"/>
      <c r="AB1236" s="22"/>
      <c r="AC1236" s="22"/>
      <c r="AD1236" s="22"/>
      <c r="AE1236" s="22"/>
      <c r="AF1236" s="18"/>
      <c r="AG1236" s="18">
        <v>19.570744026551331</v>
      </c>
      <c r="AH1236" s="18"/>
      <c r="AI1236" s="18">
        <v>35.972713500861552</v>
      </c>
      <c r="AK1236" s="18"/>
      <c r="AL1236" s="18"/>
      <c r="AM1236" s="40">
        <v>15.260646145978727</v>
      </c>
      <c r="AN1236" s="18"/>
      <c r="AO1236" s="22"/>
      <c r="AP1236" s="32"/>
      <c r="AQ1236" s="32"/>
      <c r="AR1236" s="32"/>
      <c r="AS1236" s="32"/>
      <c r="AT1236" s="32"/>
      <c r="AU1236" s="32"/>
      <c r="AV1236" s="32"/>
      <c r="AW1236" s="32"/>
      <c r="AX1236" s="32"/>
      <c r="AY1236" s="32"/>
      <c r="AZ1236" s="32"/>
      <c r="BA1236" s="32"/>
      <c r="BB1236" s="32"/>
      <c r="BC1236" s="32"/>
      <c r="BD1236" s="32"/>
      <c r="BE1236" s="32"/>
      <c r="BF1236" s="32"/>
      <c r="BG1236" s="32"/>
      <c r="BH1236" s="32"/>
      <c r="BI1236" s="32"/>
      <c r="BJ1236" s="22"/>
      <c r="BK1236" s="22"/>
      <c r="BL1236" s="22" t="s">
        <v>86</v>
      </c>
      <c r="BO1236" s="15"/>
    </row>
    <row r="1237" spans="1:67" s="5" customFormat="1">
      <c r="A1237" s="6" t="s">
        <v>85</v>
      </c>
      <c r="B1237" s="6"/>
      <c r="C1237" s="17">
        <v>35444.937600000005</v>
      </c>
      <c r="D1237" s="22">
        <v>14.0014970887811</v>
      </c>
      <c r="E1237" s="6"/>
      <c r="F1237" s="22"/>
      <c r="G1237" s="22"/>
      <c r="H1237" s="22"/>
      <c r="I1237" s="22"/>
      <c r="J1237" s="22"/>
      <c r="K1237" s="22"/>
      <c r="L1237" s="22"/>
      <c r="M1237" s="22"/>
      <c r="N1237" s="18"/>
      <c r="O1237" s="18"/>
      <c r="P1237" s="22"/>
      <c r="Q1237" s="22"/>
      <c r="R1237" s="22"/>
      <c r="S1237" s="22"/>
      <c r="T1237" s="22"/>
      <c r="U1237" s="22"/>
      <c r="V1237" s="22"/>
      <c r="W1237" s="18">
        <v>1.5104897882919159</v>
      </c>
      <c r="X1237" s="19"/>
      <c r="Y1237" s="18">
        <v>2.5905330940702003</v>
      </c>
      <c r="Z1237" s="22"/>
      <c r="AA1237" s="22"/>
      <c r="AB1237" s="22"/>
      <c r="AC1237" s="22"/>
      <c r="AD1237" s="22"/>
      <c r="AE1237" s="22"/>
      <c r="AF1237" s="18"/>
      <c r="AG1237" s="18"/>
      <c r="AH1237" s="18"/>
      <c r="AI1237" s="18"/>
      <c r="AK1237" s="18"/>
      <c r="AL1237" s="18"/>
      <c r="AM1237" s="40" t="s">
        <v>118</v>
      </c>
      <c r="AN1237" s="18"/>
      <c r="AO1237" s="22"/>
      <c r="AP1237" s="32"/>
      <c r="AQ1237" s="32"/>
      <c r="AR1237" s="32"/>
      <c r="AS1237" s="32"/>
      <c r="AT1237" s="32"/>
      <c r="AU1237" s="32"/>
      <c r="AV1237" s="32"/>
      <c r="AW1237" s="32"/>
      <c r="AX1237" s="32"/>
      <c r="AY1237" s="32"/>
      <c r="AZ1237" s="32"/>
      <c r="BA1237" s="32"/>
      <c r="BB1237" s="32"/>
      <c r="BC1237" s="32"/>
      <c r="BD1237" s="32"/>
      <c r="BE1237" s="32"/>
      <c r="BF1237" s="32"/>
      <c r="BG1237" s="32"/>
      <c r="BH1237" s="32"/>
      <c r="BI1237" s="32"/>
      <c r="BJ1237" s="22"/>
      <c r="BK1237" s="22"/>
      <c r="BL1237" s="22" t="s">
        <v>86</v>
      </c>
      <c r="BO1237" s="15"/>
    </row>
    <row r="1238" spans="1:67" s="5" customFormat="1">
      <c r="A1238" s="6" t="s">
        <v>88</v>
      </c>
      <c r="B1238" s="6"/>
      <c r="C1238" s="17">
        <v>35444.937600000005</v>
      </c>
      <c r="D1238" s="22">
        <v>14.0014970887811</v>
      </c>
      <c r="E1238" s="6"/>
      <c r="F1238" s="22"/>
      <c r="G1238" s="22"/>
      <c r="H1238" s="22"/>
      <c r="I1238" s="22"/>
      <c r="J1238" s="22"/>
      <c r="K1238" s="22"/>
      <c r="L1238" s="22"/>
      <c r="M1238" s="22"/>
      <c r="N1238" s="18"/>
      <c r="O1238" s="18"/>
      <c r="P1238" s="22"/>
      <c r="Q1238" s="22"/>
      <c r="R1238" s="22"/>
      <c r="S1238" s="22"/>
      <c r="T1238" s="22"/>
      <c r="U1238" s="22"/>
      <c r="V1238" s="22"/>
      <c r="W1238" s="18">
        <v>3.0220403976967076</v>
      </c>
      <c r="X1238" s="19"/>
      <c r="Y1238" s="18">
        <v>4.3324590923704243</v>
      </c>
      <c r="Z1238" s="22"/>
      <c r="AA1238" s="22"/>
      <c r="AB1238" s="22"/>
      <c r="AC1238" s="22"/>
      <c r="AD1238" s="22"/>
      <c r="AE1238" s="22"/>
      <c r="AF1238" s="18"/>
      <c r="AG1238" s="18"/>
      <c r="AH1238" s="18"/>
      <c r="AI1238" s="18"/>
      <c r="AK1238" s="18"/>
      <c r="AL1238" s="18"/>
      <c r="AM1238" s="40" t="s">
        <v>118</v>
      </c>
      <c r="AN1238" s="18"/>
      <c r="AO1238" s="22"/>
      <c r="AP1238" s="32"/>
      <c r="AQ1238" s="32"/>
      <c r="AR1238" s="32"/>
      <c r="AS1238" s="32"/>
      <c r="AT1238" s="32"/>
      <c r="AU1238" s="32"/>
      <c r="AV1238" s="32"/>
      <c r="AW1238" s="32"/>
      <c r="AX1238" s="32"/>
      <c r="AY1238" s="32"/>
      <c r="AZ1238" s="32"/>
      <c r="BA1238" s="32"/>
      <c r="BB1238" s="32"/>
      <c r="BC1238" s="32"/>
      <c r="BD1238" s="32"/>
      <c r="BE1238" s="32"/>
      <c r="BF1238" s="32"/>
      <c r="BG1238" s="32"/>
      <c r="BH1238" s="32"/>
      <c r="BI1238" s="32"/>
      <c r="BJ1238" s="22"/>
      <c r="BK1238" s="22"/>
      <c r="BL1238" s="22" t="s">
        <v>86</v>
      </c>
      <c r="BO1238" s="15"/>
    </row>
    <row r="1239" spans="1:67" s="5" customFormat="1">
      <c r="A1239" s="6" t="s">
        <v>87</v>
      </c>
      <c r="B1239" s="6"/>
      <c r="C1239" s="17">
        <v>35444.937600000005</v>
      </c>
      <c r="D1239" s="22">
        <v>14.0014970887811</v>
      </c>
      <c r="E1239" s="6"/>
      <c r="F1239" s="22"/>
      <c r="G1239" s="22"/>
      <c r="H1239" s="22"/>
      <c r="I1239" s="22"/>
      <c r="J1239" s="22"/>
      <c r="K1239" s="22"/>
      <c r="L1239" s="22"/>
      <c r="M1239" s="22"/>
      <c r="N1239" s="18"/>
      <c r="O1239" s="18"/>
      <c r="P1239" s="22"/>
      <c r="Q1239" s="22"/>
      <c r="R1239" s="22"/>
      <c r="S1239" s="22"/>
      <c r="T1239" s="22"/>
      <c r="U1239" s="22"/>
      <c r="V1239" s="22"/>
      <c r="W1239" s="18">
        <v>2.7815848630788871</v>
      </c>
      <c r="X1239" s="19"/>
      <c r="Y1239" s="18">
        <v>4.313142163681448</v>
      </c>
      <c r="Z1239" s="22"/>
      <c r="AA1239" s="22"/>
      <c r="AB1239" s="22"/>
      <c r="AC1239" s="22"/>
      <c r="AD1239" s="22"/>
      <c r="AE1239" s="22"/>
      <c r="AF1239" s="18"/>
      <c r="AG1239" s="18"/>
      <c r="AH1239" s="18"/>
      <c r="AI1239" s="18"/>
      <c r="AK1239" s="18"/>
      <c r="AL1239" s="18"/>
      <c r="AM1239" s="40" t="s">
        <v>118</v>
      </c>
      <c r="AN1239" s="18"/>
      <c r="AO1239" s="22"/>
      <c r="AP1239" s="32"/>
      <c r="AQ1239" s="32"/>
      <c r="AR1239" s="32"/>
      <c r="AS1239" s="32"/>
      <c r="AT1239" s="32"/>
      <c r="AU1239" s="32"/>
      <c r="AV1239" s="32"/>
      <c r="AW1239" s="32"/>
      <c r="AX1239" s="32"/>
      <c r="AY1239" s="32"/>
      <c r="AZ1239" s="32"/>
      <c r="BA1239" s="32"/>
      <c r="BB1239" s="32"/>
      <c r="BC1239" s="32"/>
      <c r="BD1239" s="32"/>
      <c r="BE1239" s="32"/>
      <c r="BF1239" s="32"/>
      <c r="BG1239" s="32"/>
      <c r="BH1239" s="32"/>
      <c r="BI1239" s="32"/>
      <c r="BJ1239" s="22"/>
      <c r="BK1239" s="22"/>
      <c r="BL1239" s="22" t="s">
        <v>86</v>
      </c>
      <c r="BO1239" s="15"/>
    </row>
    <row r="1240" spans="1:67" s="5" customFormat="1">
      <c r="A1240" s="6" t="s">
        <v>89</v>
      </c>
      <c r="B1240" s="6"/>
      <c r="C1240" s="17">
        <v>35444.937600000005</v>
      </c>
      <c r="D1240" s="22">
        <v>14.0014970887811</v>
      </c>
      <c r="E1240" s="6"/>
      <c r="F1240" s="22"/>
      <c r="G1240" s="22"/>
      <c r="H1240" s="22"/>
      <c r="I1240" s="22"/>
      <c r="J1240" s="22"/>
      <c r="K1240" s="22"/>
      <c r="L1240" s="22"/>
      <c r="M1240" s="22"/>
      <c r="N1240" s="18"/>
      <c r="O1240" s="18"/>
      <c r="P1240" s="22"/>
      <c r="Q1240" s="22"/>
      <c r="R1240" s="22"/>
      <c r="S1240" s="22"/>
      <c r="T1240" s="22"/>
      <c r="U1240" s="22"/>
      <c r="V1240" s="22"/>
      <c r="W1240" s="18">
        <v>2.9070240610646203</v>
      </c>
      <c r="X1240" s="19"/>
      <c r="Y1240" s="18">
        <v>4.104447747796498</v>
      </c>
      <c r="Z1240" s="22"/>
      <c r="AA1240" s="22"/>
      <c r="AB1240" s="22"/>
      <c r="AC1240" s="22"/>
      <c r="AD1240" s="22"/>
      <c r="AE1240" s="22"/>
      <c r="AF1240" s="18"/>
      <c r="AG1240" s="18"/>
      <c r="AH1240" s="18"/>
      <c r="AI1240" s="18"/>
      <c r="AK1240" s="18"/>
      <c r="AL1240" s="18"/>
      <c r="AM1240" s="40" t="s">
        <v>118</v>
      </c>
      <c r="AN1240" s="18"/>
      <c r="AO1240" s="22"/>
      <c r="AP1240" s="32"/>
      <c r="AQ1240" s="32"/>
      <c r="AR1240" s="32"/>
      <c r="AS1240" s="32"/>
      <c r="AT1240" s="32"/>
      <c r="AU1240" s="32"/>
      <c r="AV1240" s="32"/>
      <c r="AW1240" s="32"/>
      <c r="AX1240" s="32"/>
      <c r="AY1240" s="32"/>
      <c r="AZ1240" s="32"/>
      <c r="BA1240" s="32"/>
      <c r="BB1240" s="32"/>
      <c r="BC1240" s="32"/>
      <c r="BD1240" s="32"/>
      <c r="BE1240" s="32"/>
      <c r="BF1240" s="32"/>
      <c r="BG1240" s="32"/>
      <c r="BH1240" s="32"/>
      <c r="BI1240" s="32"/>
      <c r="BJ1240" s="22"/>
      <c r="BK1240" s="22"/>
      <c r="BL1240" s="22" t="s">
        <v>86</v>
      </c>
      <c r="BO1240" s="15"/>
    </row>
    <row r="1241" spans="1:67" s="5" customFormat="1">
      <c r="A1241" s="6" t="s">
        <v>90</v>
      </c>
      <c r="B1241" s="6"/>
      <c r="C1241" s="17">
        <v>35444.937600000005</v>
      </c>
      <c r="D1241" s="22">
        <v>14.0014970887811</v>
      </c>
      <c r="E1241" s="6"/>
      <c r="F1241" s="22"/>
      <c r="G1241" s="22"/>
      <c r="H1241" s="22"/>
      <c r="I1241" s="22"/>
      <c r="J1241" s="22"/>
      <c r="K1241" s="22"/>
      <c r="L1241" s="22"/>
      <c r="M1241" s="22"/>
      <c r="N1241" s="18"/>
      <c r="O1241" s="18"/>
      <c r="P1241" s="22"/>
      <c r="Q1241" s="22"/>
      <c r="R1241" s="22"/>
      <c r="S1241" s="22"/>
      <c r="T1241" s="22"/>
      <c r="U1241" s="22"/>
      <c r="V1241" s="22"/>
      <c r="W1241" s="18">
        <v>1.7410096409779761</v>
      </c>
      <c r="X1241" s="19"/>
      <c r="Y1241" s="18">
        <v>2.425273040721418</v>
      </c>
      <c r="Z1241" s="22"/>
      <c r="AA1241" s="22"/>
      <c r="AB1241" s="22"/>
      <c r="AC1241" s="22"/>
      <c r="AD1241" s="22"/>
      <c r="AE1241" s="22"/>
      <c r="AF1241" s="18"/>
      <c r="AG1241" s="18"/>
      <c r="AH1241" s="18"/>
      <c r="AI1241" s="18"/>
      <c r="AK1241" s="18"/>
      <c r="AL1241" s="18"/>
      <c r="AM1241" s="40" t="s">
        <v>118</v>
      </c>
      <c r="AN1241" s="18"/>
      <c r="AO1241" s="22"/>
      <c r="AP1241" s="32"/>
      <c r="AQ1241" s="32"/>
      <c r="AR1241" s="32"/>
      <c r="AS1241" s="32"/>
      <c r="AT1241" s="32"/>
      <c r="AU1241" s="32"/>
      <c r="AV1241" s="32"/>
      <c r="AW1241" s="32"/>
      <c r="AX1241" s="32"/>
      <c r="AY1241" s="32"/>
      <c r="AZ1241" s="32"/>
      <c r="BA1241" s="32"/>
      <c r="BB1241" s="32"/>
      <c r="BC1241" s="32"/>
      <c r="BD1241" s="32"/>
      <c r="BE1241" s="32"/>
      <c r="BF1241" s="32"/>
      <c r="BG1241" s="32"/>
      <c r="BH1241" s="32"/>
      <c r="BI1241" s="32"/>
      <c r="BJ1241" s="22"/>
      <c r="BK1241" s="22"/>
      <c r="BL1241" s="22" t="s">
        <v>86</v>
      </c>
      <c r="BO1241" s="15"/>
    </row>
    <row r="1242" spans="1:67" s="5" customFormat="1">
      <c r="A1242" s="6" t="s">
        <v>92</v>
      </c>
      <c r="B1242" s="6"/>
      <c r="C1242" s="17">
        <v>35444.937600000005</v>
      </c>
      <c r="D1242" s="22">
        <v>14.0014970887811</v>
      </c>
      <c r="E1242" s="6"/>
      <c r="F1242" s="22"/>
      <c r="G1242" s="22"/>
      <c r="H1242" s="22"/>
      <c r="I1242" s="22"/>
      <c r="J1242" s="22"/>
      <c r="K1242" s="22"/>
      <c r="L1242" s="22"/>
      <c r="M1242" s="22"/>
      <c r="N1242" s="18"/>
      <c r="O1242" s="18"/>
      <c r="P1242" s="22"/>
      <c r="Q1242" s="22"/>
      <c r="R1242" s="22"/>
      <c r="S1242" s="22"/>
      <c r="T1242" s="22"/>
      <c r="U1242" s="22"/>
      <c r="V1242" s="22"/>
      <c r="W1242" s="18">
        <v>2.2189475323005232</v>
      </c>
      <c r="X1242" s="19"/>
      <c r="Y1242" s="18">
        <v>3.1693430976034427</v>
      </c>
      <c r="Z1242" s="22"/>
      <c r="AA1242" s="22"/>
      <c r="AB1242" s="22"/>
      <c r="AC1242" s="22"/>
      <c r="AD1242" s="22"/>
      <c r="AE1242" s="22"/>
      <c r="AF1242" s="18"/>
      <c r="AG1242" s="18"/>
      <c r="AH1242" s="18"/>
      <c r="AI1242" s="18"/>
      <c r="AK1242" s="18"/>
      <c r="AL1242" s="18"/>
      <c r="AM1242" s="40" t="s">
        <v>118</v>
      </c>
      <c r="AN1242" s="18"/>
      <c r="AO1242" s="22"/>
      <c r="AP1242" s="32"/>
      <c r="AQ1242" s="32"/>
      <c r="AR1242" s="32"/>
      <c r="AS1242" s="32"/>
      <c r="AT1242" s="32"/>
      <c r="AU1242" s="32"/>
      <c r="AV1242" s="32"/>
      <c r="AW1242" s="32"/>
      <c r="AX1242" s="32"/>
      <c r="AY1242" s="32"/>
      <c r="AZ1242" s="32"/>
      <c r="BA1242" s="32"/>
      <c r="BB1242" s="32"/>
      <c r="BC1242" s="32"/>
      <c r="BD1242" s="32"/>
      <c r="BE1242" s="32"/>
      <c r="BF1242" s="32"/>
      <c r="BG1242" s="32"/>
      <c r="BH1242" s="32"/>
      <c r="BI1242" s="32"/>
      <c r="BJ1242" s="22"/>
      <c r="BK1242" s="22"/>
      <c r="BL1242" s="22" t="s">
        <v>86</v>
      </c>
      <c r="BO1242" s="15"/>
    </row>
    <row r="1243" spans="1:67" s="5" customFormat="1">
      <c r="A1243" s="6" t="s">
        <v>91</v>
      </c>
      <c r="B1243" s="6"/>
      <c r="C1243" s="17">
        <v>35444.937600000005</v>
      </c>
      <c r="D1243" s="22">
        <v>14.0014970887811</v>
      </c>
      <c r="E1243" s="6"/>
      <c r="F1243" s="22"/>
      <c r="G1243" s="22"/>
      <c r="H1243" s="22"/>
      <c r="I1243" s="22"/>
      <c r="J1243" s="22"/>
      <c r="K1243" s="22"/>
      <c r="L1243" s="22"/>
      <c r="M1243" s="22"/>
      <c r="N1243" s="18"/>
      <c r="O1243" s="18"/>
      <c r="P1243" s="22"/>
      <c r="Q1243" s="22"/>
      <c r="R1243" s="22"/>
      <c r="S1243" s="22"/>
      <c r="T1243" s="22"/>
      <c r="U1243" s="22"/>
      <c r="V1243" s="22"/>
      <c r="W1243" s="18">
        <v>2.4351727758873691</v>
      </c>
      <c r="X1243" s="19"/>
      <c r="Y1243" s="18">
        <v>3.3788102839644893</v>
      </c>
      <c r="Z1243" s="22"/>
      <c r="AA1243" s="22"/>
      <c r="AB1243" s="22"/>
      <c r="AC1243" s="22"/>
      <c r="AD1243" s="22"/>
      <c r="AE1243" s="22"/>
      <c r="AF1243" s="18"/>
      <c r="AG1243" s="18"/>
      <c r="AH1243" s="18"/>
      <c r="AI1243" s="18"/>
      <c r="AK1243" s="18"/>
      <c r="AL1243" s="18"/>
      <c r="AM1243" s="40" t="s">
        <v>118</v>
      </c>
      <c r="AN1243" s="18"/>
      <c r="AO1243" s="22"/>
      <c r="AP1243" s="32"/>
      <c r="AQ1243" s="32"/>
      <c r="AR1243" s="32"/>
      <c r="AS1243" s="32"/>
      <c r="AT1243" s="32"/>
      <c r="AU1243" s="32"/>
      <c r="AV1243" s="32"/>
      <c r="AW1243" s="32"/>
      <c r="AX1243" s="32"/>
      <c r="AY1243" s="32"/>
      <c r="AZ1243" s="32"/>
      <c r="BA1243" s="32"/>
      <c r="BB1243" s="32"/>
      <c r="BC1243" s="32"/>
      <c r="BD1243" s="32"/>
      <c r="BE1243" s="32"/>
      <c r="BF1243" s="32"/>
      <c r="BG1243" s="32"/>
      <c r="BH1243" s="32"/>
      <c r="BI1243" s="32"/>
      <c r="BJ1243" s="22"/>
      <c r="BK1243" s="22"/>
      <c r="BL1243" s="22" t="s">
        <v>86</v>
      </c>
      <c r="BO1243" s="15"/>
    </row>
    <row r="1244" spans="1:67" s="5" customFormat="1">
      <c r="A1244" s="6" t="s">
        <v>93</v>
      </c>
      <c r="B1244" s="6"/>
      <c r="C1244" s="17">
        <v>35444.937600000005</v>
      </c>
      <c r="D1244" s="22">
        <v>14.0014970887811</v>
      </c>
      <c r="E1244" s="6"/>
      <c r="F1244" s="22"/>
      <c r="G1244" s="22"/>
      <c r="H1244" s="22"/>
      <c r="I1244" s="22"/>
      <c r="J1244" s="22"/>
      <c r="K1244" s="22"/>
      <c r="L1244" s="22"/>
      <c r="M1244" s="22"/>
      <c r="N1244" s="18"/>
      <c r="O1244" s="18"/>
      <c r="P1244" s="22"/>
      <c r="Q1244" s="22"/>
      <c r="R1244" s="22"/>
      <c r="S1244" s="22"/>
      <c r="T1244" s="22"/>
      <c r="U1244" s="22"/>
      <c r="V1244" s="22"/>
      <c r="W1244" s="18">
        <v>2.4163684958890244</v>
      </c>
      <c r="X1244" s="19"/>
      <c r="Y1244" s="18">
        <v>3.0647651832352412</v>
      </c>
      <c r="Z1244" s="22"/>
      <c r="AA1244" s="22"/>
      <c r="AB1244" s="22"/>
      <c r="AC1244" s="22"/>
      <c r="AD1244" s="22"/>
      <c r="AE1244" s="22"/>
      <c r="AF1244" s="18"/>
      <c r="AG1244" s="18"/>
      <c r="AH1244" s="18"/>
      <c r="AI1244" s="18"/>
      <c r="AK1244" s="18"/>
      <c r="AL1244" s="18"/>
      <c r="AM1244" s="40" t="s">
        <v>118</v>
      </c>
      <c r="AN1244" s="18"/>
      <c r="AO1244" s="22"/>
      <c r="AP1244" s="32"/>
      <c r="AQ1244" s="32"/>
      <c r="AR1244" s="32"/>
      <c r="AS1244" s="32"/>
      <c r="AT1244" s="32"/>
      <c r="AU1244" s="32"/>
      <c r="AV1244" s="32"/>
      <c r="AW1244" s="32"/>
      <c r="AX1244" s="32"/>
      <c r="AY1244" s="32"/>
      <c r="AZ1244" s="32"/>
      <c r="BA1244" s="32"/>
      <c r="BB1244" s="32"/>
      <c r="BC1244" s="32"/>
      <c r="BD1244" s="32"/>
      <c r="BE1244" s="32"/>
      <c r="BF1244" s="32"/>
      <c r="BG1244" s="32"/>
      <c r="BH1244" s="32"/>
      <c r="BI1244" s="32"/>
      <c r="BJ1244" s="22"/>
      <c r="BK1244" s="22"/>
      <c r="BL1244" s="22" t="s">
        <v>86</v>
      </c>
      <c r="BO1244" s="15"/>
    </row>
    <row r="1245" spans="1:67" s="5" customFormat="1">
      <c r="A1245" s="6" t="s">
        <v>85</v>
      </c>
      <c r="B1245" s="6"/>
      <c r="C1245" s="17">
        <v>35809.664200000007</v>
      </c>
      <c r="D1245" s="22">
        <v>15.000085422768798</v>
      </c>
      <c r="E1245" s="6">
        <v>75.68415624915626</v>
      </c>
      <c r="F1245" s="22">
        <v>1401.5570475</v>
      </c>
      <c r="G1245" s="22"/>
      <c r="H1245" s="22">
        <v>374.56375918261449</v>
      </c>
      <c r="I1245" s="22"/>
      <c r="J1245" s="22">
        <v>680.37325821797299</v>
      </c>
      <c r="K1245" s="22"/>
      <c r="L1245" s="22"/>
      <c r="M1245" s="22"/>
      <c r="N1245" s="18">
        <v>75.386713286713288</v>
      </c>
      <c r="O1245" s="18"/>
      <c r="P1245" s="22">
        <v>4612.4813985490964</v>
      </c>
      <c r="Q1245" s="22"/>
      <c r="R1245" s="22"/>
      <c r="S1245" s="22"/>
      <c r="T1245" s="22">
        <v>5667.4184159496835</v>
      </c>
      <c r="U1245" s="22"/>
      <c r="V1245" s="22"/>
      <c r="W1245" s="22"/>
      <c r="X1245" s="19"/>
      <c r="Y1245" s="22"/>
      <c r="Z1245" s="22"/>
      <c r="AA1245" s="22"/>
      <c r="AB1245" s="22"/>
      <c r="AC1245" s="22"/>
      <c r="AD1245" s="22"/>
      <c r="AE1245" s="22"/>
      <c r="AF1245" s="18"/>
      <c r="AG1245" s="18">
        <v>12.588159457717961</v>
      </c>
      <c r="AH1245" s="18"/>
      <c r="AI1245" s="18">
        <v>17.443199490616795</v>
      </c>
      <c r="AK1245" s="18"/>
      <c r="AL1245" s="18"/>
      <c r="AM1245" s="40">
        <v>5.0257522648693023</v>
      </c>
      <c r="AN1245" s="18"/>
      <c r="AO1245" s="22"/>
      <c r="AP1245" s="32"/>
      <c r="AQ1245" s="32"/>
      <c r="AR1245" s="32"/>
      <c r="AS1245" s="32"/>
      <c r="AT1245" s="32"/>
      <c r="AU1245" s="32"/>
      <c r="AV1245" s="32"/>
      <c r="AW1245" s="32"/>
      <c r="AX1245" s="32"/>
      <c r="AY1245" s="32"/>
      <c r="AZ1245" s="32"/>
      <c r="BA1245" s="32"/>
      <c r="BB1245" s="32"/>
      <c r="BC1245" s="32"/>
      <c r="BD1245" s="32"/>
      <c r="BE1245" s="32"/>
      <c r="BF1245" s="32"/>
      <c r="BG1245" s="32"/>
      <c r="BH1245" s="32"/>
      <c r="BI1245" s="32"/>
      <c r="BJ1245" s="22"/>
      <c r="BK1245" s="22"/>
      <c r="BL1245" s="22" t="s">
        <v>86</v>
      </c>
      <c r="BO1245" s="15"/>
    </row>
    <row r="1246" spans="1:67" s="5" customFormat="1">
      <c r="A1246" s="6" t="s">
        <v>88</v>
      </c>
      <c r="B1246" s="6"/>
      <c r="C1246" s="17">
        <v>35809.664200000007</v>
      </c>
      <c r="D1246" s="22">
        <v>15.000085422768798</v>
      </c>
      <c r="E1246" s="6">
        <v>70.823770823770829</v>
      </c>
      <c r="F1246" s="22">
        <v>1311.55</v>
      </c>
      <c r="G1246" s="22"/>
      <c r="H1246" s="22">
        <v>756.94239716303866</v>
      </c>
      <c r="I1246" s="22"/>
      <c r="J1246" s="22">
        <v>1908.1333312682134</v>
      </c>
      <c r="K1246" s="22"/>
      <c r="L1246" s="22"/>
      <c r="M1246" s="22"/>
      <c r="N1246" s="18">
        <v>241.17972027972027</v>
      </c>
      <c r="O1246" s="18"/>
      <c r="P1246" s="22">
        <v>13368.471968953676</v>
      </c>
      <c r="Q1246" s="22"/>
      <c r="R1246" s="22"/>
      <c r="S1246" s="22"/>
      <c r="T1246" s="22">
        <v>16033.547697384927</v>
      </c>
      <c r="U1246" s="22"/>
      <c r="V1246" s="22"/>
      <c r="W1246" s="22"/>
      <c r="X1246" s="19"/>
      <c r="Y1246" s="22"/>
      <c r="Z1246" s="22"/>
      <c r="AA1246" s="22"/>
      <c r="AB1246" s="22"/>
      <c r="AC1246" s="22"/>
      <c r="AD1246" s="22"/>
      <c r="AE1246" s="22"/>
      <c r="AF1246" s="18"/>
      <c r="AG1246" s="18">
        <v>19.203383298086688</v>
      </c>
      <c r="AH1246" s="18"/>
      <c r="AI1246" s="18">
        <v>37.98667225045444</v>
      </c>
      <c r="AK1246" s="18"/>
      <c r="AL1246" s="18"/>
      <c r="AM1246" s="40">
        <v>16.078556453660649</v>
      </c>
      <c r="AN1246" s="18"/>
      <c r="AO1246" s="22"/>
      <c r="AP1246" s="32"/>
      <c r="AQ1246" s="32"/>
      <c r="AR1246" s="32"/>
      <c r="AS1246" s="32"/>
      <c r="AT1246" s="32"/>
      <c r="AU1246" s="32"/>
      <c r="AV1246" s="32"/>
      <c r="AW1246" s="32"/>
      <c r="AX1246" s="32"/>
      <c r="AY1246" s="32"/>
      <c r="AZ1246" s="32"/>
      <c r="BA1246" s="32"/>
      <c r="BB1246" s="32"/>
      <c r="BC1246" s="32"/>
      <c r="BD1246" s="32"/>
      <c r="BE1246" s="32"/>
      <c r="BF1246" s="32"/>
      <c r="BG1246" s="32"/>
      <c r="BH1246" s="32"/>
      <c r="BI1246" s="32"/>
      <c r="BJ1246" s="22"/>
      <c r="BK1246" s="22"/>
      <c r="BL1246" s="22" t="s">
        <v>86</v>
      </c>
      <c r="BO1246" s="15"/>
    </row>
    <row r="1247" spans="1:67" s="5" customFormat="1">
      <c r="A1247" s="6" t="s">
        <v>87</v>
      </c>
      <c r="B1247" s="6"/>
      <c r="C1247" s="17">
        <v>35809.664200000007</v>
      </c>
      <c r="D1247" s="22">
        <v>15.000085422768798</v>
      </c>
      <c r="E1247" s="6">
        <v>75.68415624915626</v>
      </c>
      <c r="F1247" s="22">
        <v>1401.5570475</v>
      </c>
      <c r="G1247" s="22"/>
      <c r="H1247" s="22">
        <v>693.29262645195547</v>
      </c>
      <c r="I1247" s="22"/>
      <c r="J1247" s="22">
        <v>1659.4273005368759</v>
      </c>
      <c r="K1247" s="22"/>
      <c r="L1247" s="22"/>
      <c r="M1247" s="22"/>
      <c r="N1247" s="18">
        <v>194.05734265734264</v>
      </c>
      <c r="O1247" s="18"/>
      <c r="P1247" s="22">
        <v>11682.846795562673</v>
      </c>
      <c r="Q1247" s="22"/>
      <c r="R1247" s="22"/>
      <c r="S1247" s="22"/>
      <c r="T1247" s="22">
        <v>14035.566722551504</v>
      </c>
      <c r="U1247" s="22"/>
      <c r="V1247" s="22"/>
      <c r="W1247" s="22"/>
      <c r="X1247" s="19"/>
      <c r="Y1247" s="22"/>
      <c r="Z1247" s="22"/>
      <c r="AA1247" s="22"/>
      <c r="AB1247" s="22"/>
      <c r="AC1247" s="22"/>
      <c r="AD1247" s="22"/>
      <c r="AE1247" s="22"/>
      <c r="AF1247" s="18"/>
      <c r="AG1247" s="18">
        <v>17.813225329003668</v>
      </c>
      <c r="AH1247" s="18"/>
      <c r="AI1247" s="18">
        <v>34.92905206836474</v>
      </c>
      <c r="AK1247" s="18"/>
      <c r="AL1247" s="18"/>
      <c r="AM1247" s="40">
        <v>12.937082502395675</v>
      </c>
      <c r="AN1247" s="18"/>
      <c r="AO1247" s="22"/>
      <c r="AP1247" s="32"/>
      <c r="AQ1247" s="32"/>
      <c r="AR1247" s="32"/>
      <c r="AS1247" s="32"/>
      <c r="AT1247" s="32"/>
      <c r="AU1247" s="32"/>
      <c r="AV1247" s="32"/>
      <c r="AW1247" s="32"/>
      <c r="AX1247" s="32"/>
      <c r="AY1247" s="32"/>
      <c r="AZ1247" s="32"/>
      <c r="BA1247" s="32"/>
      <c r="BB1247" s="32"/>
      <c r="BC1247" s="32"/>
      <c r="BD1247" s="32"/>
      <c r="BE1247" s="32"/>
      <c r="BF1247" s="32"/>
      <c r="BG1247" s="32"/>
      <c r="BH1247" s="32"/>
      <c r="BI1247" s="32"/>
      <c r="BJ1247" s="22"/>
      <c r="BK1247" s="22"/>
      <c r="BL1247" s="22" t="s">
        <v>86</v>
      </c>
      <c r="BO1247" s="15"/>
    </row>
    <row r="1248" spans="1:67" s="5" customFormat="1">
      <c r="A1248" s="6" t="s">
        <v>89</v>
      </c>
      <c r="B1248" s="6"/>
      <c r="C1248" s="17">
        <v>35809.664200000007</v>
      </c>
      <c r="D1248" s="22">
        <v>15.000085422768798</v>
      </c>
      <c r="E1248" s="6">
        <v>73.601104166104179</v>
      </c>
      <c r="F1248" s="22">
        <v>1362.9820475000001</v>
      </c>
      <c r="G1248" s="22"/>
      <c r="H1248" s="22">
        <v>830.81756440227696</v>
      </c>
      <c r="I1248" s="22"/>
      <c r="J1248" s="22">
        <v>2130.1791402837675</v>
      </c>
      <c r="K1248" s="22"/>
      <c r="L1248" s="22"/>
      <c r="M1248" s="22"/>
      <c r="N1248" s="18">
        <v>264.07202797202797</v>
      </c>
      <c r="O1248" s="18"/>
      <c r="P1248" s="22">
        <v>14880.970969903956</v>
      </c>
      <c r="Q1248" s="22"/>
      <c r="R1248" s="22"/>
      <c r="S1248" s="22"/>
      <c r="T1248" s="22">
        <v>17841.96767459</v>
      </c>
      <c r="U1248" s="22"/>
      <c r="V1248" s="22"/>
      <c r="W1248" s="22"/>
      <c r="X1248" s="19"/>
      <c r="Y1248" s="22"/>
      <c r="Z1248" s="22"/>
      <c r="AA1248" s="22"/>
      <c r="AB1248" s="22"/>
      <c r="AC1248" s="22"/>
      <c r="AD1248" s="22"/>
      <c r="AE1248" s="22"/>
      <c r="AF1248" s="18"/>
      <c r="AG1248" s="18">
        <v>19.702748723628371</v>
      </c>
      <c r="AH1248" s="18"/>
      <c r="AI1248" s="18">
        <v>41.556089201359555</v>
      </c>
      <c r="AK1248" s="18"/>
      <c r="AL1248" s="18"/>
      <c r="AM1248" s="40">
        <v>17.604701608644845</v>
      </c>
      <c r="AN1248" s="18"/>
      <c r="AO1248" s="22"/>
      <c r="AP1248" s="32"/>
      <c r="AQ1248" s="32"/>
      <c r="AR1248" s="32"/>
      <c r="AS1248" s="32"/>
      <c r="AT1248" s="32"/>
      <c r="AU1248" s="32"/>
      <c r="AV1248" s="32"/>
      <c r="AW1248" s="32"/>
      <c r="AX1248" s="32"/>
      <c r="AY1248" s="32"/>
      <c r="AZ1248" s="32"/>
      <c r="BA1248" s="32"/>
      <c r="BB1248" s="32"/>
      <c r="BC1248" s="32"/>
      <c r="BD1248" s="32"/>
      <c r="BE1248" s="32"/>
      <c r="BF1248" s="32"/>
      <c r="BG1248" s="32"/>
      <c r="BH1248" s="32"/>
      <c r="BI1248" s="32"/>
      <c r="BJ1248" s="22"/>
      <c r="BK1248" s="22"/>
      <c r="BL1248" s="22" t="s">
        <v>86</v>
      </c>
      <c r="BO1248" s="15"/>
    </row>
    <row r="1249" spans="1:67" s="5" customFormat="1">
      <c r="A1249" s="6" t="s">
        <v>90</v>
      </c>
      <c r="B1249" s="6"/>
      <c r="C1249" s="17">
        <v>35809.664200000007</v>
      </c>
      <c r="D1249" s="22">
        <v>15.000085422768798</v>
      </c>
      <c r="E1249" s="6">
        <v>66.657666657666667</v>
      </c>
      <c r="F1249" s="22">
        <v>1234.4000000000001</v>
      </c>
      <c r="G1249" s="22"/>
      <c r="H1249" s="22">
        <v>572.23101138367792</v>
      </c>
      <c r="I1249" s="22"/>
      <c r="J1249" s="22">
        <v>816.58624160144643</v>
      </c>
      <c r="K1249" s="22"/>
      <c r="L1249" s="22"/>
      <c r="M1249" s="22"/>
      <c r="N1249" s="18">
        <v>99.876223776223767</v>
      </c>
      <c r="O1249" s="18"/>
      <c r="P1249" s="22">
        <v>7702.6333359418004</v>
      </c>
      <c r="Q1249" s="22"/>
      <c r="R1249" s="22"/>
      <c r="S1249" s="22"/>
      <c r="T1249" s="22">
        <v>9091.450588926924</v>
      </c>
      <c r="U1249" s="22"/>
      <c r="V1249" s="22"/>
      <c r="W1249" s="22"/>
      <c r="X1249" s="19"/>
      <c r="Y1249" s="22"/>
      <c r="Z1249" s="22"/>
      <c r="AA1249" s="22"/>
      <c r="AB1249" s="22"/>
      <c r="AC1249" s="22"/>
      <c r="AD1249" s="22"/>
      <c r="AE1249" s="22"/>
      <c r="AF1249" s="18"/>
      <c r="AG1249" s="18">
        <v>14.721719715351663</v>
      </c>
      <c r="AH1249" s="18"/>
      <c r="AI1249" s="18">
        <v>21.011831044733366</v>
      </c>
      <c r="AK1249" s="18"/>
      <c r="AL1249" s="18"/>
      <c r="AM1249" s="40">
        <v>6.6583769999483158</v>
      </c>
      <c r="AN1249" s="18"/>
      <c r="AO1249" s="22"/>
      <c r="AP1249" s="32"/>
      <c r="AQ1249" s="32"/>
      <c r="AR1249" s="32"/>
      <c r="AS1249" s="32"/>
      <c r="AT1249" s="32"/>
      <c r="AU1249" s="32"/>
      <c r="AV1249" s="32"/>
      <c r="AW1249" s="32"/>
      <c r="AX1249" s="32"/>
      <c r="AY1249" s="32"/>
      <c r="AZ1249" s="32"/>
      <c r="BA1249" s="32"/>
      <c r="BB1249" s="32"/>
      <c r="BC1249" s="32"/>
      <c r="BD1249" s="32"/>
      <c r="BE1249" s="32"/>
      <c r="BF1249" s="32"/>
      <c r="BG1249" s="32"/>
      <c r="BH1249" s="32"/>
      <c r="BI1249" s="32"/>
      <c r="BJ1249" s="22"/>
      <c r="BK1249" s="22"/>
      <c r="BL1249" s="22" t="s">
        <v>86</v>
      </c>
      <c r="BO1249" s="15"/>
    </row>
    <row r="1250" spans="1:67" s="5" customFormat="1">
      <c r="A1250" s="6" t="s">
        <v>92</v>
      </c>
      <c r="B1250" s="6"/>
      <c r="C1250" s="17">
        <v>35809.664200000007</v>
      </c>
      <c r="D1250" s="22">
        <v>15.000085422768798</v>
      </c>
      <c r="E1250" s="6">
        <v>64.574614574614571</v>
      </c>
      <c r="F1250" s="22">
        <v>1195.825</v>
      </c>
      <c r="G1250" s="22"/>
      <c r="H1250" s="22">
        <v>878.39889236884756</v>
      </c>
      <c r="I1250" s="22"/>
      <c r="J1250" s="22">
        <v>1634.6320762978771</v>
      </c>
      <c r="K1250" s="22"/>
      <c r="L1250" s="22"/>
      <c r="M1250" s="22"/>
      <c r="N1250" s="18">
        <v>179.31678321678322</v>
      </c>
      <c r="O1250" s="18"/>
      <c r="P1250" s="22">
        <v>13339.511596013563</v>
      </c>
      <c r="Q1250" s="22"/>
      <c r="R1250" s="22"/>
      <c r="S1250" s="22"/>
      <c r="T1250" s="22">
        <v>15852.542564680289</v>
      </c>
      <c r="U1250" s="22"/>
      <c r="V1250" s="22"/>
      <c r="W1250" s="22"/>
      <c r="X1250" s="19"/>
      <c r="Y1250" s="22"/>
      <c r="Z1250" s="22"/>
      <c r="AA1250" s="22"/>
      <c r="AB1250" s="22"/>
      <c r="AC1250" s="22"/>
      <c r="AD1250" s="22"/>
      <c r="AE1250" s="22"/>
      <c r="AF1250" s="18"/>
      <c r="AG1250" s="18">
        <v>18.223693921537549</v>
      </c>
      <c r="AH1250" s="18"/>
      <c r="AI1250" s="18">
        <v>31.191147367939912</v>
      </c>
      <c r="AK1250" s="18"/>
      <c r="AL1250" s="18"/>
      <c r="AM1250" s="40">
        <v>11.954384136012736</v>
      </c>
      <c r="AN1250" s="18"/>
      <c r="AO1250" s="22"/>
      <c r="AP1250" s="32"/>
      <c r="AQ1250" s="32"/>
      <c r="AR1250" s="32"/>
      <c r="AS1250" s="32"/>
      <c r="AT1250" s="32"/>
      <c r="AU1250" s="32"/>
      <c r="AV1250" s="32"/>
      <c r="AW1250" s="32"/>
      <c r="AX1250" s="32"/>
      <c r="AY1250" s="32"/>
      <c r="AZ1250" s="32"/>
      <c r="BA1250" s="32"/>
      <c r="BB1250" s="32"/>
      <c r="BC1250" s="32"/>
      <c r="BD1250" s="32"/>
      <c r="BE1250" s="32"/>
      <c r="BF1250" s="32"/>
      <c r="BG1250" s="32"/>
      <c r="BH1250" s="32"/>
      <c r="BI1250" s="32"/>
      <c r="BJ1250" s="22"/>
      <c r="BK1250" s="22"/>
      <c r="BL1250" s="22" t="s">
        <v>86</v>
      </c>
      <c r="BO1250" s="15"/>
    </row>
    <row r="1251" spans="1:67" s="5" customFormat="1">
      <c r="A1251" s="6" t="s">
        <v>91</v>
      </c>
      <c r="B1251" s="6"/>
      <c r="C1251" s="17">
        <v>35809.664200000007</v>
      </c>
      <c r="D1251" s="22">
        <v>15.000085422768798</v>
      </c>
      <c r="E1251" s="6">
        <v>69.435000000000002</v>
      </c>
      <c r="F1251" s="22">
        <v>1285.8320475</v>
      </c>
      <c r="G1251" s="22"/>
      <c r="H1251" s="22">
        <v>934.23408338265222</v>
      </c>
      <c r="I1251" s="22"/>
      <c r="J1251" s="22">
        <v>1729.6253885833587</v>
      </c>
      <c r="K1251" s="22"/>
      <c r="L1251" s="22"/>
      <c r="M1251" s="22"/>
      <c r="N1251" s="18">
        <v>190.62867132867132</v>
      </c>
      <c r="O1251" s="18"/>
      <c r="P1251" s="22">
        <v>14162.177675056348</v>
      </c>
      <c r="Q1251" s="22"/>
      <c r="R1251" s="22"/>
      <c r="S1251" s="22"/>
      <c r="T1251" s="22">
        <v>16826.037147022358</v>
      </c>
      <c r="U1251" s="22"/>
      <c r="V1251" s="22"/>
      <c r="W1251" s="22"/>
      <c r="X1251" s="19"/>
      <c r="Y1251" s="22"/>
      <c r="Z1251" s="22"/>
      <c r="AA1251" s="22"/>
      <c r="AB1251" s="22"/>
      <c r="AC1251" s="22"/>
      <c r="AD1251" s="22"/>
      <c r="AE1251" s="22"/>
      <c r="AF1251" s="18"/>
      <c r="AG1251" s="18">
        <v>18.138704296099572</v>
      </c>
      <c r="AH1251" s="18"/>
      <c r="AI1251" s="18">
        <v>33.22673473678627</v>
      </c>
      <c r="AK1251" s="18"/>
      <c r="AL1251" s="18"/>
      <c r="AM1251" s="40">
        <v>12.708505715528387</v>
      </c>
      <c r="AN1251" s="18"/>
      <c r="AO1251" s="22"/>
      <c r="AP1251" s="32"/>
      <c r="AQ1251" s="32"/>
      <c r="AR1251" s="32"/>
      <c r="AS1251" s="32"/>
      <c r="AT1251" s="32"/>
      <c r="AU1251" s="32"/>
      <c r="AV1251" s="32"/>
      <c r="AW1251" s="32"/>
      <c r="AX1251" s="32"/>
      <c r="AY1251" s="32"/>
      <c r="AZ1251" s="32"/>
      <c r="BA1251" s="32"/>
      <c r="BB1251" s="32"/>
      <c r="BC1251" s="32"/>
      <c r="BD1251" s="32"/>
      <c r="BE1251" s="32"/>
      <c r="BF1251" s="32"/>
      <c r="BG1251" s="32"/>
      <c r="BH1251" s="32"/>
      <c r="BI1251" s="32"/>
      <c r="BJ1251" s="22"/>
      <c r="BK1251" s="22"/>
      <c r="BL1251" s="22" t="s">
        <v>86</v>
      </c>
      <c r="BO1251" s="15"/>
    </row>
    <row r="1252" spans="1:67" s="5" customFormat="1">
      <c r="A1252" s="6" t="s">
        <v>93</v>
      </c>
      <c r="B1252" s="6"/>
      <c r="C1252" s="17">
        <v>35809.664200000007</v>
      </c>
      <c r="D1252" s="22">
        <v>15.000085422768798</v>
      </c>
      <c r="E1252" s="6">
        <v>63.185843750843759</v>
      </c>
      <c r="F1252" s="22">
        <v>1170.1070475000001</v>
      </c>
      <c r="G1252" s="22"/>
      <c r="H1252" s="22">
        <v>1089.1193692585152</v>
      </c>
      <c r="I1252" s="22"/>
      <c r="J1252" s="22">
        <v>2237.8687128487591</v>
      </c>
      <c r="K1252" s="22"/>
      <c r="L1252" s="22"/>
      <c r="M1252" s="22"/>
      <c r="N1252" s="18">
        <v>214.88811188811189</v>
      </c>
      <c r="O1252" s="18"/>
      <c r="P1252" s="22">
        <v>16998.016264334277</v>
      </c>
      <c r="Q1252" s="22"/>
      <c r="R1252" s="22"/>
      <c r="S1252" s="22"/>
      <c r="T1252" s="22">
        <v>20325.00434644155</v>
      </c>
      <c r="U1252" s="22"/>
      <c r="V1252" s="22"/>
      <c r="W1252" s="22"/>
      <c r="X1252" s="19"/>
      <c r="Y1252" s="22"/>
      <c r="Z1252" s="22"/>
      <c r="AA1252" s="22"/>
      <c r="AB1252" s="22"/>
      <c r="AC1252" s="22"/>
      <c r="AD1252" s="22"/>
      <c r="AE1252" s="22"/>
      <c r="AF1252" s="18"/>
      <c r="AG1252" s="18">
        <v>20.080353798485191</v>
      </c>
      <c r="AH1252" s="18"/>
      <c r="AI1252" s="18">
        <v>37.056057609558529</v>
      </c>
      <c r="AK1252" s="18"/>
      <c r="AL1252" s="18"/>
      <c r="AM1252" s="40">
        <v>14.325792542616512</v>
      </c>
      <c r="AN1252" s="18"/>
      <c r="AO1252" s="22"/>
      <c r="AP1252" s="32"/>
      <c r="AQ1252" s="32"/>
      <c r="AR1252" s="32"/>
      <c r="AS1252" s="32"/>
      <c r="AT1252" s="32"/>
      <c r="AU1252" s="32"/>
      <c r="AV1252" s="32"/>
      <c r="AW1252" s="32"/>
      <c r="AX1252" s="32"/>
      <c r="AY1252" s="32"/>
      <c r="AZ1252" s="32"/>
      <c r="BA1252" s="32"/>
      <c r="BB1252" s="32"/>
      <c r="BC1252" s="32"/>
      <c r="BD1252" s="32"/>
      <c r="BE1252" s="32"/>
      <c r="BF1252" s="32"/>
      <c r="BG1252" s="32"/>
      <c r="BH1252" s="32"/>
      <c r="BI1252" s="32"/>
      <c r="BJ1252" s="22"/>
      <c r="BK1252" s="22"/>
      <c r="BL1252" s="22" t="s">
        <v>86</v>
      </c>
      <c r="BO1252" s="15"/>
    </row>
    <row r="1253" spans="1:67" s="5" customFormat="1">
      <c r="A1253" s="6" t="s">
        <v>85</v>
      </c>
      <c r="B1253" s="6"/>
      <c r="C1253" s="17">
        <v>35810.179800000005</v>
      </c>
      <c r="D1253" s="22">
        <v>15.001497088781102</v>
      </c>
      <c r="E1253" s="6"/>
      <c r="F1253" s="22"/>
      <c r="G1253" s="22"/>
      <c r="H1253" s="22"/>
      <c r="I1253" s="22"/>
      <c r="J1253" s="22"/>
      <c r="K1253" s="22"/>
      <c r="L1253" s="22"/>
      <c r="M1253" s="22"/>
      <c r="N1253" s="18"/>
      <c r="O1253" s="18"/>
      <c r="P1253" s="22"/>
      <c r="Q1253" s="22"/>
      <c r="R1253" s="22"/>
      <c r="S1253" s="22"/>
      <c r="T1253" s="22"/>
      <c r="U1253" s="22"/>
      <c r="V1253" s="22"/>
      <c r="W1253" s="18">
        <v>1.6263469411985652</v>
      </c>
      <c r="X1253" s="19"/>
      <c r="Y1253" s="18">
        <v>2.5883975942118482</v>
      </c>
      <c r="Z1253" s="22"/>
      <c r="AA1253" s="22"/>
      <c r="AB1253" s="22"/>
      <c r="AC1253" s="22"/>
      <c r="AD1253" s="22"/>
      <c r="AE1253" s="22"/>
      <c r="AF1253" s="18"/>
      <c r="AG1253" s="18"/>
      <c r="AH1253" s="18"/>
      <c r="AI1253" s="18"/>
      <c r="AK1253" s="18"/>
      <c r="AL1253" s="18"/>
      <c r="AM1253" s="40" t="s">
        <v>118</v>
      </c>
      <c r="AN1253" s="18"/>
      <c r="AO1253" s="22"/>
      <c r="AP1253" s="32"/>
      <c r="AQ1253" s="32"/>
      <c r="AR1253" s="32"/>
      <c r="AS1253" s="32"/>
      <c r="AT1253" s="32"/>
      <c r="AU1253" s="32"/>
      <c r="AV1253" s="32"/>
      <c r="AW1253" s="32"/>
      <c r="AX1253" s="32"/>
      <c r="AY1253" s="32"/>
      <c r="AZ1253" s="32"/>
      <c r="BA1253" s="32"/>
      <c r="BB1253" s="32"/>
      <c r="BC1253" s="32"/>
      <c r="BD1253" s="32"/>
      <c r="BE1253" s="32"/>
      <c r="BF1253" s="32"/>
      <c r="BG1253" s="32"/>
      <c r="BH1253" s="32"/>
      <c r="BI1253" s="32"/>
      <c r="BJ1253" s="22"/>
      <c r="BK1253" s="22"/>
      <c r="BL1253" s="22" t="s">
        <v>86</v>
      </c>
      <c r="BO1253" s="15"/>
    </row>
    <row r="1254" spans="1:67" s="5" customFormat="1">
      <c r="A1254" s="6" t="s">
        <v>88</v>
      </c>
      <c r="B1254" s="6"/>
      <c r="C1254" s="17">
        <v>35810.179800000005</v>
      </c>
      <c r="D1254" s="22">
        <v>15.001497088781102</v>
      </c>
      <c r="E1254" s="6"/>
      <c r="F1254" s="22"/>
      <c r="G1254" s="22"/>
      <c r="H1254" s="22"/>
      <c r="I1254" s="22"/>
      <c r="J1254" s="22"/>
      <c r="K1254" s="22"/>
      <c r="L1254" s="22"/>
      <c r="M1254" s="22"/>
      <c r="N1254" s="18"/>
      <c r="O1254" s="18"/>
      <c r="P1254" s="22"/>
      <c r="Q1254" s="22"/>
      <c r="R1254" s="22"/>
      <c r="S1254" s="22"/>
      <c r="T1254" s="22"/>
      <c r="U1254" s="22"/>
      <c r="V1254" s="22"/>
      <c r="W1254" s="18">
        <v>3.4224564503961372</v>
      </c>
      <c r="X1254" s="19"/>
      <c r="Y1254" s="18">
        <v>4.9036489038989819</v>
      </c>
      <c r="Z1254" s="22"/>
      <c r="AA1254" s="22"/>
      <c r="AB1254" s="22"/>
      <c r="AC1254" s="22"/>
      <c r="AD1254" s="22"/>
      <c r="AE1254" s="22"/>
      <c r="AF1254" s="18"/>
      <c r="AG1254" s="18"/>
      <c r="AH1254" s="18"/>
      <c r="AI1254" s="18"/>
      <c r="AK1254" s="18"/>
      <c r="AL1254" s="18"/>
      <c r="AM1254" s="40" t="s">
        <v>118</v>
      </c>
      <c r="AN1254" s="18"/>
      <c r="AO1254" s="22"/>
      <c r="AP1254" s="32"/>
      <c r="AQ1254" s="32"/>
      <c r="AR1254" s="32"/>
      <c r="AS1254" s="32"/>
      <c r="AT1254" s="32"/>
      <c r="AU1254" s="32"/>
      <c r="AV1254" s="32"/>
      <c r="AW1254" s="32"/>
      <c r="AX1254" s="32"/>
      <c r="AY1254" s="32"/>
      <c r="AZ1254" s="32"/>
      <c r="BA1254" s="32"/>
      <c r="BB1254" s="32"/>
      <c r="BC1254" s="32"/>
      <c r="BD1254" s="32"/>
      <c r="BE1254" s="32"/>
      <c r="BF1254" s="32"/>
      <c r="BG1254" s="32"/>
      <c r="BH1254" s="32"/>
      <c r="BI1254" s="32"/>
      <c r="BJ1254" s="22"/>
      <c r="BK1254" s="22"/>
      <c r="BL1254" s="22" t="s">
        <v>86</v>
      </c>
      <c r="BO1254" s="15"/>
    </row>
    <row r="1255" spans="1:67" s="5" customFormat="1">
      <c r="A1255" s="6" t="s">
        <v>87</v>
      </c>
      <c r="B1255" s="6"/>
      <c r="C1255" s="17">
        <v>35810.179800000005</v>
      </c>
      <c r="D1255" s="22">
        <v>15.001497088781102</v>
      </c>
      <c r="E1255" s="6"/>
      <c r="F1255" s="22"/>
      <c r="G1255" s="22"/>
      <c r="H1255" s="22"/>
      <c r="I1255" s="22"/>
      <c r="J1255" s="22"/>
      <c r="K1255" s="22"/>
      <c r="L1255" s="22"/>
      <c r="M1255" s="22"/>
      <c r="N1255" s="18"/>
      <c r="O1255" s="18"/>
      <c r="P1255" s="22"/>
      <c r="Q1255" s="22"/>
      <c r="R1255" s="22"/>
      <c r="S1255" s="22"/>
      <c r="T1255" s="22"/>
      <c r="U1255" s="22"/>
      <c r="V1255" s="22"/>
      <c r="W1255" s="18">
        <v>2.7580063238678503</v>
      </c>
      <c r="X1255" s="19"/>
      <c r="Y1255" s="18">
        <v>3.9696640554623617</v>
      </c>
      <c r="Z1255" s="22"/>
      <c r="AA1255" s="22"/>
      <c r="AB1255" s="22"/>
      <c r="AC1255" s="22"/>
      <c r="AD1255" s="22"/>
      <c r="AE1255" s="22"/>
      <c r="AF1255" s="18"/>
      <c r="AG1255" s="18"/>
      <c r="AH1255" s="18"/>
      <c r="AI1255" s="18"/>
      <c r="AK1255" s="18"/>
      <c r="AL1255" s="18"/>
      <c r="AM1255" s="40" t="s">
        <v>118</v>
      </c>
      <c r="AN1255" s="18"/>
      <c r="AO1255" s="22"/>
      <c r="AP1255" s="32"/>
      <c r="AQ1255" s="32"/>
      <c r="AR1255" s="32"/>
      <c r="AS1255" s="32"/>
      <c r="AT1255" s="32"/>
      <c r="AU1255" s="32"/>
      <c r="AV1255" s="32"/>
      <c r="AW1255" s="32"/>
      <c r="AX1255" s="32"/>
      <c r="AY1255" s="32"/>
      <c r="AZ1255" s="32"/>
      <c r="BA1255" s="32"/>
      <c r="BB1255" s="32"/>
      <c r="BC1255" s="32"/>
      <c r="BD1255" s="32"/>
      <c r="BE1255" s="32"/>
      <c r="BF1255" s="32"/>
      <c r="BG1255" s="32"/>
      <c r="BH1255" s="32"/>
      <c r="BI1255" s="32"/>
      <c r="BJ1255" s="22"/>
      <c r="BK1255" s="22"/>
      <c r="BL1255" s="22" t="s">
        <v>86</v>
      </c>
      <c r="BO1255" s="15"/>
    </row>
    <row r="1256" spans="1:67" s="5" customFormat="1">
      <c r="A1256" s="6" t="s">
        <v>89</v>
      </c>
      <c r="B1256" s="6"/>
      <c r="C1256" s="17">
        <v>35810.179800000005</v>
      </c>
      <c r="D1256" s="22">
        <v>15.001497088781102</v>
      </c>
      <c r="E1256" s="6"/>
      <c r="F1256" s="22"/>
      <c r="G1256" s="22"/>
      <c r="H1256" s="22"/>
      <c r="I1256" s="22"/>
      <c r="J1256" s="22"/>
      <c r="K1256" s="22"/>
      <c r="L1256" s="22"/>
      <c r="M1256" s="22"/>
      <c r="N1256" s="18"/>
      <c r="O1256" s="18"/>
      <c r="P1256" s="22"/>
      <c r="Q1256" s="22"/>
      <c r="R1256" s="22"/>
      <c r="S1256" s="22"/>
      <c r="T1256" s="22"/>
      <c r="U1256" s="22"/>
      <c r="V1256" s="22"/>
      <c r="W1256" s="18">
        <v>3.2955847994168561</v>
      </c>
      <c r="X1256" s="19"/>
      <c r="Y1256" s="18">
        <v>4.5005900833654291</v>
      </c>
      <c r="Z1256" s="22"/>
      <c r="AA1256" s="22"/>
      <c r="AB1256" s="22"/>
      <c r="AC1256" s="22"/>
      <c r="AD1256" s="22"/>
      <c r="AE1256" s="22"/>
      <c r="AF1256" s="18"/>
      <c r="AG1256" s="18"/>
      <c r="AH1256" s="18"/>
      <c r="AI1256" s="18"/>
      <c r="AK1256" s="18"/>
      <c r="AL1256" s="18"/>
      <c r="AM1256" s="40" t="s">
        <v>118</v>
      </c>
      <c r="AN1256" s="18"/>
      <c r="AO1256" s="22"/>
      <c r="AP1256" s="32"/>
      <c r="AQ1256" s="32"/>
      <c r="AR1256" s="32"/>
      <c r="AS1256" s="32"/>
      <c r="AT1256" s="32"/>
      <c r="AU1256" s="32"/>
      <c r="AV1256" s="32"/>
      <c r="AW1256" s="32"/>
      <c r="AX1256" s="32"/>
      <c r="AY1256" s="32"/>
      <c r="AZ1256" s="32"/>
      <c r="BA1256" s="32"/>
      <c r="BB1256" s="32"/>
      <c r="BC1256" s="32"/>
      <c r="BD1256" s="32"/>
      <c r="BE1256" s="32"/>
      <c r="BF1256" s="32"/>
      <c r="BG1256" s="32"/>
      <c r="BH1256" s="32"/>
      <c r="BI1256" s="32"/>
      <c r="BJ1256" s="22"/>
      <c r="BK1256" s="22"/>
      <c r="BL1256" s="22" t="s">
        <v>86</v>
      </c>
      <c r="BO1256" s="15"/>
    </row>
    <row r="1257" spans="1:67" s="5" customFormat="1">
      <c r="A1257" s="6" t="s">
        <v>90</v>
      </c>
      <c r="B1257" s="6"/>
      <c r="C1257" s="17">
        <v>35810.179800000005</v>
      </c>
      <c r="D1257" s="22">
        <v>15.001497088781102</v>
      </c>
      <c r="E1257" s="6"/>
      <c r="F1257" s="22"/>
      <c r="G1257" s="22"/>
      <c r="H1257" s="22"/>
      <c r="I1257" s="22"/>
      <c r="J1257" s="22"/>
      <c r="K1257" s="22"/>
      <c r="L1257" s="22"/>
      <c r="M1257" s="22"/>
      <c r="N1257" s="18"/>
      <c r="O1257" s="18"/>
      <c r="P1257" s="22"/>
      <c r="Q1257" s="22"/>
      <c r="R1257" s="22"/>
      <c r="S1257" s="22"/>
      <c r="T1257" s="22"/>
      <c r="U1257" s="22"/>
      <c r="V1257" s="22"/>
      <c r="W1257" s="18">
        <v>1.6098056395010172</v>
      </c>
      <c r="X1257" s="19"/>
      <c r="Y1257" s="18">
        <v>2.1017720679655842</v>
      </c>
      <c r="Z1257" s="22"/>
      <c r="AA1257" s="22"/>
      <c r="AB1257" s="22"/>
      <c r="AC1257" s="22"/>
      <c r="AD1257" s="22"/>
      <c r="AE1257" s="22"/>
      <c r="AF1257" s="18"/>
      <c r="AG1257" s="18"/>
      <c r="AH1257" s="18"/>
      <c r="AI1257" s="18"/>
      <c r="AK1257" s="18"/>
      <c r="AL1257" s="18"/>
      <c r="AM1257" s="40" t="s">
        <v>118</v>
      </c>
      <c r="AN1257" s="18"/>
      <c r="AO1257" s="22"/>
      <c r="AP1257" s="32"/>
      <c r="AQ1257" s="32"/>
      <c r="AR1257" s="32"/>
      <c r="AS1257" s="32"/>
      <c r="AT1257" s="32"/>
      <c r="AU1257" s="32"/>
      <c r="AV1257" s="32"/>
      <c r="AW1257" s="32"/>
      <c r="AX1257" s="32"/>
      <c r="AY1257" s="32"/>
      <c r="AZ1257" s="32"/>
      <c r="BA1257" s="32"/>
      <c r="BB1257" s="32"/>
      <c r="BC1257" s="32"/>
      <c r="BD1257" s="32"/>
      <c r="BE1257" s="32"/>
      <c r="BF1257" s="32"/>
      <c r="BG1257" s="32"/>
      <c r="BH1257" s="32"/>
      <c r="BI1257" s="32"/>
      <c r="BJ1257" s="22"/>
      <c r="BK1257" s="22"/>
      <c r="BL1257" s="22" t="s">
        <v>86</v>
      </c>
      <c r="BO1257" s="15"/>
    </row>
    <row r="1258" spans="1:67" s="5" customFormat="1">
      <c r="A1258" s="6" t="s">
        <v>92</v>
      </c>
      <c r="B1258" s="6"/>
      <c r="C1258" s="17">
        <v>35810.179800000005</v>
      </c>
      <c r="D1258" s="22">
        <v>15.001497088781102</v>
      </c>
      <c r="E1258" s="6"/>
      <c r="F1258" s="22"/>
      <c r="G1258" s="22"/>
      <c r="H1258" s="22"/>
      <c r="I1258" s="22"/>
      <c r="J1258" s="22"/>
      <c r="K1258" s="22"/>
      <c r="L1258" s="22"/>
      <c r="M1258" s="22"/>
      <c r="N1258" s="18"/>
      <c r="O1258" s="18"/>
      <c r="P1258" s="22"/>
      <c r="Q1258" s="22"/>
      <c r="R1258" s="22"/>
      <c r="S1258" s="22"/>
      <c r="T1258" s="22"/>
      <c r="U1258" s="22"/>
      <c r="V1258" s="22"/>
      <c r="W1258" s="18">
        <v>2.2373550571525884</v>
      </c>
      <c r="X1258" s="19"/>
      <c r="Y1258" s="18">
        <v>3.1925786019181368</v>
      </c>
      <c r="Z1258" s="22"/>
      <c r="AA1258" s="22"/>
      <c r="AB1258" s="22"/>
      <c r="AC1258" s="22"/>
      <c r="AD1258" s="22"/>
      <c r="AE1258" s="22"/>
      <c r="AF1258" s="18"/>
      <c r="AG1258" s="18"/>
      <c r="AH1258" s="18"/>
      <c r="AI1258" s="18"/>
      <c r="AK1258" s="18"/>
      <c r="AL1258" s="18"/>
      <c r="AM1258" s="40" t="s">
        <v>118</v>
      </c>
      <c r="AN1258" s="18"/>
      <c r="AO1258" s="22"/>
      <c r="AP1258" s="32"/>
      <c r="AQ1258" s="32"/>
      <c r="AR1258" s="32"/>
      <c r="AS1258" s="32"/>
      <c r="AT1258" s="32"/>
      <c r="AU1258" s="32"/>
      <c r="AV1258" s="32"/>
      <c r="AW1258" s="32"/>
      <c r="AX1258" s="32"/>
      <c r="AY1258" s="32"/>
      <c r="AZ1258" s="32"/>
      <c r="BA1258" s="32"/>
      <c r="BB1258" s="32"/>
      <c r="BC1258" s="32"/>
      <c r="BD1258" s="32"/>
      <c r="BE1258" s="32"/>
      <c r="BF1258" s="32"/>
      <c r="BG1258" s="32"/>
      <c r="BH1258" s="32"/>
      <c r="BI1258" s="32"/>
      <c r="BJ1258" s="22"/>
      <c r="BK1258" s="22"/>
      <c r="BL1258" s="22" t="s">
        <v>86</v>
      </c>
      <c r="BO1258" s="15"/>
    </row>
    <row r="1259" spans="1:67" s="5" customFormat="1">
      <c r="A1259" s="6" t="s">
        <v>91</v>
      </c>
      <c r="B1259" s="6"/>
      <c r="C1259" s="17">
        <v>35810.179800000005</v>
      </c>
      <c r="D1259" s="22">
        <v>15.001497088781102</v>
      </c>
      <c r="E1259" s="6"/>
      <c r="F1259" s="22"/>
      <c r="G1259" s="22"/>
      <c r="H1259" s="22"/>
      <c r="I1259" s="22"/>
      <c r="J1259" s="22"/>
      <c r="K1259" s="22"/>
      <c r="L1259" s="22"/>
      <c r="M1259" s="22"/>
      <c r="N1259" s="18"/>
      <c r="O1259" s="18"/>
      <c r="P1259" s="22"/>
      <c r="Q1259" s="22"/>
      <c r="R1259" s="22"/>
      <c r="S1259" s="22"/>
      <c r="T1259" s="22"/>
      <c r="U1259" s="22"/>
      <c r="V1259" s="22"/>
      <c r="W1259" s="18">
        <v>2.2000509716417485</v>
      </c>
      <c r="X1259" s="19"/>
      <c r="Y1259" s="18">
        <v>3.0197651052492529</v>
      </c>
      <c r="Z1259" s="22"/>
      <c r="AA1259" s="22"/>
      <c r="AB1259" s="22"/>
      <c r="AC1259" s="22"/>
      <c r="AD1259" s="22"/>
      <c r="AE1259" s="22"/>
      <c r="AF1259" s="18"/>
      <c r="AG1259" s="18"/>
      <c r="AH1259" s="18"/>
      <c r="AI1259" s="18"/>
      <c r="AK1259" s="18"/>
      <c r="AL1259" s="18"/>
      <c r="AM1259" s="40" t="s">
        <v>118</v>
      </c>
      <c r="AN1259" s="18"/>
      <c r="AO1259" s="22"/>
      <c r="AP1259" s="32"/>
      <c r="AQ1259" s="32"/>
      <c r="AR1259" s="32"/>
      <c r="AS1259" s="32"/>
      <c r="AT1259" s="32"/>
      <c r="AU1259" s="32"/>
      <c r="AV1259" s="32"/>
      <c r="AW1259" s="32"/>
      <c r="AX1259" s="32"/>
      <c r="AY1259" s="32"/>
      <c r="AZ1259" s="32"/>
      <c r="BA1259" s="32"/>
      <c r="BB1259" s="32"/>
      <c r="BC1259" s="32"/>
      <c r="BD1259" s="32"/>
      <c r="BE1259" s="32"/>
      <c r="BF1259" s="32"/>
      <c r="BG1259" s="32"/>
      <c r="BH1259" s="32"/>
      <c r="BI1259" s="32"/>
      <c r="BJ1259" s="22"/>
      <c r="BK1259" s="22"/>
      <c r="BL1259" s="22" t="s">
        <v>86</v>
      </c>
      <c r="BO1259" s="15"/>
    </row>
    <row r="1260" spans="1:67" s="5" customFormat="1">
      <c r="A1260" s="6" t="s">
        <v>93</v>
      </c>
      <c r="B1260" s="6"/>
      <c r="C1260" s="17">
        <v>35810.179800000005</v>
      </c>
      <c r="D1260" s="22">
        <v>15.001497088781102</v>
      </c>
      <c r="E1260" s="6"/>
      <c r="F1260" s="22"/>
      <c r="G1260" s="22"/>
      <c r="H1260" s="22"/>
      <c r="I1260" s="22"/>
      <c r="J1260" s="22"/>
      <c r="K1260" s="22"/>
      <c r="L1260" s="22"/>
      <c r="M1260" s="22"/>
      <c r="N1260" s="18"/>
      <c r="O1260" s="18"/>
      <c r="P1260" s="22"/>
      <c r="Q1260" s="22"/>
      <c r="R1260" s="22"/>
      <c r="S1260" s="22"/>
      <c r="T1260" s="22"/>
      <c r="U1260" s="22"/>
      <c r="V1260" s="22"/>
      <c r="W1260" s="18">
        <v>2.3925209791856989</v>
      </c>
      <c r="X1260" s="19"/>
      <c r="Y1260" s="18">
        <v>2.9888129265753967</v>
      </c>
      <c r="Z1260" s="22"/>
      <c r="AA1260" s="22"/>
      <c r="AB1260" s="22"/>
      <c r="AC1260" s="22"/>
      <c r="AD1260" s="22"/>
      <c r="AE1260" s="22"/>
      <c r="AF1260" s="18"/>
      <c r="AG1260" s="18"/>
      <c r="AH1260" s="18"/>
      <c r="AI1260" s="18"/>
      <c r="AK1260" s="18"/>
      <c r="AL1260" s="18"/>
      <c r="AM1260" s="40" t="s">
        <v>118</v>
      </c>
      <c r="AN1260" s="18"/>
      <c r="AO1260" s="22"/>
      <c r="AP1260" s="32"/>
      <c r="AQ1260" s="32"/>
      <c r="AR1260" s="32"/>
      <c r="AS1260" s="32"/>
      <c r="AT1260" s="32"/>
      <c r="AU1260" s="32"/>
      <c r="AV1260" s="32"/>
      <c r="AW1260" s="32"/>
      <c r="AX1260" s="32"/>
      <c r="AY1260" s="32"/>
      <c r="AZ1260" s="32"/>
      <c r="BA1260" s="32"/>
      <c r="BB1260" s="32"/>
      <c r="BC1260" s="32"/>
      <c r="BD1260" s="32"/>
      <c r="BE1260" s="32"/>
      <c r="BF1260" s="32"/>
      <c r="BG1260" s="32"/>
      <c r="BH1260" s="32"/>
      <c r="BI1260" s="32"/>
      <c r="BJ1260" s="22"/>
      <c r="BK1260" s="22"/>
      <c r="BL1260" s="22" t="s">
        <v>86</v>
      </c>
      <c r="BO1260" s="15"/>
    </row>
    <row r="1261" spans="1:67" s="5" customFormat="1">
      <c r="A1261" s="6" t="s">
        <v>85</v>
      </c>
      <c r="B1261" s="6"/>
      <c r="C1261" s="17">
        <v>36174.906400000007</v>
      </c>
      <c r="D1261" s="22">
        <v>16.000085422768802</v>
      </c>
      <c r="E1261" s="6">
        <v>74.295593730593737</v>
      </c>
      <c r="F1261" s="22">
        <v>1375.8429524999999</v>
      </c>
      <c r="G1261" s="22"/>
      <c r="H1261" s="22">
        <v>384.47597132831481</v>
      </c>
      <c r="I1261" s="22"/>
      <c r="J1261" s="22">
        <v>736.25173056374649</v>
      </c>
      <c r="K1261" s="22"/>
      <c r="L1261" s="22"/>
      <c r="M1261" s="22"/>
      <c r="N1261" s="18">
        <v>84.896503496503485</v>
      </c>
      <c r="O1261" s="18"/>
      <c r="P1261" s="22">
        <v>5154.0589015787509</v>
      </c>
      <c r="Q1261" s="22"/>
      <c r="R1261" s="22"/>
      <c r="S1261" s="22"/>
      <c r="T1261" s="22">
        <v>6274.7866034708122</v>
      </c>
      <c r="U1261" s="22"/>
      <c r="V1261" s="22"/>
      <c r="W1261" s="22"/>
      <c r="X1261" s="19"/>
      <c r="Y1261" s="22"/>
      <c r="Z1261" s="22"/>
      <c r="AA1261" s="22"/>
      <c r="AB1261" s="22"/>
      <c r="AC1261" s="22"/>
      <c r="AD1261" s="22"/>
      <c r="AE1261" s="22"/>
      <c r="AF1261" s="18"/>
      <c r="AG1261" s="18">
        <v>13.212297623709555</v>
      </c>
      <c r="AH1261" s="18"/>
      <c r="AI1261" s="18">
        <v>18.863247230234098</v>
      </c>
      <c r="AK1261" s="18"/>
      <c r="AL1261" s="18"/>
      <c r="AM1261" s="40">
        <v>5.3060031401889987</v>
      </c>
      <c r="AN1261" s="18"/>
      <c r="AO1261" s="22"/>
      <c r="AP1261" s="32"/>
      <c r="AQ1261" s="32"/>
      <c r="AR1261" s="32"/>
      <c r="AS1261" s="32"/>
      <c r="AT1261" s="32"/>
      <c r="AU1261" s="32"/>
      <c r="AV1261" s="32"/>
      <c r="AW1261" s="32"/>
      <c r="AX1261" s="32"/>
      <c r="AY1261" s="32"/>
      <c r="AZ1261" s="32"/>
      <c r="BA1261" s="32"/>
      <c r="BB1261" s="32"/>
      <c r="BC1261" s="32"/>
      <c r="BD1261" s="32"/>
      <c r="BE1261" s="32"/>
      <c r="BF1261" s="32"/>
      <c r="BG1261" s="32"/>
      <c r="BH1261" s="32"/>
      <c r="BI1261" s="32"/>
      <c r="BJ1261" s="22"/>
      <c r="BK1261" s="22"/>
      <c r="BL1261" s="22" t="s">
        <v>86</v>
      </c>
      <c r="BO1261" s="15"/>
    </row>
    <row r="1262" spans="1:67" s="5" customFormat="1">
      <c r="A1262" s="6" t="s">
        <v>88</v>
      </c>
      <c r="B1262" s="6"/>
      <c r="C1262" s="17">
        <v>36174.906400000007</v>
      </c>
      <c r="D1262" s="22">
        <v>16.000085422768802</v>
      </c>
      <c r="E1262" s="6">
        <v>70.823770823770829</v>
      </c>
      <c r="F1262" s="22">
        <v>1311.55</v>
      </c>
      <c r="G1262" s="22"/>
      <c r="H1262" s="22">
        <v>768.76320435666969</v>
      </c>
      <c r="I1262" s="22"/>
      <c r="J1262" s="22">
        <v>1989.3622968418845</v>
      </c>
      <c r="K1262" s="22"/>
      <c r="L1262" s="22"/>
      <c r="M1262" s="22"/>
      <c r="N1262" s="18">
        <v>258.27762237762238</v>
      </c>
      <c r="O1262" s="18"/>
      <c r="P1262" s="22">
        <v>14205.675807186777</v>
      </c>
      <c r="Q1262" s="22"/>
      <c r="R1262" s="22"/>
      <c r="S1262" s="22"/>
      <c r="T1262" s="22">
        <v>16963.801308385333</v>
      </c>
      <c r="U1262" s="22"/>
      <c r="V1262" s="22"/>
      <c r="W1262" s="22"/>
      <c r="X1262" s="19"/>
      <c r="Y1262" s="22"/>
      <c r="Z1262" s="22"/>
      <c r="AA1262" s="22"/>
      <c r="AB1262" s="22"/>
      <c r="AC1262" s="22"/>
      <c r="AD1262" s="22"/>
      <c r="AE1262" s="22"/>
      <c r="AF1262" s="18"/>
      <c r="AG1262" s="18">
        <v>19.64412643987032</v>
      </c>
      <c r="AH1262" s="18"/>
      <c r="AI1262" s="18">
        <v>39.75037136181372</v>
      </c>
      <c r="AK1262" s="18"/>
      <c r="AL1262" s="18"/>
      <c r="AM1262" s="40">
        <v>16.142265216289555</v>
      </c>
      <c r="AN1262" s="18"/>
      <c r="AO1262" s="22"/>
      <c r="AP1262" s="32"/>
      <c r="AQ1262" s="32"/>
      <c r="AR1262" s="32"/>
      <c r="AS1262" s="32"/>
      <c r="AT1262" s="32"/>
      <c r="AU1262" s="32"/>
      <c r="AV1262" s="32"/>
      <c r="AW1262" s="32"/>
      <c r="AX1262" s="32"/>
      <c r="AY1262" s="32"/>
      <c r="AZ1262" s="32"/>
      <c r="BA1262" s="32"/>
      <c r="BB1262" s="32"/>
      <c r="BC1262" s="32"/>
      <c r="BD1262" s="32"/>
      <c r="BE1262" s="32"/>
      <c r="BF1262" s="32"/>
      <c r="BG1262" s="32"/>
      <c r="BH1262" s="32"/>
      <c r="BI1262" s="32"/>
      <c r="BJ1262" s="22"/>
      <c r="BK1262" s="22"/>
      <c r="BL1262" s="22" t="s">
        <v>86</v>
      </c>
      <c r="BO1262" s="15"/>
    </row>
    <row r="1263" spans="1:67" s="5" customFormat="1">
      <c r="A1263" s="6" t="s">
        <v>87</v>
      </c>
      <c r="B1263" s="6"/>
      <c r="C1263" s="17">
        <v>36174.906400000007</v>
      </c>
      <c r="D1263" s="22">
        <v>16.000085422768802</v>
      </c>
      <c r="E1263" s="6">
        <v>75.68415624915626</v>
      </c>
      <c r="F1263" s="22">
        <v>1401.5570475</v>
      </c>
      <c r="G1263" s="22"/>
      <c r="H1263" s="22">
        <v>706.55032231530993</v>
      </c>
      <c r="I1263" s="22"/>
      <c r="J1263" s="22">
        <v>1741.3259744680661</v>
      </c>
      <c r="K1263" s="22"/>
      <c r="L1263" s="22"/>
      <c r="M1263" s="22"/>
      <c r="N1263" s="18">
        <v>218.51538461538459</v>
      </c>
      <c r="O1263" s="18"/>
      <c r="P1263" s="22">
        <v>12513.412285811657</v>
      </c>
      <c r="Q1263" s="22"/>
      <c r="R1263" s="22"/>
      <c r="S1263" s="22"/>
      <c r="T1263" s="22">
        <v>14961.288582595032</v>
      </c>
      <c r="U1263" s="22"/>
      <c r="V1263" s="22"/>
      <c r="W1263" s="22"/>
      <c r="X1263" s="19"/>
      <c r="Y1263" s="22"/>
      <c r="Z1263" s="22"/>
      <c r="AA1263" s="22"/>
      <c r="AB1263" s="22"/>
      <c r="AC1263" s="22"/>
      <c r="AD1263" s="22"/>
      <c r="AE1263" s="22"/>
      <c r="AF1263" s="18"/>
      <c r="AG1263" s="18">
        <v>18.276171521790044</v>
      </c>
      <c r="AH1263" s="18"/>
      <c r="AI1263" s="18">
        <v>36.768179478992067</v>
      </c>
      <c r="AK1263" s="18"/>
      <c r="AL1263" s="18"/>
      <c r="AM1263" s="40">
        <v>13.657138624049338</v>
      </c>
      <c r="AN1263" s="18"/>
      <c r="AO1263" s="22"/>
      <c r="AP1263" s="32"/>
      <c r="AQ1263" s="32"/>
      <c r="AR1263" s="32"/>
      <c r="AS1263" s="32"/>
      <c r="AT1263" s="32"/>
      <c r="AU1263" s="32"/>
      <c r="AV1263" s="32"/>
      <c r="AW1263" s="32"/>
      <c r="AX1263" s="32"/>
      <c r="AY1263" s="32"/>
      <c r="AZ1263" s="32"/>
      <c r="BA1263" s="32"/>
      <c r="BB1263" s="32"/>
      <c r="BC1263" s="32"/>
      <c r="BD1263" s="32"/>
      <c r="BE1263" s="32"/>
      <c r="BF1263" s="32"/>
      <c r="BG1263" s="32"/>
      <c r="BH1263" s="32"/>
      <c r="BI1263" s="32"/>
      <c r="BJ1263" s="22"/>
      <c r="BK1263" s="22"/>
      <c r="BL1263" s="22" t="s">
        <v>86</v>
      </c>
      <c r="BO1263" s="15"/>
    </row>
    <row r="1264" spans="1:67" s="5" customFormat="1">
      <c r="A1264" s="6" t="s">
        <v>89</v>
      </c>
      <c r="B1264" s="6"/>
      <c r="C1264" s="17">
        <v>36174.906400000007</v>
      </c>
      <c r="D1264" s="22">
        <v>16.000085422768802</v>
      </c>
      <c r="E1264" s="6">
        <v>75.68415624915626</v>
      </c>
      <c r="F1264" s="22">
        <v>1401.5570475</v>
      </c>
      <c r="G1264" s="22"/>
      <c r="H1264" s="22">
        <v>857.58086159568268</v>
      </c>
      <c r="I1264" s="22"/>
      <c r="J1264" s="22">
        <v>2248.0095563284094</v>
      </c>
      <c r="K1264" s="22"/>
      <c r="L1264" s="22"/>
      <c r="M1264" s="22"/>
      <c r="N1264" s="18">
        <v>285.80069930069925</v>
      </c>
      <c r="O1264" s="18"/>
      <c r="P1264" s="22">
        <v>16010.426568875579</v>
      </c>
      <c r="Q1264" s="22"/>
      <c r="R1264" s="22"/>
      <c r="S1264" s="22"/>
      <c r="T1264" s="22">
        <v>19116.01698679967</v>
      </c>
      <c r="U1264" s="22"/>
      <c r="V1264" s="22"/>
      <c r="W1264" s="22"/>
      <c r="X1264" s="19"/>
      <c r="Y1264" s="22"/>
      <c r="Z1264" s="22"/>
      <c r="AA1264" s="22"/>
      <c r="AB1264" s="22"/>
      <c r="AC1264" s="22"/>
      <c r="AD1264" s="22"/>
      <c r="AE1264" s="22"/>
      <c r="AF1264" s="18"/>
      <c r="AG1264" s="18">
        <v>20.038626343495711</v>
      </c>
      <c r="AH1264" s="18"/>
      <c r="AI1264" s="18">
        <v>44.201557314881697</v>
      </c>
      <c r="AK1264" s="18"/>
      <c r="AL1264" s="18"/>
      <c r="AM1264" s="40">
        <v>17.862448340056527</v>
      </c>
      <c r="AN1264" s="18"/>
      <c r="AO1264" s="22"/>
      <c r="AP1264" s="32"/>
      <c r="AQ1264" s="32"/>
      <c r="AR1264" s="32"/>
      <c r="AS1264" s="32"/>
      <c r="AT1264" s="32"/>
      <c r="AU1264" s="32"/>
      <c r="AV1264" s="32"/>
      <c r="AW1264" s="32"/>
      <c r="AX1264" s="32"/>
      <c r="AY1264" s="32"/>
      <c r="AZ1264" s="32"/>
      <c r="BA1264" s="32"/>
      <c r="BB1264" s="32"/>
      <c r="BC1264" s="32"/>
      <c r="BD1264" s="32"/>
      <c r="BE1264" s="32"/>
      <c r="BF1264" s="32"/>
      <c r="BG1264" s="32"/>
      <c r="BH1264" s="32"/>
      <c r="BI1264" s="32"/>
      <c r="BJ1264" s="22"/>
      <c r="BK1264" s="22"/>
      <c r="BL1264" s="22" t="s">
        <v>86</v>
      </c>
      <c r="BO1264" s="15"/>
    </row>
    <row r="1265" spans="1:67" s="5" customFormat="1">
      <c r="A1265" s="6" t="s">
        <v>90</v>
      </c>
      <c r="B1265" s="6"/>
      <c r="C1265" s="17">
        <v>36174.906400000007</v>
      </c>
      <c r="D1265" s="22">
        <v>16.000085422768802</v>
      </c>
      <c r="E1265" s="6">
        <v>65.963385398385398</v>
      </c>
      <c r="F1265" s="22">
        <v>1221.5429525</v>
      </c>
      <c r="G1265" s="22"/>
      <c r="H1265" s="22">
        <v>593.44333580347939</v>
      </c>
      <c r="I1265" s="22"/>
      <c r="J1265" s="22">
        <v>881.51384329855114</v>
      </c>
      <c r="K1265" s="22"/>
      <c r="L1265" s="22"/>
      <c r="M1265" s="22"/>
      <c r="N1265" s="18">
        <v>113.2965034965035</v>
      </c>
      <c r="O1265" s="18"/>
      <c r="P1265" s="22">
        <v>8376.9715914995941</v>
      </c>
      <c r="Q1265" s="22"/>
      <c r="R1265" s="22"/>
      <c r="S1265" s="22"/>
      <c r="T1265" s="22">
        <v>9851.9287706016257</v>
      </c>
      <c r="U1265" s="22"/>
      <c r="V1265" s="22"/>
      <c r="W1265" s="22"/>
      <c r="X1265" s="19"/>
      <c r="Y1265" s="22"/>
      <c r="Z1265" s="22"/>
      <c r="AA1265" s="22"/>
      <c r="AB1265" s="22"/>
      <c r="AC1265" s="22"/>
      <c r="AD1265" s="22"/>
      <c r="AE1265" s="22"/>
      <c r="AF1265" s="18"/>
      <c r="AG1265" s="18">
        <v>15.241158304551655</v>
      </c>
      <c r="AH1265" s="18"/>
      <c r="AI1265" s="18">
        <v>22.286177610888032</v>
      </c>
      <c r="AK1265" s="18"/>
      <c r="AL1265" s="18"/>
      <c r="AM1265" s="40">
        <v>7.0809936636511805</v>
      </c>
      <c r="AN1265" s="18"/>
      <c r="AO1265" s="22"/>
      <c r="AP1265" s="32"/>
      <c r="AQ1265" s="32"/>
      <c r="AR1265" s="32"/>
      <c r="AS1265" s="32"/>
      <c r="AT1265" s="32"/>
      <c r="AU1265" s="32"/>
      <c r="AV1265" s="32"/>
      <c r="AW1265" s="32"/>
      <c r="AX1265" s="32"/>
      <c r="AY1265" s="32"/>
      <c r="AZ1265" s="32"/>
      <c r="BA1265" s="32"/>
      <c r="BB1265" s="32"/>
      <c r="BC1265" s="32"/>
      <c r="BD1265" s="32"/>
      <c r="BE1265" s="32"/>
      <c r="BF1265" s="32"/>
      <c r="BG1265" s="32"/>
      <c r="BH1265" s="32"/>
      <c r="BI1265" s="32"/>
      <c r="BJ1265" s="22"/>
      <c r="BK1265" s="22"/>
      <c r="BL1265" s="22" t="s">
        <v>86</v>
      </c>
      <c r="BO1265" s="15"/>
    </row>
    <row r="1266" spans="1:67" s="5" customFormat="1">
      <c r="A1266" s="6" t="s">
        <v>92</v>
      </c>
      <c r="B1266" s="6"/>
      <c r="C1266" s="17">
        <v>36174.906400000007</v>
      </c>
      <c r="D1266" s="22">
        <v>16.000085422768802</v>
      </c>
      <c r="E1266" s="6">
        <v>64.574614574614571</v>
      </c>
      <c r="F1266" s="22">
        <v>1195.825</v>
      </c>
      <c r="G1266" s="22"/>
      <c r="H1266" s="22">
        <v>928.27561619497851</v>
      </c>
      <c r="I1266" s="22"/>
      <c r="J1266" s="22">
        <v>1776.623328744018</v>
      </c>
      <c r="K1266" s="22"/>
      <c r="L1266" s="22"/>
      <c r="M1266" s="22"/>
      <c r="N1266" s="18">
        <v>197.68811188811188</v>
      </c>
      <c r="O1266" s="18"/>
      <c r="P1266" s="22">
        <v>14585.999329375045</v>
      </c>
      <c r="Q1266" s="22"/>
      <c r="R1266" s="22"/>
      <c r="S1266" s="22"/>
      <c r="T1266" s="22">
        <v>17290.89827431404</v>
      </c>
      <c r="U1266" s="22"/>
      <c r="V1266" s="22"/>
      <c r="W1266" s="22"/>
      <c r="X1266" s="19"/>
      <c r="Y1266" s="22"/>
      <c r="Z1266" s="22"/>
      <c r="AA1266" s="22"/>
      <c r="AB1266" s="22"/>
      <c r="AC1266" s="22"/>
      <c r="AD1266" s="22"/>
      <c r="AE1266" s="22"/>
      <c r="AF1266" s="18"/>
      <c r="AG1266" s="18">
        <v>18.831639991142762</v>
      </c>
      <c r="AH1266" s="18"/>
      <c r="AI1266" s="18">
        <v>33.306945901112698</v>
      </c>
      <c r="AK1266" s="18"/>
      <c r="AL1266" s="18"/>
      <c r="AM1266" s="40">
        <v>12.355441028258092</v>
      </c>
      <c r="AN1266" s="18"/>
      <c r="AO1266" s="22"/>
      <c r="AP1266" s="32"/>
      <c r="AQ1266" s="32"/>
      <c r="AR1266" s="32"/>
      <c r="AS1266" s="32"/>
      <c r="AT1266" s="32"/>
      <c r="AU1266" s="32"/>
      <c r="AV1266" s="32"/>
      <c r="AW1266" s="32"/>
      <c r="AX1266" s="32"/>
      <c r="AY1266" s="32"/>
      <c r="AZ1266" s="32"/>
      <c r="BA1266" s="32"/>
      <c r="BB1266" s="32"/>
      <c r="BC1266" s="32"/>
      <c r="BD1266" s="32"/>
      <c r="BE1266" s="32"/>
      <c r="BF1266" s="32"/>
      <c r="BG1266" s="32"/>
      <c r="BH1266" s="32"/>
      <c r="BI1266" s="32"/>
      <c r="BJ1266" s="22"/>
      <c r="BK1266" s="22"/>
      <c r="BL1266" s="22" t="s">
        <v>86</v>
      </c>
      <c r="BO1266" s="15"/>
    </row>
    <row r="1267" spans="1:67" s="5" customFormat="1">
      <c r="A1267" s="6" t="s">
        <v>91</v>
      </c>
      <c r="B1267" s="6"/>
      <c r="C1267" s="17">
        <v>36174.906400000007</v>
      </c>
      <c r="D1267" s="22">
        <v>16.000085422768802</v>
      </c>
      <c r="E1267" s="6">
        <v>69.435000000000002</v>
      </c>
      <c r="F1267" s="22">
        <v>1285.8320475</v>
      </c>
      <c r="G1267" s="22"/>
      <c r="H1267" s="22">
        <v>959.50887628208443</v>
      </c>
      <c r="I1267" s="22"/>
      <c r="J1267" s="22">
        <v>1804.5964000270967</v>
      </c>
      <c r="K1267" s="22"/>
      <c r="L1267" s="22"/>
      <c r="M1267" s="22"/>
      <c r="N1267" s="18">
        <v>208.53286713286712</v>
      </c>
      <c r="O1267" s="18"/>
      <c r="P1267" s="22">
        <v>14994.994458014678</v>
      </c>
      <c r="Q1267" s="22"/>
      <c r="R1267" s="22"/>
      <c r="S1267" s="22"/>
      <c r="T1267" s="22">
        <v>17759.09973432386</v>
      </c>
      <c r="U1267" s="22"/>
      <c r="V1267" s="22"/>
      <c r="W1267" s="22"/>
      <c r="X1267" s="19"/>
      <c r="Y1267" s="22"/>
      <c r="Z1267" s="22"/>
      <c r="AA1267" s="22"/>
      <c r="AB1267" s="22"/>
      <c r="AC1267" s="22"/>
      <c r="AD1267" s="22"/>
      <c r="AE1267" s="22"/>
      <c r="AF1267" s="18"/>
      <c r="AG1267" s="18">
        <v>18.52347525544911</v>
      </c>
      <c r="AH1267" s="18"/>
      <c r="AI1267" s="18">
        <v>34.651343819290823</v>
      </c>
      <c r="AK1267" s="18"/>
      <c r="AL1267" s="18"/>
      <c r="AM1267" s="40">
        <v>13.033234612367506</v>
      </c>
      <c r="AN1267" s="18"/>
      <c r="AO1267" s="22"/>
      <c r="AP1267" s="32"/>
      <c r="AQ1267" s="32"/>
      <c r="AR1267" s="32"/>
      <c r="AS1267" s="32"/>
      <c r="AT1267" s="32"/>
      <c r="AU1267" s="32"/>
      <c r="AV1267" s="32"/>
      <c r="AW1267" s="32"/>
      <c r="AX1267" s="32"/>
      <c r="AY1267" s="32"/>
      <c r="AZ1267" s="32"/>
      <c r="BA1267" s="32"/>
      <c r="BB1267" s="32"/>
      <c r="BC1267" s="32"/>
      <c r="BD1267" s="32"/>
      <c r="BE1267" s="32"/>
      <c r="BF1267" s="32"/>
      <c r="BG1267" s="32"/>
      <c r="BH1267" s="32"/>
      <c r="BI1267" s="32"/>
      <c r="BJ1267" s="22"/>
      <c r="BK1267" s="22"/>
      <c r="BL1267" s="22" t="s">
        <v>86</v>
      </c>
      <c r="BO1267" s="15"/>
    </row>
    <row r="1268" spans="1:67" s="5" customFormat="1">
      <c r="A1268" s="6" t="s">
        <v>93</v>
      </c>
      <c r="B1268" s="6"/>
      <c r="C1268" s="17">
        <v>36174.906400000007</v>
      </c>
      <c r="D1268" s="22">
        <v>16.000085422768802</v>
      </c>
      <c r="E1268" s="6">
        <v>62.49156249156249</v>
      </c>
      <c r="F1268" s="22">
        <v>1157.25</v>
      </c>
      <c r="G1268" s="22"/>
      <c r="H1268" s="22">
        <v>1119.9030123651116</v>
      </c>
      <c r="I1268" s="22"/>
      <c r="J1268" s="22">
        <v>2336.2681685595567</v>
      </c>
      <c r="K1268" s="22"/>
      <c r="L1268" s="22"/>
      <c r="M1268" s="22"/>
      <c r="N1268" s="18">
        <v>238.85174825174823</v>
      </c>
      <c r="O1268" s="18"/>
      <c r="P1268" s="22">
        <v>17949.359067539241</v>
      </c>
      <c r="Q1268" s="22"/>
      <c r="R1268" s="22"/>
      <c r="S1268" s="22"/>
      <c r="T1268" s="22">
        <v>21405.530248463907</v>
      </c>
      <c r="U1268" s="22"/>
      <c r="V1268" s="22"/>
      <c r="W1268" s="22"/>
      <c r="X1268" s="19"/>
      <c r="Y1268" s="22"/>
      <c r="Z1268" s="22"/>
      <c r="AA1268" s="22"/>
      <c r="AB1268" s="22"/>
      <c r="AC1268" s="22"/>
      <c r="AD1268" s="22"/>
      <c r="AE1268" s="22"/>
      <c r="AF1268" s="18"/>
      <c r="AG1268" s="18">
        <v>20.569421881851127</v>
      </c>
      <c r="AH1268" s="18"/>
      <c r="AI1268" s="18">
        <v>38.455836070517897</v>
      </c>
      <c r="AK1268" s="18"/>
      <c r="AL1268" s="18"/>
      <c r="AM1268" s="40">
        <v>14.928154565465759</v>
      </c>
      <c r="AN1268" s="18"/>
      <c r="AO1268" s="22"/>
      <c r="AP1268" s="32"/>
      <c r="AQ1268" s="32"/>
      <c r="AR1268" s="32"/>
      <c r="AS1268" s="32"/>
      <c r="AT1268" s="32"/>
      <c r="AU1268" s="32"/>
      <c r="AV1268" s="32"/>
      <c r="AW1268" s="32"/>
      <c r="AX1268" s="32"/>
      <c r="AY1268" s="32"/>
      <c r="AZ1268" s="32"/>
      <c r="BA1268" s="32"/>
      <c r="BB1268" s="32"/>
      <c r="BC1268" s="32"/>
      <c r="BD1268" s="32"/>
      <c r="BE1268" s="32"/>
      <c r="BF1268" s="32"/>
      <c r="BG1268" s="32"/>
      <c r="BH1268" s="32"/>
      <c r="BI1268" s="32"/>
      <c r="BJ1268" s="22"/>
      <c r="BK1268" s="22"/>
      <c r="BL1268" s="22" t="s">
        <v>86</v>
      </c>
      <c r="BO1268" s="15"/>
    </row>
    <row r="1269" spans="1:67" s="5" customFormat="1">
      <c r="A1269" s="6" t="s">
        <v>85</v>
      </c>
      <c r="B1269" s="6"/>
      <c r="C1269" s="17">
        <v>36175.422000000006</v>
      </c>
      <c r="D1269" s="22">
        <v>16.001497088781104</v>
      </c>
      <c r="E1269" s="6"/>
      <c r="F1269" s="22"/>
      <c r="G1269" s="22"/>
      <c r="H1269" s="22"/>
      <c r="I1269" s="22"/>
      <c r="J1269" s="22"/>
      <c r="K1269" s="22"/>
      <c r="L1269" s="22"/>
      <c r="M1269" s="22"/>
      <c r="N1269" s="18"/>
      <c r="O1269" s="18"/>
      <c r="P1269" s="22"/>
      <c r="Q1269" s="22"/>
      <c r="R1269" s="22"/>
      <c r="S1269" s="22"/>
      <c r="T1269" s="22"/>
      <c r="U1269" s="22"/>
      <c r="V1269" s="22"/>
      <c r="W1269" s="18">
        <v>1.4025448734557979</v>
      </c>
      <c r="X1269" s="19"/>
      <c r="Y1269" s="18">
        <v>2.3910124904904841</v>
      </c>
      <c r="Z1269" s="22"/>
      <c r="AA1269" s="22"/>
      <c r="AB1269" s="22"/>
      <c r="AC1269" s="22"/>
      <c r="AD1269" s="22"/>
      <c r="AE1269" s="22"/>
      <c r="AF1269" s="18"/>
      <c r="AG1269" s="18"/>
      <c r="AH1269" s="18"/>
      <c r="AI1269" s="18"/>
      <c r="AK1269" s="18"/>
      <c r="AL1269" s="18"/>
      <c r="AM1269" s="40" t="s">
        <v>118</v>
      </c>
      <c r="AN1269" s="18"/>
      <c r="AO1269" s="22"/>
      <c r="AP1269" s="32"/>
      <c r="AQ1269" s="32"/>
      <c r="AR1269" s="32"/>
      <c r="AS1269" s="32"/>
      <c r="AT1269" s="32"/>
      <c r="AU1269" s="32"/>
      <c r="AV1269" s="32"/>
      <c r="AW1269" s="32"/>
      <c r="AX1269" s="32"/>
      <c r="AY1269" s="32"/>
      <c r="AZ1269" s="32"/>
      <c r="BA1269" s="32"/>
      <c r="BB1269" s="32"/>
      <c r="BC1269" s="32"/>
      <c r="BD1269" s="32"/>
      <c r="BE1269" s="32"/>
      <c r="BF1269" s="32"/>
      <c r="BG1269" s="32"/>
      <c r="BH1269" s="32"/>
      <c r="BI1269" s="32"/>
      <c r="BJ1269" s="22"/>
      <c r="BK1269" s="22"/>
      <c r="BL1269" s="22" t="s">
        <v>86</v>
      </c>
      <c r="BO1269" s="15"/>
    </row>
    <row r="1270" spans="1:67" s="5" customFormat="1">
      <c r="A1270" s="6" t="s">
        <v>88</v>
      </c>
      <c r="B1270" s="6"/>
      <c r="C1270" s="17">
        <v>36175.422000000006</v>
      </c>
      <c r="D1270" s="22">
        <v>16.001497088781104</v>
      </c>
      <c r="E1270" s="6"/>
      <c r="F1270" s="22"/>
      <c r="G1270" s="22"/>
      <c r="H1270" s="22"/>
      <c r="I1270" s="22"/>
      <c r="J1270" s="22"/>
      <c r="K1270" s="22"/>
      <c r="L1270" s="22"/>
      <c r="M1270" s="22"/>
      <c r="N1270" s="18"/>
      <c r="O1270" s="18"/>
      <c r="P1270" s="22"/>
      <c r="Q1270" s="22"/>
      <c r="R1270" s="22"/>
      <c r="S1270" s="22"/>
      <c r="T1270" s="22"/>
      <c r="U1270" s="22"/>
      <c r="V1270" s="22"/>
      <c r="W1270" s="18">
        <v>3.439391744307819</v>
      </c>
      <c r="X1270" s="19"/>
      <c r="Y1270" s="18">
        <v>4.6993945804513002</v>
      </c>
      <c r="Z1270" s="22"/>
      <c r="AA1270" s="22"/>
      <c r="AB1270" s="22"/>
      <c r="AC1270" s="22"/>
      <c r="AD1270" s="22"/>
      <c r="AE1270" s="22"/>
      <c r="AF1270" s="18"/>
      <c r="AG1270" s="18"/>
      <c r="AH1270" s="18"/>
      <c r="AI1270" s="18"/>
      <c r="AK1270" s="18"/>
      <c r="AL1270" s="18"/>
      <c r="AM1270" s="40" t="s">
        <v>118</v>
      </c>
      <c r="AN1270" s="18"/>
      <c r="AO1270" s="22"/>
      <c r="AP1270" s="32"/>
      <c r="AQ1270" s="32"/>
      <c r="AR1270" s="32"/>
      <c r="AS1270" s="32"/>
      <c r="AT1270" s="32"/>
      <c r="AU1270" s="32"/>
      <c r="AV1270" s="32"/>
      <c r="AW1270" s="32"/>
      <c r="AX1270" s="32"/>
      <c r="AY1270" s="32"/>
      <c r="AZ1270" s="32"/>
      <c r="BA1270" s="32"/>
      <c r="BB1270" s="32"/>
      <c r="BC1270" s="32"/>
      <c r="BD1270" s="32"/>
      <c r="BE1270" s="32"/>
      <c r="BF1270" s="32"/>
      <c r="BG1270" s="32"/>
      <c r="BH1270" s="32"/>
      <c r="BI1270" s="32"/>
      <c r="BJ1270" s="22"/>
      <c r="BK1270" s="22"/>
      <c r="BL1270" s="22" t="s">
        <v>86</v>
      </c>
      <c r="BO1270" s="15"/>
    </row>
    <row r="1271" spans="1:67" s="5" customFormat="1">
      <c r="A1271" s="6" t="s">
        <v>87</v>
      </c>
      <c r="B1271" s="6"/>
      <c r="C1271" s="17">
        <v>36175.422000000006</v>
      </c>
      <c r="D1271" s="22">
        <v>16.001497088781104</v>
      </c>
      <c r="E1271" s="6"/>
      <c r="F1271" s="22"/>
      <c r="G1271" s="22"/>
      <c r="H1271" s="22"/>
      <c r="I1271" s="22"/>
      <c r="J1271" s="22"/>
      <c r="K1271" s="22"/>
      <c r="L1271" s="22"/>
      <c r="M1271" s="22"/>
      <c r="N1271" s="18"/>
      <c r="O1271" s="18"/>
      <c r="P1271" s="22"/>
      <c r="Q1271" s="22"/>
      <c r="R1271" s="22"/>
      <c r="S1271" s="22"/>
      <c r="T1271" s="22"/>
      <c r="U1271" s="22"/>
      <c r="V1271" s="22"/>
      <c r="W1271" s="18">
        <v>2.2851993987121171</v>
      </c>
      <c r="X1271" s="19"/>
      <c r="Y1271" s="18">
        <v>3.4684401688317066</v>
      </c>
      <c r="Z1271" s="22"/>
      <c r="AA1271" s="22"/>
      <c r="AB1271" s="22"/>
      <c r="AC1271" s="22"/>
      <c r="AD1271" s="22"/>
      <c r="AE1271" s="22"/>
      <c r="AF1271" s="18"/>
      <c r="AG1271" s="18"/>
      <c r="AH1271" s="18"/>
      <c r="AI1271" s="18"/>
      <c r="AK1271" s="18"/>
      <c r="AL1271" s="18"/>
      <c r="AM1271" s="40" t="s">
        <v>118</v>
      </c>
      <c r="AN1271" s="18"/>
      <c r="AO1271" s="22"/>
      <c r="AP1271" s="32"/>
      <c r="AQ1271" s="32"/>
      <c r="AR1271" s="32"/>
      <c r="AS1271" s="32"/>
      <c r="AT1271" s="32"/>
      <c r="AU1271" s="32"/>
      <c r="AV1271" s="32"/>
      <c r="AW1271" s="32"/>
      <c r="AX1271" s="32"/>
      <c r="AY1271" s="32"/>
      <c r="AZ1271" s="32"/>
      <c r="BA1271" s="32"/>
      <c r="BB1271" s="32"/>
      <c r="BC1271" s="32"/>
      <c r="BD1271" s="32"/>
      <c r="BE1271" s="32"/>
      <c r="BF1271" s="32"/>
      <c r="BG1271" s="32"/>
      <c r="BH1271" s="32"/>
      <c r="BI1271" s="32"/>
      <c r="BJ1271" s="22"/>
      <c r="BK1271" s="22"/>
      <c r="BL1271" s="22" t="s">
        <v>86</v>
      </c>
      <c r="BO1271" s="15"/>
    </row>
    <row r="1272" spans="1:67" s="5" customFormat="1">
      <c r="A1272" s="6" t="s">
        <v>89</v>
      </c>
      <c r="B1272" s="6"/>
      <c r="C1272" s="17">
        <v>36175.422000000006</v>
      </c>
      <c r="D1272" s="22">
        <v>16.001497088781104</v>
      </c>
      <c r="E1272" s="6"/>
      <c r="F1272" s="22"/>
      <c r="G1272" s="22"/>
      <c r="H1272" s="22"/>
      <c r="I1272" s="22"/>
      <c r="J1272" s="22"/>
      <c r="K1272" s="22"/>
      <c r="L1272" s="22"/>
      <c r="M1272" s="22"/>
      <c r="N1272" s="18"/>
      <c r="O1272" s="18"/>
      <c r="P1272" s="22"/>
      <c r="Q1272" s="22"/>
      <c r="R1272" s="22"/>
      <c r="S1272" s="22"/>
      <c r="T1272" s="22"/>
      <c r="U1272" s="22"/>
      <c r="V1272" s="22"/>
      <c r="W1272" s="18">
        <v>3.4088391037659274</v>
      </c>
      <c r="X1272" s="19"/>
      <c r="Y1272" s="18">
        <v>4.5788714090635638</v>
      </c>
      <c r="Z1272" s="22"/>
      <c r="AA1272" s="22"/>
      <c r="AB1272" s="22"/>
      <c r="AC1272" s="22"/>
      <c r="AD1272" s="22"/>
      <c r="AE1272" s="22"/>
      <c r="AF1272" s="18"/>
      <c r="AG1272" s="18"/>
      <c r="AH1272" s="18"/>
      <c r="AI1272" s="18"/>
      <c r="AK1272" s="18"/>
      <c r="AL1272" s="18"/>
      <c r="AM1272" s="40" t="s">
        <v>118</v>
      </c>
      <c r="AN1272" s="18"/>
      <c r="AO1272" s="22"/>
      <c r="AP1272" s="32"/>
      <c r="AQ1272" s="32"/>
      <c r="AR1272" s="32"/>
      <c r="AS1272" s="32"/>
      <c r="AT1272" s="32"/>
      <c r="AU1272" s="32"/>
      <c r="AV1272" s="32"/>
      <c r="AW1272" s="32"/>
      <c r="AX1272" s="32"/>
      <c r="AY1272" s="32"/>
      <c r="AZ1272" s="32"/>
      <c r="BA1272" s="32"/>
      <c r="BB1272" s="32"/>
      <c r="BC1272" s="32"/>
      <c r="BD1272" s="32"/>
      <c r="BE1272" s="32"/>
      <c r="BF1272" s="32"/>
      <c r="BG1272" s="32"/>
      <c r="BH1272" s="32"/>
      <c r="BI1272" s="32"/>
      <c r="BJ1272" s="22"/>
      <c r="BK1272" s="22"/>
      <c r="BL1272" s="22" t="s">
        <v>86</v>
      </c>
      <c r="BO1272" s="15"/>
    </row>
    <row r="1273" spans="1:67" s="5" customFormat="1">
      <c r="A1273" s="6" t="s">
        <v>90</v>
      </c>
      <c r="B1273" s="6"/>
      <c r="C1273" s="17">
        <v>36175.422000000006</v>
      </c>
      <c r="D1273" s="22">
        <v>16.001497088781104</v>
      </c>
      <c r="E1273" s="6"/>
      <c r="F1273" s="22"/>
      <c r="G1273" s="22"/>
      <c r="H1273" s="22"/>
      <c r="I1273" s="22"/>
      <c r="J1273" s="22"/>
      <c r="K1273" s="22"/>
      <c r="L1273" s="22"/>
      <c r="M1273" s="22"/>
      <c r="N1273" s="18"/>
      <c r="O1273" s="18"/>
      <c r="P1273" s="22"/>
      <c r="Q1273" s="22"/>
      <c r="R1273" s="22"/>
      <c r="S1273" s="22"/>
      <c r="T1273" s="22"/>
      <c r="U1273" s="22"/>
      <c r="V1273" s="22"/>
      <c r="W1273" s="18">
        <v>1.4965464977925194</v>
      </c>
      <c r="X1273" s="19"/>
      <c r="Y1273" s="18">
        <v>2.1204048660073402</v>
      </c>
      <c r="Z1273" s="22"/>
      <c r="AA1273" s="22"/>
      <c r="AB1273" s="22"/>
      <c r="AC1273" s="22"/>
      <c r="AD1273" s="22"/>
      <c r="AE1273" s="22"/>
      <c r="AF1273" s="18"/>
      <c r="AG1273" s="18"/>
      <c r="AH1273" s="18"/>
      <c r="AI1273" s="18"/>
      <c r="AK1273" s="18"/>
      <c r="AL1273" s="18"/>
      <c r="AM1273" s="40" t="s">
        <v>118</v>
      </c>
      <c r="AN1273" s="18"/>
      <c r="AO1273" s="22"/>
      <c r="AP1273" s="32"/>
      <c r="AQ1273" s="32"/>
      <c r="AR1273" s="32"/>
      <c r="AS1273" s="32"/>
      <c r="AT1273" s="32"/>
      <c r="AU1273" s="32"/>
      <c r="AV1273" s="32"/>
      <c r="AW1273" s="32"/>
      <c r="AX1273" s="32"/>
      <c r="AY1273" s="32"/>
      <c r="AZ1273" s="32"/>
      <c r="BA1273" s="32"/>
      <c r="BB1273" s="32"/>
      <c r="BC1273" s="32"/>
      <c r="BD1273" s="32"/>
      <c r="BE1273" s="32"/>
      <c r="BF1273" s="32"/>
      <c r="BG1273" s="32"/>
      <c r="BH1273" s="32"/>
      <c r="BI1273" s="32"/>
      <c r="BJ1273" s="22"/>
      <c r="BK1273" s="22"/>
      <c r="BL1273" s="22" t="s">
        <v>86</v>
      </c>
      <c r="BO1273" s="15"/>
    </row>
    <row r="1274" spans="1:67" s="5" customFormat="1">
      <c r="A1274" s="6" t="s">
        <v>92</v>
      </c>
      <c r="B1274" s="6"/>
      <c r="C1274" s="17">
        <v>36175.422000000006</v>
      </c>
      <c r="D1274" s="22">
        <v>16.001497088781104</v>
      </c>
      <c r="E1274" s="6"/>
      <c r="F1274" s="22"/>
      <c r="G1274" s="22"/>
      <c r="H1274" s="22"/>
      <c r="I1274" s="22"/>
      <c r="J1274" s="22"/>
      <c r="K1274" s="22"/>
      <c r="L1274" s="22"/>
      <c r="M1274" s="22"/>
      <c r="N1274" s="18"/>
      <c r="O1274" s="18"/>
      <c r="P1274" s="22"/>
      <c r="Q1274" s="22"/>
      <c r="R1274" s="22"/>
      <c r="S1274" s="22"/>
      <c r="T1274" s="22"/>
      <c r="U1274" s="22"/>
      <c r="V1274" s="22"/>
      <c r="W1274" s="18">
        <v>2.4524097686203481</v>
      </c>
      <c r="X1274" s="19"/>
      <c r="Y1274" s="18">
        <v>3.6599236628586165</v>
      </c>
      <c r="Z1274" s="22"/>
      <c r="AA1274" s="22"/>
      <c r="AB1274" s="22"/>
      <c r="AC1274" s="22"/>
      <c r="AD1274" s="22"/>
      <c r="AE1274" s="22"/>
      <c r="AF1274" s="18"/>
      <c r="AG1274" s="18"/>
      <c r="AH1274" s="18"/>
      <c r="AI1274" s="18"/>
      <c r="AK1274" s="18"/>
      <c r="AL1274" s="18"/>
      <c r="AM1274" s="40" t="s">
        <v>118</v>
      </c>
      <c r="AN1274" s="18"/>
      <c r="AO1274" s="22"/>
      <c r="AP1274" s="32"/>
      <c r="AQ1274" s="32"/>
      <c r="AR1274" s="32"/>
      <c r="AS1274" s="32"/>
      <c r="AT1274" s="32"/>
      <c r="AU1274" s="32"/>
      <c r="AV1274" s="32"/>
      <c r="AW1274" s="32"/>
      <c r="AX1274" s="32"/>
      <c r="AY1274" s="32"/>
      <c r="AZ1274" s="32"/>
      <c r="BA1274" s="32"/>
      <c r="BB1274" s="32"/>
      <c r="BC1274" s="32"/>
      <c r="BD1274" s="32"/>
      <c r="BE1274" s="32"/>
      <c r="BF1274" s="32"/>
      <c r="BG1274" s="32"/>
      <c r="BH1274" s="32"/>
      <c r="BI1274" s="32"/>
      <c r="BJ1274" s="22"/>
      <c r="BK1274" s="22"/>
      <c r="BL1274" s="22" t="s">
        <v>86</v>
      </c>
      <c r="BO1274" s="15"/>
    </row>
    <row r="1275" spans="1:67" s="5" customFormat="1">
      <c r="A1275" s="6" t="s">
        <v>91</v>
      </c>
      <c r="B1275" s="6"/>
      <c r="C1275" s="17">
        <v>36175.422000000006</v>
      </c>
      <c r="D1275" s="22">
        <v>16.001497088781104</v>
      </c>
      <c r="E1275" s="6"/>
      <c r="F1275" s="22"/>
      <c r="G1275" s="22"/>
      <c r="H1275" s="22"/>
      <c r="I1275" s="22"/>
      <c r="J1275" s="22"/>
      <c r="K1275" s="22"/>
      <c r="L1275" s="22"/>
      <c r="M1275" s="22"/>
      <c r="N1275" s="18"/>
      <c r="O1275" s="18"/>
      <c r="P1275" s="22"/>
      <c r="Q1275" s="22"/>
      <c r="R1275" s="22"/>
      <c r="S1275" s="22"/>
      <c r="T1275" s="22"/>
      <c r="U1275" s="22"/>
      <c r="V1275" s="22"/>
      <c r="W1275" s="18">
        <v>1.9481638918509419</v>
      </c>
      <c r="X1275" s="19"/>
      <c r="Y1275" s="18">
        <v>2.661453871128951</v>
      </c>
      <c r="Z1275" s="22"/>
      <c r="AA1275" s="22"/>
      <c r="AB1275" s="22"/>
      <c r="AC1275" s="22"/>
      <c r="AD1275" s="22"/>
      <c r="AE1275" s="22"/>
      <c r="AF1275" s="18"/>
      <c r="AG1275" s="18"/>
      <c r="AH1275" s="18"/>
      <c r="AI1275" s="18"/>
      <c r="AK1275" s="18"/>
      <c r="AL1275" s="18"/>
      <c r="AM1275" s="40" t="s">
        <v>118</v>
      </c>
      <c r="AN1275" s="18"/>
      <c r="AO1275" s="22"/>
      <c r="AP1275" s="32"/>
      <c r="AQ1275" s="32"/>
      <c r="AR1275" s="32"/>
      <c r="AS1275" s="32"/>
      <c r="AT1275" s="32"/>
      <c r="AU1275" s="32"/>
      <c r="AV1275" s="32"/>
      <c r="AW1275" s="32"/>
      <c r="AX1275" s="32"/>
      <c r="AY1275" s="32"/>
      <c r="AZ1275" s="32"/>
      <c r="BA1275" s="32"/>
      <c r="BB1275" s="32"/>
      <c r="BC1275" s="32"/>
      <c r="BD1275" s="32"/>
      <c r="BE1275" s="32"/>
      <c r="BF1275" s="32"/>
      <c r="BG1275" s="32"/>
      <c r="BH1275" s="32"/>
      <c r="BI1275" s="32"/>
      <c r="BJ1275" s="22"/>
      <c r="BK1275" s="22"/>
      <c r="BL1275" s="22" t="s">
        <v>86</v>
      </c>
      <c r="BO1275" s="15"/>
    </row>
    <row r="1276" spans="1:67" s="5" customFormat="1">
      <c r="A1276" s="6" t="s">
        <v>93</v>
      </c>
      <c r="B1276" s="6"/>
      <c r="C1276" s="17">
        <v>36175.422000000006</v>
      </c>
      <c r="D1276" s="22">
        <v>16.001497088781104</v>
      </c>
      <c r="E1276" s="6"/>
      <c r="F1276" s="22"/>
      <c r="G1276" s="22"/>
      <c r="H1276" s="22"/>
      <c r="I1276" s="22"/>
      <c r="J1276" s="22"/>
      <c r="K1276" s="22"/>
      <c r="L1276" s="22"/>
      <c r="M1276" s="22"/>
      <c r="N1276" s="18"/>
      <c r="O1276" s="18"/>
      <c r="P1276" s="22"/>
      <c r="Q1276" s="22"/>
      <c r="R1276" s="22"/>
      <c r="S1276" s="22"/>
      <c r="T1276" s="22"/>
      <c r="U1276" s="22"/>
      <c r="V1276" s="22"/>
      <c r="W1276" s="18">
        <v>2.5718994553713248</v>
      </c>
      <c r="X1276" s="19"/>
      <c r="Y1276" s="18">
        <v>3.4361000130507162</v>
      </c>
      <c r="Z1276" s="22"/>
      <c r="AA1276" s="22"/>
      <c r="AB1276" s="22"/>
      <c r="AC1276" s="22"/>
      <c r="AD1276" s="22"/>
      <c r="AE1276" s="22"/>
      <c r="AF1276" s="18"/>
      <c r="AG1276" s="18"/>
      <c r="AH1276" s="18"/>
      <c r="AI1276" s="18"/>
      <c r="AK1276" s="18"/>
      <c r="AL1276" s="18"/>
      <c r="AM1276" s="40" t="s">
        <v>118</v>
      </c>
      <c r="AN1276" s="18"/>
      <c r="AO1276" s="22"/>
      <c r="AP1276" s="32"/>
      <c r="AQ1276" s="32"/>
      <c r="AR1276" s="32"/>
      <c r="AS1276" s="32"/>
      <c r="AT1276" s="32"/>
      <c r="AU1276" s="32"/>
      <c r="AV1276" s="32"/>
      <c r="AW1276" s="32"/>
      <c r="AX1276" s="32"/>
      <c r="AY1276" s="32"/>
      <c r="AZ1276" s="32"/>
      <c r="BA1276" s="32"/>
      <c r="BB1276" s="32"/>
      <c r="BC1276" s="32"/>
      <c r="BD1276" s="32"/>
      <c r="BE1276" s="32"/>
      <c r="BF1276" s="32"/>
      <c r="BG1276" s="32"/>
      <c r="BH1276" s="32"/>
      <c r="BI1276" s="32"/>
      <c r="BJ1276" s="22"/>
      <c r="BK1276" s="22"/>
      <c r="BL1276" s="22" t="s">
        <v>86</v>
      </c>
      <c r="BO1276" s="15"/>
    </row>
    <row r="1277" spans="1:67" s="5" customFormat="1">
      <c r="A1277" s="6" t="s">
        <v>85</v>
      </c>
      <c r="B1277" s="6"/>
      <c r="C1277" s="17">
        <v>36540.664200000007</v>
      </c>
      <c r="D1277" s="22">
        <v>17.001497088781104</v>
      </c>
      <c r="E1277" s="6"/>
      <c r="F1277" s="22"/>
      <c r="G1277" s="22"/>
      <c r="H1277" s="22"/>
      <c r="I1277" s="22"/>
      <c r="J1277" s="22"/>
      <c r="K1277" s="22"/>
      <c r="L1277" s="22"/>
      <c r="M1277" s="22"/>
      <c r="N1277" s="18"/>
      <c r="O1277" s="18"/>
      <c r="P1277" s="22"/>
      <c r="Q1277" s="22"/>
      <c r="R1277" s="22"/>
      <c r="S1277" s="22"/>
      <c r="T1277" s="22"/>
      <c r="U1277" s="22"/>
      <c r="V1277" s="22"/>
      <c r="W1277" s="18">
        <v>1.4481540048192159</v>
      </c>
      <c r="X1277" s="19"/>
      <c r="Y1277" s="18">
        <v>2.3993007410260412</v>
      </c>
      <c r="Z1277" s="22"/>
      <c r="AA1277" s="22"/>
      <c r="AB1277" s="22"/>
      <c r="AC1277" s="22"/>
      <c r="AD1277" s="22"/>
      <c r="AE1277" s="22"/>
      <c r="AF1277" s="18"/>
      <c r="AG1277" s="18"/>
      <c r="AH1277" s="18"/>
      <c r="AI1277" s="18"/>
      <c r="AK1277" s="18"/>
      <c r="AL1277" s="18"/>
      <c r="AM1277" s="40" t="s">
        <v>118</v>
      </c>
      <c r="AN1277" s="18"/>
      <c r="AO1277" s="22"/>
      <c r="AP1277" s="32"/>
      <c r="AQ1277" s="32"/>
      <c r="AR1277" s="32"/>
      <c r="AS1277" s="32"/>
      <c r="AT1277" s="32"/>
      <c r="AU1277" s="32"/>
      <c r="AV1277" s="32"/>
      <c r="AW1277" s="32"/>
      <c r="AX1277" s="32"/>
      <c r="AY1277" s="32"/>
      <c r="AZ1277" s="32"/>
      <c r="BA1277" s="32"/>
      <c r="BB1277" s="32"/>
      <c r="BC1277" s="32"/>
      <c r="BD1277" s="32"/>
      <c r="BE1277" s="32"/>
      <c r="BF1277" s="32"/>
      <c r="BG1277" s="32"/>
      <c r="BH1277" s="32"/>
      <c r="BI1277" s="32"/>
      <c r="BJ1277" s="22"/>
      <c r="BK1277" s="22"/>
      <c r="BL1277" s="22" t="s">
        <v>86</v>
      </c>
      <c r="BO1277" s="15"/>
    </row>
    <row r="1278" spans="1:67" s="5" customFormat="1">
      <c r="A1278" s="6" t="s">
        <v>88</v>
      </c>
      <c r="B1278" s="6"/>
      <c r="C1278" s="17">
        <v>36540.664200000007</v>
      </c>
      <c r="D1278" s="22">
        <v>17.001497088781104</v>
      </c>
      <c r="E1278" s="6"/>
      <c r="F1278" s="22"/>
      <c r="G1278" s="22"/>
      <c r="H1278" s="22"/>
      <c r="I1278" s="22"/>
      <c r="J1278" s="22"/>
      <c r="K1278" s="22"/>
      <c r="L1278" s="22"/>
      <c r="M1278" s="22"/>
      <c r="N1278" s="18"/>
      <c r="O1278" s="18"/>
      <c r="P1278" s="22"/>
      <c r="Q1278" s="22"/>
      <c r="R1278" s="22"/>
      <c r="S1278" s="22"/>
      <c r="T1278" s="22"/>
      <c r="U1278" s="22"/>
      <c r="V1278" s="22"/>
      <c r="W1278" s="18">
        <v>3.3336147715010553</v>
      </c>
      <c r="X1278" s="19"/>
      <c r="Y1278" s="18">
        <v>4.6528072663842197</v>
      </c>
      <c r="Z1278" s="22"/>
      <c r="AA1278" s="22"/>
      <c r="AB1278" s="22"/>
      <c r="AC1278" s="22"/>
      <c r="AD1278" s="22"/>
      <c r="AE1278" s="22"/>
      <c r="AF1278" s="18"/>
      <c r="AG1278" s="18"/>
      <c r="AH1278" s="18"/>
      <c r="AI1278" s="18"/>
      <c r="AK1278" s="18"/>
      <c r="AL1278" s="18"/>
      <c r="AM1278" s="40" t="s">
        <v>118</v>
      </c>
      <c r="AN1278" s="18"/>
      <c r="AO1278" s="22"/>
      <c r="AP1278" s="32"/>
      <c r="AQ1278" s="32"/>
      <c r="AR1278" s="32"/>
      <c r="AS1278" s="32"/>
      <c r="AT1278" s="32"/>
      <c r="AU1278" s="32"/>
      <c r="AV1278" s="32"/>
      <c r="AW1278" s="32"/>
      <c r="AX1278" s="32"/>
      <c r="AY1278" s="32"/>
      <c r="AZ1278" s="32"/>
      <c r="BA1278" s="32"/>
      <c r="BB1278" s="32"/>
      <c r="BC1278" s="32"/>
      <c r="BD1278" s="32"/>
      <c r="BE1278" s="32"/>
      <c r="BF1278" s="32"/>
      <c r="BG1278" s="32"/>
      <c r="BH1278" s="32"/>
      <c r="BI1278" s="32"/>
      <c r="BJ1278" s="22"/>
      <c r="BK1278" s="22"/>
      <c r="BL1278" s="22" t="s">
        <v>86</v>
      </c>
      <c r="BO1278" s="15"/>
    </row>
    <row r="1279" spans="1:67" s="5" customFormat="1">
      <c r="A1279" s="6" t="s">
        <v>87</v>
      </c>
      <c r="B1279" s="6"/>
      <c r="C1279" s="17">
        <v>36540.664200000007</v>
      </c>
      <c r="D1279" s="22">
        <v>17.001497088781104</v>
      </c>
      <c r="E1279" s="6"/>
      <c r="F1279" s="22"/>
      <c r="G1279" s="22"/>
      <c r="H1279" s="22"/>
      <c r="I1279" s="22"/>
      <c r="J1279" s="22"/>
      <c r="K1279" s="22"/>
      <c r="L1279" s="22"/>
      <c r="M1279" s="22"/>
      <c r="N1279" s="18"/>
      <c r="O1279" s="18"/>
      <c r="P1279" s="22"/>
      <c r="Q1279" s="22"/>
      <c r="R1279" s="22"/>
      <c r="S1279" s="22"/>
      <c r="T1279" s="22"/>
      <c r="U1279" s="22"/>
      <c r="V1279" s="22"/>
      <c r="W1279" s="18">
        <v>2.0965856769979534</v>
      </c>
      <c r="X1279" s="19"/>
      <c r="Y1279" s="18">
        <v>2.9692239311940769</v>
      </c>
      <c r="Z1279" s="22"/>
      <c r="AA1279" s="22"/>
      <c r="AB1279" s="22"/>
      <c r="AC1279" s="22"/>
      <c r="AD1279" s="22"/>
      <c r="AE1279" s="22"/>
      <c r="AF1279" s="18"/>
      <c r="AG1279" s="18"/>
      <c r="AH1279" s="18"/>
      <c r="AI1279" s="18"/>
      <c r="AK1279" s="18"/>
      <c r="AL1279" s="18"/>
      <c r="AM1279" s="40" t="s">
        <v>118</v>
      </c>
      <c r="AN1279" s="18"/>
      <c r="AO1279" s="22"/>
      <c r="AP1279" s="32"/>
      <c r="AQ1279" s="32"/>
      <c r="AR1279" s="32"/>
      <c r="AS1279" s="32"/>
      <c r="AT1279" s="32"/>
      <c r="AU1279" s="32"/>
      <c r="AV1279" s="32"/>
      <c r="AW1279" s="32"/>
      <c r="AX1279" s="32"/>
      <c r="AY1279" s="32"/>
      <c r="AZ1279" s="32"/>
      <c r="BA1279" s="32"/>
      <c r="BB1279" s="32"/>
      <c r="BC1279" s="32"/>
      <c r="BD1279" s="32"/>
      <c r="BE1279" s="32"/>
      <c r="BF1279" s="32"/>
      <c r="BG1279" s="32"/>
      <c r="BH1279" s="32"/>
      <c r="BI1279" s="32"/>
      <c r="BJ1279" s="22"/>
      <c r="BK1279" s="22"/>
      <c r="BL1279" s="22" t="s">
        <v>86</v>
      </c>
      <c r="BO1279" s="15"/>
    </row>
    <row r="1280" spans="1:67" s="5" customFormat="1">
      <c r="A1280" s="6" t="s">
        <v>89</v>
      </c>
      <c r="B1280" s="6"/>
      <c r="C1280" s="17">
        <v>36540.664200000007</v>
      </c>
      <c r="D1280" s="22">
        <v>17.001497088781104</v>
      </c>
      <c r="E1280" s="6"/>
      <c r="F1280" s="22"/>
      <c r="G1280" s="22"/>
      <c r="H1280" s="22"/>
      <c r="I1280" s="22"/>
      <c r="J1280" s="22"/>
      <c r="K1280" s="22"/>
      <c r="L1280" s="22"/>
      <c r="M1280" s="22"/>
      <c r="N1280" s="18"/>
      <c r="O1280" s="18"/>
      <c r="P1280" s="22"/>
      <c r="Q1280" s="22"/>
      <c r="R1280" s="22"/>
      <c r="S1280" s="22"/>
      <c r="T1280" s="22"/>
      <c r="U1280" s="22"/>
      <c r="V1280" s="22"/>
      <c r="W1280" s="18">
        <v>3.3454507908415807</v>
      </c>
      <c r="X1280" s="19"/>
      <c r="Y1280" s="18">
        <v>4.3537565659427235</v>
      </c>
      <c r="Z1280" s="22"/>
      <c r="AA1280" s="22"/>
      <c r="AB1280" s="22"/>
      <c r="AC1280" s="22"/>
      <c r="AD1280" s="22"/>
      <c r="AE1280" s="22"/>
      <c r="AF1280" s="18"/>
      <c r="AG1280" s="18"/>
      <c r="AH1280" s="18"/>
      <c r="AI1280" s="18"/>
      <c r="AK1280" s="18"/>
      <c r="AL1280" s="18"/>
      <c r="AM1280" s="40" t="s">
        <v>118</v>
      </c>
      <c r="AN1280" s="18"/>
      <c r="AO1280" s="22"/>
      <c r="AP1280" s="32"/>
      <c r="AQ1280" s="32"/>
      <c r="AR1280" s="32"/>
      <c r="AS1280" s="32"/>
      <c r="AT1280" s="32"/>
      <c r="AU1280" s="32"/>
      <c r="AV1280" s="32"/>
      <c r="AW1280" s="32"/>
      <c r="AX1280" s="32"/>
      <c r="AY1280" s="32"/>
      <c r="AZ1280" s="32"/>
      <c r="BA1280" s="32"/>
      <c r="BB1280" s="32"/>
      <c r="BC1280" s="32"/>
      <c r="BD1280" s="32"/>
      <c r="BE1280" s="32"/>
      <c r="BF1280" s="32"/>
      <c r="BG1280" s="32"/>
      <c r="BH1280" s="32"/>
      <c r="BI1280" s="32"/>
      <c r="BJ1280" s="22"/>
      <c r="BK1280" s="22"/>
      <c r="BL1280" s="22" t="s">
        <v>86</v>
      </c>
      <c r="BO1280" s="15"/>
    </row>
    <row r="1281" spans="1:67" s="5" customFormat="1">
      <c r="A1281" s="6" t="s">
        <v>90</v>
      </c>
      <c r="B1281" s="6"/>
      <c r="C1281" s="17">
        <v>36540.664200000007</v>
      </c>
      <c r="D1281" s="22">
        <v>17.001497088781104</v>
      </c>
      <c r="E1281" s="6"/>
      <c r="F1281" s="22"/>
      <c r="G1281" s="22"/>
      <c r="H1281" s="22"/>
      <c r="I1281" s="22"/>
      <c r="J1281" s="22"/>
      <c r="K1281" s="22"/>
      <c r="L1281" s="22"/>
      <c r="M1281" s="22"/>
      <c r="N1281" s="18"/>
      <c r="O1281" s="18"/>
      <c r="P1281" s="22"/>
      <c r="Q1281" s="22"/>
      <c r="R1281" s="22"/>
      <c r="S1281" s="22"/>
      <c r="T1281" s="22"/>
      <c r="U1281" s="22"/>
      <c r="V1281" s="22"/>
      <c r="W1281" s="18">
        <v>1.5853239926279368</v>
      </c>
      <c r="X1281" s="19"/>
      <c r="Y1281" s="18">
        <v>2.1465412889651416</v>
      </c>
      <c r="Z1281" s="22"/>
      <c r="AA1281" s="22"/>
      <c r="AB1281" s="22"/>
      <c r="AC1281" s="22"/>
      <c r="AD1281" s="22"/>
      <c r="AE1281" s="22"/>
      <c r="AF1281" s="18"/>
      <c r="AG1281" s="18"/>
      <c r="AH1281" s="18"/>
      <c r="AI1281" s="18"/>
      <c r="AK1281" s="18"/>
      <c r="AL1281" s="18"/>
      <c r="AM1281" s="40" t="s">
        <v>118</v>
      </c>
      <c r="AN1281" s="18"/>
      <c r="AO1281" s="22"/>
      <c r="AP1281" s="32"/>
      <c r="AQ1281" s="32"/>
      <c r="AR1281" s="32"/>
      <c r="AS1281" s="32"/>
      <c r="AT1281" s="32"/>
      <c r="AU1281" s="32"/>
      <c r="AV1281" s="32"/>
      <c r="AW1281" s="32"/>
      <c r="AX1281" s="32"/>
      <c r="AY1281" s="32"/>
      <c r="AZ1281" s="32"/>
      <c r="BA1281" s="32"/>
      <c r="BB1281" s="32"/>
      <c r="BC1281" s="32"/>
      <c r="BD1281" s="32"/>
      <c r="BE1281" s="32"/>
      <c r="BF1281" s="32"/>
      <c r="BG1281" s="32"/>
      <c r="BH1281" s="32"/>
      <c r="BI1281" s="32"/>
      <c r="BJ1281" s="22"/>
      <c r="BK1281" s="22"/>
      <c r="BL1281" s="22" t="s">
        <v>86</v>
      </c>
      <c r="BO1281" s="15"/>
    </row>
    <row r="1282" spans="1:67" s="5" customFormat="1">
      <c r="A1282" s="6" t="s">
        <v>92</v>
      </c>
      <c r="B1282" s="6"/>
      <c r="C1282" s="17">
        <v>36540.664200000007</v>
      </c>
      <c r="D1282" s="22">
        <v>17.001497088781104</v>
      </c>
      <c r="E1282" s="6"/>
      <c r="F1282" s="22"/>
      <c r="G1282" s="22"/>
      <c r="H1282" s="22"/>
      <c r="I1282" s="22"/>
      <c r="J1282" s="22"/>
      <c r="K1282" s="22"/>
      <c r="L1282" s="22"/>
      <c r="M1282" s="22"/>
      <c r="N1282" s="18"/>
      <c r="O1282" s="18"/>
      <c r="P1282" s="22"/>
      <c r="Q1282" s="22"/>
      <c r="R1282" s="22"/>
      <c r="S1282" s="22"/>
      <c r="T1282" s="22"/>
      <c r="U1282" s="22"/>
      <c r="V1282" s="22"/>
      <c r="W1282" s="18">
        <v>2.6868483958759737</v>
      </c>
      <c r="X1282" s="19"/>
      <c r="Y1282" s="18">
        <v>3.5802213210508054</v>
      </c>
      <c r="Z1282" s="22"/>
      <c r="AA1282" s="22"/>
      <c r="AB1282" s="22"/>
      <c r="AC1282" s="22"/>
      <c r="AD1282" s="22"/>
      <c r="AE1282" s="22"/>
      <c r="AF1282" s="18"/>
      <c r="AG1282" s="18"/>
      <c r="AH1282" s="18"/>
      <c r="AI1282" s="18"/>
      <c r="AK1282" s="18"/>
      <c r="AL1282" s="18"/>
      <c r="AM1282" s="40" t="s">
        <v>118</v>
      </c>
      <c r="AN1282" s="18"/>
      <c r="AO1282" s="22"/>
      <c r="AP1282" s="32"/>
      <c r="AQ1282" s="32"/>
      <c r="AR1282" s="32"/>
      <c r="AS1282" s="32"/>
      <c r="AT1282" s="32"/>
      <c r="AU1282" s="32"/>
      <c r="AV1282" s="32"/>
      <c r="AW1282" s="32"/>
      <c r="AX1282" s="32"/>
      <c r="AY1282" s="32"/>
      <c r="AZ1282" s="32"/>
      <c r="BA1282" s="32"/>
      <c r="BB1282" s="32"/>
      <c r="BC1282" s="32"/>
      <c r="BD1282" s="32"/>
      <c r="BE1282" s="32"/>
      <c r="BF1282" s="32"/>
      <c r="BG1282" s="32"/>
      <c r="BH1282" s="32"/>
      <c r="BI1282" s="32"/>
      <c r="BJ1282" s="22"/>
      <c r="BK1282" s="22"/>
      <c r="BL1282" s="22" t="s">
        <v>86</v>
      </c>
      <c r="BO1282" s="15"/>
    </row>
    <row r="1283" spans="1:67" s="5" customFormat="1">
      <c r="A1283" s="6" t="s">
        <v>91</v>
      </c>
      <c r="B1283" s="6"/>
      <c r="C1283" s="17">
        <v>36540.664200000007</v>
      </c>
      <c r="D1283" s="22">
        <v>17.001497088781104</v>
      </c>
      <c r="E1283" s="6"/>
      <c r="F1283" s="22"/>
      <c r="G1283" s="22"/>
      <c r="H1283" s="22"/>
      <c r="I1283" s="22"/>
      <c r="J1283" s="22"/>
      <c r="K1283" s="22"/>
      <c r="L1283" s="22"/>
      <c r="M1283" s="22"/>
      <c r="N1283" s="18"/>
      <c r="O1283" s="18"/>
      <c r="P1283" s="22"/>
      <c r="Q1283" s="22"/>
      <c r="R1283" s="22"/>
      <c r="S1283" s="22"/>
      <c r="T1283" s="22"/>
      <c r="U1283" s="22"/>
      <c r="V1283" s="22"/>
      <c r="W1283" s="18">
        <v>1.844267649184012</v>
      </c>
      <c r="X1283" s="19"/>
      <c r="Y1283" s="18">
        <v>2.4575706034205611</v>
      </c>
      <c r="Z1283" s="22"/>
      <c r="AA1283" s="22"/>
      <c r="AB1283" s="22"/>
      <c r="AC1283" s="22"/>
      <c r="AD1283" s="22"/>
      <c r="AE1283" s="22"/>
      <c r="AF1283" s="18"/>
      <c r="AG1283" s="18"/>
      <c r="AH1283" s="18"/>
      <c r="AI1283" s="18"/>
      <c r="AK1283" s="18"/>
      <c r="AL1283" s="18"/>
      <c r="AM1283" s="40" t="s">
        <v>118</v>
      </c>
      <c r="AN1283" s="18"/>
      <c r="AO1283" s="22"/>
      <c r="AP1283" s="32"/>
      <c r="AQ1283" s="32"/>
      <c r="AR1283" s="32"/>
      <c r="AS1283" s="32"/>
      <c r="AT1283" s="32"/>
      <c r="AU1283" s="32"/>
      <c r="AV1283" s="32"/>
      <c r="AW1283" s="32"/>
      <c r="AX1283" s="32"/>
      <c r="AY1283" s="32"/>
      <c r="AZ1283" s="32"/>
      <c r="BA1283" s="32"/>
      <c r="BB1283" s="32"/>
      <c r="BC1283" s="32"/>
      <c r="BD1283" s="32"/>
      <c r="BE1283" s="32"/>
      <c r="BF1283" s="32"/>
      <c r="BG1283" s="32"/>
      <c r="BH1283" s="32"/>
      <c r="BI1283" s="32"/>
      <c r="BJ1283" s="22"/>
      <c r="BK1283" s="22"/>
      <c r="BL1283" s="22" t="s">
        <v>86</v>
      </c>
      <c r="BO1283" s="15"/>
    </row>
    <row r="1284" spans="1:67" s="5" customFormat="1">
      <c r="A1284" s="6" t="s">
        <v>93</v>
      </c>
      <c r="B1284" s="6"/>
      <c r="C1284" s="17">
        <v>36540.664200000007</v>
      </c>
      <c r="D1284" s="22">
        <v>17.001497088781104</v>
      </c>
      <c r="E1284" s="6"/>
      <c r="F1284" s="22"/>
      <c r="G1284" s="22"/>
      <c r="H1284" s="22"/>
      <c r="I1284" s="22"/>
      <c r="J1284" s="22"/>
      <c r="K1284" s="22"/>
      <c r="L1284" s="22"/>
      <c r="M1284" s="22"/>
      <c r="N1284" s="18"/>
      <c r="O1284" s="18"/>
      <c r="P1284" s="22"/>
      <c r="Q1284" s="22"/>
      <c r="R1284" s="22"/>
      <c r="S1284" s="22"/>
      <c r="T1284" s="22"/>
      <c r="U1284" s="22"/>
      <c r="V1284" s="22"/>
      <c r="W1284" s="18">
        <v>2.6652210059237524</v>
      </c>
      <c r="X1284" s="19"/>
      <c r="Y1284" s="18">
        <v>3.4429713648184519</v>
      </c>
      <c r="Z1284" s="22"/>
      <c r="AA1284" s="22"/>
      <c r="AB1284" s="22"/>
      <c r="AC1284" s="22"/>
      <c r="AD1284" s="22"/>
      <c r="AE1284" s="22"/>
      <c r="AF1284" s="18"/>
      <c r="AG1284" s="18"/>
      <c r="AH1284" s="18"/>
      <c r="AI1284" s="18"/>
      <c r="AK1284" s="18"/>
      <c r="AL1284" s="18"/>
      <c r="AM1284" s="40" t="s">
        <v>118</v>
      </c>
      <c r="AN1284" s="18"/>
      <c r="AO1284" s="22"/>
      <c r="AP1284" s="32"/>
      <c r="AQ1284" s="32"/>
      <c r="AR1284" s="32"/>
      <c r="AS1284" s="32"/>
      <c r="AT1284" s="32"/>
      <c r="AU1284" s="32"/>
      <c r="AV1284" s="32"/>
      <c r="AW1284" s="32"/>
      <c r="AX1284" s="32"/>
      <c r="AY1284" s="32"/>
      <c r="AZ1284" s="32"/>
      <c r="BA1284" s="32"/>
      <c r="BB1284" s="32"/>
      <c r="BC1284" s="32"/>
      <c r="BD1284" s="32"/>
      <c r="BE1284" s="32"/>
      <c r="BF1284" s="32"/>
      <c r="BG1284" s="32"/>
      <c r="BH1284" s="32"/>
      <c r="BI1284" s="32"/>
      <c r="BJ1284" s="22"/>
      <c r="BK1284" s="22"/>
      <c r="BL1284" s="22" t="s">
        <v>86</v>
      </c>
      <c r="BO1284" s="15"/>
    </row>
    <row r="1285" spans="1:67" s="5" customFormat="1">
      <c r="A1285" s="6" t="s">
        <v>85</v>
      </c>
      <c r="B1285" s="6"/>
      <c r="C1285" s="17">
        <v>36905.390800000008</v>
      </c>
      <c r="D1285" s="22">
        <v>18.000085422768805</v>
      </c>
      <c r="E1285" s="6">
        <v>74.295593730593737</v>
      </c>
      <c r="F1285" s="22">
        <v>1375.8429524999999</v>
      </c>
      <c r="G1285" s="22"/>
      <c r="H1285" s="22">
        <v>387.23751710654648</v>
      </c>
      <c r="I1285" s="22"/>
      <c r="J1285" s="22">
        <v>783.1964514902362</v>
      </c>
      <c r="K1285" s="22"/>
      <c r="L1285" s="22"/>
      <c r="M1285" s="22"/>
      <c r="N1285" s="18">
        <v>101.10069930069929</v>
      </c>
      <c r="O1285" s="18"/>
      <c r="P1285" s="22">
        <v>5746.5933258823752</v>
      </c>
      <c r="Q1285" s="22"/>
      <c r="R1285" s="22"/>
      <c r="S1285" s="22"/>
      <c r="T1285" s="22">
        <v>6917.0272944791586</v>
      </c>
      <c r="U1285" s="22"/>
      <c r="V1285" s="22"/>
      <c r="W1285" s="22"/>
      <c r="X1285" s="19"/>
      <c r="Y1285" s="22"/>
      <c r="Z1285" s="22"/>
      <c r="AA1285" s="22"/>
      <c r="AB1285" s="22"/>
      <c r="AC1285" s="22"/>
      <c r="AD1285" s="22"/>
      <c r="AE1285" s="22"/>
      <c r="AF1285" s="18"/>
      <c r="AG1285" s="18">
        <v>13.760491066677757</v>
      </c>
      <c r="AH1285" s="18"/>
      <c r="AI1285" s="18">
        <v>20.461036304610374</v>
      </c>
      <c r="AK1285" s="18"/>
      <c r="AL1285" s="18"/>
      <c r="AM1285" s="40">
        <v>5.6166788615799694</v>
      </c>
      <c r="AN1285" s="18"/>
      <c r="AO1285" s="22"/>
      <c r="AP1285" s="32"/>
      <c r="AQ1285" s="32">
        <v>1.0999999999999999E-2</v>
      </c>
      <c r="AR1285" s="32"/>
      <c r="AS1285" s="32">
        <v>2.3999999999999998E-3</v>
      </c>
      <c r="AT1285" s="32">
        <v>7.2999999999999996E-4</v>
      </c>
      <c r="AU1285" s="32"/>
      <c r="AV1285" s="32"/>
      <c r="AW1285" s="32"/>
      <c r="AX1285" s="32" t="e">
        <v>#REF!</v>
      </c>
      <c r="AY1285" s="32"/>
      <c r="AZ1285" s="32"/>
      <c r="BA1285" s="32">
        <v>5.8</v>
      </c>
      <c r="BB1285" s="32">
        <v>3</v>
      </c>
      <c r="BC1285" s="32"/>
      <c r="BD1285" s="32">
        <v>3.1</v>
      </c>
      <c r="BE1285" s="32">
        <v>1.6</v>
      </c>
      <c r="BF1285" s="32">
        <v>4.6999999999999993</v>
      </c>
      <c r="BG1285" s="32"/>
      <c r="BH1285" s="32"/>
      <c r="BI1285" s="32"/>
      <c r="BJ1285" s="22"/>
      <c r="BK1285" s="22"/>
      <c r="BL1285" s="22" t="s">
        <v>115</v>
      </c>
      <c r="BO1285" s="15"/>
    </row>
    <row r="1286" spans="1:67" s="5" customFormat="1">
      <c r="A1286" s="6" t="s">
        <v>88</v>
      </c>
      <c r="B1286" s="6"/>
      <c r="C1286" s="17">
        <v>36905.390800000008</v>
      </c>
      <c r="D1286" s="22">
        <v>18.000085422768805</v>
      </c>
      <c r="E1286" s="6">
        <v>67.351947916947921</v>
      </c>
      <c r="F1286" s="22">
        <v>1247.2570475</v>
      </c>
      <c r="G1286" s="22"/>
      <c r="H1286" s="22">
        <v>722.51134812033183</v>
      </c>
      <c r="I1286" s="22"/>
      <c r="J1286" s="22">
        <v>1935.8778788500235</v>
      </c>
      <c r="K1286" s="22"/>
      <c r="L1286" s="22"/>
      <c r="M1286" s="22"/>
      <c r="N1286" s="18">
        <v>278.39160839160837</v>
      </c>
      <c r="O1286" s="18"/>
      <c r="P1286" s="22">
        <v>14336.493777124701</v>
      </c>
      <c r="Q1286" s="22"/>
      <c r="R1286" s="22"/>
      <c r="S1286" s="22"/>
      <c r="T1286" s="22">
        <v>16994.883004095056</v>
      </c>
      <c r="U1286" s="22"/>
      <c r="V1286" s="22"/>
      <c r="W1286" s="22"/>
      <c r="X1286" s="19"/>
      <c r="Y1286" s="22"/>
      <c r="Z1286" s="22"/>
      <c r="AA1286" s="22"/>
      <c r="AB1286" s="22"/>
      <c r="AC1286" s="22"/>
      <c r="AD1286" s="22"/>
      <c r="AE1286" s="22"/>
      <c r="AF1286" s="18"/>
      <c r="AG1286" s="18">
        <v>20.085131571305016</v>
      </c>
      <c r="AH1286" s="18"/>
      <c r="AI1286" s="18">
        <v>39.518115434578803</v>
      </c>
      <c r="AK1286" s="18"/>
      <c r="AL1286" s="18"/>
      <c r="AM1286" s="40">
        <v>15.466127068456194</v>
      </c>
      <c r="AN1286" s="18"/>
      <c r="AO1286" s="22"/>
      <c r="AP1286" s="32"/>
      <c r="AQ1286" s="32">
        <v>1.41E-2</v>
      </c>
      <c r="AR1286" s="32"/>
      <c r="AS1286" s="32">
        <v>2.5999999999999999E-3</v>
      </c>
      <c r="AT1286" s="32">
        <v>8.0000000000000004E-4</v>
      </c>
      <c r="AU1286" s="32"/>
      <c r="AV1286" s="32"/>
      <c r="AW1286" s="32"/>
      <c r="AX1286" s="32" t="e">
        <v>#REF!</v>
      </c>
      <c r="AY1286" s="32"/>
      <c r="AZ1286" s="32"/>
      <c r="BA1286" s="32">
        <v>13.700000000000001</v>
      </c>
      <c r="BB1286" s="32">
        <v>7</v>
      </c>
      <c r="BC1286" s="32"/>
      <c r="BD1286" s="32">
        <v>7</v>
      </c>
      <c r="BE1286" s="32">
        <v>3</v>
      </c>
      <c r="BF1286" s="32">
        <v>10</v>
      </c>
      <c r="BG1286" s="32"/>
      <c r="BH1286" s="32"/>
      <c r="BI1286" s="32"/>
      <c r="BJ1286" s="22"/>
      <c r="BK1286" s="22"/>
      <c r="BL1286" s="22" t="s">
        <v>115</v>
      </c>
      <c r="BO1286" s="15"/>
    </row>
    <row r="1287" spans="1:67" s="5" customFormat="1">
      <c r="A1287" s="6" t="s">
        <v>87</v>
      </c>
      <c r="B1287" s="6"/>
      <c r="C1287" s="17">
        <v>36905.390800000008</v>
      </c>
      <c r="D1287" s="22">
        <v>18.000085422768805</v>
      </c>
      <c r="E1287" s="6">
        <v>73.601104166104179</v>
      </c>
      <c r="F1287" s="22">
        <v>1362.9820475000001</v>
      </c>
      <c r="G1287" s="22"/>
      <c r="H1287" s="22">
        <v>675.08983338659993</v>
      </c>
      <c r="I1287" s="22"/>
      <c r="J1287" s="22">
        <v>1722.3915604987506</v>
      </c>
      <c r="K1287" s="22"/>
      <c r="L1287" s="22"/>
      <c r="M1287" s="22"/>
      <c r="N1287" s="18">
        <v>235.18041958041957</v>
      </c>
      <c r="O1287" s="18"/>
      <c r="P1287" s="22">
        <v>12857.841500503742</v>
      </c>
      <c r="Q1287" s="22"/>
      <c r="R1287" s="22"/>
      <c r="S1287" s="22"/>
      <c r="T1287" s="22">
        <v>15255.322894389094</v>
      </c>
      <c r="U1287" s="22"/>
      <c r="V1287" s="22"/>
      <c r="W1287" s="22"/>
      <c r="X1287" s="19"/>
      <c r="Y1287" s="22"/>
      <c r="Z1287" s="22"/>
      <c r="AA1287" s="22"/>
      <c r="AB1287" s="22"/>
      <c r="AC1287" s="22"/>
      <c r="AD1287" s="22"/>
      <c r="AE1287" s="22"/>
      <c r="AF1287" s="18"/>
      <c r="AG1287" s="18">
        <v>18.655999471369</v>
      </c>
      <c r="AH1287" s="18"/>
      <c r="AI1287" s="18">
        <v>37.257874376642953</v>
      </c>
      <c r="AK1287" s="18"/>
      <c r="AL1287" s="18"/>
      <c r="AM1287" s="40">
        <v>13.065516860432972</v>
      </c>
      <c r="AN1287" s="18"/>
      <c r="AO1287" s="22"/>
      <c r="AP1287" s="32"/>
      <c r="AQ1287" s="32">
        <v>1.1300000000000001E-2</v>
      </c>
      <c r="AR1287" s="32"/>
      <c r="AS1287" s="32">
        <v>2.5000000000000001E-3</v>
      </c>
      <c r="AT1287" s="32">
        <v>6.3000000000000003E-4</v>
      </c>
      <c r="AU1287" s="32"/>
      <c r="AV1287" s="32"/>
      <c r="AW1287" s="32"/>
      <c r="AX1287" s="32" t="e">
        <v>#REF!</v>
      </c>
      <c r="AY1287" s="32"/>
      <c r="AZ1287" s="32"/>
      <c r="BA1287" s="32">
        <v>11.899999999999999</v>
      </c>
      <c r="BB1287" s="32">
        <v>6.6000000000000005</v>
      </c>
      <c r="BC1287" s="32"/>
      <c r="BD1287" s="32">
        <v>6.3</v>
      </c>
      <c r="BE1287" s="32">
        <v>3</v>
      </c>
      <c r="BF1287" s="32">
        <v>9.2999999999999989</v>
      </c>
      <c r="BG1287" s="32"/>
      <c r="BH1287" s="32"/>
      <c r="BI1287" s="32"/>
      <c r="BJ1287" s="22"/>
      <c r="BK1287" s="22"/>
      <c r="BL1287" s="22" t="s">
        <v>115</v>
      </c>
      <c r="BO1287" s="15"/>
    </row>
    <row r="1288" spans="1:67" s="5" customFormat="1">
      <c r="A1288" s="6" t="s">
        <v>89</v>
      </c>
      <c r="B1288" s="6"/>
      <c r="C1288" s="17">
        <v>36905.390800000008</v>
      </c>
      <c r="D1288" s="22">
        <v>18.000085422768805</v>
      </c>
      <c r="E1288" s="6">
        <v>72.212541647541642</v>
      </c>
      <c r="F1288" s="22">
        <v>1337.2679524999999</v>
      </c>
      <c r="G1288" s="22"/>
      <c r="H1288" s="22">
        <v>821.96567496520004</v>
      </c>
      <c r="I1288" s="22"/>
      <c r="J1288" s="22">
        <v>2240.1993437908122</v>
      </c>
      <c r="K1288" s="22"/>
      <c r="L1288" s="22"/>
      <c r="M1288" s="22"/>
      <c r="N1288" s="18">
        <v>320.47762237762237</v>
      </c>
      <c r="O1288" s="18"/>
      <c r="P1288" s="22">
        <v>16519.598254277138</v>
      </c>
      <c r="Q1288" s="22"/>
      <c r="R1288" s="22"/>
      <c r="S1288" s="22"/>
      <c r="T1288" s="22">
        <v>19581.76327303315</v>
      </c>
      <c r="U1288" s="22"/>
      <c r="V1288" s="22"/>
      <c r="W1288" s="22"/>
      <c r="X1288" s="19"/>
      <c r="Y1288" s="22"/>
      <c r="Z1288" s="22"/>
      <c r="AA1288" s="22"/>
      <c r="AB1288" s="22"/>
      <c r="AC1288" s="22"/>
      <c r="AD1288" s="22"/>
      <c r="AE1288" s="22"/>
      <c r="AF1288" s="18"/>
      <c r="AG1288" s="18">
        <v>20.633142405724396</v>
      </c>
      <c r="AH1288" s="18"/>
      <c r="AI1288" s="18">
        <v>44.713646090195404</v>
      </c>
      <c r="AK1288" s="18"/>
      <c r="AL1288" s="18"/>
      <c r="AM1288" s="40">
        <v>17.804227860621225</v>
      </c>
      <c r="AN1288" s="18"/>
      <c r="AO1288" s="22"/>
      <c r="AP1288" s="32"/>
      <c r="AQ1288" s="32">
        <v>1.6E-2</v>
      </c>
      <c r="AR1288" s="32"/>
      <c r="AS1288" s="32">
        <v>2.5999999999999999E-3</v>
      </c>
      <c r="AT1288" s="32">
        <v>8.3000000000000001E-4</v>
      </c>
      <c r="AU1288" s="32"/>
      <c r="AV1288" s="32"/>
      <c r="AW1288" s="32"/>
      <c r="AX1288" s="32" t="e">
        <v>#REF!</v>
      </c>
      <c r="AY1288" s="32"/>
      <c r="AZ1288" s="32"/>
      <c r="BA1288" s="32">
        <v>18.3</v>
      </c>
      <c r="BB1288" s="32">
        <v>8.2999999999999989</v>
      </c>
      <c r="BC1288" s="32"/>
      <c r="BD1288" s="32">
        <v>9.5</v>
      </c>
      <c r="BE1288" s="32">
        <v>3.5</v>
      </c>
      <c r="BF1288" s="32">
        <v>12.999999999999998</v>
      </c>
      <c r="BG1288" s="32"/>
      <c r="BH1288" s="32"/>
      <c r="BI1288" s="32"/>
      <c r="BJ1288" s="22"/>
      <c r="BK1288" s="22"/>
      <c r="BL1288" s="22" t="s">
        <v>115</v>
      </c>
      <c r="BO1288" s="15"/>
    </row>
    <row r="1289" spans="1:67" s="5" customFormat="1">
      <c r="A1289" s="6" t="s">
        <v>90</v>
      </c>
      <c r="B1289" s="6"/>
      <c r="C1289" s="17">
        <v>36905.390800000008</v>
      </c>
      <c r="D1289" s="22">
        <v>18.000085422768805</v>
      </c>
      <c r="E1289" s="6">
        <v>65.26889583389584</v>
      </c>
      <c r="F1289" s="22">
        <v>1208.6820475</v>
      </c>
      <c r="G1289" s="22"/>
      <c r="H1289" s="22">
        <v>622.70898595516007</v>
      </c>
      <c r="I1289" s="22"/>
      <c r="J1289" s="22">
        <v>972.75453256114429</v>
      </c>
      <c r="K1289" s="22"/>
      <c r="L1289" s="22"/>
      <c r="M1289" s="22"/>
      <c r="N1289" s="18">
        <v>137.3965034965035</v>
      </c>
      <c r="O1289" s="18"/>
      <c r="P1289" s="22">
        <v>9454.5694494261516</v>
      </c>
      <c r="Q1289" s="22"/>
      <c r="R1289" s="22"/>
      <c r="S1289" s="22"/>
      <c r="T1289" s="22">
        <v>11050.032967942456</v>
      </c>
      <c r="U1289" s="22"/>
      <c r="V1289" s="22"/>
      <c r="W1289" s="22"/>
      <c r="X1289" s="19"/>
      <c r="Y1289" s="22"/>
      <c r="Z1289" s="22"/>
      <c r="AA1289" s="22"/>
      <c r="AB1289" s="22"/>
      <c r="AC1289" s="22"/>
      <c r="AD1289" s="22"/>
      <c r="AE1289" s="22"/>
      <c r="AF1289" s="18"/>
      <c r="AG1289" s="18">
        <v>15.996037866636632</v>
      </c>
      <c r="AH1289" s="18"/>
      <c r="AI1289" s="18">
        <v>24.290016824936352</v>
      </c>
      <c r="AK1289" s="18"/>
      <c r="AL1289" s="18"/>
      <c r="AM1289" s="40">
        <v>7.633102858651263</v>
      </c>
      <c r="AN1289" s="18"/>
      <c r="AO1289" s="22"/>
      <c r="AP1289" s="32"/>
      <c r="AQ1289" s="32"/>
      <c r="AR1289" s="32"/>
      <c r="AS1289" s="32"/>
      <c r="AT1289" s="32"/>
      <c r="AU1289" s="32"/>
      <c r="AV1289" s="32"/>
      <c r="AW1289" s="32"/>
      <c r="AX1289" s="32"/>
      <c r="AY1289" s="32"/>
      <c r="AZ1289" s="32"/>
      <c r="BA1289" s="32"/>
      <c r="BB1289" s="32"/>
      <c r="BC1289" s="32"/>
      <c r="BD1289" s="32"/>
      <c r="BE1289" s="32"/>
      <c r="BF1289" s="32"/>
      <c r="BG1289" s="32"/>
      <c r="BH1289" s="32"/>
      <c r="BI1289" s="32"/>
      <c r="BJ1289" s="22"/>
      <c r="BK1289" s="22"/>
      <c r="BL1289" s="22" t="s">
        <v>86</v>
      </c>
      <c r="BO1289" s="15"/>
    </row>
    <row r="1290" spans="1:67" s="5" customFormat="1">
      <c r="A1290" s="6" t="s">
        <v>92</v>
      </c>
      <c r="B1290" s="6"/>
      <c r="C1290" s="17">
        <v>36905.390800000008</v>
      </c>
      <c r="D1290" s="22">
        <v>18.000085422768805</v>
      </c>
      <c r="E1290" s="6">
        <v>62.49156249156249</v>
      </c>
      <c r="F1290" s="22">
        <v>1157.25</v>
      </c>
      <c r="G1290" s="22"/>
      <c r="H1290" s="22">
        <v>936.05675688796896</v>
      </c>
      <c r="I1290" s="22"/>
      <c r="J1290" s="22">
        <v>1830.6471045492501</v>
      </c>
      <c r="K1290" s="22"/>
      <c r="L1290" s="22"/>
      <c r="M1290" s="22"/>
      <c r="N1290" s="18">
        <v>233.97062937062938</v>
      </c>
      <c r="O1290" s="18"/>
      <c r="P1290" s="22">
        <v>15478.482616113199</v>
      </c>
      <c r="Q1290" s="22"/>
      <c r="R1290" s="22"/>
      <c r="S1290" s="22"/>
      <c r="T1290" s="22">
        <v>18245.186477550418</v>
      </c>
      <c r="U1290" s="22"/>
      <c r="V1290" s="22"/>
      <c r="W1290" s="22"/>
      <c r="X1290" s="19"/>
      <c r="Y1290" s="22"/>
      <c r="Z1290" s="22"/>
      <c r="AA1290" s="22"/>
      <c r="AB1290" s="22"/>
      <c r="AC1290" s="22"/>
      <c r="AD1290" s="22"/>
      <c r="AE1290" s="22"/>
      <c r="AF1290" s="18"/>
      <c r="AG1290" s="18">
        <v>19.480228774366228</v>
      </c>
      <c r="AH1290" s="18"/>
      <c r="AI1290" s="18">
        <v>34.491032251723539</v>
      </c>
      <c r="AK1290" s="18"/>
      <c r="AL1290" s="18"/>
      <c r="AM1290" s="40">
        <v>12.998306612182711</v>
      </c>
      <c r="AN1290" s="18"/>
      <c r="AO1290" s="22"/>
      <c r="AP1290" s="32"/>
      <c r="AQ1290" s="32"/>
      <c r="AR1290" s="32"/>
      <c r="AS1290" s="32"/>
      <c r="AT1290" s="32"/>
      <c r="AU1290" s="32"/>
      <c r="AV1290" s="32"/>
      <c r="AW1290" s="32"/>
      <c r="AX1290" s="32"/>
      <c r="AY1290" s="32"/>
      <c r="AZ1290" s="32"/>
      <c r="BA1290" s="32"/>
      <c r="BB1290" s="32"/>
      <c r="BC1290" s="32"/>
      <c r="BD1290" s="32"/>
      <c r="BE1290" s="32"/>
      <c r="BF1290" s="32"/>
      <c r="BG1290" s="32"/>
      <c r="BH1290" s="32"/>
      <c r="BI1290" s="32"/>
      <c r="BJ1290" s="22"/>
      <c r="BK1290" s="22"/>
      <c r="BL1290" s="22" t="s">
        <v>86</v>
      </c>
      <c r="BO1290" s="15"/>
    </row>
    <row r="1291" spans="1:67" s="5" customFormat="1">
      <c r="A1291" s="6" t="s">
        <v>91</v>
      </c>
      <c r="B1291" s="6"/>
      <c r="C1291" s="17">
        <v>36905.390800000008</v>
      </c>
      <c r="D1291" s="22">
        <v>18.000085422768805</v>
      </c>
      <c r="E1291" s="6">
        <v>69.435000000000002</v>
      </c>
      <c r="F1291" s="22">
        <v>1285.8320475</v>
      </c>
      <c r="G1291" s="22"/>
      <c r="H1291" s="22">
        <v>1000.134439007075</v>
      </c>
      <c r="I1291" s="22"/>
      <c r="J1291" s="22">
        <v>1924.907341979381</v>
      </c>
      <c r="K1291" s="22"/>
      <c r="L1291" s="22"/>
      <c r="M1291" s="22"/>
      <c r="N1291" s="18">
        <v>251.39020979020978</v>
      </c>
      <c r="O1291" s="18"/>
      <c r="P1291" s="22">
        <v>16469.208568609905</v>
      </c>
      <c r="Q1291" s="22"/>
      <c r="R1291" s="22"/>
      <c r="S1291" s="22"/>
      <c r="T1291" s="22">
        <v>19394.250349596361</v>
      </c>
      <c r="U1291" s="22"/>
      <c r="V1291" s="22"/>
      <c r="W1291" s="22"/>
      <c r="X1291" s="19"/>
      <c r="Y1291" s="22"/>
      <c r="Z1291" s="22"/>
      <c r="AA1291" s="22"/>
      <c r="AB1291" s="22"/>
      <c r="AC1291" s="22"/>
      <c r="AD1291" s="22"/>
      <c r="AE1291" s="22"/>
      <c r="AF1291" s="18"/>
      <c r="AG1291" s="18">
        <v>19.172698393708853</v>
      </c>
      <c r="AH1291" s="18"/>
      <c r="AI1291" s="18">
        <v>37.122876751721492</v>
      </c>
      <c r="AK1291" s="18"/>
      <c r="AL1291" s="18"/>
      <c r="AM1291" s="40">
        <v>13.96605648727752</v>
      </c>
      <c r="AN1291" s="18"/>
      <c r="AO1291" s="22"/>
      <c r="AP1291" s="32"/>
      <c r="AQ1291" s="32"/>
      <c r="AR1291" s="32"/>
      <c r="AS1291" s="32"/>
      <c r="AT1291" s="32"/>
      <c r="AU1291" s="32"/>
      <c r="AV1291" s="32"/>
      <c r="AW1291" s="32"/>
      <c r="AX1291" s="32"/>
      <c r="AY1291" s="32"/>
      <c r="AZ1291" s="32"/>
      <c r="BA1291" s="32"/>
      <c r="BB1291" s="32"/>
      <c r="BC1291" s="32"/>
      <c r="BD1291" s="32"/>
      <c r="BE1291" s="32"/>
      <c r="BF1291" s="32"/>
      <c r="BG1291" s="32"/>
      <c r="BH1291" s="32"/>
      <c r="BI1291" s="32"/>
      <c r="BJ1291" s="22"/>
      <c r="BK1291" s="22"/>
      <c r="BL1291" s="22" t="s">
        <v>86</v>
      </c>
      <c r="BO1291" s="15"/>
    </row>
    <row r="1292" spans="1:67" s="5" customFormat="1">
      <c r="A1292" s="6" t="s">
        <v>93</v>
      </c>
      <c r="B1292" s="6"/>
      <c r="C1292" s="17">
        <v>36905.390800000008</v>
      </c>
      <c r="D1292" s="22">
        <v>18.000085422768805</v>
      </c>
      <c r="E1292" s="6">
        <v>62.49156249156249</v>
      </c>
      <c r="F1292" s="22">
        <v>1157.25</v>
      </c>
      <c r="G1292" s="22"/>
      <c r="H1292" s="22">
        <v>1153.0643456574207</v>
      </c>
      <c r="I1292" s="22"/>
      <c r="J1292" s="22">
        <v>2431.7678194504524</v>
      </c>
      <c r="K1292" s="22"/>
      <c r="L1292" s="22"/>
      <c r="M1292" s="22"/>
      <c r="N1292" s="18">
        <v>283.10069930069932</v>
      </c>
      <c r="O1292" s="18"/>
      <c r="P1292" s="22">
        <v>19319.18378297563</v>
      </c>
      <c r="Q1292" s="22"/>
      <c r="R1292" s="22"/>
      <c r="S1292" s="22"/>
      <c r="T1292" s="22">
        <v>22904.015948083503</v>
      </c>
      <c r="U1292" s="22"/>
      <c r="V1292" s="22"/>
      <c r="W1292" s="22"/>
      <c r="X1292" s="19"/>
      <c r="Y1292" s="22"/>
      <c r="Z1292" s="22"/>
      <c r="AA1292" s="22"/>
      <c r="AB1292" s="22"/>
      <c r="AC1292" s="22"/>
      <c r="AD1292" s="22"/>
      <c r="AE1292" s="22"/>
      <c r="AF1292" s="18"/>
      <c r="AG1292" s="18">
        <v>21.13270640011795</v>
      </c>
      <c r="AH1292" s="18"/>
      <c r="AI1292" s="18">
        <v>40.590866755820159</v>
      </c>
      <c r="AK1292" s="18"/>
      <c r="AL1292" s="18"/>
      <c r="AM1292" s="40">
        <v>15.727741988523977</v>
      </c>
      <c r="AN1292" s="18"/>
      <c r="AO1292" s="22"/>
      <c r="AP1292" s="32"/>
      <c r="AQ1292" s="32"/>
      <c r="AR1292" s="32"/>
      <c r="AS1292" s="32"/>
      <c r="AT1292" s="32"/>
      <c r="AU1292" s="32"/>
      <c r="AV1292" s="32"/>
      <c r="AW1292" s="32"/>
      <c r="AX1292" s="32"/>
      <c r="AY1292" s="32"/>
      <c r="AZ1292" s="32"/>
      <c r="BA1292" s="32"/>
      <c r="BB1292" s="32"/>
      <c r="BC1292" s="32"/>
      <c r="BD1292" s="32"/>
      <c r="BE1292" s="32"/>
      <c r="BF1292" s="32"/>
      <c r="BG1292" s="32"/>
      <c r="BH1292" s="32"/>
      <c r="BI1292" s="32"/>
      <c r="BJ1292" s="22"/>
      <c r="BK1292" s="22"/>
      <c r="BL1292" s="22" t="s">
        <v>86</v>
      </c>
      <c r="BO1292" s="15"/>
    </row>
    <row r="1293" spans="1:67" s="5" customFormat="1">
      <c r="A1293" s="6" t="s">
        <v>85</v>
      </c>
      <c r="B1293" s="6"/>
      <c r="C1293" s="17">
        <v>36905.906400000007</v>
      </c>
      <c r="D1293" s="22">
        <v>18.001497088781107</v>
      </c>
      <c r="E1293" s="6"/>
      <c r="F1293" s="22"/>
      <c r="G1293" s="22"/>
      <c r="H1293" s="22"/>
      <c r="I1293" s="22"/>
      <c r="J1293" s="22"/>
      <c r="K1293" s="22"/>
      <c r="L1293" s="22"/>
      <c r="M1293" s="22"/>
      <c r="N1293" s="18"/>
      <c r="O1293" s="18"/>
      <c r="P1293" s="22"/>
      <c r="Q1293" s="22"/>
      <c r="R1293" s="22"/>
      <c r="S1293" s="22"/>
      <c r="T1293" s="22"/>
      <c r="U1293" s="22"/>
      <c r="V1293" s="22"/>
      <c r="W1293" s="18">
        <v>1.8732019496496999</v>
      </c>
      <c r="X1293" s="19"/>
      <c r="Y1293" s="18">
        <v>2.7776278515019466</v>
      </c>
      <c r="Z1293" s="22"/>
      <c r="AA1293" s="22"/>
      <c r="AB1293" s="22"/>
      <c r="AC1293" s="22"/>
      <c r="AD1293" s="22"/>
      <c r="AE1293" s="22"/>
      <c r="AF1293" s="18"/>
      <c r="AG1293" s="18"/>
      <c r="AH1293" s="18"/>
      <c r="AI1293" s="18"/>
      <c r="AK1293" s="18"/>
      <c r="AL1293" s="18"/>
      <c r="AM1293" s="40" t="s">
        <v>118</v>
      </c>
      <c r="AN1293" s="18"/>
      <c r="AO1293" s="22"/>
      <c r="AP1293" s="32"/>
      <c r="AQ1293" s="32"/>
      <c r="AR1293" s="32"/>
      <c r="AS1293" s="32"/>
      <c r="AT1293" s="32"/>
      <c r="AU1293" s="32"/>
      <c r="AV1293" s="32"/>
      <c r="AW1293" s="32"/>
      <c r="AX1293" s="32"/>
      <c r="AY1293" s="32"/>
      <c r="AZ1293" s="32"/>
      <c r="BA1293" s="32"/>
      <c r="BB1293" s="32"/>
      <c r="BC1293" s="32"/>
      <c r="BD1293" s="32"/>
      <c r="BE1293" s="32"/>
      <c r="BF1293" s="32"/>
      <c r="BG1293" s="32"/>
      <c r="BH1293" s="32"/>
      <c r="BI1293" s="32"/>
      <c r="BJ1293" s="22"/>
      <c r="BK1293" s="22"/>
      <c r="BL1293" s="22" t="s">
        <v>86</v>
      </c>
      <c r="BO1293" s="15"/>
    </row>
    <row r="1294" spans="1:67" s="5" customFormat="1">
      <c r="A1294" s="6" t="s">
        <v>88</v>
      </c>
      <c r="B1294" s="6"/>
      <c r="C1294" s="17">
        <v>36905.906400000007</v>
      </c>
      <c r="D1294" s="22">
        <v>18.001497088781107</v>
      </c>
      <c r="E1294" s="6"/>
      <c r="F1294" s="22"/>
      <c r="G1294" s="22"/>
      <c r="H1294" s="22"/>
      <c r="I1294" s="22"/>
      <c r="J1294" s="22"/>
      <c r="K1294" s="22"/>
      <c r="L1294" s="22"/>
      <c r="M1294" s="22"/>
      <c r="N1294" s="18"/>
      <c r="O1294" s="18"/>
      <c r="P1294" s="22"/>
      <c r="Q1294" s="22"/>
      <c r="R1294" s="22"/>
      <c r="S1294" s="22"/>
      <c r="T1294" s="22"/>
      <c r="U1294" s="22"/>
      <c r="V1294" s="22"/>
      <c r="W1294" s="18">
        <v>3.7037703869696554</v>
      </c>
      <c r="X1294" s="19"/>
      <c r="Y1294" s="18">
        <v>5.6629562769171029</v>
      </c>
      <c r="Z1294" s="22"/>
      <c r="AA1294" s="22"/>
      <c r="AB1294" s="22"/>
      <c r="AC1294" s="22"/>
      <c r="AD1294" s="22"/>
      <c r="AE1294" s="22"/>
      <c r="AF1294" s="18"/>
      <c r="AG1294" s="18"/>
      <c r="AH1294" s="18"/>
      <c r="AI1294" s="18"/>
      <c r="AK1294" s="18"/>
      <c r="AL1294" s="18"/>
      <c r="AM1294" s="40" t="s">
        <v>118</v>
      </c>
      <c r="AN1294" s="18"/>
      <c r="AO1294" s="22"/>
      <c r="AP1294" s="32"/>
      <c r="AQ1294" s="32"/>
      <c r="AR1294" s="32"/>
      <c r="AS1294" s="32"/>
      <c r="AT1294" s="32"/>
      <c r="AU1294" s="32"/>
      <c r="AV1294" s="32"/>
      <c r="AW1294" s="32"/>
      <c r="AX1294" s="32"/>
      <c r="AY1294" s="32"/>
      <c r="AZ1294" s="32"/>
      <c r="BA1294" s="32"/>
      <c r="BB1294" s="32"/>
      <c r="BC1294" s="32"/>
      <c r="BD1294" s="32"/>
      <c r="BE1294" s="32"/>
      <c r="BF1294" s="32"/>
      <c r="BG1294" s="32"/>
      <c r="BH1294" s="32"/>
      <c r="BI1294" s="32"/>
      <c r="BJ1294" s="22"/>
      <c r="BK1294" s="22"/>
      <c r="BL1294" s="22" t="s">
        <v>86</v>
      </c>
      <c r="BO1294" s="15"/>
    </row>
    <row r="1295" spans="1:67" s="5" customFormat="1">
      <c r="A1295" s="6" t="s">
        <v>87</v>
      </c>
      <c r="B1295" s="6"/>
      <c r="C1295" s="17">
        <v>36905.906400000007</v>
      </c>
      <c r="D1295" s="22">
        <v>18.001497088781107</v>
      </c>
      <c r="E1295" s="6"/>
      <c r="F1295" s="22"/>
      <c r="G1295" s="22"/>
      <c r="H1295" s="22"/>
      <c r="I1295" s="22"/>
      <c r="J1295" s="22"/>
      <c r="K1295" s="22"/>
      <c r="L1295" s="22"/>
      <c r="M1295" s="22"/>
      <c r="N1295" s="18"/>
      <c r="O1295" s="18"/>
      <c r="P1295" s="22"/>
      <c r="Q1295" s="22"/>
      <c r="R1295" s="22"/>
      <c r="S1295" s="22"/>
      <c r="T1295" s="22"/>
      <c r="U1295" s="22"/>
      <c r="V1295" s="22"/>
      <c r="W1295" s="18">
        <v>2.3453679133814407</v>
      </c>
      <c r="X1295" s="19"/>
      <c r="Y1295" s="18">
        <v>3.3708163636884505</v>
      </c>
      <c r="Z1295" s="22"/>
      <c r="AA1295" s="22"/>
      <c r="AB1295" s="22"/>
      <c r="AC1295" s="22"/>
      <c r="AD1295" s="22"/>
      <c r="AE1295" s="22"/>
      <c r="AF1295" s="18"/>
      <c r="AG1295" s="18"/>
      <c r="AH1295" s="18"/>
      <c r="AI1295" s="18"/>
      <c r="AK1295" s="18"/>
      <c r="AL1295" s="18"/>
      <c r="AM1295" s="40" t="s">
        <v>118</v>
      </c>
      <c r="AN1295" s="18"/>
      <c r="AO1295" s="22"/>
      <c r="AP1295" s="32"/>
      <c r="AQ1295" s="32"/>
      <c r="AR1295" s="32"/>
      <c r="AS1295" s="32"/>
      <c r="AT1295" s="32"/>
      <c r="AU1295" s="32"/>
      <c r="AV1295" s="32"/>
      <c r="AW1295" s="32"/>
      <c r="AX1295" s="32"/>
      <c r="AY1295" s="32"/>
      <c r="AZ1295" s="32"/>
      <c r="BA1295" s="32"/>
      <c r="BB1295" s="32"/>
      <c r="BC1295" s="32"/>
      <c r="BD1295" s="32"/>
      <c r="BE1295" s="32"/>
      <c r="BF1295" s="32"/>
      <c r="BG1295" s="32"/>
      <c r="BH1295" s="32"/>
      <c r="BI1295" s="32"/>
      <c r="BJ1295" s="22"/>
      <c r="BK1295" s="22"/>
      <c r="BL1295" s="22" t="s">
        <v>86</v>
      </c>
      <c r="BO1295" s="15"/>
    </row>
    <row r="1296" spans="1:67" s="5" customFormat="1">
      <c r="A1296" s="6" t="s">
        <v>89</v>
      </c>
      <c r="B1296" s="6"/>
      <c r="C1296" s="17">
        <v>36905.906400000007</v>
      </c>
      <c r="D1296" s="22">
        <v>18.001497088781107</v>
      </c>
      <c r="E1296" s="6"/>
      <c r="F1296" s="22"/>
      <c r="G1296" s="22"/>
      <c r="H1296" s="22"/>
      <c r="I1296" s="22"/>
      <c r="J1296" s="22"/>
      <c r="K1296" s="22"/>
      <c r="L1296" s="22"/>
      <c r="M1296" s="22"/>
      <c r="N1296" s="18"/>
      <c r="O1296" s="18"/>
      <c r="P1296" s="22"/>
      <c r="Q1296" s="22"/>
      <c r="R1296" s="22"/>
      <c r="S1296" s="22"/>
      <c r="T1296" s="22"/>
      <c r="U1296" s="22"/>
      <c r="V1296" s="22"/>
      <c r="W1296" s="18">
        <v>3.5926842649741055</v>
      </c>
      <c r="X1296" s="19"/>
      <c r="Y1296" s="18">
        <v>4.8428289846860988</v>
      </c>
      <c r="Z1296" s="22"/>
      <c r="AA1296" s="22"/>
      <c r="AB1296" s="22"/>
      <c r="AC1296" s="22"/>
      <c r="AD1296" s="22"/>
      <c r="AE1296" s="22"/>
      <c r="AF1296" s="18"/>
      <c r="AG1296" s="18"/>
      <c r="AH1296" s="18"/>
      <c r="AI1296" s="18"/>
      <c r="AK1296" s="18"/>
      <c r="AL1296" s="18"/>
      <c r="AM1296" s="40" t="s">
        <v>118</v>
      </c>
      <c r="AN1296" s="18"/>
      <c r="AO1296" s="22"/>
      <c r="AP1296" s="32"/>
      <c r="AQ1296" s="32"/>
      <c r="AR1296" s="32"/>
      <c r="AS1296" s="32"/>
      <c r="AT1296" s="32"/>
      <c r="AU1296" s="32"/>
      <c r="AV1296" s="32"/>
      <c r="AW1296" s="32"/>
      <c r="AX1296" s="32"/>
      <c r="AY1296" s="32"/>
      <c r="AZ1296" s="32"/>
      <c r="BA1296" s="32"/>
      <c r="BB1296" s="32"/>
      <c r="BC1296" s="32"/>
      <c r="BD1296" s="32"/>
      <c r="BE1296" s="32"/>
      <c r="BF1296" s="32"/>
      <c r="BG1296" s="32"/>
      <c r="BH1296" s="32"/>
      <c r="BI1296" s="32"/>
      <c r="BJ1296" s="22"/>
      <c r="BK1296" s="22"/>
      <c r="BL1296" s="22" t="s">
        <v>86</v>
      </c>
      <c r="BO1296" s="15"/>
    </row>
    <row r="1297" spans="1:67" s="5" customFormat="1">
      <c r="A1297" s="6" t="s">
        <v>94</v>
      </c>
      <c r="B1297" s="6"/>
      <c r="C1297" s="17">
        <v>24303</v>
      </c>
      <c r="D1297" s="22">
        <v>0</v>
      </c>
      <c r="E1297" s="6">
        <v>100</v>
      </c>
      <c r="F1297" s="22">
        <v>1234</v>
      </c>
      <c r="G1297" s="22"/>
      <c r="H1297" s="22"/>
      <c r="I1297" s="22"/>
      <c r="J1297" s="22"/>
      <c r="K1297" s="22"/>
      <c r="L1297" s="22"/>
      <c r="M1297" s="22"/>
      <c r="N1297" s="18"/>
      <c r="O1297" s="18"/>
      <c r="P1297" s="22"/>
      <c r="Q1297" s="22"/>
      <c r="R1297" s="22"/>
      <c r="S1297" s="22"/>
      <c r="T1297" s="22"/>
      <c r="U1297" s="22"/>
      <c r="V1297" s="22"/>
      <c r="W1297" s="18"/>
      <c r="X1297" s="19"/>
      <c r="Y1297" s="18"/>
      <c r="Z1297" s="22"/>
      <c r="AA1297" s="22"/>
      <c r="AB1297" s="22"/>
      <c r="AC1297" s="22"/>
      <c r="AD1297" s="22"/>
      <c r="AE1297" s="22"/>
      <c r="AF1297" s="18"/>
      <c r="AG1297" s="18"/>
      <c r="AH1297" s="18"/>
      <c r="AI1297" s="18"/>
      <c r="AK1297" s="18"/>
      <c r="AL1297" s="18"/>
      <c r="AM1297" s="40" t="s">
        <v>118</v>
      </c>
      <c r="AN1297" s="18"/>
      <c r="AO1297" s="22"/>
      <c r="AP1297" s="32"/>
      <c r="AQ1297" s="32"/>
      <c r="AR1297" s="32"/>
      <c r="AS1297" s="32"/>
      <c r="AT1297" s="32"/>
      <c r="AU1297" s="32"/>
      <c r="AV1297" s="32"/>
      <c r="AW1297" s="32"/>
      <c r="AX1297" s="32"/>
      <c r="AY1297" s="32"/>
      <c r="AZ1297" s="32"/>
      <c r="BA1297" s="32"/>
      <c r="BB1297" s="32"/>
      <c r="BC1297" s="32"/>
      <c r="BD1297" s="32"/>
      <c r="BE1297" s="32"/>
      <c r="BF1297" s="32"/>
      <c r="BG1297" s="32"/>
      <c r="BH1297" s="32"/>
      <c r="BI1297" s="32"/>
      <c r="BJ1297" s="22"/>
      <c r="BK1297" s="22"/>
      <c r="BL1297" s="22" t="s">
        <v>95</v>
      </c>
      <c r="BO1297" s="15"/>
    </row>
    <row r="1298" spans="1:67" s="5" customFormat="1">
      <c r="A1298" s="6" t="s">
        <v>94</v>
      </c>
      <c r="B1298" s="6"/>
      <c r="C1298" s="17">
        <v>30000.9</v>
      </c>
      <c r="D1298" s="22">
        <v>15.6</v>
      </c>
      <c r="E1298" s="6">
        <v>55.024311183144249</v>
      </c>
      <c r="F1298" s="22">
        <v>679</v>
      </c>
      <c r="G1298" s="22"/>
      <c r="H1298" s="22"/>
      <c r="I1298" s="22"/>
      <c r="J1298" s="22"/>
      <c r="K1298" s="22"/>
      <c r="L1298" s="22"/>
      <c r="M1298" s="22"/>
      <c r="N1298" s="18"/>
      <c r="O1298" s="18"/>
      <c r="P1298" s="22"/>
      <c r="Q1298" s="22"/>
      <c r="R1298" s="22"/>
      <c r="S1298" s="22"/>
      <c r="T1298" s="22"/>
      <c r="U1298" s="22"/>
      <c r="V1298" s="22"/>
      <c r="W1298" s="18"/>
      <c r="X1298" s="19"/>
      <c r="Y1298" s="18"/>
      <c r="Z1298" s="22"/>
      <c r="AA1298" s="22"/>
      <c r="AB1298" s="22"/>
      <c r="AC1298" s="22"/>
      <c r="AD1298" s="22"/>
      <c r="AE1298" s="22"/>
      <c r="AF1298" s="18"/>
      <c r="AG1298" s="18"/>
      <c r="AH1298" s="18"/>
      <c r="AI1298" s="18"/>
      <c r="AK1298" s="18"/>
      <c r="AL1298" s="18"/>
      <c r="AM1298" s="40" t="s">
        <v>118</v>
      </c>
      <c r="AN1298" s="18"/>
      <c r="AO1298" s="22"/>
      <c r="AP1298" s="32"/>
      <c r="AQ1298" s="32"/>
      <c r="AR1298" s="32"/>
      <c r="AS1298" s="32"/>
      <c r="AT1298" s="32"/>
      <c r="AU1298" s="32"/>
      <c r="AV1298" s="32"/>
      <c r="AW1298" s="32"/>
      <c r="AX1298" s="32"/>
      <c r="AY1298" s="32"/>
      <c r="AZ1298" s="32"/>
      <c r="BA1298" s="32"/>
      <c r="BB1298" s="32"/>
      <c r="BC1298" s="32"/>
      <c r="BD1298" s="32"/>
      <c r="BE1298" s="32"/>
      <c r="BF1298" s="32"/>
      <c r="BG1298" s="32"/>
      <c r="BH1298" s="32"/>
      <c r="BI1298" s="32"/>
      <c r="BJ1298" s="22"/>
      <c r="BK1298" s="22"/>
      <c r="BL1298" s="22" t="s">
        <v>95</v>
      </c>
      <c r="BO1298" s="15"/>
    </row>
    <row r="1299" spans="1:67" s="5" customFormat="1">
      <c r="A1299" s="6" t="s">
        <v>94</v>
      </c>
      <c r="B1299" s="6"/>
      <c r="C1299" s="17">
        <v>35041.35</v>
      </c>
      <c r="D1299" s="22">
        <v>29.4</v>
      </c>
      <c r="E1299" s="6">
        <v>55.024311183144249</v>
      </c>
      <c r="F1299" s="22">
        <v>679</v>
      </c>
      <c r="G1299" s="22"/>
      <c r="H1299" s="22">
        <v>203</v>
      </c>
      <c r="I1299" s="22"/>
      <c r="J1299" s="22">
        <v>2420</v>
      </c>
      <c r="K1299" s="22"/>
      <c r="L1299" s="22"/>
      <c r="M1299" s="22"/>
      <c r="N1299" s="18">
        <v>330</v>
      </c>
      <c r="O1299" s="18"/>
      <c r="P1299" s="22">
        <v>23870</v>
      </c>
      <c r="Q1299" s="22"/>
      <c r="R1299" s="22">
        <v>3090</v>
      </c>
      <c r="S1299" s="22"/>
      <c r="T1299" s="22">
        <v>26500</v>
      </c>
      <c r="U1299" s="22"/>
      <c r="V1299" s="22"/>
      <c r="W1299" s="18"/>
      <c r="X1299" s="19"/>
      <c r="Y1299" s="18"/>
      <c r="Z1299" s="22"/>
      <c r="AA1299" s="22"/>
      <c r="AB1299" s="22"/>
      <c r="AC1299" s="22"/>
      <c r="AD1299" s="22"/>
      <c r="AE1299" s="23">
        <v>0.12</v>
      </c>
      <c r="AF1299" s="18">
        <v>23.7</v>
      </c>
      <c r="AG1299" s="18"/>
      <c r="AH1299" s="18"/>
      <c r="AI1299" s="18">
        <v>39.6</v>
      </c>
      <c r="AK1299" s="18"/>
      <c r="AL1299" s="18"/>
      <c r="AM1299" s="18">
        <v>11.224489795918368</v>
      </c>
      <c r="AN1299" s="18"/>
      <c r="AO1299" s="22"/>
      <c r="AP1299" s="32"/>
      <c r="AQ1299" s="32"/>
      <c r="AR1299" s="32"/>
      <c r="AS1299" s="32"/>
      <c r="AT1299" s="32"/>
      <c r="AU1299" s="32"/>
      <c r="AV1299" s="32"/>
      <c r="AW1299" s="32"/>
      <c r="AX1299" s="32">
        <v>29</v>
      </c>
      <c r="AY1299" s="32"/>
      <c r="AZ1299" s="32"/>
      <c r="BA1299" s="32"/>
      <c r="BB1299" s="32"/>
      <c r="BC1299" s="32"/>
      <c r="BD1299" s="32"/>
      <c r="BE1299" s="32"/>
      <c r="BF1299" s="32"/>
      <c r="BG1299" s="32"/>
      <c r="BH1299" s="32"/>
      <c r="BI1299" s="32"/>
      <c r="BJ1299" s="22"/>
      <c r="BK1299" s="22"/>
      <c r="BL1299" s="22" t="s">
        <v>95</v>
      </c>
      <c r="BO1299" s="15"/>
    </row>
    <row r="1300" spans="1:67">
      <c r="A1300" s="6" t="s">
        <v>96</v>
      </c>
      <c r="B1300" s="6"/>
      <c r="C1300" s="17">
        <v>35200</v>
      </c>
      <c r="D1300" s="22">
        <v>0</v>
      </c>
      <c r="E1300" s="6">
        <v>100</v>
      </c>
      <c r="F1300" s="6">
        <v>1111</v>
      </c>
      <c r="G1300" s="22"/>
      <c r="H1300" s="22"/>
      <c r="I1300" s="22"/>
      <c r="J1300" s="22"/>
      <c r="K1300" s="22"/>
      <c r="L1300" s="22"/>
      <c r="M1300" s="22"/>
      <c r="N1300" s="25"/>
      <c r="O1300" s="25"/>
      <c r="P1300" s="22"/>
      <c r="Q1300" s="22"/>
      <c r="R1300" s="22"/>
      <c r="S1300" s="22"/>
      <c r="T1300" s="22"/>
      <c r="U1300" s="22"/>
      <c r="V1300" s="6"/>
      <c r="W1300" s="6"/>
      <c r="X1300" s="19"/>
      <c r="Y1300" s="6"/>
      <c r="Z1300" s="6"/>
      <c r="AA1300" s="6"/>
      <c r="AB1300" s="6"/>
      <c r="AC1300" s="6"/>
      <c r="AD1300" s="6"/>
      <c r="AE1300" s="6"/>
      <c r="AF1300" s="25">
        <v>0.3</v>
      </c>
      <c r="AG1300" s="25"/>
      <c r="AH1300" s="25"/>
      <c r="AI1300" s="25"/>
      <c r="AK1300" s="18"/>
      <c r="AL1300" s="18"/>
      <c r="AM1300" s="18"/>
      <c r="AN1300" s="18"/>
      <c r="AO1300" s="6"/>
      <c r="AP1300" s="32"/>
      <c r="AQ1300" s="32"/>
      <c r="AR1300" s="32"/>
      <c r="AS1300" s="32"/>
      <c r="AT1300" s="32"/>
      <c r="AU1300" s="32"/>
      <c r="AV1300" s="32"/>
      <c r="AW1300" s="32"/>
      <c r="AX1300" s="32"/>
      <c r="AY1300" s="32"/>
      <c r="AZ1300" s="32"/>
      <c r="BA1300" s="32"/>
      <c r="BB1300" s="32"/>
      <c r="BC1300" s="32"/>
      <c r="BD1300" s="32"/>
      <c r="BE1300" s="32"/>
      <c r="BF1300" s="32"/>
      <c r="BG1300" s="32"/>
      <c r="BH1300" s="32"/>
      <c r="BI1300" s="32"/>
      <c r="BJ1300" s="6"/>
      <c r="BK1300" s="6"/>
      <c r="BL1300" s="22" t="s">
        <v>95</v>
      </c>
      <c r="BO1300" s="15"/>
    </row>
    <row r="1301" spans="1:67">
      <c r="A1301" s="6" t="s">
        <v>96</v>
      </c>
      <c r="B1301" s="6"/>
      <c r="C1301" s="17">
        <v>35638.300000000003</v>
      </c>
      <c r="D1301" s="18">
        <v>1.2</v>
      </c>
      <c r="E1301" s="6">
        <v>99</v>
      </c>
      <c r="F1301" s="6">
        <v>1100</v>
      </c>
      <c r="G1301" s="22"/>
      <c r="H1301" s="22"/>
      <c r="I1301" s="22"/>
      <c r="J1301" s="22"/>
      <c r="K1301" s="22"/>
      <c r="L1301" s="22"/>
      <c r="M1301" s="22"/>
      <c r="N1301" s="25"/>
      <c r="O1301" s="25"/>
      <c r="P1301" s="22"/>
      <c r="Q1301" s="22"/>
      <c r="R1301" s="22"/>
      <c r="S1301" s="22"/>
      <c r="T1301" s="22"/>
      <c r="U1301" s="22"/>
      <c r="V1301" s="6"/>
      <c r="W1301" s="6"/>
      <c r="X1301" s="19"/>
      <c r="Y1301" s="6"/>
      <c r="Z1301" s="6"/>
      <c r="AA1301" s="6"/>
      <c r="AB1301" s="6"/>
      <c r="AC1301" s="6"/>
      <c r="AD1301" s="6"/>
      <c r="AE1301" s="6"/>
      <c r="AF1301" s="25">
        <v>1.5</v>
      </c>
      <c r="AG1301" s="25"/>
      <c r="AH1301" s="25"/>
      <c r="AI1301" s="25"/>
      <c r="AK1301" s="18"/>
      <c r="AL1301" s="18"/>
      <c r="AM1301" s="18"/>
      <c r="AN1301" s="18"/>
      <c r="AO1301" s="6"/>
      <c r="AP1301" s="32"/>
      <c r="AQ1301" s="32"/>
      <c r="AR1301" s="32"/>
      <c r="AS1301" s="32"/>
      <c r="AT1301" s="32"/>
      <c r="AU1301" s="32"/>
      <c r="AV1301" s="32"/>
      <c r="AW1301" s="32"/>
      <c r="AX1301" s="32"/>
      <c r="AY1301" s="32"/>
      <c r="AZ1301" s="32"/>
      <c r="BA1301" s="32"/>
      <c r="BB1301" s="32"/>
      <c r="BC1301" s="32"/>
      <c r="BD1301" s="32"/>
      <c r="BE1301" s="32"/>
      <c r="BF1301" s="32"/>
      <c r="BG1301" s="32"/>
      <c r="BH1301" s="32"/>
      <c r="BI1301" s="32"/>
      <c r="BJ1301" s="6"/>
      <c r="BK1301" s="6"/>
      <c r="BL1301" s="22" t="s">
        <v>95</v>
      </c>
      <c r="BO1301" s="15"/>
    </row>
    <row r="1302" spans="1:67">
      <c r="A1302" s="6" t="s">
        <v>96</v>
      </c>
      <c r="B1302" s="6"/>
      <c r="C1302" s="17">
        <v>36076.6</v>
      </c>
      <c r="D1302" s="18">
        <v>2.4</v>
      </c>
      <c r="E1302" s="6">
        <v>99</v>
      </c>
      <c r="F1302" s="6">
        <v>1100</v>
      </c>
      <c r="G1302" s="22"/>
      <c r="H1302" s="22"/>
      <c r="I1302" s="22"/>
      <c r="J1302" s="22"/>
      <c r="K1302" s="22"/>
      <c r="L1302" s="22"/>
      <c r="M1302" s="22"/>
      <c r="N1302" s="25"/>
      <c r="O1302" s="25"/>
      <c r="P1302" s="22"/>
      <c r="Q1302" s="22"/>
      <c r="R1302" s="22"/>
      <c r="S1302" s="22"/>
      <c r="T1302" s="22"/>
      <c r="U1302" s="22"/>
      <c r="V1302" s="6"/>
      <c r="W1302" s="6"/>
      <c r="X1302" s="19"/>
      <c r="Y1302" s="6"/>
      <c r="Z1302" s="6"/>
      <c r="AA1302" s="6"/>
      <c r="AB1302" s="6"/>
      <c r="AC1302" s="6"/>
      <c r="AD1302" s="6"/>
      <c r="AE1302" s="6"/>
      <c r="AF1302" s="25">
        <v>3.5</v>
      </c>
      <c r="AG1302" s="25"/>
      <c r="AH1302" s="25"/>
      <c r="AI1302" s="25">
        <v>2.2999999999999998</v>
      </c>
      <c r="AK1302" s="18"/>
      <c r="AL1302" s="18"/>
      <c r="AM1302" s="18"/>
      <c r="AN1302" s="18"/>
      <c r="AO1302" s="6"/>
      <c r="AP1302" s="32"/>
      <c r="AQ1302" s="32">
        <v>8.6999999999999994E-3</v>
      </c>
      <c r="AR1302" s="32"/>
      <c r="AS1302" s="32"/>
      <c r="AT1302" s="32"/>
      <c r="AU1302" s="32"/>
      <c r="AV1302" s="32"/>
      <c r="AW1302" s="32"/>
      <c r="AX1302" s="32"/>
      <c r="AY1302" s="32"/>
      <c r="AZ1302" s="32"/>
      <c r="BA1302" s="32"/>
      <c r="BB1302" s="32"/>
      <c r="BC1302" s="32"/>
      <c r="BD1302" s="32"/>
      <c r="BE1302" s="32"/>
      <c r="BF1302" s="32"/>
      <c r="BG1302" s="32"/>
      <c r="BH1302" s="32"/>
      <c r="BI1302" s="32"/>
      <c r="BJ1302" s="6"/>
      <c r="BK1302" s="6"/>
      <c r="BL1302" s="22" t="s">
        <v>95</v>
      </c>
      <c r="BO1302" s="15"/>
    </row>
    <row r="1303" spans="1:67">
      <c r="A1303" s="6" t="s">
        <v>96</v>
      </c>
      <c r="B1303" s="6"/>
      <c r="C1303" s="17">
        <v>36387.0625</v>
      </c>
      <c r="D1303" s="18">
        <v>3.25</v>
      </c>
      <c r="E1303" s="6">
        <v>99</v>
      </c>
      <c r="F1303" s="6">
        <v>1100</v>
      </c>
      <c r="G1303" s="22"/>
      <c r="H1303" s="22">
        <v>685.17300056721501</v>
      </c>
      <c r="I1303" s="22"/>
      <c r="J1303" s="22">
        <v>260.50141803743628</v>
      </c>
      <c r="K1303" s="22"/>
      <c r="L1303" s="22">
        <v>373.11401020986955</v>
      </c>
      <c r="M1303" s="22">
        <v>1073.2115711854794</v>
      </c>
      <c r="N1303" s="25"/>
      <c r="O1303" s="25"/>
      <c r="P1303" s="22">
        <v>1446.325581395349</v>
      </c>
      <c r="Q1303" s="22"/>
      <c r="R1303" s="22"/>
      <c r="S1303" s="22"/>
      <c r="T1303" s="22">
        <v>2392.0000000000005</v>
      </c>
      <c r="U1303" s="22"/>
      <c r="V1303" s="6"/>
      <c r="W1303" s="6"/>
      <c r="X1303" s="19"/>
      <c r="Y1303" s="6"/>
      <c r="Z1303" s="6"/>
      <c r="AA1303" s="6"/>
      <c r="AB1303" s="6"/>
      <c r="AC1303" s="6"/>
      <c r="AD1303" s="6"/>
      <c r="AE1303" s="6"/>
      <c r="AF1303" s="25"/>
      <c r="AG1303" s="25"/>
      <c r="AH1303" s="25"/>
      <c r="AI1303" s="25"/>
      <c r="AK1303" s="18"/>
      <c r="AL1303" s="18"/>
      <c r="AM1303" s="18"/>
      <c r="AN1303" s="18"/>
      <c r="AO1303" s="6"/>
      <c r="AP1303" s="32"/>
      <c r="AQ1303" s="32">
        <v>5.6999999999999993E-3</v>
      </c>
      <c r="AR1303" s="32"/>
      <c r="AS1303" s="32"/>
      <c r="AT1303" s="32"/>
      <c r="AU1303" s="32"/>
      <c r="AV1303" s="32"/>
      <c r="AW1303" s="32"/>
      <c r="AX1303" s="32">
        <v>5.4600000000000009</v>
      </c>
      <c r="AY1303" s="32"/>
      <c r="AZ1303" s="32"/>
      <c r="BA1303" s="32"/>
      <c r="BB1303" s="32"/>
      <c r="BC1303" s="32"/>
      <c r="BD1303" s="32"/>
      <c r="BE1303" s="32"/>
      <c r="BF1303" s="32"/>
      <c r="BG1303" s="32"/>
      <c r="BH1303" s="32"/>
      <c r="BI1303" s="32"/>
      <c r="BJ1303" s="6"/>
      <c r="BK1303" s="6"/>
      <c r="BL1303" s="22" t="s">
        <v>95</v>
      </c>
      <c r="BO1303" s="15"/>
    </row>
    <row r="1304" spans="1:67">
      <c r="A1304" s="6" t="s">
        <v>96</v>
      </c>
      <c r="B1304" s="6"/>
      <c r="C1304" s="17">
        <v>36441.85</v>
      </c>
      <c r="D1304" s="18">
        <v>3.4</v>
      </c>
      <c r="E1304" s="6">
        <v>62.5</v>
      </c>
      <c r="F1304" s="6">
        <v>694</v>
      </c>
      <c r="G1304" s="22"/>
      <c r="H1304" s="22">
        <v>492.39648326715837</v>
      </c>
      <c r="I1304" s="22"/>
      <c r="J1304" s="22">
        <v>187.20816789563244</v>
      </c>
      <c r="K1304" s="22"/>
      <c r="L1304" s="22">
        <v>268.13669880884862</v>
      </c>
      <c r="M1304" s="22">
        <v>771.25865002836088</v>
      </c>
      <c r="N1304" s="25">
        <v>15.813229999999999</v>
      </c>
      <c r="O1304" s="25"/>
      <c r="P1304" s="22">
        <v>1039.3953488372094</v>
      </c>
      <c r="Q1304" s="22"/>
      <c r="R1304" s="22"/>
      <c r="S1304" s="22"/>
      <c r="T1304" s="22">
        <v>1719.0000000000002</v>
      </c>
      <c r="U1304" s="22"/>
      <c r="V1304" s="6"/>
      <c r="W1304" s="6"/>
      <c r="X1304" s="19"/>
      <c r="Y1304" s="6"/>
      <c r="Z1304" s="6"/>
      <c r="AA1304" s="6"/>
      <c r="AB1304" s="6"/>
      <c r="AC1304" s="6"/>
      <c r="AD1304" s="6"/>
      <c r="AE1304" s="6"/>
      <c r="AF1304" s="25">
        <v>6.1000000000000005</v>
      </c>
      <c r="AG1304" s="25">
        <v>9.6999999999999993</v>
      </c>
      <c r="AH1304" s="25"/>
      <c r="AI1304" s="25">
        <v>9.6999999999999993</v>
      </c>
      <c r="AK1304" s="18"/>
      <c r="AL1304" s="18"/>
      <c r="AM1304" s="18">
        <v>4.6509499999999999</v>
      </c>
      <c r="AN1304" s="18"/>
      <c r="AO1304" s="6"/>
      <c r="AP1304" s="32"/>
      <c r="AQ1304" s="32">
        <v>8.8000000000000005E-3</v>
      </c>
      <c r="AR1304" s="32"/>
      <c r="AS1304" s="32"/>
      <c r="AT1304" s="32"/>
      <c r="AU1304" s="32"/>
      <c r="AV1304" s="32"/>
      <c r="AW1304" s="32"/>
      <c r="AX1304" s="32">
        <v>3.9299999999999997</v>
      </c>
      <c r="AY1304" s="32"/>
      <c r="AZ1304" s="32"/>
      <c r="BA1304" s="32"/>
      <c r="BB1304" s="32"/>
      <c r="BC1304" s="32"/>
      <c r="BD1304" s="32"/>
      <c r="BE1304" s="32"/>
      <c r="BF1304" s="32"/>
      <c r="BG1304" s="32"/>
      <c r="BH1304" s="32"/>
      <c r="BI1304" s="32"/>
      <c r="BJ1304" s="6"/>
      <c r="BK1304" s="6"/>
      <c r="BL1304" s="22" t="s">
        <v>95</v>
      </c>
      <c r="BO1304" s="15"/>
    </row>
    <row r="1305" spans="1:67">
      <c r="A1305" s="6" t="s">
        <v>96</v>
      </c>
      <c r="B1305" s="6"/>
      <c r="C1305" s="17">
        <v>36807.1</v>
      </c>
      <c r="D1305" s="18">
        <v>4.4000000000000004</v>
      </c>
      <c r="E1305" s="6">
        <v>62.5</v>
      </c>
      <c r="F1305" s="6">
        <v>694</v>
      </c>
      <c r="G1305" s="22"/>
      <c r="H1305" s="22"/>
      <c r="I1305" s="22"/>
      <c r="J1305" s="22"/>
      <c r="K1305" s="22"/>
      <c r="L1305" s="22"/>
      <c r="M1305" s="22"/>
      <c r="N1305" s="25">
        <v>42.705189999999995</v>
      </c>
      <c r="O1305" s="25"/>
      <c r="P1305" s="22"/>
      <c r="Q1305" s="22"/>
      <c r="R1305" s="22"/>
      <c r="S1305" s="22"/>
      <c r="T1305" s="22"/>
      <c r="U1305" s="22"/>
      <c r="V1305" s="6"/>
      <c r="W1305" s="6"/>
      <c r="X1305" s="19"/>
      <c r="Y1305" s="6"/>
      <c r="Z1305" s="6"/>
      <c r="AA1305" s="6"/>
      <c r="AB1305" s="6"/>
      <c r="AC1305" s="6"/>
      <c r="AD1305" s="6"/>
      <c r="AE1305" s="6"/>
      <c r="AF1305" s="25">
        <v>8.4000000000000021</v>
      </c>
      <c r="AG1305" s="25"/>
      <c r="AH1305" s="25"/>
      <c r="AI1305" s="25">
        <v>19.2</v>
      </c>
      <c r="AK1305" s="18"/>
      <c r="AL1305" s="18"/>
      <c r="AM1305" s="18">
        <v>9.7057249999999975</v>
      </c>
      <c r="AN1305" s="18"/>
      <c r="AO1305" s="6"/>
      <c r="AP1305" s="32"/>
      <c r="AQ1305" s="32">
        <v>9.1000000000000004E-3</v>
      </c>
      <c r="AR1305" s="32"/>
      <c r="AS1305" s="32"/>
      <c r="AT1305" s="32"/>
      <c r="AU1305" s="32"/>
      <c r="AV1305" s="32"/>
      <c r="AW1305" s="32"/>
      <c r="AX1305" s="32"/>
      <c r="AY1305" s="32"/>
      <c r="AZ1305" s="32"/>
      <c r="BA1305" s="32"/>
      <c r="BB1305" s="32"/>
      <c r="BC1305" s="32"/>
      <c r="BD1305" s="32"/>
      <c r="BE1305" s="32"/>
      <c r="BF1305" s="32"/>
      <c r="BG1305" s="32"/>
      <c r="BH1305" s="32"/>
      <c r="BI1305" s="32"/>
      <c r="BJ1305" s="6"/>
      <c r="BK1305" s="6"/>
      <c r="BL1305" s="22" t="s">
        <v>95</v>
      </c>
      <c r="BO1305" s="15"/>
    </row>
    <row r="1306" spans="1:67">
      <c r="A1306" s="6" t="s">
        <v>96</v>
      </c>
      <c r="B1306" s="6"/>
      <c r="C1306" s="17">
        <v>37062.775000000001</v>
      </c>
      <c r="D1306" s="18">
        <v>5.0999999999999996</v>
      </c>
      <c r="E1306" s="6">
        <v>62.5</v>
      </c>
      <c r="F1306" s="6">
        <v>694</v>
      </c>
      <c r="G1306" s="22"/>
      <c r="H1306" s="22"/>
      <c r="I1306" s="22"/>
      <c r="J1306" s="22"/>
      <c r="K1306" s="22"/>
      <c r="L1306" s="22"/>
      <c r="M1306" s="22"/>
      <c r="N1306" s="25">
        <v>56.908689999999993</v>
      </c>
      <c r="O1306" s="25"/>
      <c r="P1306" s="22"/>
      <c r="Q1306" s="22"/>
      <c r="R1306" s="22"/>
      <c r="S1306" s="22"/>
      <c r="T1306" s="22"/>
      <c r="U1306" s="22"/>
      <c r="V1306" s="6"/>
      <c r="W1306" s="6"/>
      <c r="X1306" s="19"/>
      <c r="Y1306" s="6"/>
      <c r="Z1306" s="6"/>
      <c r="AA1306" s="6"/>
      <c r="AB1306" s="6"/>
      <c r="AC1306" s="6"/>
      <c r="AD1306" s="6"/>
      <c r="AE1306" s="6"/>
      <c r="AF1306" s="25">
        <v>9.9000000000000021</v>
      </c>
      <c r="AG1306" s="25"/>
      <c r="AH1306" s="25"/>
      <c r="AI1306" s="25">
        <v>24.2</v>
      </c>
      <c r="AK1306" s="18"/>
      <c r="AL1306" s="18"/>
      <c r="AM1306" s="18">
        <v>11.158566666666665</v>
      </c>
      <c r="AN1306" s="18"/>
      <c r="AO1306" s="6"/>
      <c r="AP1306" s="32"/>
      <c r="AQ1306" s="32">
        <v>8.199999999999999E-3</v>
      </c>
      <c r="AR1306" s="32"/>
      <c r="AS1306" s="32"/>
      <c r="AT1306" s="32"/>
      <c r="AU1306" s="32"/>
      <c r="AV1306" s="32"/>
      <c r="AW1306" s="32"/>
      <c r="AX1306" s="32"/>
      <c r="AY1306" s="32"/>
      <c r="AZ1306" s="32"/>
      <c r="BA1306" s="32"/>
      <c r="BB1306" s="32"/>
      <c r="BC1306" s="32"/>
      <c r="BD1306" s="32"/>
      <c r="BE1306" s="32"/>
      <c r="BF1306" s="32"/>
      <c r="BG1306" s="32"/>
      <c r="BH1306" s="32"/>
      <c r="BI1306" s="32"/>
      <c r="BJ1306" s="6"/>
      <c r="BK1306" s="6"/>
      <c r="BL1306" s="22" t="s">
        <v>95</v>
      </c>
      <c r="BO1306" s="15"/>
    </row>
    <row r="1307" spans="1:67">
      <c r="A1307" s="6" t="s">
        <v>96</v>
      </c>
      <c r="B1307" s="6"/>
      <c r="C1307" s="17">
        <v>37537.599999999999</v>
      </c>
      <c r="D1307" s="6">
        <v>6.4</v>
      </c>
      <c r="E1307" s="6">
        <v>62.5</v>
      </c>
      <c r="F1307" s="6">
        <v>694</v>
      </c>
      <c r="G1307" s="22"/>
      <c r="H1307" s="22"/>
      <c r="I1307" s="22"/>
      <c r="J1307" s="22"/>
      <c r="K1307" s="22"/>
      <c r="L1307" s="22"/>
      <c r="M1307" s="22"/>
      <c r="N1307" s="26">
        <v>76.7</v>
      </c>
      <c r="O1307" s="26"/>
      <c r="P1307" s="22"/>
      <c r="Q1307" s="22"/>
      <c r="R1307" s="22"/>
      <c r="S1307" s="22"/>
      <c r="T1307" s="22"/>
      <c r="U1307" s="22"/>
      <c r="V1307" s="6"/>
      <c r="W1307" s="6"/>
      <c r="X1307" s="19"/>
      <c r="Y1307" s="6"/>
      <c r="Z1307" s="6"/>
      <c r="AA1307" s="6"/>
      <c r="AB1307" s="6"/>
      <c r="AC1307" s="6"/>
      <c r="AD1307" s="6"/>
      <c r="AE1307" s="6"/>
      <c r="AF1307" s="26">
        <v>11.1</v>
      </c>
      <c r="AG1307" s="26">
        <v>18.899999999999999</v>
      </c>
      <c r="AH1307" s="26"/>
      <c r="AI1307" s="26">
        <v>27.3</v>
      </c>
      <c r="AK1307" s="18"/>
      <c r="AL1307" s="18"/>
      <c r="AM1307" s="18">
        <v>11.984375</v>
      </c>
      <c r="AN1307" s="18"/>
      <c r="AO1307" s="6"/>
      <c r="AP1307" s="32"/>
      <c r="AQ1307" s="32">
        <v>7.8000000000000005E-3</v>
      </c>
      <c r="AR1307" s="32"/>
      <c r="AS1307" s="32"/>
      <c r="AT1307" s="32"/>
      <c r="AU1307" s="32"/>
      <c r="AV1307" s="32"/>
      <c r="AW1307" s="32"/>
      <c r="AX1307" s="32"/>
      <c r="AY1307" s="32"/>
      <c r="AZ1307" s="32"/>
      <c r="BA1307" s="32"/>
      <c r="BB1307" s="32"/>
      <c r="BC1307" s="32"/>
      <c r="BD1307" s="32"/>
      <c r="BE1307" s="32"/>
      <c r="BF1307" s="32"/>
      <c r="BG1307" s="32"/>
      <c r="BH1307" s="32"/>
      <c r="BI1307" s="32"/>
      <c r="BJ1307" s="6"/>
      <c r="BK1307" s="6"/>
      <c r="BL1307" s="22" t="s">
        <v>95</v>
      </c>
      <c r="BO1307" s="15"/>
    </row>
    <row r="1308" spans="1:67">
      <c r="A1308" s="6" t="s">
        <v>97</v>
      </c>
      <c r="B1308" s="6"/>
      <c r="C1308" s="17">
        <v>36600</v>
      </c>
      <c r="D1308" s="18">
        <v>0</v>
      </c>
      <c r="E1308" s="6">
        <v>100</v>
      </c>
      <c r="F1308" s="6">
        <v>833</v>
      </c>
      <c r="G1308" s="22"/>
      <c r="H1308" s="22"/>
      <c r="I1308" s="22"/>
      <c r="J1308" s="22"/>
      <c r="K1308" s="22"/>
      <c r="L1308" s="22"/>
      <c r="M1308" s="22"/>
      <c r="N1308" s="18"/>
      <c r="O1308" s="18"/>
      <c r="P1308" s="22"/>
      <c r="Q1308" s="22"/>
      <c r="R1308" s="22"/>
      <c r="S1308" s="22"/>
      <c r="T1308" s="22"/>
      <c r="U1308" s="22"/>
      <c r="V1308" s="6"/>
      <c r="W1308" s="6"/>
      <c r="X1308" s="19"/>
      <c r="Y1308" s="6"/>
      <c r="Z1308" s="6"/>
      <c r="AA1308" s="6"/>
      <c r="AB1308" s="6"/>
      <c r="AC1308" s="6"/>
      <c r="AD1308" s="6"/>
      <c r="AE1308" s="6"/>
      <c r="AF1308" s="18"/>
      <c r="AG1308" s="18"/>
      <c r="AH1308" s="18"/>
      <c r="AI1308" s="18"/>
      <c r="AK1308" s="18"/>
      <c r="AL1308" s="18"/>
      <c r="AM1308" s="18"/>
      <c r="AN1308" s="18"/>
      <c r="AO1308" s="6"/>
      <c r="AP1308" s="32"/>
      <c r="AQ1308" s="32"/>
      <c r="AR1308" s="32"/>
      <c r="AS1308" s="32"/>
      <c r="AT1308" s="32"/>
      <c r="AU1308" s="32"/>
      <c r="AV1308" s="32"/>
      <c r="AW1308" s="32"/>
      <c r="AX1308" s="32"/>
      <c r="AY1308" s="32"/>
      <c r="AZ1308" s="32"/>
      <c r="BA1308" s="32"/>
      <c r="BB1308" s="32"/>
      <c r="BC1308" s="32"/>
      <c r="BD1308" s="32"/>
      <c r="BE1308" s="32"/>
      <c r="BF1308" s="32"/>
      <c r="BG1308" s="32"/>
      <c r="BH1308" s="32"/>
      <c r="BI1308" s="32"/>
      <c r="BJ1308" s="6"/>
      <c r="BK1308" s="6"/>
      <c r="BL1308" s="22" t="s">
        <v>95</v>
      </c>
      <c r="BO1308" s="15"/>
    </row>
    <row r="1309" spans="1:67">
      <c r="A1309" s="6" t="s">
        <v>97</v>
      </c>
      <c r="B1309" s="6"/>
      <c r="C1309" s="17">
        <v>37421.8125</v>
      </c>
      <c r="D1309" s="18">
        <v>2.25</v>
      </c>
      <c r="E1309" s="6">
        <v>100</v>
      </c>
      <c r="F1309" s="6">
        <v>833</v>
      </c>
      <c r="G1309" s="22"/>
      <c r="H1309" s="22"/>
      <c r="I1309" s="22"/>
      <c r="J1309" s="22"/>
      <c r="K1309" s="22"/>
      <c r="L1309" s="22"/>
      <c r="M1309" s="22"/>
      <c r="N1309" s="26"/>
      <c r="O1309" s="26"/>
      <c r="P1309" s="22"/>
      <c r="Q1309" s="22"/>
      <c r="R1309" s="22"/>
      <c r="S1309" s="22"/>
      <c r="T1309" s="22"/>
      <c r="U1309" s="22"/>
      <c r="V1309" s="6"/>
      <c r="W1309" s="6"/>
      <c r="X1309" s="19"/>
      <c r="Y1309" s="6"/>
      <c r="Z1309" s="13"/>
      <c r="AA1309" s="13"/>
      <c r="AB1309" s="13"/>
      <c r="AC1309" s="13"/>
      <c r="AD1309" s="13"/>
      <c r="AE1309" s="13"/>
      <c r="AF1309" s="26"/>
      <c r="AG1309" s="26"/>
      <c r="AH1309" s="26"/>
      <c r="AI1309" s="26"/>
      <c r="AK1309" s="49"/>
      <c r="AL1309" s="49"/>
      <c r="AM1309" s="49"/>
      <c r="AN1309" s="49"/>
      <c r="AO1309" s="6"/>
      <c r="AP1309" s="32"/>
      <c r="AQ1309" s="32"/>
      <c r="AR1309" s="32"/>
      <c r="AS1309" s="32"/>
      <c r="AT1309" s="32"/>
      <c r="AU1309" s="32"/>
      <c r="AV1309" s="32"/>
      <c r="AW1309" s="32"/>
      <c r="AX1309" s="32"/>
      <c r="AY1309" s="32"/>
      <c r="AZ1309" s="32"/>
      <c r="BA1309" s="32"/>
      <c r="BB1309" s="32"/>
      <c r="BC1309" s="32"/>
      <c r="BD1309" s="32"/>
      <c r="BE1309" s="32"/>
      <c r="BF1309" s="32"/>
      <c r="BG1309" s="32"/>
      <c r="BH1309" s="32"/>
      <c r="BI1309" s="32"/>
      <c r="BJ1309" s="6"/>
      <c r="BK1309" s="6"/>
      <c r="BL1309" s="22" t="s">
        <v>95</v>
      </c>
      <c r="BO1309" s="15"/>
    </row>
    <row r="1310" spans="1:67">
      <c r="A1310" s="6" t="s">
        <v>97</v>
      </c>
      <c r="B1310" s="6"/>
      <c r="C1310" s="17">
        <v>37798.019999999997</v>
      </c>
      <c r="D1310" s="18">
        <v>3.28</v>
      </c>
      <c r="E1310" s="6">
        <v>100</v>
      </c>
      <c r="F1310" s="6">
        <v>833</v>
      </c>
      <c r="G1310" s="22"/>
      <c r="H1310" s="22"/>
      <c r="I1310" s="22"/>
      <c r="J1310" s="22"/>
      <c r="K1310" s="22"/>
      <c r="L1310" s="22"/>
      <c r="M1310" s="22"/>
      <c r="N1310" s="26"/>
      <c r="O1310" s="26"/>
      <c r="P1310" s="22"/>
      <c r="Q1310" s="22"/>
      <c r="R1310" s="22"/>
      <c r="S1310" s="22"/>
      <c r="T1310" s="22"/>
      <c r="U1310" s="22"/>
      <c r="V1310" s="6"/>
      <c r="W1310" s="6"/>
      <c r="X1310" s="19"/>
      <c r="Y1310" s="6"/>
      <c r="Z1310" s="13"/>
      <c r="AA1310" s="13"/>
      <c r="AB1310" s="13"/>
      <c r="AC1310" s="13"/>
      <c r="AD1310" s="13"/>
      <c r="AE1310" s="13"/>
      <c r="AF1310" s="26"/>
      <c r="AG1310" s="26"/>
      <c r="AH1310" s="26"/>
      <c r="AI1310" s="26"/>
      <c r="AK1310" s="49"/>
      <c r="AL1310" s="49"/>
      <c r="AM1310" s="49"/>
      <c r="AN1310" s="49"/>
      <c r="AO1310" s="6"/>
      <c r="AP1310" s="32"/>
      <c r="AQ1310" s="32"/>
      <c r="AR1310" s="32"/>
      <c r="AS1310" s="32"/>
      <c r="AT1310" s="32"/>
      <c r="AU1310" s="32"/>
      <c r="AV1310" s="32"/>
      <c r="AW1310" s="32"/>
      <c r="AX1310" s="32"/>
      <c r="AY1310" s="32"/>
      <c r="AZ1310" s="32"/>
      <c r="BA1310" s="32"/>
      <c r="BB1310" s="32"/>
      <c r="BC1310" s="32"/>
      <c r="BD1310" s="32"/>
      <c r="BE1310" s="32"/>
      <c r="BF1310" s="32"/>
      <c r="BG1310" s="32"/>
      <c r="BH1310" s="32"/>
      <c r="BI1310" s="32"/>
      <c r="BJ1310" s="6"/>
      <c r="BK1310" s="6"/>
      <c r="BL1310" s="22" t="s">
        <v>95</v>
      </c>
      <c r="BO1310" s="15"/>
    </row>
    <row r="1311" spans="1:67">
      <c r="A1311" s="6" t="s">
        <v>97</v>
      </c>
      <c r="B1311" s="6"/>
      <c r="C1311" s="17">
        <v>38981.43</v>
      </c>
      <c r="D1311" s="18">
        <v>6.52</v>
      </c>
      <c r="E1311" s="6">
        <v>100</v>
      </c>
      <c r="F1311" s="6">
        <v>833</v>
      </c>
      <c r="G1311" s="22"/>
      <c r="H1311" s="22"/>
      <c r="I1311" s="22"/>
      <c r="J1311" s="22"/>
      <c r="K1311" s="22"/>
      <c r="L1311" s="22"/>
      <c r="M1311" s="22"/>
      <c r="N1311" s="26"/>
      <c r="O1311" s="26"/>
      <c r="P1311" s="22"/>
      <c r="Q1311" s="22"/>
      <c r="R1311" s="22"/>
      <c r="S1311" s="22"/>
      <c r="T1311" s="22"/>
      <c r="U1311" s="22"/>
      <c r="V1311" s="6"/>
      <c r="W1311" s="6"/>
      <c r="X1311" s="19"/>
      <c r="Y1311" s="14"/>
      <c r="Z1311" s="14"/>
      <c r="AA1311" s="14"/>
      <c r="AB1311" s="14"/>
      <c r="AC1311" s="14"/>
      <c r="AD1311" s="14"/>
      <c r="AE1311" s="14"/>
      <c r="AF1311" s="26"/>
      <c r="AG1311" s="26"/>
      <c r="AH1311" s="26"/>
      <c r="AI1311" s="18"/>
      <c r="AK1311" s="50"/>
      <c r="AL1311" s="50"/>
      <c r="AM1311" s="50"/>
      <c r="AN1311" s="50"/>
      <c r="AO1311" s="6"/>
      <c r="AP1311" s="32"/>
      <c r="AQ1311" s="32"/>
      <c r="AR1311" s="32"/>
      <c r="AS1311" s="32"/>
      <c r="AT1311" s="32"/>
      <c r="AU1311" s="32"/>
      <c r="AV1311" s="32"/>
      <c r="AW1311" s="32"/>
      <c r="AX1311" s="32"/>
      <c r="AY1311" s="32"/>
      <c r="AZ1311" s="32"/>
      <c r="BA1311" s="32"/>
      <c r="BB1311" s="32"/>
      <c r="BC1311" s="32"/>
      <c r="BD1311" s="32"/>
      <c r="BE1311" s="32"/>
      <c r="BF1311" s="32"/>
      <c r="BG1311" s="32"/>
      <c r="BH1311" s="32"/>
      <c r="BI1311" s="32"/>
      <c r="BJ1311" s="6"/>
      <c r="BK1311" s="6"/>
      <c r="BL1311" s="22" t="s">
        <v>95</v>
      </c>
      <c r="BO1311" s="15"/>
    </row>
    <row r="1312" spans="1:67">
      <c r="A1312" s="6" t="s">
        <v>97</v>
      </c>
      <c r="B1312" s="6"/>
      <c r="C1312" s="17">
        <v>40712.714999999997</v>
      </c>
      <c r="D1312" s="18">
        <v>11.26</v>
      </c>
      <c r="E1312" s="6">
        <v>100</v>
      </c>
      <c r="F1312" s="6">
        <v>833</v>
      </c>
      <c r="G1312" s="22"/>
      <c r="H1312" s="22"/>
      <c r="I1312" s="22"/>
      <c r="J1312" s="22"/>
      <c r="K1312" s="22"/>
      <c r="L1312" s="22"/>
      <c r="M1312" s="22"/>
      <c r="N1312" s="25"/>
      <c r="O1312" s="25"/>
      <c r="P1312" s="22"/>
      <c r="Q1312" s="22"/>
      <c r="R1312" s="22"/>
      <c r="S1312" s="22"/>
      <c r="T1312" s="22"/>
      <c r="U1312" s="22"/>
      <c r="V1312" s="6"/>
      <c r="W1312" s="6"/>
      <c r="X1312" s="19"/>
      <c r="Y1312" s="6"/>
      <c r="Z1312" s="6"/>
      <c r="AA1312" s="6"/>
      <c r="AB1312" s="6"/>
      <c r="AC1312" s="6"/>
      <c r="AD1312" s="6"/>
      <c r="AE1312" s="6"/>
      <c r="AF1312" s="25"/>
      <c r="AG1312" s="25"/>
      <c r="AH1312" s="25"/>
      <c r="AI1312" s="18"/>
      <c r="AK1312" s="18"/>
      <c r="AL1312" s="18"/>
      <c r="AM1312" s="18"/>
      <c r="AN1312" s="18"/>
      <c r="AO1312" s="6"/>
      <c r="AP1312" s="32"/>
      <c r="AQ1312" s="32"/>
      <c r="AR1312" s="32"/>
      <c r="AS1312" s="32"/>
      <c r="AT1312" s="32"/>
      <c r="AU1312" s="32"/>
      <c r="AV1312" s="32"/>
      <c r="AW1312" s="32"/>
      <c r="AX1312" s="32"/>
      <c r="AY1312" s="32"/>
      <c r="AZ1312" s="32"/>
      <c r="BA1312" s="32"/>
      <c r="BB1312" s="32"/>
      <c r="BC1312" s="32"/>
      <c r="BD1312" s="32"/>
      <c r="BE1312" s="32"/>
      <c r="BF1312" s="32"/>
      <c r="BG1312" s="32"/>
      <c r="BH1312" s="32"/>
      <c r="BI1312" s="32"/>
      <c r="BJ1312" s="6"/>
      <c r="BK1312" s="6"/>
      <c r="BL1312" s="22" t="s">
        <v>95</v>
      </c>
      <c r="BO1312" s="15"/>
    </row>
    <row r="1313" spans="1:67">
      <c r="A1313" s="6" t="s">
        <v>97</v>
      </c>
      <c r="B1313" s="6"/>
      <c r="C1313" s="17">
        <v>42126.232499999998</v>
      </c>
      <c r="D1313" s="18">
        <v>15.13</v>
      </c>
      <c r="E1313" s="6">
        <v>100</v>
      </c>
      <c r="F1313" s="6">
        <v>833</v>
      </c>
      <c r="G1313" s="22"/>
      <c r="H1313" s="22"/>
      <c r="I1313" s="22"/>
      <c r="J1313" s="22"/>
      <c r="K1313" s="22"/>
      <c r="L1313" s="22"/>
      <c r="M1313" s="22"/>
      <c r="N1313" s="18"/>
      <c r="O1313" s="18"/>
      <c r="P1313" s="22"/>
      <c r="Q1313" s="22"/>
      <c r="R1313" s="22"/>
      <c r="S1313" s="22"/>
      <c r="T1313" s="22"/>
      <c r="U1313" s="22"/>
      <c r="V1313" s="6"/>
      <c r="W1313" s="6"/>
      <c r="X1313" s="19"/>
      <c r="Y1313" s="6"/>
      <c r="Z1313" s="6"/>
      <c r="AA1313" s="6"/>
      <c r="AB1313" s="6"/>
      <c r="AC1313" s="6"/>
      <c r="AD1313" s="6"/>
      <c r="AE1313" s="6"/>
      <c r="AF1313" s="25"/>
      <c r="AG1313" s="25"/>
      <c r="AH1313" s="25"/>
      <c r="AI1313" s="18"/>
      <c r="AK1313" s="18"/>
      <c r="AL1313" s="25">
        <v>414.5</v>
      </c>
      <c r="AM1313" s="18"/>
      <c r="AN1313" s="18"/>
      <c r="AO1313" s="6"/>
      <c r="AP1313" s="32"/>
      <c r="AQ1313" s="32"/>
      <c r="AR1313" s="32"/>
      <c r="AS1313" s="32"/>
      <c r="AT1313" s="32"/>
      <c r="AU1313" s="32"/>
      <c r="AV1313" s="32"/>
      <c r="AW1313" s="32"/>
      <c r="AX1313" s="32"/>
      <c r="AY1313" s="32"/>
      <c r="AZ1313" s="32"/>
      <c r="BA1313" s="32"/>
      <c r="BB1313" s="32"/>
      <c r="BC1313" s="32"/>
      <c r="BD1313" s="32"/>
      <c r="BE1313" s="32"/>
      <c r="BF1313" s="32"/>
      <c r="BG1313" s="32"/>
      <c r="BH1313" s="32"/>
      <c r="BI1313" s="32"/>
      <c r="BJ1313" s="6"/>
      <c r="BK1313" s="6"/>
      <c r="BL1313" s="22" t="s">
        <v>95</v>
      </c>
      <c r="BO1313" s="15"/>
    </row>
    <row r="1314" spans="1:67">
      <c r="A1314" s="6" t="s">
        <v>98</v>
      </c>
      <c r="B1314" s="6"/>
      <c r="C1314" s="17">
        <v>37408</v>
      </c>
      <c r="D1314" s="18">
        <v>0</v>
      </c>
      <c r="E1314" s="6">
        <v>100</v>
      </c>
      <c r="F1314" s="6">
        <v>794</v>
      </c>
      <c r="G1314" s="22"/>
      <c r="H1314" s="22"/>
      <c r="I1314" s="22"/>
      <c r="J1314" s="22"/>
      <c r="K1314" s="22"/>
      <c r="L1314" s="22"/>
      <c r="M1314" s="22"/>
      <c r="N1314" s="18"/>
      <c r="O1314" s="18"/>
      <c r="P1314" s="22"/>
      <c r="Q1314" s="22"/>
      <c r="R1314" s="22"/>
      <c r="S1314" s="22"/>
      <c r="T1314" s="22"/>
      <c r="U1314" s="22"/>
      <c r="V1314" s="6"/>
      <c r="W1314" s="6"/>
      <c r="X1314" s="19"/>
      <c r="Y1314" s="6"/>
      <c r="Z1314" s="6"/>
      <c r="AA1314" s="6"/>
      <c r="AB1314" s="6"/>
      <c r="AC1314" s="6"/>
      <c r="AD1314" s="6"/>
      <c r="AE1314" s="6"/>
      <c r="AF1314" s="18"/>
      <c r="AG1314" s="18"/>
      <c r="AH1314" s="18"/>
      <c r="AI1314" s="18"/>
      <c r="AK1314" s="18"/>
      <c r="AL1314" s="18"/>
      <c r="AM1314" s="18"/>
      <c r="AN1314" s="18"/>
      <c r="AO1314" s="6"/>
      <c r="AP1314" s="32"/>
      <c r="AQ1314" s="32"/>
      <c r="AR1314" s="32"/>
      <c r="AS1314" s="32"/>
      <c r="AT1314" s="32"/>
      <c r="AU1314" s="32"/>
      <c r="AV1314" s="32"/>
      <c r="AW1314" s="32"/>
      <c r="AX1314" s="32"/>
      <c r="AY1314" s="32"/>
      <c r="AZ1314" s="32"/>
      <c r="BA1314" s="32"/>
      <c r="BB1314" s="32"/>
      <c r="BC1314" s="32"/>
      <c r="BD1314" s="32"/>
      <c r="BE1314" s="32"/>
      <c r="BF1314" s="32"/>
      <c r="BG1314" s="32"/>
      <c r="BH1314" s="32"/>
      <c r="BI1314" s="32"/>
      <c r="BJ1314" s="6"/>
      <c r="BK1314" s="6"/>
      <c r="BL1314" s="22" t="s">
        <v>95</v>
      </c>
      <c r="BO1314" s="15"/>
    </row>
    <row r="1315" spans="1:67">
      <c r="A1315" s="6" t="s">
        <v>98</v>
      </c>
      <c r="B1315" s="6"/>
      <c r="C1315" s="17">
        <v>42156.25</v>
      </c>
      <c r="D1315" s="18">
        <v>13</v>
      </c>
      <c r="E1315" s="6">
        <v>97.858942065491178</v>
      </c>
      <c r="F1315" s="6">
        <v>777</v>
      </c>
      <c r="G1315" s="22"/>
      <c r="H1315" s="22"/>
      <c r="I1315" s="22"/>
      <c r="J1315" s="22"/>
      <c r="K1315" s="22"/>
      <c r="L1315" s="22"/>
      <c r="M1315" s="22"/>
      <c r="N1315" s="18">
        <v>236</v>
      </c>
      <c r="O1315" s="18"/>
      <c r="P1315" s="22"/>
      <c r="Q1315" s="22"/>
      <c r="R1315" s="22"/>
      <c r="S1315" s="22"/>
      <c r="T1315" s="22"/>
      <c r="U1315" s="22"/>
      <c r="V1315" s="6"/>
      <c r="W1315" s="6"/>
      <c r="X1315" s="19"/>
      <c r="Y1315" s="6"/>
      <c r="Z1315" s="6"/>
      <c r="AA1315" s="6"/>
      <c r="AB1315" s="6"/>
      <c r="AC1315" s="6"/>
      <c r="AD1315" s="6"/>
      <c r="AE1315" s="6"/>
      <c r="AF1315" s="18"/>
      <c r="AG1315" s="18">
        <v>23.6</v>
      </c>
      <c r="AH1315" s="18"/>
      <c r="AI1315" s="18"/>
      <c r="AK1315" s="18"/>
      <c r="AL1315" s="18"/>
      <c r="AM1315" s="18">
        <v>18.153846153846153</v>
      </c>
      <c r="AN1315" s="18"/>
      <c r="AO1315" s="6"/>
      <c r="AP1315" s="32"/>
      <c r="AQ1315" s="32"/>
      <c r="AR1315" s="32"/>
      <c r="AS1315" s="32"/>
      <c r="AT1315" s="32"/>
      <c r="AU1315" s="32"/>
      <c r="AV1315" s="32"/>
      <c r="AW1315" s="32"/>
      <c r="AX1315" s="32"/>
      <c r="AY1315" s="32"/>
      <c r="AZ1315" s="32"/>
      <c r="BA1315" s="32"/>
      <c r="BB1315" s="32"/>
      <c r="BC1315" s="32"/>
      <c r="BD1315" s="32"/>
      <c r="BE1315" s="32"/>
      <c r="BF1315" s="32"/>
      <c r="BG1315" s="32"/>
      <c r="BH1315" s="32"/>
      <c r="BI1315" s="32"/>
      <c r="BJ1315" s="6"/>
      <c r="BK1315" s="6"/>
      <c r="BL1315" s="22" t="s">
        <v>95</v>
      </c>
      <c r="BO1315" s="15"/>
    </row>
    <row r="1316" spans="1:67">
      <c r="A1316" s="35" t="s">
        <v>99</v>
      </c>
      <c r="B1316" s="35"/>
      <c r="C1316" s="17">
        <v>36285</v>
      </c>
      <c r="D1316" s="18">
        <v>0</v>
      </c>
      <c r="E1316" s="6">
        <v>100</v>
      </c>
      <c r="F1316" s="22">
        <v>833.3</v>
      </c>
      <c r="G1316" s="22"/>
      <c r="H1316" s="22"/>
      <c r="I1316" s="22"/>
      <c r="J1316" s="22"/>
      <c r="K1316" s="22"/>
      <c r="L1316" s="22"/>
      <c r="M1316" s="22"/>
      <c r="N1316" s="18"/>
      <c r="O1316" s="18"/>
      <c r="P1316" s="22"/>
      <c r="Q1316" s="22"/>
      <c r="R1316" s="22"/>
      <c r="S1316" s="22"/>
      <c r="T1316" s="22"/>
      <c r="U1316" s="22"/>
      <c r="V1316" s="6"/>
      <c r="W1316" s="6"/>
      <c r="X1316" s="19"/>
      <c r="Y1316" s="6"/>
      <c r="Z1316" s="6"/>
      <c r="AA1316" s="6"/>
      <c r="AB1316" s="6"/>
      <c r="AC1316" s="6"/>
      <c r="AD1316" s="6"/>
      <c r="AE1316" s="6"/>
      <c r="AF1316" s="18"/>
      <c r="AG1316" s="18"/>
      <c r="AH1316" s="18"/>
      <c r="AI1316" s="18"/>
      <c r="AK1316" s="18"/>
      <c r="AL1316" s="18"/>
      <c r="AM1316" s="18"/>
      <c r="AN1316" s="18"/>
      <c r="AO1316" s="6"/>
      <c r="AP1316" s="32"/>
      <c r="AQ1316" s="32"/>
      <c r="AR1316" s="32"/>
      <c r="AS1316" s="32"/>
      <c r="AT1316" s="32"/>
      <c r="AU1316" s="32"/>
      <c r="AV1316" s="32"/>
      <c r="AW1316" s="32"/>
      <c r="AX1316" s="32"/>
      <c r="AY1316" s="32"/>
      <c r="AZ1316" s="32"/>
      <c r="BA1316" s="32"/>
      <c r="BB1316" s="32"/>
      <c r="BC1316" s="32"/>
      <c r="BD1316" s="32"/>
      <c r="BE1316" s="32"/>
      <c r="BF1316" s="32"/>
      <c r="BG1316" s="32"/>
      <c r="BH1316" s="32"/>
      <c r="BI1316" s="32"/>
      <c r="BJ1316" s="6"/>
      <c r="BK1316" s="6"/>
      <c r="BL1316" s="22" t="s">
        <v>95</v>
      </c>
      <c r="BO1316" s="15"/>
    </row>
    <row r="1317" spans="1:67">
      <c r="A1317" s="35" t="s">
        <v>99</v>
      </c>
      <c r="B1317" s="35"/>
      <c r="C1317" s="17">
        <v>36504.15</v>
      </c>
      <c r="D1317" s="18">
        <v>0.6</v>
      </c>
      <c r="E1317" s="6">
        <v>98.3</v>
      </c>
      <c r="F1317" s="22">
        <v>819.13390000000004</v>
      </c>
      <c r="G1317" s="22"/>
      <c r="H1317" s="22"/>
      <c r="I1317" s="22"/>
      <c r="J1317" s="22"/>
      <c r="K1317" s="22"/>
      <c r="L1317" s="22"/>
      <c r="M1317" s="22"/>
      <c r="N1317" s="18"/>
      <c r="O1317" s="18"/>
      <c r="P1317" s="22"/>
      <c r="Q1317" s="22"/>
      <c r="R1317" s="22"/>
      <c r="S1317" s="22"/>
      <c r="T1317" s="22"/>
      <c r="U1317" s="22"/>
      <c r="V1317" s="6"/>
      <c r="W1317" s="6"/>
      <c r="X1317" s="19"/>
      <c r="Y1317" s="6"/>
      <c r="Z1317" s="6"/>
      <c r="AA1317" s="6"/>
      <c r="AB1317" s="6"/>
      <c r="AC1317" s="6"/>
      <c r="AD1317" s="6"/>
      <c r="AE1317" s="6"/>
      <c r="AF1317" s="18">
        <v>1</v>
      </c>
      <c r="AG1317" s="18"/>
      <c r="AH1317" s="18"/>
      <c r="AI1317" s="18"/>
      <c r="AK1317" s="18"/>
      <c r="AL1317" s="18"/>
      <c r="AM1317" s="18"/>
      <c r="AN1317" s="18"/>
      <c r="AO1317" s="6"/>
      <c r="AP1317" s="32"/>
      <c r="AQ1317" s="32"/>
      <c r="AR1317" s="32"/>
      <c r="AS1317" s="32"/>
      <c r="AT1317" s="32"/>
      <c r="AU1317" s="32"/>
      <c r="AV1317" s="32"/>
      <c r="AW1317" s="32"/>
      <c r="AX1317" s="32"/>
      <c r="AY1317" s="32"/>
      <c r="AZ1317" s="32"/>
      <c r="BA1317" s="32"/>
      <c r="BB1317" s="32"/>
      <c r="BC1317" s="32"/>
      <c r="BD1317" s="32"/>
      <c r="BE1317" s="32"/>
      <c r="BF1317" s="32"/>
      <c r="BG1317" s="32"/>
      <c r="BH1317" s="32"/>
      <c r="BI1317" s="32"/>
      <c r="BJ1317" s="6"/>
      <c r="BK1317" s="6"/>
      <c r="BL1317" s="22" t="s">
        <v>95</v>
      </c>
      <c r="BO1317" s="15"/>
    </row>
    <row r="1318" spans="1:67">
      <c r="A1318" s="35" t="s">
        <v>99</v>
      </c>
      <c r="B1318" s="35"/>
      <c r="C1318" s="17">
        <v>37307.699999999997</v>
      </c>
      <c r="D1318" s="18">
        <v>2.8</v>
      </c>
      <c r="E1318" s="6">
        <v>97.1</v>
      </c>
      <c r="F1318" s="22">
        <v>809.13429999999994</v>
      </c>
      <c r="G1318" s="22"/>
      <c r="H1318" s="22"/>
      <c r="I1318" s="22"/>
      <c r="J1318" s="22"/>
      <c r="K1318" s="22"/>
      <c r="L1318" s="22"/>
      <c r="M1318" s="22"/>
      <c r="N1318" s="18"/>
      <c r="O1318" s="18"/>
      <c r="P1318" s="22"/>
      <c r="Q1318" s="22"/>
      <c r="R1318" s="22"/>
      <c r="S1318" s="22"/>
      <c r="T1318" s="22"/>
      <c r="U1318" s="22"/>
      <c r="V1318" s="6"/>
      <c r="W1318" s="6"/>
      <c r="X1318" s="19"/>
      <c r="Y1318" s="6"/>
      <c r="Z1318" s="6"/>
      <c r="AA1318" s="6"/>
      <c r="AB1318" s="6"/>
      <c r="AC1318" s="6"/>
      <c r="AD1318" s="6"/>
      <c r="AE1318" s="6"/>
      <c r="AF1318" s="18">
        <v>3</v>
      </c>
      <c r="AG1318" s="18">
        <v>5.5</v>
      </c>
      <c r="AH1318" s="18"/>
      <c r="AI1318" s="18">
        <v>2.2999999999999998</v>
      </c>
      <c r="AK1318" s="18"/>
      <c r="AL1318" s="18">
        <v>2</v>
      </c>
      <c r="AM1318" s="18"/>
      <c r="AN1318" s="18"/>
      <c r="AO1318" s="6"/>
      <c r="AP1318" s="32"/>
      <c r="AQ1318" s="32"/>
      <c r="AR1318" s="32"/>
      <c r="AS1318" s="32"/>
      <c r="AT1318" s="32"/>
      <c r="AU1318" s="32"/>
      <c r="AV1318" s="32"/>
      <c r="AW1318" s="32"/>
      <c r="AX1318" s="32"/>
      <c r="AY1318" s="32"/>
      <c r="AZ1318" s="32"/>
      <c r="BA1318" s="32"/>
      <c r="BB1318" s="32"/>
      <c r="BC1318" s="32"/>
      <c r="BD1318" s="32"/>
      <c r="BE1318" s="32"/>
      <c r="BF1318" s="32"/>
      <c r="BG1318" s="32"/>
      <c r="BH1318" s="32"/>
      <c r="BI1318" s="32"/>
      <c r="BJ1318" s="6"/>
      <c r="BK1318" s="6"/>
      <c r="BL1318" s="22" t="s">
        <v>95</v>
      </c>
      <c r="BO1318" s="15"/>
    </row>
    <row r="1319" spans="1:67">
      <c r="A1319" s="35" t="s">
        <v>99</v>
      </c>
      <c r="B1319" s="35"/>
      <c r="C1319" s="17">
        <v>37782.525000000001</v>
      </c>
      <c r="D1319" s="18">
        <v>4.0999999999999996</v>
      </c>
      <c r="E1319" s="6">
        <v>96.5</v>
      </c>
      <c r="F1319" s="22">
        <v>804.1345</v>
      </c>
      <c r="G1319" s="22"/>
      <c r="H1319" s="22"/>
      <c r="I1319" s="22"/>
      <c r="J1319" s="22"/>
      <c r="K1319" s="22"/>
      <c r="L1319" s="22"/>
      <c r="M1319" s="22"/>
      <c r="N1319" s="18"/>
      <c r="O1319" s="18"/>
      <c r="P1319" s="22"/>
      <c r="Q1319" s="22"/>
      <c r="R1319" s="22"/>
      <c r="S1319" s="22"/>
      <c r="T1319" s="22"/>
      <c r="U1319" s="22"/>
      <c r="V1319" s="6"/>
      <c r="W1319" s="6"/>
      <c r="X1319" s="19"/>
      <c r="Y1319" s="6"/>
      <c r="Z1319" s="6"/>
      <c r="AA1319" s="6"/>
      <c r="AB1319" s="6"/>
      <c r="AC1319" s="6"/>
      <c r="AD1319" s="6"/>
      <c r="AE1319" s="6"/>
      <c r="AF1319" s="18">
        <v>8.5</v>
      </c>
      <c r="AG1319" s="18">
        <v>11.8</v>
      </c>
      <c r="AH1319" s="18"/>
      <c r="AI1319" s="18">
        <v>9.5</v>
      </c>
      <c r="AK1319" s="18"/>
      <c r="AL1319" s="18">
        <v>25</v>
      </c>
      <c r="AM1319" s="18"/>
      <c r="AN1319" s="18"/>
      <c r="AO1319" s="6"/>
      <c r="AP1319" s="32"/>
      <c r="AQ1319" s="32"/>
      <c r="AR1319" s="32"/>
      <c r="AS1319" s="32"/>
      <c r="AT1319" s="32"/>
      <c r="AU1319" s="32"/>
      <c r="AV1319" s="32"/>
      <c r="AW1319" s="32"/>
      <c r="AX1319" s="32"/>
      <c r="AY1319" s="32"/>
      <c r="AZ1319" s="32"/>
      <c r="BA1319" s="32"/>
      <c r="BB1319" s="32"/>
      <c r="BC1319" s="32"/>
      <c r="BD1319" s="32"/>
      <c r="BE1319" s="32"/>
      <c r="BF1319" s="32"/>
      <c r="BG1319" s="32"/>
      <c r="BH1319" s="32"/>
      <c r="BI1319" s="32"/>
      <c r="BJ1319" s="6"/>
      <c r="BK1319" s="6"/>
      <c r="BL1319" s="22" t="s">
        <v>95</v>
      </c>
      <c r="BO1319" s="15"/>
    </row>
    <row r="1320" spans="1:67">
      <c r="A1320" s="35" t="s">
        <v>99</v>
      </c>
      <c r="B1320" s="35"/>
      <c r="C1320" s="17">
        <v>38878.275000000001</v>
      </c>
      <c r="D1320" s="18">
        <v>7.1</v>
      </c>
      <c r="E1320" s="6">
        <v>96</v>
      </c>
      <c r="F1320" s="22">
        <v>799.96799999999985</v>
      </c>
      <c r="G1320" s="22"/>
      <c r="H1320" s="22"/>
      <c r="I1320" s="22"/>
      <c r="J1320" s="22"/>
      <c r="K1320" s="22"/>
      <c r="L1320" s="22"/>
      <c r="M1320" s="22"/>
      <c r="N1320" s="18"/>
      <c r="O1320" s="18"/>
      <c r="P1320" s="22"/>
      <c r="Q1320" s="22"/>
      <c r="R1320" s="22"/>
      <c r="S1320" s="22"/>
      <c r="T1320" s="22"/>
      <c r="U1320" s="22"/>
      <c r="V1320" s="6"/>
      <c r="W1320" s="6"/>
      <c r="X1320" s="19"/>
      <c r="Y1320" s="6"/>
      <c r="Z1320" s="6"/>
      <c r="AA1320" s="6"/>
      <c r="AB1320" s="6"/>
      <c r="AC1320" s="6"/>
      <c r="AD1320" s="6"/>
      <c r="AE1320" s="6"/>
      <c r="AF1320" s="18"/>
      <c r="AG1320" s="18"/>
      <c r="AH1320" s="18"/>
      <c r="AI1320" s="18"/>
      <c r="AK1320" s="18"/>
      <c r="AL1320" s="18"/>
      <c r="AM1320" s="18"/>
      <c r="AN1320" s="18"/>
      <c r="AO1320" s="6"/>
      <c r="AP1320" s="32"/>
      <c r="AQ1320" s="32"/>
      <c r="AR1320" s="32"/>
      <c r="AS1320" s="32"/>
      <c r="AT1320" s="32"/>
      <c r="AU1320" s="32"/>
      <c r="AV1320" s="32"/>
      <c r="AW1320" s="32"/>
      <c r="AX1320" s="32"/>
      <c r="AY1320" s="32"/>
      <c r="AZ1320" s="32"/>
      <c r="BA1320" s="32"/>
      <c r="BB1320" s="32"/>
      <c r="BC1320" s="32"/>
      <c r="BD1320" s="32"/>
      <c r="BE1320" s="32"/>
      <c r="BF1320" s="32"/>
      <c r="BG1320" s="32"/>
      <c r="BH1320" s="32"/>
      <c r="BI1320" s="32"/>
      <c r="BJ1320" s="6"/>
      <c r="BK1320" s="6"/>
      <c r="BL1320" s="22" t="s">
        <v>95</v>
      </c>
      <c r="BO1320" s="15"/>
    </row>
    <row r="1321" spans="1:67">
      <c r="A1321" s="35" t="s">
        <v>99</v>
      </c>
      <c r="B1321" s="35"/>
      <c r="C1321" s="17">
        <v>39243.525000000001</v>
      </c>
      <c r="D1321" s="18">
        <v>8.1</v>
      </c>
      <c r="E1321" s="6">
        <v>96</v>
      </c>
      <c r="F1321" s="22">
        <v>799.96799999999985</v>
      </c>
      <c r="G1321" s="22"/>
      <c r="H1321" s="22"/>
      <c r="I1321" s="22"/>
      <c r="J1321" s="22"/>
      <c r="K1321" s="22"/>
      <c r="L1321" s="22"/>
      <c r="M1321" s="22"/>
      <c r="N1321" s="18"/>
      <c r="O1321" s="18"/>
      <c r="P1321" s="22"/>
      <c r="Q1321" s="22"/>
      <c r="R1321" s="22"/>
      <c r="S1321" s="22"/>
      <c r="T1321" s="22"/>
      <c r="U1321" s="22"/>
      <c r="V1321" s="6"/>
      <c r="W1321" s="6"/>
      <c r="X1321" s="19"/>
      <c r="Y1321" s="6"/>
      <c r="Z1321" s="6"/>
      <c r="AA1321" s="6"/>
      <c r="AB1321" s="6"/>
      <c r="AC1321" s="6"/>
      <c r="AD1321" s="6"/>
      <c r="AE1321" s="6"/>
      <c r="AF1321" s="18">
        <v>15.2</v>
      </c>
      <c r="AG1321" s="18">
        <v>19.5</v>
      </c>
      <c r="AH1321" s="18"/>
      <c r="AI1321" s="18">
        <v>25.2</v>
      </c>
      <c r="AK1321" s="18"/>
      <c r="AL1321" s="18">
        <v>130</v>
      </c>
      <c r="AM1321" s="18"/>
      <c r="AN1321" s="18"/>
      <c r="AO1321" s="6"/>
      <c r="AP1321" s="32"/>
      <c r="AQ1321" s="32"/>
      <c r="AR1321" s="32"/>
      <c r="AS1321" s="32"/>
      <c r="AT1321" s="32"/>
      <c r="AU1321" s="32"/>
      <c r="AV1321" s="32"/>
      <c r="AW1321" s="32"/>
      <c r="AX1321" s="32"/>
      <c r="AY1321" s="32"/>
      <c r="AZ1321" s="32"/>
      <c r="BA1321" s="32"/>
      <c r="BB1321" s="32"/>
      <c r="BC1321" s="32"/>
      <c r="BD1321" s="32"/>
      <c r="BE1321" s="32"/>
      <c r="BF1321" s="32"/>
      <c r="BG1321" s="32"/>
      <c r="BH1321" s="32"/>
      <c r="BI1321" s="32"/>
      <c r="BJ1321" s="6"/>
      <c r="BK1321" s="6"/>
      <c r="BL1321" s="22" t="s">
        <v>95</v>
      </c>
      <c r="BO1321" s="15"/>
    </row>
    <row r="1322" spans="1:67">
      <c r="A1322" s="35" t="s">
        <v>100</v>
      </c>
      <c r="B1322" s="35"/>
      <c r="C1322" s="17">
        <v>13346</v>
      </c>
      <c r="D1322" s="18">
        <v>0</v>
      </c>
      <c r="E1322" s="6">
        <v>100</v>
      </c>
      <c r="F1322" s="22">
        <v>1400</v>
      </c>
      <c r="G1322" s="22"/>
      <c r="H1322" s="22"/>
      <c r="I1322" s="22"/>
      <c r="J1322" s="22"/>
      <c r="K1322" s="22"/>
      <c r="L1322" s="22"/>
      <c r="M1322" s="22"/>
      <c r="N1322" s="18"/>
      <c r="O1322" s="18"/>
      <c r="P1322" s="22"/>
      <c r="Q1322" s="22"/>
      <c r="R1322" s="22"/>
      <c r="S1322" s="22"/>
      <c r="T1322" s="22"/>
      <c r="U1322" s="22"/>
      <c r="V1322" s="6"/>
      <c r="W1322" s="6"/>
      <c r="X1322" s="19"/>
      <c r="Y1322" s="6"/>
      <c r="Z1322" s="6"/>
      <c r="AA1322" s="6"/>
      <c r="AB1322" s="6"/>
      <c r="AC1322" s="6"/>
      <c r="AD1322" s="6"/>
      <c r="AE1322" s="6"/>
      <c r="AF1322" s="18"/>
      <c r="AG1322" s="18"/>
      <c r="AH1322" s="18"/>
      <c r="AI1322" s="18"/>
      <c r="AK1322" s="18"/>
      <c r="AL1322" s="18"/>
      <c r="AM1322" s="18"/>
      <c r="AN1322" s="18"/>
      <c r="AO1322" s="6"/>
      <c r="AP1322" s="32"/>
      <c r="AQ1322" s="32"/>
      <c r="AR1322" s="32"/>
      <c r="AS1322" s="32"/>
      <c r="AT1322" s="32"/>
      <c r="AU1322" s="32"/>
      <c r="AV1322" s="32"/>
      <c r="AW1322" s="32"/>
      <c r="AX1322" s="32"/>
      <c r="AY1322" s="32"/>
      <c r="AZ1322" s="32"/>
      <c r="BA1322" s="32"/>
      <c r="BB1322" s="32"/>
      <c r="BC1322" s="32"/>
      <c r="BD1322" s="32"/>
      <c r="BE1322" s="32"/>
      <c r="BF1322" s="32"/>
      <c r="BG1322" s="32"/>
      <c r="BH1322" s="32"/>
      <c r="BI1322" s="32"/>
      <c r="BJ1322" s="6"/>
      <c r="BK1322" s="6"/>
      <c r="BL1322" s="22" t="s">
        <v>101</v>
      </c>
      <c r="BO1322" s="15"/>
    </row>
    <row r="1323" spans="1:67">
      <c r="A1323" s="35" t="s">
        <v>100</v>
      </c>
      <c r="B1323" s="35"/>
      <c r="C1323" s="17">
        <v>17729</v>
      </c>
      <c r="D1323" s="36">
        <v>12</v>
      </c>
      <c r="E1323" s="37">
        <v>88.928571428571431</v>
      </c>
      <c r="F1323" s="38">
        <v>1245</v>
      </c>
      <c r="G1323" s="22"/>
      <c r="H1323" s="22"/>
      <c r="I1323" s="22"/>
      <c r="J1323" s="22"/>
      <c r="K1323" s="22"/>
      <c r="L1323" s="22"/>
      <c r="M1323" s="22"/>
      <c r="N1323" s="36">
        <v>62.1</v>
      </c>
      <c r="O1323" s="36"/>
      <c r="P1323" s="22"/>
      <c r="Q1323" s="22"/>
      <c r="R1323" s="22"/>
      <c r="S1323" s="22"/>
      <c r="T1323" s="22"/>
      <c r="U1323" s="22"/>
      <c r="V1323" s="6"/>
      <c r="W1323" s="6"/>
      <c r="X1323" s="19"/>
      <c r="Y1323" s="6"/>
      <c r="Z1323" s="6"/>
      <c r="AA1323" s="6"/>
      <c r="AB1323" s="6"/>
      <c r="AC1323" s="6"/>
      <c r="AD1323" s="6"/>
      <c r="AE1323" s="6"/>
      <c r="AF1323" s="18"/>
      <c r="AG1323" s="18"/>
      <c r="AH1323" s="18"/>
      <c r="AI1323" s="36">
        <v>20.09</v>
      </c>
      <c r="AK1323" s="18"/>
      <c r="AL1323" s="18"/>
      <c r="AM1323" s="18">
        <v>5.1749999999999998</v>
      </c>
      <c r="AN1323" s="18"/>
      <c r="AO1323" s="6"/>
      <c r="AP1323" s="32"/>
      <c r="AQ1323" s="32"/>
      <c r="AR1323" s="32"/>
      <c r="AS1323" s="32"/>
      <c r="AT1323" s="32"/>
      <c r="AU1323" s="32"/>
      <c r="AV1323" s="32"/>
      <c r="AW1323" s="32"/>
      <c r="AX1323" s="32"/>
      <c r="AY1323" s="32"/>
      <c r="AZ1323" s="32"/>
      <c r="BA1323" s="32"/>
      <c r="BB1323" s="32"/>
      <c r="BC1323" s="32"/>
      <c r="BD1323" s="32"/>
      <c r="BE1323" s="32"/>
      <c r="BF1323" s="32"/>
      <c r="BG1323" s="32"/>
      <c r="BH1323" s="32"/>
      <c r="BI1323" s="32"/>
      <c r="BJ1323" s="6"/>
      <c r="BK1323" s="6"/>
      <c r="BL1323" s="22" t="s">
        <v>101</v>
      </c>
      <c r="BO1323" s="15"/>
    </row>
    <row r="1324" spans="1:67">
      <c r="A1324" s="35" t="s">
        <v>100</v>
      </c>
      <c r="B1324" s="35"/>
      <c r="C1324" s="17">
        <v>18459.5</v>
      </c>
      <c r="D1324" s="36">
        <v>14</v>
      </c>
      <c r="E1324" s="37">
        <v>86.285714285714292</v>
      </c>
      <c r="F1324" s="38">
        <v>1208</v>
      </c>
      <c r="G1324" s="22"/>
      <c r="H1324" s="22"/>
      <c r="I1324" s="22"/>
      <c r="J1324" s="22"/>
      <c r="K1324" s="22"/>
      <c r="L1324" s="22"/>
      <c r="M1324" s="22"/>
      <c r="N1324" s="36">
        <v>101.7</v>
      </c>
      <c r="O1324" s="36"/>
      <c r="P1324" s="22"/>
      <c r="Q1324" s="22"/>
      <c r="R1324" s="22"/>
      <c r="S1324" s="22"/>
      <c r="T1324" s="22"/>
      <c r="U1324" s="22"/>
      <c r="V1324" s="6"/>
      <c r="W1324" s="6"/>
      <c r="X1324" s="19"/>
      <c r="Y1324" s="6"/>
      <c r="Z1324" s="6"/>
      <c r="AA1324" s="6"/>
      <c r="AB1324" s="6"/>
      <c r="AC1324" s="6"/>
      <c r="AD1324" s="6"/>
      <c r="AE1324" s="6"/>
      <c r="AF1324" s="18"/>
      <c r="AG1324" s="18"/>
      <c r="AH1324" s="18"/>
      <c r="AI1324" s="36">
        <v>25.37</v>
      </c>
      <c r="AK1324" s="18"/>
      <c r="AL1324" s="18"/>
      <c r="AM1324" s="18">
        <v>7.2642857142857142</v>
      </c>
      <c r="AN1324" s="18"/>
      <c r="AO1324" s="6"/>
      <c r="AP1324" s="32"/>
      <c r="AQ1324" s="32"/>
      <c r="AR1324" s="32"/>
      <c r="AS1324" s="32"/>
      <c r="AT1324" s="32"/>
      <c r="AU1324" s="32"/>
      <c r="AV1324" s="32"/>
      <c r="AW1324" s="32"/>
      <c r="AX1324" s="32"/>
      <c r="AY1324" s="32"/>
      <c r="AZ1324" s="32"/>
      <c r="BA1324" s="32"/>
      <c r="BB1324" s="32"/>
      <c r="BC1324" s="32"/>
      <c r="BD1324" s="32"/>
      <c r="BE1324" s="32"/>
      <c r="BF1324" s="32"/>
      <c r="BG1324" s="32"/>
      <c r="BH1324" s="32"/>
      <c r="BI1324" s="32"/>
      <c r="BJ1324" s="6"/>
      <c r="BK1324" s="6"/>
      <c r="BL1324" s="22" t="s">
        <v>101</v>
      </c>
      <c r="BO1324" s="15"/>
    </row>
    <row r="1325" spans="1:67">
      <c r="A1325" s="35" t="s">
        <v>100</v>
      </c>
      <c r="B1325" s="35"/>
      <c r="C1325" s="17">
        <v>19190</v>
      </c>
      <c r="D1325" s="36">
        <v>16</v>
      </c>
      <c r="E1325" s="37">
        <v>71.5</v>
      </c>
      <c r="F1325" s="38">
        <v>1001</v>
      </c>
      <c r="G1325" s="22"/>
      <c r="H1325" s="22"/>
      <c r="I1325" s="22"/>
      <c r="J1325" s="22"/>
      <c r="K1325" s="22"/>
      <c r="L1325" s="22"/>
      <c r="M1325" s="22"/>
      <c r="N1325" s="36">
        <v>117.5</v>
      </c>
      <c r="O1325" s="36"/>
      <c r="P1325" s="22"/>
      <c r="Q1325" s="22"/>
      <c r="R1325" s="22"/>
      <c r="S1325" s="22"/>
      <c r="T1325" s="22"/>
      <c r="U1325" s="22"/>
      <c r="V1325" s="6"/>
      <c r="W1325" s="6"/>
      <c r="X1325" s="19"/>
      <c r="Y1325" s="6"/>
      <c r="Z1325" s="6"/>
      <c r="AA1325" s="6"/>
      <c r="AB1325" s="6"/>
      <c r="AC1325" s="6"/>
      <c r="AD1325" s="6"/>
      <c r="AE1325" s="6"/>
      <c r="AF1325" s="18"/>
      <c r="AG1325" s="18"/>
      <c r="AH1325" s="18"/>
      <c r="AI1325" s="36">
        <v>25.11</v>
      </c>
      <c r="AK1325" s="18"/>
      <c r="AL1325" s="18"/>
      <c r="AM1325" s="18">
        <v>7.34375</v>
      </c>
      <c r="AN1325" s="18"/>
      <c r="AO1325" s="6"/>
      <c r="AP1325" s="32"/>
      <c r="AQ1325" s="32"/>
      <c r="AR1325" s="32"/>
      <c r="AS1325" s="32"/>
      <c r="AT1325" s="32"/>
      <c r="AU1325" s="32"/>
      <c r="AV1325" s="32"/>
      <c r="AW1325" s="32"/>
      <c r="AX1325" s="32"/>
      <c r="AY1325" s="32"/>
      <c r="AZ1325" s="32"/>
      <c r="BA1325" s="32"/>
      <c r="BB1325" s="32"/>
      <c r="BC1325" s="32"/>
      <c r="BD1325" s="32"/>
      <c r="BE1325" s="32"/>
      <c r="BF1325" s="32"/>
      <c r="BG1325" s="32"/>
      <c r="BH1325" s="32"/>
      <c r="BI1325" s="32"/>
      <c r="BJ1325" s="6"/>
      <c r="BK1325" s="6"/>
      <c r="BL1325" s="22" t="s">
        <v>101</v>
      </c>
      <c r="BO1325" s="15"/>
    </row>
    <row r="1326" spans="1:67">
      <c r="A1326" s="35" t="s">
        <v>100</v>
      </c>
      <c r="B1326" s="35"/>
      <c r="C1326" s="17">
        <v>19920.5</v>
      </c>
      <c r="D1326" s="36">
        <v>18</v>
      </c>
      <c r="E1326" s="37">
        <v>71.5</v>
      </c>
      <c r="F1326" s="38">
        <v>1001</v>
      </c>
      <c r="G1326" s="22"/>
      <c r="H1326" s="22"/>
      <c r="I1326" s="22"/>
      <c r="J1326" s="22"/>
      <c r="K1326" s="22"/>
      <c r="L1326" s="22"/>
      <c r="M1326" s="22"/>
      <c r="N1326" s="36">
        <v>147.4</v>
      </c>
      <c r="O1326" s="36"/>
      <c r="P1326" s="22"/>
      <c r="Q1326" s="22"/>
      <c r="R1326" s="22"/>
      <c r="S1326" s="22"/>
      <c r="T1326" s="22"/>
      <c r="U1326" s="22"/>
      <c r="V1326" s="6"/>
      <c r="W1326" s="6"/>
      <c r="X1326" s="19"/>
      <c r="Y1326" s="6"/>
      <c r="Z1326" s="6"/>
      <c r="AA1326" s="6"/>
      <c r="AB1326" s="6"/>
      <c r="AC1326" s="6"/>
      <c r="AD1326" s="6"/>
      <c r="AE1326" s="6"/>
      <c r="AF1326" s="18"/>
      <c r="AG1326" s="18"/>
      <c r="AH1326" s="18"/>
      <c r="AI1326" s="36">
        <v>29.13</v>
      </c>
      <c r="AK1326" s="18"/>
      <c r="AL1326" s="18"/>
      <c r="AM1326" s="18">
        <v>8.18888888888889</v>
      </c>
      <c r="AN1326" s="18"/>
      <c r="AO1326" s="6"/>
      <c r="AP1326" s="32"/>
      <c r="AQ1326" s="32"/>
      <c r="AR1326" s="32"/>
      <c r="AS1326" s="32"/>
      <c r="AT1326" s="32"/>
      <c r="AU1326" s="32"/>
      <c r="AV1326" s="32"/>
      <c r="AW1326" s="32"/>
      <c r="AX1326" s="32"/>
      <c r="AY1326" s="32"/>
      <c r="AZ1326" s="32"/>
      <c r="BA1326" s="32"/>
      <c r="BB1326" s="32"/>
      <c r="BC1326" s="32"/>
      <c r="BD1326" s="32"/>
      <c r="BE1326" s="32"/>
      <c r="BF1326" s="32"/>
      <c r="BG1326" s="32"/>
      <c r="BH1326" s="32"/>
      <c r="BI1326" s="32"/>
      <c r="BJ1326" s="6"/>
      <c r="BK1326" s="6"/>
      <c r="BL1326" s="22" t="s">
        <v>101</v>
      </c>
      <c r="BO1326" s="15"/>
    </row>
    <row r="1327" spans="1:67">
      <c r="A1327" s="35" t="s">
        <v>100</v>
      </c>
      <c r="B1327" s="35"/>
      <c r="C1327" s="17">
        <v>21746.75</v>
      </c>
      <c r="D1327" s="36">
        <v>23</v>
      </c>
      <c r="E1327" s="37">
        <v>70.071428571428569</v>
      </c>
      <c r="F1327" s="38">
        <v>981</v>
      </c>
      <c r="G1327" s="22"/>
      <c r="H1327" s="22"/>
      <c r="I1327" s="22"/>
      <c r="J1327" s="22"/>
      <c r="K1327" s="22"/>
      <c r="L1327" s="22"/>
      <c r="M1327" s="22"/>
      <c r="N1327" s="36">
        <v>207.7</v>
      </c>
      <c r="O1327" s="36"/>
      <c r="P1327" s="22"/>
      <c r="Q1327" s="22"/>
      <c r="R1327" s="22"/>
      <c r="S1327" s="22"/>
      <c r="T1327" s="22"/>
      <c r="U1327" s="22"/>
      <c r="V1327" s="6"/>
      <c r="W1327" s="6"/>
      <c r="X1327" s="19"/>
      <c r="Y1327" s="6"/>
      <c r="Z1327" s="6"/>
      <c r="AA1327" s="6"/>
      <c r="AB1327" s="6"/>
      <c r="AC1327" s="6"/>
      <c r="AD1327" s="6"/>
      <c r="AE1327" s="6"/>
      <c r="AF1327" s="18"/>
      <c r="AG1327" s="18"/>
      <c r="AH1327" s="18"/>
      <c r="AI1327" s="36">
        <v>36.11</v>
      </c>
      <c r="AK1327" s="18"/>
      <c r="AL1327" s="18"/>
      <c r="AM1327" s="18">
        <v>9.0304347826086957</v>
      </c>
      <c r="AN1327" s="18"/>
      <c r="AO1327" s="6"/>
      <c r="AP1327" s="32"/>
      <c r="AQ1327" s="32"/>
      <c r="AR1327" s="32"/>
      <c r="AS1327" s="32"/>
      <c r="AT1327" s="32"/>
      <c r="AU1327" s="32"/>
      <c r="AV1327" s="32"/>
      <c r="AW1327" s="32"/>
      <c r="AX1327" s="32"/>
      <c r="AY1327" s="32"/>
      <c r="AZ1327" s="32"/>
      <c r="BA1327" s="32"/>
      <c r="BB1327" s="32"/>
      <c r="BC1327" s="32"/>
      <c r="BD1327" s="32"/>
      <c r="BE1327" s="32"/>
      <c r="BF1327" s="32"/>
      <c r="BG1327" s="32"/>
      <c r="BH1327" s="32"/>
      <c r="BI1327" s="32"/>
      <c r="BJ1327" s="6"/>
      <c r="BK1327" s="6"/>
      <c r="BL1327" s="22" t="s">
        <v>101</v>
      </c>
      <c r="BO1327" s="15"/>
    </row>
    <row r="1328" spans="1:67">
      <c r="A1328" s="35" t="s">
        <v>100</v>
      </c>
      <c r="B1328" s="35"/>
      <c r="C1328" s="17">
        <v>23573</v>
      </c>
      <c r="D1328" s="36">
        <v>28</v>
      </c>
      <c r="E1328" s="37">
        <v>68.642857142857139</v>
      </c>
      <c r="F1328" s="38">
        <v>961</v>
      </c>
      <c r="G1328" s="22"/>
      <c r="H1328" s="22"/>
      <c r="I1328" s="22"/>
      <c r="J1328" s="22"/>
      <c r="K1328" s="22"/>
      <c r="L1328" s="22"/>
      <c r="M1328" s="22"/>
      <c r="N1328" s="36">
        <v>260.60000000000002</v>
      </c>
      <c r="O1328" s="36"/>
      <c r="P1328" s="22"/>
      <c r="Q1328" s="22"/>
      <c r="R1328" s="22"/>
      <c r="S1328" s="22"/>
      <c r="T1328" s="22"/>
      <c r="U1328" s="22"/>
      <c r="V1328" s="6"/>
      <c r="W1328" s="6"/>
      <c r="X1328" s="19"/>
      <c r="Y1328" s="6"/>
      <c r="Z1328" s="6"/>
      <c r="AA1328" s="6"/>
      <c r="AB1328" s="6"/>
      <c r="AC1328" s="6"/>
      <c r="AD1328" s="6"/>
      <c r="AE1328" s="6"/>
      <c r="AF1328" s="18"/>
      <c r="AG1328" s="18"/>
      <c r="AH1328" s="18"/>
      <c r="AI1328" s="36">
        <v>42.58</v>
      </c>
      <c r="AK1328" s="18"/>
      <c r="AL1328" s="18"/>
      <c r="AM1328" s="18">
        <v>9.3071428571428587</v>
      </c>
      <c r="AN1328" s="18"/>
      <c r="AO1328" s="6"/>
      <c r="AP1328" s="32"/>
      <c r="AQ1328" s="32"/>
      <c r="AR1328" s="32"/>
      <c r="AS1328" s="32"/>
      <c r="AT1328" s="32"/>
      <c r="AU1328" s="32"/>
      <c r="AV1328" s="32"/>
      <c r="AW1328" s="32"/>
      <c r="AX1328" s="32"/>
      <c r="AY1328" s="32"/>
      <c r="AZ1328" s="32"/>
      <c r="BA1328" s="32"/>
      <c r="BB1328" s="32"/>
      <c r="BC1328" s="32"/>
      <c r="BD1328" s="32"/>
      <c r="BE1328" s="32"/>
      <c r="BF1328" s="32"/>
      <c r="BG1328" s="32"/>
      <c r="BH1328" s="32"/>
      <c r="BI1328" s="32"/>
      <c r="BJ1328" s="6"/>
      <c r="BK1328" s="6"/>
      <c r="BL1328" s="22" t="s">
        <v>101</v>
      </c>
      <c r="BO1328" s="15"/>
    </row>
    <row r="1329" spans="1:67">
      <c r="A1329" s="35" t="s">
        <v>100</v>
      </c>
      <c r="B1329" s="35"/>
      <c r="C1329" s="17">
        <v>25034</v>
      </c>
      <c r="D1329" s="36">
        <v>32</v>
      </c>
      <c r="E1329" s="37">
        <v>68.642857142857139</v>
      </c>
      <c r="F1329" s="38">
        <v>961</v>
      </c>
      <c r="G1329" s="22"/>
      <c r="H1329" s="22"/>
      <c r="I1329" s="22"/>
      <c r="J1329" s="22"/>
      <c r="K1329" s="22"/>
      <c r="L1329" s="22"/>
      <c r="M1329" s="22"/>
      <c r="N1329" s="36"/>
      <c r="O1329" s="36"/>
      <c r="P1329" s="22"/>
      <c r="Q1329" s="22"/>
      <c r="R1329" s="22"/>
      <c r="S1329" s="22"/>
      <c r="T1329" s="22"/>
      <c r="U1329" s="22"/>
      <c r="V1329" s="6"/>
      <c r="W1329" s="6"/>
      <c r="X1329" s="19"/>
      <c r="Y1329" s="6"/>
      <c r="Z1329" s="6"/>
      <c r="AA1329" s="6"/>
      <c r="AB1329" s="6"/>
      <c r="AC1329" s="6"/>
      <c r="AD1329" s="6"/>
      <c r="AE1329" s="6"/>
      <c r="AF1329" s="18"/>
      <c r="AG1329" s="18"/>
      <c r="AH1329" s="18"/>
      <c r="AI1329" s="36">
        <v>47.52</v>
      </c>
      <c r="AK1329" s="18"/>
      <c r="AL1329" s="18"/>
      <c r="AM1329" s="18"/>
      <c r="AN1329" s="18"/>
      <c r="AO1329" s="6"/>
      <c r="AP1329" s="32"/>
      <c r="AQ1329" s="32"/>
      <c r="AR1329" s="32"/>
      <c r="AS1329" s="32"/>
      <c r="AT1329" s="32"/>
      <c r="AU1329" s="32"/>
      <c r="AV1329" s="32"/>
      <c r="AW1329" s="32"/>
      <c r="AX1329" s="32"/>
      <c r="AY1329" s="32"/>
      <c r="AZ1329" s="32"/>
      <c r="BA1329" s="32"/>
      <c r="BB1329" s="32"/>
      <c r="BC1329" s="32"/>
      <c r="BD1329" s="32"/>
      <c r="BE1329" s="32"/>
      <c r="BF1329" s="32"/>
      <c r="BG1329" s="32"/>
      <c r="BH1329" s="32"/>
      <c r="BI1329" s="32"/>
      <c r="BJ1329" s="6"/>
      <c r="BK1329" s="6"/>
      <c r="BL1329" s="22" t="s">
        <v>101</v>
      </c>
      <c r="BO1329" s="15"/>
    </row>
    <row r="1330" spans="1:67">
      <c r="A1330" s="35" t="s">
        <v>100</v>
      </c>
      <c r="B1330" s="35"/>
      <c r="C1330" s="17">
        <v>25399.25</v>
      </c>
      <c r="D1330" s="36">
        <v>33</v>
      </c>
      <c r="E1330" s="37">
        <v>68.642857142857139</v>
      </c>
      <c r="F1330" s="38">
        <v>961</v>
      </c>
      <c r="G1330" s="22"/>
      <c r="H1330" s="22"/>
      <c r="I1330" s="22"/>
      <c r="J1330" s="22"/>
      <c r="K1330" s="22"/>
      <c r="L1330" s="22"/>
      <c r="M1330" s="22"/>
      <c r="N1330" s="36">
        <v>337.6</v>
      </c>
      <c r="O1330" s="36"/>
      <c r="P1330" s="22"/>
      <c r="Q1330" s="22"/>
      <c r="R1330" s="22"/>
      <c r="S1330" s="22"/>
      <c r="T1330" s="22"/>
      <c r="U1330" s="22"/>
      <c r="V1330" s="6"/>
      <c r="W1330" s="6"/>
      <c r="X1330" s="19"/>
      <c r="Y1330" s="6"/>
      <c r="Z1330" s="6"/>
      <c r="AA1330" s="6"/>
      <c r="AB1330" s="6"/>
      <c r="AC1330" s="6"/>
      <c r="AD1330" s="6"/>
      <c r="AE1330" s="6"/>
      <c r="AF1330" s="18"/>
      <c r="AG1330" s="18"/>
      <c r="AH1330" s="18"/>
      <c r="AI1330" s="36">
        <v>49.17</v>
      </c>
      <c r="AK1330" s="18"/>
      <c r="AL1330" s="18"/>
      <c r="AM1330" s="18">
        <v>10.23030303030303</v>
      </c>
      <c r="AN1330" s="18"/>
      <c r="AO1330" s="6"/>
      <c r="AP1330" s="32"/>
      <c r="AQ1330" s="32"/>
      <c r="AR1330" s="32"/>
      <c r="AS1330" s="32"/>
      <c r="AT1330" s="32"/>
      <c r="AU1330" s="32"/>
      <c r="AV1330" s="32"/>
      <c r="AW1330" s="32"/>
      <c r="AX1330" s="32"/>
      <c r="AY1330" s="32"/>
      <c r="AZ1330" s="32"/>
      <c r="BA1330" s="32"/>
      <c r="BB1330" s="32"/>
      <c r="BC1330" s="32"/>
      <c r="BD1330" s="32"/>
      <c r="BE1330" s="32"/>
      <c r="BF1330" s="32"/>
      <c r="BG1330" s="32"/>
      <c r="BH1330" s="32"/>
      <c r="BI1330" s="32"/>
      <c r="BJ1330" s="6"/>
      <c r="BK1330" s="6"/>
      <c r="BL1330" s="22" t="s">
        <v>101</v>
      </c>
      <c r="BO1330" s="15"/>
    </row>
    <row r="1331" spans="1:67">
      <c r="A1331" s="35" t="s">
        <v>100</v>
      </c>
      <c r="B1331" s="35"/>
      <c r="C1331" s="17">
        <v>26129.75</v>
      </c>
      <c r="D1331" s="36">
        <v>35</v>
      </c>
      <c r="E1331" s="37">
        <v>67.428571428571431</v>
      </c>
      <c r="F1331" s="38">
        <v>944</v>
      </c>
      <c r="G1331" s="22"/>
      <c r="H1331" s="22"/>
      <c r="I1331" s="22"/>
      <c r="J1331" s="22"/>
      <c r="K1331" s="22"/>
      <c r="L1331" s="22"/>
      <c r="M1331" s="22"/>
      <c r="N1331" s="36"/>
      <c r="O1331" s="36"/>
      <c r="P1331" s="22"/>
      <c r="Q1331" s="22"/>
      <c r="R1331" s="22"/>
      <c r="S1331" s="22"/>
      <c r="T1331" s="22"/>
      <c r="U1331" s="22"/>
      <c r="V1331" s="6"/>
      <c r="W1331" s="6"/>
      <c r="X1331" s="19"/>
      <c r="Y1331" s="6"/>
      <c r="Z1331" s="6"/>
      <c r="AA1331" s="6"/>
      <c r="AB1331" s="6"/>
      <c r="AC1331" s="6"/>
      <c r="AD1331" s="6"/>
      <c r="AE1331" s="6"/>
      <c r="AF1331" s="18"/>
      <c r="AG1331" s="18"/>
      <c r="AH1331" s="18"/>
      <c r="AI1331" s="36">
        <v>51.29</v>
      </c>
      <c r="AK1331" s="18"/>
      <c r="AL1331" s="18"/>
      <c r="AM1331" s="18"/>
      <c r="AN1331" s="18"/>
      <c r="AO1331" s="6"/>
      <c r="AP1331" s="32"/>
      <c r="AQ1331" s="32"/>
      <c r="AR1331" s="32"/>
      <c r="AS1331" s="32"/>
      <c r="AT1331" s="32"/>
      <c r="AU1331" s="32"/>
      <c r="AV1331" s="32"/>
      <c r="AW1331" s="32"/>
      <c r="AX1331" s="32"/>
      <c r="AY1331" s="32"/>
      <c r="AZ1331" s="32"/>
      <c r="BA1331" s="32"/>
      <c r="BB1331" s="32"/>
      <c r="BC1331" s="32"/>
      <c r="BD1331" s="32"/>
      <c r="BE1331" s="32"/>
      <c r="BF1331" s="32"/>
      <c r="BG1331" s="32"/>
      <c r="BH1331" s="32"/>
      <c r="BI1331" s="32"/>
      <c r="BJ1331" s="6"/>
      <c r="BK1331" s="6"/>
      <c r="BL1331" s="22" t="s">
        <v>101</v>
      </c>
      <c r="BO1331" s="15"/>
    </row>
    <row r="1332" spans="1:67">
      <c r="A1332" s="35" t="s">
        <v>100</v>
      </c>
      <c r="B1332" s="35"/>
      <c r="C1332" s="17">
        <v>27225.5</v>
      </c>
      <c r="D1332" s="36">
        <v>38</v>
      </c>
      <c r="E1332" s="37">
        <v>64.428571428571431</v>
      </c>
      <c r="F1332" s="38">
        <v>902</v>
      </c>
      <c r="G1332" s="22"/>
      <c r="H1332" s="22"/>
      <c r="I1332" s="22"/>
      <c r="J1332" s="22"/>
      <c r="K1332" s="22"/>
      <c r="L1332" s="22"/>
      <c r="M1332" s="22"/>
      <c r="N1332" s="36"/>
      <c r="O1332" s="36"/>
      <c r="P1332" s="22"/>
      <c r="Q1332" s="22"/>
      <c r="R1332" s="22"/>
      <c r="S1332" s="22"/>
      <c r="T1332" s="22"/>
      <c r="U1332" s="22"/>
      <c r="V1332" s="6"/>
      <c r="W1332" s="6"/>
      <c r="X1332" s="19"/>
      <c r="Y1332" s="6"/>
      <c r="Z1332" s="6"/>
      <c r="AA1332" s="6"/>
      <c r="AB1332" s="6"/>
      <c r="AC1332" s="6"/>
      <c r="AD1332" s="6"/>
      <c r="AE1332" s="6"/>
      <c r="AF1332" s="18"/>
      <c r="AG1332" s="18"/>
      <c r="AH1332" s="18"/>
      <c r="AI1332" s="36">
        <v>54.35</v>
      </c>
      <c r="AK1332" s="18"/>
      <c r="AL1332" s="18"/>
      <c r="AM1332" s="18"/>
      <c r="AN1332" s="18"/>
      <c r="AO1332" s="6"/>
      <c r="AP1332" s="32"/>
      <c r="AQ1332" s="32"/>
      <c r="AR1332" s="32"/>
      <c r="AS1332" s="32"/>
      <c r="AT1332" s="32"/>
      <c r="AU1332" s="32"/>
      <c r="AV1332" s="32"/>
      <c r="AW1332" s="32"/>
      <c r="AX1332" s="32"/>
      <c r="AY1332" s="32"/>
      <c r="AZ1332" s="32"/>
      <c r="BA1332" s="32"/>
      <c r="BB1332" s="32"/>
      <c r="BC1332" s="32"/>
      <c r="BD1332" s="32"/>
      <c r="BE1332" s="32"/>
      <c r="BF1332" s="32"/>
      <c r="BG1332" s="32"/>
      <c r="BH1332" s="32"/>
      <c r="BI1332" s="32"/>
      <c r="BJ1332" s="6"/>
      <c r="BK1332" s="6"/>
      <c r="BL1332" s="22" t="s">
        <v>101</v>
      </c>
      <c r="BO1332" s="15"/>
    </row>
    <row r="1333" spans="1:67">
      <c r="A1333" s="35" t="s">
        <v>100</v>
      </c>
      <c r="B1333" s="35"/>
      <c r="C1333" s="17">
        <v>28686.5</v>
      </c>
      <c r="D1333" s="36">
        <v>42</v>
      </c>
      <c r="E1333" s="37">
        <v>60.428571428571431</v>
      </c>
      <c r="F1333" s="38">
        <v>846</v>
      </c>
      <c r="G1333" s="22"/>
      <c r="H1333" s="22"/>
      <c r="I1333" s="22"/>
      <c r="J1333" s="22"/>
      <c r="K1333" s="22"/>
      <c r="L1333" s="22"/>
      <c r="M1333" s="22"/>
      <c r="N1333" s="36">
        <v>459</v>
      </c>
      <c r="O1333" s="36"/>
      <c r="P1333" s="22"/>
      <c r="Q1333" s="22"/>
      <c r="R1333" s="22"/>
      <c r="S1333" s="22"/>
      <c r="T1333" s="22"/>
      <c r="U1333" s="22"/>
      <c r="V1333" s="6"/>
      <c r="W1333" s="6"/>
      <c r="X1333" s="19"/>
      <c r="Y1333" s="6"/>
      <c r="Z1333" s="6"/>
      <c r="AA1333" s="6"/>
      <c r="AB1333" s="6"/>
      <c r="AC1333" s="6"/>
      <c r="AD1333" s="6"/>
      <c r="AE1333" s="6"/>
      <c r="AF1333" s="18"/>
      <c r="AG1333" s="18"/>
      <c r="AH1333" s="18"/>
      <c r="AI1333" s="36">
        <v>57.31</v>
      </c>
      <c r="AK1333" s="18"/>
      <c r="AL1333" s="18"/>
      <c r="AM1333" s="18">
        <v>10.928571428571429</v>
      </c>
      <c r="AN1333" s="18"/>
      <c r="AO1333" s="6"/>
      <c r="AP1333" s="32"/>
      <c r="AQ1333" s="32"/>
      <c r="AR1333" s="32"/>
      <c r="AS1333" s="32"/>
      <c r="AT1333" s="32"/>
      <c r="AU1333" s="32"/>
      <c r="AV1333" s="32"/>
      <c r="AW1333" s="32"/>
      <c r="AX1333" s="32"/>
      <c r="AY1333" s="32"/>
      <c r="AZ1333" s="32"/>
      <c r="BA1333" s="32"/>
      <c r="BB1333" s="32"/>
      <c r="BC1333" s="32"/>
      <c r="BD1333" s="32"/>
      <c r="BE1333" s="32"/>
      <c r="BF1333" s="32"/>
      <c r="BG1333" s="32"/>
      <c r="BH1333" s="32"/>
      <c r="BI1333" s="32"/>
      <c r="BJ1333" s="6"/>
      <c r="BK1333" s="6"/>
      <c r="BL1333" s="22" t="s">
        <v>101</v>
      </c>
      <c r="BO1333" s="15"/>
    </row>
    <row r="1334" spans="1:67">
      <c r="A1334" s="35" t="s">
        <v>100</v>
      </c>
      <c r="B1334" s="35"/>
      <c r="C1334" s="17">
        <v>30147.5</v>
      </c>
      <c r="D1334" s="36">
        <v>46</v>
      </c>
      <c r="E1334" s="37">
        <v>53.714285714285715</v>
      </c>
      <c r="F1334" s="38">
        <v>752</v>
      </c>
      <c r="G1334" s="22"/>
      <c r="H1334" s="22"/>
      <c r="I1334" s="22"/>
      <c r="J1334" s="22"/>
      <c r="K1334" s="22"/>
      <c r="L1334" s="22"/>
      <c r="M1334" s="22"/>
      <c r="N1334" s="36"/>
      <c r="O1334" s="36"/>
      <c r="P1334" s="22"/>
      <c r="Q1334" s="22"/>
      <c r="R1334" s="22"/>
      <c r="S1334" s="22"/>
      <c r="T1334" s="22"/>
      <c r="U1334" s="22"/>
      <c r="V1334" s="6"/>
      <c r="W1334" s="6"/>
      <c r="X1334" s="19"/>
      <c r="Y1334" s="6"/>
      <c r="Z1334" s="6"/>
      <c r="AA1334" s="6"/>
      <c r="AB1334" s="6"/>
      <c r="AC1334" s="6"/>
      <c r="AD1334" s="6"/>
      <c r="AE1334" s="6"/>
      <c r="AF1334" s="18"/>
      <c r="AG1334" s="18"/>
      <c r="AH1334" s="18"/>
      <c r="AI1334" s="36">
        <v>57.26</v>
      </c>
      <c r="AK1334" s="18"/>
      <c r="AL1334" s="18"/>
      <c r="AM1334" s="18"/>
      <c r="AN1334" s="18"/>
      <c r="AO1334" s="6"/>
      <c r="AP1334" s="32"/>
      <c r="AQ1334" s="32"/>
      <c r="AR1334" s="32"/>
      <c r="AS1334" s="32"/>
      <c r="AT1334" s="32"/>
      <c r="AU1334" s="32"/>
      <c r="AV1334" s="32"/>
      <c r="AW1334" s="32"/>
      <c r="AX1334" s="32"/>
      <c r="AY1334" s="32"/>
      <c r="AZ1334" s="32"/>
      <c r="BA1334" s="32"/>
      <c r="BB1334" s="32"/>
      <c r="BC1334" s="32"/>
      <c r="BD1334" s="32"/>
      <c r="BE1334" s="32"/>
      <c r="BF1334" s="32"/>
      <c r="BG1334" s="32"/>
      <c r="BH1334" s="32"/>
      <c r="BI1334" s="32"/>
      <c r="BJ1334" s="6"/>
      <c r="BK1334" s="6"/>
      <c r="BL1334" s="22" t="s">
        <v>101</v>
      </c>
      <c r="BO1334" s="15"/>
    </row>
    <row r="1335" spans="1:67">
      <c r="A1335" s="35" t="s">
        <v>100</v>
      </c>
      <c r="B1335" s="35"/>
      <c r="C1335" s="17">
        <v>31608.5</v>
      </c>
      <c r="D1335" s="36">
        <v>50</v>
      </c>
      <c r="E1335" s="37">
        <v>49.642857142857146</v>
      </c>
      <c r="F1335" s="38">
        <v>695</v>
      </c>
      <c r="G1335" s="22"/>
      <c r="H1335" s="22"/>
      <c r="I1335" s="22"/>
      <c r="J1335" s="22"/>
      <c r="K1335" s="22"/>
      <c r="L1335" s="22"/>
      <c r="M1335" s="22"/>
      <c r="N1335" s="36">
        <v>498.2</v>
      </c>
      <c r="O1335" s="36"/>
      <c r="P1335" s="22"/>
      <c r="Q1335" s="22"/>
      <c r="R1335" s="22"/>
      <c r="S1335" s="22"/>
      <c r="T1335" s="22"/>
      <c r="U1335" s="22"/>
      <c r="V1335" s="6"/>
      <c r="W1335" s="6"/>
      <c r="X1335" s="19"/>
      <c r="Y1335" s="6"/>
      <c r="Z1335" s="6"/>
      <c r="AA1335" s="6"/>
      <c r="AB1335" s="6"/>
      <c r="AC1335" s="6"/>
      <c r="AD1335" s="6"/>
      <c r="AE1335" s="6"/>
      <c r="AF1335" s="18"/>
      <c r="AG1335" s="18"/>
      <c r="AH1335" s="18"/>
      <c r="AI1335" s="36">
        <v>58.6</v>
      </c>
      <c r="AK1335" s="18"/>
      <c r="AL1335" s="18"/>
      <c r="AM1335" s="18"/>
      <c r="AN1335" s="18"/>
      <c r="AO1335" s="6"/>
      <c r="AP1335" s="32"/>
      <c r="AQ1335" s="32"/>
      <c r="AR1335" s="32"/>
      <c r="AS1335" s="32"/>
      <c r="AT1335" s="32"/>
      <c r="AU1335" s="32"/>
      <c r="AV1335" s="32"/>
      <c r="AW1335" s="32"/>
      <c r="AX1335" s="32"/>
      <c r="AY1335" s="32"/>
      <c r="AZ1335" s="32"/>
      <c r="BA1335" s="32"/>
      <c r="BB1335" s="32"/>
      <c r="BC1335" s="32"/>
      <c r="BD1335" s="32"/>
      <c r="BE1335" s="32"/>
      <c r="BF1335" s="32"/>
      <c r="BG1335" s="32"/>
      <c r="BH1335" s="32"/>
      <c r="BI1335" s="32"/>
      <c r="BJ1335" s="6"/>
      <c r="BK1335" s="6"/>
      <c r="BL1335" s="22" t="s">
        <v>101</v>
      </c>
      <c r="BO1335" s="15"/>
    </row>
    <row r="1336" spans="1:67">
      <c r="A1336" s="35" t="s">
        <v>100</v>
      </c>
      <c r="B1336" s="35"/>
      <c r="C1336" s="17">
        <v>32339</v>
      </c>
      <c r="D1336" s="36">
        <v>52</v>
      </c>
      <c r="E1336" s="37">
        <v>49.642857142857146</v>
      </c>
      <c r="F1336" s="38">
        <v>695</v>
      </c>
      <c r="G1336" s="22"/>
      <c r="H1336" s="22"/>
      <c r="I1336" s="22"/>
      <c r="J1336" s="22"/>
      <c r="K1336" s="22"/>
      <c r="L1336" s="22"/>
      <c r="M1336" s="22"/>
      <c r="N1336" s="36"/>
      <c r="O1336" s="36"/>
      <c r="P1336" s="22"/>
      <c r="Q1336" s="22"/>
      <c r="R1336" s="22"/>
      <c r="S1336" s="22"/>
      <c r="T1336" s="22"/>
      <c r="U1336" s="22"/>
      <c r="V1336" s="6"/>
      <c r="W1336" s="6"/>
      <c r="X1336" s="19"/>
      <c r="Y1336" s="6"/>
      <c r="Z1336" s="6"/>
      <c r="AA1336" s="6"/>
      <c r="AB1336" s="6"/>
      <c r="AC1336" s="6"/>
      <c r="AD1336" s="6"/>
      <c r="AE1336" s="6"/>
      <c r="AF1336" s="18"/>
      <c r="AG1336" s="18"/>
      <c r="AH1336" s="18"/>
      <c r="AI1336" s="36">
        <v>61.89</v>
      </c>
      <c r="AK1336" s="18"/>
      <c r="AL1336" s="18"/>
      <c r="AM1336" s="18"/>
      <c r="AN1336" s="18"/>
      <c r="AO1336" s="6"/>
      <c r="AP1336" s="32"/>
      <c r="AQ1336" s="32"/>
      <c r="AR1336" s="32"/>
      <c r="AS1336" s="32"/>
      <c r="AT1336" s="32"/>
      <c r="AU1336" s="32"/>
      <c r="AV1336" s="32"/>
      <c r="AW1336" s="32"/>
      <c r="AX1336" s="32"/>
      <c r="AY1336" s="32"/>
      <c r="AZ1336" s="32"/>
      <c r="BA1336" s="32"/>
      <c r="BB1336" s="32"/>
      <c r="BC1336" s="32"/>
      <c r="BD1336" s="32"/>
      <c r="BE1336" s="32"/>
      <c r="BF1336" s="32"/>
      <c r="BG1336" s="32"/>
      <c r="BH1336" s="32"/>
      <c r="BI1336" s="32"/>
      <c r="BJ1336" s="6"/>
      <c r="BK1336" s="6"/>
      <c r="BL1336" s="22" t="s">
        <v>101</v>
      </c>
      <c r="BO1336" s="15"/>
    </row>
    <row r="1337" spans="1:67">
      <c r="A1337" s="35" t="s">
        <v>100</v>
      </c>
      <c r="B1337" s="35"/>
      <c r="C1337" s="17">
        <v>33069.5</v>
      </c>
      <c r="D1337" s="36">
        <v>54</v>
      </c>
      <c r="E1337" s="37">
        <v>47</v>
      </c>
      <c r="F1337" s="38">
        <v>658</v>
      </c>
      <c r="G1337" s="22"/>
      <c r="H1337" s="22"/>
      <c r="I1337" s="22"/>
      <c r="J1337" s="22"/>
      <c r="K1337" s="22"/>
      <c r="L1337" s="22"/>
      <c r="M1337" s="22"/>
      <c r="N1337" s="36"/>
      <c r="O1337" s="36"/>
      <c r="P1337" s="22"/>
      <c r="Q1337" s="22"/>
      <c r="R1337" s="22"/>
      <c r="S1337" s="22"/>
      <c r="T1337" s="22"/>
      <c r="U1337" s="22"/>
      <c r="V1337" s="6"/>
      <c r="W1337" s="6"/>
      <c r="X1337" s="19"/>
      <c r="Y1337" s="6"/>
      <c r="Z1337" s="6"/>
      <c r="AA1337" s="6"/>
      <c r="AB1337" s="6"/>
      <c r="AC1337" s="6"/>
      <c r="AD1337" s="6"/>
      <c r="AE1337" s="6"/>
      <c r="AF1337" s="18"/>
      <c r="AG1337" s="18"/>
      <c r="AH1337" s="18"/>
      <c r="AI1337" s="36">
        <v>62.61</v>
      </c>
      <c r="AK1337" s="18"/>
      <c r="AL1337" s="18"/>
      <c r="AM1337" s="18"/>
      <c r="AN1337" s="18"/>
      <c r="AO1337" s="6"/>
      <c r="AP1337" s="32"/>
      <c r="AQ1337" s="32"/>
      <c r="AR1337" s="32"/>
      <c r="AS1337" s="32"/>
      <c r="AT1337" s="32"/>
      <c r="AU1337" s="32"/>
      <c r="AV1337" s="32"/>
      <c r="AW1337" s="32"/>
      <c r="AX1337" s="32"/>
      <c r="AY1337" s="32"/>
      <c r="AZ1337" s="32"/>
      <c r="BA1337" s="32"/>
      <c r="BB1337" s="32"/>
      <c r="BC1337" s="32"/>
      <c r="BD1337" s="32"/>
      <c r="BE1337" s="32"/>
      <c r="BF1337" s="32"/>
      <c r="BG1337" s="32"/>
      <c r="BH1337" s="32"/>
      <c r="BI1337" s="32"/>
      <c r="BJ1337" s="6"/>
      <c r="BK1337" s="6"/>
      <c r="BL1337" s="22" t="s">
        <v>101</v>
      </c>
      <c r="BO1337" s="15"/>
    </row>
    <row r="1338" spans="1:67">
      <c r="A1338" s="35" t="s">
        <v>100</v>
      </c>
      <c r="B1338" s="35"/>
      <c r="C1338" s="17">
        <v>33800</v>
      </c>
      <c r="D1338" s="36">
        <v>56</v>
      </c>
      <c r="E1338" s="37">
        <v>44.285714285714285</v>
      </c>
      <c r="F1338" s="38">
        <v>620</v>
      </c>
      <c r="G1338" s="22"/>
      <c r="H1338" s="22"/>
      <c r="I1338" s="22"/>
      <c r="J1338" s="22"/>
      <c r="K1338" s="22"/>
      <c r="L1338" s="22"/>
      <c r="M1338" s="22"/>
      <c r="N1338" s="36">
        <v>569.29999999999995</v>
      </c>
      <c r="O1338" s="36"/>
      <c r="P1338" s="22"/>
      <c r="Q1338" s="22"/>
      <c r="R1338" s="22"/>
      <c r="S1338" s="22"/>
      <c r="T1338" s="22"/>
      <c r="U1338" s="22"/>
      <c r="V1338" s="6"/>
      <c r="W1338" s="6"/>
      <c r="X1338" s="19"/>
      <c r="Y1338" s="6"/>
      <c r="Z1338" s="6"/>
      <c r="AA1338" s="6"/>
      <c r="AB1338" s="6"/>
      <c r="AC1338" s="6"/>
      <c r="AD1338" s="6"/>
      <c r="AE1338" s="6"/>
      <c r="AF1338" s="18"/>
      <c r="AG1338" s="18"/>
      <c r="AH1338" s="18"/>
      <c r="AI1338" s="36">
        <v>63.27</v>
      </c>
      <c r="AK1338" s="18"/>
      <c r="AL1338" s="18"/>
      <c r="AM1338" s="18">
        <v>10.166071428571428</v>
      </c>
      <c r="AN1338" s="18"/>
      <c r="AO1338" s="6"/>
      <c r="AP1338" s="32"/>
      <c r="AQ1338" s="32"/>
      <c r="AR1338" s="32"/>
      <c r="AS1338" s="32"/>
      <c r="AT1338" s="32"/>
      <c r="AU1338" s="32"/>
      <c r="AV1338" s="32"/>
      <c r="AW1338" s="32"/>
      <c r="AX1338" s="32"/>
      <c r="AY1338" s="32"/>
      <c r="AZ1338" s="32"/>
      <c r="BA1338" s="32"/>
      <c r="BB1338" s="32"/>
      <c r="BC1338" s="32"/>
      <c r="BD1338" s="32"/>
      <c r="BE1338" s="32"/>
      <c r="BF1338" s="32"/>
      <c r="BG1338" s="32"/>
      <c r="BH1338" s="32"/>
      <c r="BI1338" s="32"/>
      <c r="BJ1338" s="6"/>
      <c r="BK1338" s="6"/>
      <c r="BL1338" s="22" t="s">
        <v>101</v>
      </c>
      <c r="BO1338" s="15"/>
    </row>
    <row r="1339" spans="1:67">
      <c r="A1339" s="35" t="s">
        <v>102</v>
      </c>
      <c r="B1339" s="35"/>
      <c r="C1339" s="17">
        <v>13346</v>
      </c>
      <c r="D1339" s="36">
        <v>0</v>
      </c>
      <c r="E1339" s="6">
        <v>100</v>
      </c>
      <c r="F1339" s="39">
        <v>1400</v>
      </c>
      <c r="G1339" s="22"/>
      <c r="H1339" s="22"/>
      <c r="I1339" s="22"/>
      <c r="J1339" s="22"/>
      <c r="K1339" s="22"/>
      <c r="L1339" s="22"/>
      <c r="M1339" s="22"/>
      <c r="N1339" s="18"/>
      <c r="O1339" s="18"/>
      <c r="P1339" s="22"/>
      <c r="Q1339" s="22"/>
      <c r="R1339" s="22"/>
      <c r="S1339" s="22"/>
      <c r="T1339" s="22"/>
      <c r="U1339" s="22"/>
      <c r="V1339" s="6"/>
      <c r="W1339" s="6"/>
      <c r="X1339" s="19"/>
      <c r="Y1339" s="6"/>
      <c r="Z1339" s="6"/>
      <c r="AA1339" s="6"/>
      <c r="AB1339" s="6"/>
      <c r="AC1339" s="6"/>
      <c r="AD1339" s="6"/>
      <c r="AE1339" s="6"/>
      <c r="AF1339" s="18"/>
      <c r="AG1339" s="18"/>
      <c r="AH1339" s="18"/>
      <c r="AI1339" s="18"/>
      <c r="AK1339" s="18"/>
      <c r="AL1339" s="18"/>
      <c r="AM1339" s="18"/>
      <c r="AN1339" s="18"/>
      <c r="AO1339" s="6"/>
      <c r="AP1339" s="32"/>
      <c r="AQ1339" s="32"/>
      <c r="AR1339" s="32"/>
      <c r="AS1339" s="32"/>
      <c r="AT1339" s="32"/>
      <c r="AU1339" s="32"/>
      <c r="AV1339" s="32"/>
      <c r="AW1339" s="32"/>
      <c r="AX1339" s="32"/>
      <c r="AY1339" s="32"/>
      <c r="AZ1339" s="32"/>
      <c r="BA1339" s="32"/>
      <c r="BB1339" s="32"/>
      <c r="BC1339" s="32"/>
      <c r="BD1339" s="32"/>
      <c r="BE1339" s="32"/>
      <c r="BF1339" s="32"/>
      <c r="BG1339" s="32"/>
      <c r="BH1339" s="32"/>
      <c r="BI1339" s="32"/>
      <c r="BJ1339" s="6"/>
      <c r="BK1339" s="6"/>
      <c r="BL1339" s="22" t="s">
        <v>101</v>
      </c>
      <c r="BO1339" s="15"/>
    </row>
    <row r="1340" spans="1:67">
      <c r="A1340" s="35" t="s">
        <v>102</v>
      </c>
      <c r="B1340" s="35"/>
      <c r="C1340" s="17">
        <v>17729</v>
      </c>
      <c r="D1340" s="36">
        <v>12</v>
      </c>
      <c r="E1340" s="37">
        <v>97.571428571428569</v>
      </c>
      <c r="F1340" s="38">
        <v>1366</v>
      </c>
      <c r="G1340" s="22"/>
      <c r="H1340" s="22"/>
      <c r="I1340" s="22"/>
      <c r="J1340" s="22"/>
      <c r="K1340" s="22"/>
      <c r="L1340" s="22"/>
      <c r="M1340" s="22"/>
      <c r="N1340" s="36">
        <v>294.8</v>
      </c>
      <c r="O1340" s="36"/>
      <c r="P1340" s="22"/>
      <c r="Q1340" s="22"/>
      <c r="R1340" s="22"/>
      <c r="S1340" s="22"/>
      <c r="T1340" s="22"/>
      <c r="U1340" s="22"/>
      <c r="V1340" s="6"/>
      <c r="W1340" s="6"/>
      <c r="X1340" s="19"/>
      <c r="Y1340" s="6"/>
      <c r="Z1340" s="6"/>
      <c r="AA1340" s="6"/>
      <c r="AB1340" s="6"/>
      <c r="AC1340" s="6"/>
      <c r="AD1340" s="6"/>
      <c r="AE1340" s="6"/>
      <c r="AF1340" s="18"/>
      <c r="AG1340" s="18"/>
      <c r="AH1340" s="18"/>
      <c r="AI1340" s="36">
        <v>46.05</v>
      </c>
      <c r="AK1340" s="18"/>
      <c r="AL1340" s="18"/>
      <c r="AM1340" s="18">
        <v>24.566666666666666</v>
      </c>
      <c r="AN1340" s="18"/>
      <c r="AO1340" s="6"/>
      <c r="AP1340" s="32"/>
      <c r="AQ1340" s="32"/>
      <c r="AR1340" s="32"/>
      <c r="AS1340" s="32"/>
      <c r="AT1340" s="32"/>
      <c r="AU1340" s="32"/>
      <c r="AV1340" s="32"/>
      <c r="AW1340" s="32"/>
      <c r="AX1340" s="32"/>
      <c r="AY1340" s="32"/>
      <c r="AZ1340" s="32"/>
      <c r="BA1340" s="32"/>
      <c r="BB1340" s="32"/>
      <c r="BC1340" s="32"/>
      <c r="BD1340" s="32"/>
      <c r="BE1340" s="32"/>
      <c r="BF1340" s="32"/>
      <c r="BG1340" s="32"/>
      <c r="BH1340" s="32"/>
      <c r="BI1340" s="32"/>
      <c r="BJ1340" s="6"/>
      <c r="BK1340" s="6"/>
      <c r="BL1340" s="22" t="s">
        <v>101</v>
      </c>
      <c r="BO1340" s="15"/>
    </row>
    <row r="1341" spans="1:67">
      <c r="A1341" s="35" t="s">
        <v>102</v>
      </c>
      <c r="B1341" s="35"/>
      <c r="C1341" s="17">
        <v>18459.5</v>
      </c>
      <c r="D1341" s="36">
        <v>14</v>
      </c>
      <c r="E1341" s="37">
        <v>97.571428571428569</v>
      </c>
      <c r="F1341" s="38">
        <v>1366</v>
      </c>
      <c r="G1341" s="22"/>
      <c r="H1341" s="22"/>
      <c r="I1341" s="22"/>
      <c r="J1341" s="22"/>
      <c r="K1341" s="22"/>
      <c r="L1341" s="22"/>
      <c r="M1341" s="22"/>
      <c r="N1341" s="36">
        <v>389.4</v>
      </c>
      <c r="O1341" s="36"/>
      <c r="P1341" s="22"/>
      <c r="Q1341" s="22"/>
      <c r="R1341" s="22"/>
      <c r="S1341" s="22"/>
      <c r="T1341" s="22"/>
      <c r="U1341" s="22"/>
      <c r="V1341" s="6"/>
      <c r="W1341" s="6"/>
      <c r="X1341" s="19"/>
      <c r="Y1341" s="6"/>
      <c r="Z1341" s="6"/>
      <c r="AA1341" s="6"/>
      <c r="AB1341" s="6"/>
      <c r="AC1341" s="6"/>
      <c r="AD1341" s="6"/>
      <c r="AE1341" s="6"/>
      <c r="AF1341" s="18"/>
      <c r="AG1341" s="18"/>
      <c r="AH1341" s="18"/>
      <c r="AI1341" s="36">
        <v>52.46</v>
      </c>
      <c r="AK1341" s="18"/>
      <c r="AL1341" s="18"/>
      <c r="AM1341" s="18">
        <v>27.814285714285713</v>
      </c>
      <c r="AN1341" s="18"/>
      <c r="AO1341" s="6"/>
      <c r="AP1341" s="32"/>
      <c r="AQ1341" s="32"/>
      <c r="AR1341" s="32"/>
      <c r="AS1341" s="32"/>
      <c r="AT1341" s="32"/>
      <c r="AU1341" s="32"/>
      <c r="AV1341" s="32"/>
      <c r="AW1341" s="32"/>
      <c r="AX1341" s="32"/>
      <c r="AY1341" s="32"/>
      <c r="AZ1341" s="32"/>
      <c r="BA1341" s="32"/>
      <c r="BB1341" s="32"/>
      <c r="BC1341" s="32"/>
      <c r="BD1341" s="32"/>
      <c r="BE1341" s="32"/>
      <c r="BF1341" s="32"/>
      <c r="BG1341" s="32"/>
      <c r="BH1341" s="32"/>
      <c r="BI1341" s="32"/>
      <c r="BJ1341" s="6"/>
      <c r="BK1341" s="6"/>
      <c r="BL1341" s="22" t="s">
        <v>101</v>
      </c>
      <c r="BO1341" s="15"/>
    </row>
    <row r="1342" spans="1:67">
      <c r="A1342" s="35" t="s">
        <v>102</v>
      </c>
      <c r="B1342" s="35"/>
      <c r="C1342" s="17">
        <v>19190</v>
      </c>
      <c r="D1342" s="36">
        <v>16</v>
      </c>
      <c r="E1342" s="37">
        <v>68.285714285714292</v>
      </c>
      <c r="F1342" s="38">
        <v>956</v>
      </c>
      <c r="G1342" s="22"/>
      <c r="H1342" s="22"/>
      <c r="I1342" s="22"/>
      <c r="J1342" s="22"/>
      <c r="K1342" s="22"/>
      <c r="L1342" s="22"/>
      <c r="M1342" s="22"/>
      <c r="N1342" s="36">
        <v>394</v>
      </c>
      <c r="O1342" s="36"/>
      <c r="P1342" s="22"/>
      <c r="Q1342" s="22"/>
      <c r="R1342" s="22"/>
      <c r="S1342" s="22"/>
      <c r="T1342" s="22"/>
      <c r="U1342" s="22"/>
      <c r="V1342" s="6"/>
      <c r="W1342" s="6"/>
      <c r="X1342" s="19"/>
      <c r="Y1342" s="6"/>
      <c r="Z1342" s="6"/>
      <c r="AA1342" s="6"/>
      <c r="AB1342" s="6"/>
      <c r="AC1342" s="6"/>
      <c r="AD1342" s="6"/>
      <c r="AE1342" s="6"/>
      <c r="AF1342" s="18"/>
      <c r="AG1342" s="18"/>
      <c r="AH1342" s="18"/>
      <c r="AI1342" s="36">
        <v>45.91</v>
      </c>
      <c r="AK1342" s="18"/>
      <c r="AL1342" s="18"/>
      <c r="AM1342" s="18">
        <v>24.625</v>
      </c>
      <c r="AN1342" s="18"/>
      <c r="AO1342" s="6"/>
      <c r="AP1342" s="32"/>
      <c r="AQ1342" s="32"/>
      <c r="AR1342" s="32"/>
      <c r="AS1342" s="32"/>
      <c r="AT1342" s="32"/>
      <c r="AU1342" s="32"/>
      <c r="AV1342" s="32"/>
      <c r="AW1342" s="32"/>
      <c r="AX1342" s="32"/>
      <c r="AY1342" s="32"/>
      <c r="AZ1342" s="32"/>
      <c r="BA1342" s="32"/>
      <c r="BB1342" s="32"/>
      <c r="BC1342" s="32"/>
      <c r="BD1342" s="32"/>
      <c r="BE1342" s="32"/>
      <c r="BF1342" s="32"/>
      <c r="BG1342" s="32"/>
      <c r="BH1342" s="32"/>
      <c r="BI1342" s="32"/>
      <c r="BJ1342" s="6"/>
      <c r="BK1342" s="6"/>
      <c r="BL1342" s="22" t="s">
        <v>101</v>
      </c>
      <c r="BO1342" s="15"/>
    </row>
    <row r="1343" spans="1:67">
      <c r="A1343" s="35" t="s">
        <v>102</v>
      </c>
      <c r="B1343" s="35"/>
      <c r="C1343" s="17">
        <v>20285.75</v>
      </c>
      <c r="D1343" s="36">
        <v>19</v>
      </c>
      <c r="E1343" s="37">
        <v>67.428571428571431</v>
      </c>
      <c r="F1343" s="38">
        <v>944</v>
      </c>
      <c r="G1343" s="22"/>
      <c r="H1343" s="22"/>
      <c r="I1343" s="22"/>
      <c r="J1343" s="22"/>
      <c r="K1343" s="22"/>
      <c r="L1343" s="22"/>
      <c r="M1343" s="22"/>
      <c r="N1343" s="36">
        <v>493</v>
      </c>
      <c r="O1343" s="36"/>
      <c r="P1343" s="22"/>
      <c r="Q1343" s="22"/>
      <c r="R1343" s="22"/>
      <c r="S1343" s="22"/>
      <c r="T1343" s="22"/>
      <c r="U1343" s="22"/>
      <c r="V1343" s="6"/>
      <c r="W1343" s="6"/>
      <c r="X1343" s="19"/>
      <c r="Y1343" s="6"/>
      <c r="Z1343" s="6"/>
      <c r="AA1343" s="6"/>
      <c r="AB1343" s="6"/>
      <c r="AC1343" s="6"/>
      <c r="AD1343" s="6"/>
      <c r="AE1343" s="6"/>
      <c r="AF1343" s="18"/>
      <c r="AG1343" s="18"/>
      <c r="AH1343" s="18"/>
      <c r="AI1343" s="36">
        <v>51.4</v>
      </c>
      <c r="AK1343" s="18"/>
      <c r="AL1343" s="18"/>
      <c r="AM1343" s="18">
        <v>25.94736842105263</v>
      </c>
      <c r="AN1343" s="18"/>
      <c r="AO1343" s="6"/>
      <c r="AP1343" s="32"/>
      <c r="AQ1343" s="32"/>
      <c r="AR1343" s="32"/>
      <c r="AS1343" s="32"/>
      <c r="AT1343" s="32"/>
      <c r="AU1343" s="32"/>
      <c r="AV1343" s="32"/>
      <c r="AW1343" s="32"/>
      <c r="AX1343" s="32"/>
      <c r="AY1343" s="32"/>
      <c r="AZ1343" s="32"/>
      <c r="BA1343" s="32"/>
      <c r="BB1343" s="32"/>
      <c r="BC1343" s="32"/>
      <c r="BD1343" s="32"/>
      <c r="BE1343" s="32"/>
      <c r="BF1343" s="32"/>
      <c r="BG1343" s="32"/>
      <c r="BH1343" s="32"/>
      <c r="BI1343" s="32"/>
      <c r="BJ1343" s="6"/>
      <c r="BK1343" s="6"/>
      <c r="BL1343" s="22" t="s">
        <v>101</v>
      </c>
      <c r="BO1343" s="15"/>
    </row>
    <row r="1344" spans="1:67">
      <c r="A1344" s="35" t="s">
        <v>102</v>
      </c>
      <c r="B1344" s="35"/>
      <c r="C1344" s="17">
        <v>21016.25</v>
      </c>
      <c r="D1344" s="36">
        <v>21</v>
      </c>
      <c r="E1344" s="37">
        <v>35.142857142857146</v>
      </c>
      <c r="F1344" s="38">
        <v>492</v>
      </c>
      <c r="G1344" s="22"/>
      <c r="H1344" s="22"/>
      <c r="I1344" s="22"/>
      <c r="J1344" s="22"/>
      <c r="K1344" s="22"/>
      <c r="L1344" s="22"/>
      <c r="M1344" s="22"/>
      <c r="N1344" s="36">
        <v>349.4</v>
      </c>
      <c r="O1344" s="36"/>
      <c r="P1344" s="22"/>
      <c r="Q1344" s="22"/>
      <c r="R1344" s="22"/>
      <c r="S1344" s="22"/>
      <c r="T1344" s="22"/>
      <c r="U1344" s="22"/>
      <c r="V1344" s="6"/>
      <c r="W1344" s="6"/>
      <c r="X1344" s="19"/>
      <c r="Y1344" s="6"/>
      <c r="Z1344" s="6"/>
      <c r="AA1344" s="6"/>
      <c r="AB1344" s="6"/>
      <c r="AC1344" s="6"/>
      <c r="AD1344" s="6"/>
      <c r="AE1344" s="6"/>
      <c r="AF1344" s="18"/>
      <c r="AG1344" s="18"/>
      <c r="AH1344" s="18"/>
      <c r="AI1344" s="36">
        <v>34.18</v>
      </c>
      <c r="AK1344" s="18"/>
      <c r="AL1344" s="18"/>
      <c r="AM1344" s="18">
        <v>16.638095238095236</v>
      </c>
      <c r="AN1344" s="18"/>
      <c r="AO1344" s="6"/>
      <c r="AP1344" s="32"/>
      <c r="AQ1344" s="32"/>
      <c r="AR1344" s="32"/>
      <c r="AS1344" s="32"/>
      <c r="AT1344" s="32"/>
      <c r="AU1344" s="32"/>
      <c r="AV1344" s="32"/>
      <c r="AW1344" s="32"/>
      <c r="AX1344" s="32"/>
      <c r="AY1344" s="32"/>
      <c r="AZ1344" s="32"/>
      <c r="BA1344" s="32"/>
      <c r="BB1344" s="32"/>
      <c r="BC1344" s="32"/>
      <c r="BD1344" s="32"/>
      <c r="BE1344" s="32"/>
      <c r="BF1344" s="32"/>
      <c r="BG1344" s="32"/>
      <c r="BH1344" s="32"/>
      <c r="BI1344" s="32"/>
      <c r="BJ1344" s="6"/>
      <c r="BK1344" s="6"/>
      <c r="BL1344" s="22" t="s">
        <v>101</v>
      </c>
      <c r="BO1344" s="15"/>
    </row>
    <row r="1345" spans="1:67">
      <c r="A1345" s="35" t="s">
        <v>102</v>
      </c>
      <c r="B1345" s="35"/>
      <c r="C1345" s="17">
        <v>21746.75</v>
      </c>
      <c r="D1345" s="36">
        <v>23</v>
      </c>
      <c r="E1345" s="37">
        <v>34.214285714285715</v>
      </c>
      <c r="F1345" s="38">
        <v>479</v>
      </c>
      <c r="G1345" s="22"/>
      <c r="H1345" s="22"/>
      <c r="I1345" s="22"/>
      <c r="J1345" s="22"/>
      <c r="K1345" s="22"/>
      <c r="L1345" s="22"/>
      <c r="M1345" s="22"/>
      <c r="N1345" s="36"/>
      <c r="O1345" s="36"/>
      <c r="P1345" s="22"/>
      <c r="Q1345" s="22"/>
      <c r="R1345" s="22"/>
      <c r="S1345" s="22"/>
      <c r="T1345" s="22"/>
      <c r="U1345" s="22"/>
      <c r="V1345" s="6"/>
      <c r="W1345" s="6"/>
      <c r="X1345" s="19"/>
      <c r="Y1345" s="6"/>
      <c r="Z1345" s="6"/>
      <c r="AA1345" s="6"/>
      <c r="AB1345" s="6"/>
      <c r="AC1345" s="6"/>
      <c r="AD1345" s="6"/>
      <c r="AE1345" s="6"/>
      <c r="AF1345" s="18"/>
      <c r="AG1345" s="18"/>
      <c r="AH1345" s="18"/>
      <c r="AI1345" s="36">
        <v>37.119999999999997</v>
      </c>
      <c r="AK1345" s="18"/>
      <c r="AL1345" s="18"/>
      <c r="AM1345" s="18"/>
      <c r="AN1345" s="18"/>
      <c r="AO1345" s="6"/>
      <c r="AP1345" s="32"/>
      <c r="AQ1345" s="32"/>
      <c r="AR1345" s="32"/>
      <c r="AS1345" s="32"/>
      <c r="AT1345" s="32"/>
      <c r="AU1345" s="32"/>
      <c r="AV1345" s="32"/>
      <c r="AW1345" s="32"/>
      <c r="AX1345" s="32"/>
      <c r="AY1345" s="32"/>
      <c r="AZ1345" s="32"/>
      <c r="BA1345" s="32"/>
      <c r="BB1345" s="32"/>
      <c r="BC1345" s="32"/>
      <c r="BD1345" s="32"/>
      <c r="BE1345" s="32"/>
      <c r="BF1345" s="32"/>
      <c r="BG1345" s="32"/>
      <c r="BH1345" s="32"/>
      <c r="BI1345" s="32"/>
      <c r="BJ1345" s="6"/>
      <c r="BK1345" s="6"/>
      <c r="BL1345" s="22" t="s">
        <v>101</v>
      </c>
      <c r="BO1345" s="15"/>
    </row>
    <row r="1346" spans="1:67">
      <c r="A1346" s="35" t="s">
        <v>102</v>
      </c>
      <c r="B1346" s="35"/>
      <c r="C1346" s="17">
        <v>22477.25</v>
      </c>
      <c r="D1346" s="36">
        <v>25</v>
      </c>
      <c r="E1346" s="37">
        <v>34.214285714285715</v>
      </c>
      <c r="F1346" s="38">
        <v>479</v>
      </c>
      <c r="G1346" s="22"/>
      <c r="H1346" s="22"/>
      <c r="I1346" s="22"/>
      <c r="J1346" s="22"/>
      <c r="K1346" s="22"/>
      <c r="L1346" s="22"/>
      <c r="M1346" s="22"/>
      <c r="N1346" s="36">
        <v>434.1</v>
      </c>
      <c r="O1346" s="36"/>
      <c r="P1346" s="22"/>
      <c r="Q1346" s="22"/>
      <c r="R1346" s="22"/>
      <c r="S1346" s="22"/>
      <c r="T1346" s="22"/>
      <c r="U1346" s="22"/>
      <c r="V1346" s="6"/>
      <c r="W1346" s="6"/>
      <c r="X1346" s="19"/>
      <c r="Y1346" s="6"/>
      <c r="Z1346" s="6"/>
      <c r="AA1346" s="6"/>
      <c r="AB1346" s="6"/>
      <c r="AC1346" s="6"/>
      <c r="AD1346" s="6"/>
      <c r="AE1346" s="6"/>
      <c r="AF1346" s="18"/>
      <c r="AG1346" s="18"/>
      <c r="AH1346" s="18"/>
      <c r="AI1346" s="36">
        <v>40.840000000000003</v>
      </c>
      <c r="AK1346" s="18"/>
      <c r="AL1346" s="18"/>
      <c r="AM1346" s="18">
        <v>17.364000000000001</v>
      </c>
      <c r="AN1346" s="18"/>
      <c r="AO1346" s="6"/>
      <c r="AP1346" s="32"/>
      <c r="AQ1346" s="32"/>
      <c r="AR1346" s="32"/>
      <c r="AS1346" s="32"/>
      <c r="AT1346" s="32"/>
      <c r="AU1346" s="32"/>
      <c r="AV1346" s="32"/>
      <c r="AW1346" s="32"/>
      <c r="AX1346" s="32"/>
      <c r="AY1346" s="32"/>
      <c r="AZ1346" s="32"/>
      <c r="BA1346" s="32"/>
      <c r="BB1346" s="32"/>
      <c r="BC1346" s="32"/>
      <c r="BD1346" s="32"/>
      <c r="BE1346" s="32"/>
      <c r="BF1346" s="32"/>
      <c r="BG1346" s="32"/>
      <c r="BH1346" s="32"/>
      <c r="BI1346" s="32"/>
      <c r="BJ1346" s="6"/>
      <c r="BK1346" s="6"/>
      <c r="BL1346" s="22" t="s">
        <v>101</v>
      </c>
      <c r="BO1346" s="15"/>
    </row>
    <row r="1347" spans="1:67">
      <c r="A1347" s="35" t="s">
        <v>102</v>
      </c>
      <c r="B1347" s="35"/>
      <c r="C1347" s="17">
        <v>23573</v>
      </c>
      <c r="D1347" s="36">
        <v>28</v>
      </c>
      <c r="E1347" s="37">
        <v>22.785714285714285</v>
      </c>
      <c r="F1347" s="38">
        <v>319</v>
      </c>
      <c r="G1347" s="22"/>
      <c r="H1347" s="22"/>
      <c r="I1347" s="22"/>
      <c r="J1347" s="22"/>
      <c r="K1347" s="22"/>
      <c r="L1347" s="22"/>
      <c r="M1347" s="22"/>
      <c r="N1347" s="36"/>
      <c r="O1347" s="36"/>
      <c r="P1347" s="22"/>
      <c r="Q1347" s="22"/>
      <c r="R1347" s="22"/>
      <c r="S1347" s="22"/>
      <c r="T1347" s="22"/>
      <c r="U1347" s="22"/>
      <c r="V1347" s="6"/>
      <c r="W1347" s="6"/>
      <c r="X1347" s="19"/>
      <c r="Y1347" s="6"/>
      <c r="Z1347" s="6"/>
      <c r="AA1347" s="6"/>
      <c r="AB1347" s="6"/>
      <c r="AC1347" s="6"/>
      <c r="AD1347" s="6"/>
      <c r="AE1347" s="6"/>
      <c r="AF1347" s="18"/>
      <c r="AG1347" s="18"/>
      <c r="AH1347" s="18"/>
      <c r="AI1347" s="36">
        <v>34.18</v>
      </c>
      <c r="AK1347" s="18"/>
      <c r="AL1347" s="18"/>
      <c r="AM1347" s="18"/>
      <c r="AN1347" s="18"/>
      <c r="AO1347" s="6"/>
      <c r="AP1347" s="32"/>
      <c r="AQ1347" s="32"/>
      <c r="AR1347" s="32"/>
      <c r="AS1347" s="32"/>
      <c r="AT1347" s="32"/>
      <c r="AU1347" s="32"/>
      <c r="AV1347" s="32"/>
      <c r="AW1347" s="32"/>
      <c r="AX1347" s="32"/>
      <c r="AY1347" s="32"/>
      <c r="AZ1347" s="32"/>
      <c r="BA1347" s="32"/>
      <c r="BB1347" s="32"/>
      <c r="BC1347" s="32"/>
      <c r="BD1347" s="32"/>
      <c r="BE1347" s="32"/>
      <c r="BF1347" s="32"/>
      <c r="BG1347" s="32"/>
      <c r="BH1347" s="32"/>
      <c r="BI1347" s="32"/>
      <c r="BJ1347" s="6"/>
      <c r="BK1347" s="6"/>
      <c r="BL1347" s="22" t="s">
        <v>101</v>
      </c>
      <c r="BO1347" s="15"/>
    </row>
    <row r="1348" spans="1:67">
      <c r="A1348" s="35" t="s">
        <v>102</v>
      </c>
      <c r="B1348" s="35"/>
      <c r="C1348" s="17">
        <v>24303.5</v>
      </c>
      <c r="D1348" s="36">
        <v>30</v>
      </c>
      <c r="E1348" s="37">
        <v>21.857142857142858</v>
      </c>
      <c r="F1348" s="38">
        <v>306</v>
      </c>
      <c r="G1348" s="22"/>
      <c r="H1348" s="22"/>
      <c r="I1348" s="22"/>
      <c r="J1348" s="22"/>
      <c r="K1348" s="22"/>
      <c r="L1348" s="22"/>
      <c r="M1348" s="22"/>
      <c r="N1348" s="36"/>
      <c r="O1348" s="36"/>
      <c r="P1348" s="22"/>
      <c r="Q1348" s="22"/>
      <c r="R1348" s="22"/>
      <c r="S1348" s="22"/>
      <c r="T1348" s="22"/>
      <c r="U1348" s="22"/>
      <c r="V1348" s="6"/>
      <c r="W1348" s="6"/>
      <c r="X1348" s="19"/>
      <c r="Y1348" s="6"/>
      <c r="Z1348" s="6"/>
      <c r="AA1348" s="6"/>
      <c r="AB1348" s="6"/>
      <c r="AC1348" s="6"/>
      <c r="AD1348" s="6"/>
      <c r="AE1348" s="6"/>
      <c r="AF1348" s="18"/>
      <c r="AG1348" s="18"/>
      <c r="AH1348" s="18"/>
      <c r="AI1348" s="36">
        <v>36.729999999999997</v>
      </c>
      <c r="AK1348" s="18"/>
      <c r="AL1348" s="18"/>
      <c r="AM1348" s="18"/>
      <c r="AN1348" s="18"/>
      <c r="AO1348" s="6"/>
      <c r="AP1348" s="32"/>
      <c r="AQ1348" s="32"/>
      <c r="AR1348" s="32"/>
      <c r="AS1348" s="32"/>
      <c r="AT1348" s="32"/>
      <c r="AU1348" s="32"/>
      <c r="AV1348" s="32"/>
      <c r="AW1348" s="32"/>
      <c r="AX1348" s="32"/>
      <c r="AY1348" s="32"/>
      <c r="AZ1348" s="32"/>
      <c r="BA1348" s="32"/>
      <c r="BB1348" s="32"/>
      <c r="BC1348" s="32"/>
      <c r="BD1348" s="32"/>
      <c r="BE1348" s="32"/>
      <c r="BF1348" s="32"/>
      <c r="BG1348" s="32"/>
      <c r="BH1348" s="32"/>
      <c r="BI1348" s="32"/>
      <c r="BJ1348" s="6"/>
      <c r="BK1348" s="6"/>
      <c r="BL1348" s="22" t="s">
        <v>101</v>
      </c>
      <c r="BO1348" s="15"/>
    </row>
    <row r="1349" spans="1:67">
      <c r="A1349" s="35" t="s">
        <v>102</v>
      </c>
      <c r="B1349" s="35"/>
      <c r="C1349" s="17">
        <v>24668.75</v>
      </c>
      <c r="D1349" s="36">
        <v>31</v>
      </c>
      <c r="E1349" s="37">
        <v>21.857142857142858</v>
      </c>
      <c r="F1349" s="38">
        <v>306</v>
      </c>
      <c r="G1349" s="22"/>
      <c r="H1349" s="22"/>
      <c r="I1349" s="22"/>
      <c r="J1349" s="22"/>
      <c r="K1349" s="22"/>
      <c r="L1349" s="22"/>
      <c r="M1349" s="22"/>
      <c r="N1349" s="36">
        <v>409.1</v>
      </c>
      <c r="O1349" s="36"/>
      <c r="P1349" s="22"/>
      <c r="Q1349" s="22"/>
      <c r="R1349" s="22"/>
      <c r="S1349" s="22"/>
      <c r="T1349" s="22"/>
      <c r="U1349" s="22"/>
      <c r="V1349" s="6"/>
      <c r="W1349" s="6"/>
      <c r="X1349" s="19"/>
      <c r="Y1349" s="6"/>
      <c r="Z1349" s="6"/>
      <c r="AA1349" s="6"/>
      <c r="AB1349" s="6"/>
      <c r="AC1349" s="6"/>
      <c r="AD1349" s="6"/>
      <c r="AE1349" s="6"/>
      <c r="AF1349" s="18"/>
      <c r="AG1349" s="18"/>
      <c r="AH1349" s="18"/>
      <c r="AI1349" s="36">
        <v>38.25</v>
      </c>
      <c r="AK1349" s="18"/>
      <c r="AL1349" s="18"/>
      <c r="AM1349" s="18">
        <v>13.196774193548388</v>
      </c>
      <c r="AN1349" s="18"/>
      <c r="AO1349" s="6"/>
      <c r="AP1349" s="32"/>
      <c r="AQ1349" s="32"/>
      <c r="AR1349" s="32"/>
      <c r="AS1349" s="32"/>
      <c r="AT1349" s="32"/>
      <c r="AU1349" s="32"/>
      <c r="AV1349" s="32"/>
      <c r="AW1349" s="32"/>
      <c r="AX1349" s="32"/>
      <c r="AY1349" s="32"/>
      <c r="AZ1349" s="32"/>
      <c r="BA1349" s="32"/>
      <c r="BB1349" s="32"/>
      <c r="BC1349" s="32"/>
      <c r="BD1349" s="32"/>
      <c r="BE1349" s="32"/>
      <c r="BF1349" s="32"/>
      <c r="BG1349" s="32"/>
      <c r="BH1349" s="32"/>
      <c r="BI1349" s="32"/>
      <c r="BJ1349" s="6"/>
      <c r="BK1349" s="6"/>
      <c r="BL1349" s="22" t="s">
        <v>101</v>
      </c>
      <c r="BO1349" s="15"/>
    </row>
    <row r="1350" spans="1:67">
      <c r="A1350" s="35" t="s">
        <v>102</v>
      </c>
      <c r="B1350" s="35"/>
      <c r="C1350" s="17">
        <v>25399.25</v>
      </c>
      <c r="D1350" s="36">
        <v>33</v>
      </c>
      <c r="E1350" s="37">
        <v>15.214285714285714</v>
      </c>
      <c r="F1350" s="38">
        <v>213</v>
      </c>
      <c r="G1350" s="22"/>
      <c r="H1350" s="22"/>
      <c r="I1350" s="22"/>
      <c r="J1350" s="22"/>
      <c r="K1350" s="22"/>
      <c r="L1350" s="22"/>
      <c r="M1350" s="22"/>
      <c r="N1350" s="36"/>
      <c r="O1350" s="36"/>
      <c r="P1350" s="22"/>
      <c r="Q1350" s="22"/>
      <c r="R1350" s="22"/>
      <c r="S1350" s="22"/>
      <c r="T1350" s="22"/>
      <c r="U1350" s="22"/>
      <c r="V1350" s="6"/>
      <c r="W1350" s="6"/>
      <c r="X1350" s="19"/>
      <c r="Y1350" s="6"/>
      <c r="Z1350" s="6"/>
      <c r="AA1350" s="6"/>
      <c r="AB1350" s="6"/>
      <c r="AC1350" s="6"/>
      <c r="AD1350" s="6"/>
      <c r="AE1350" s="6"/>
      <c r="AF1350" s="18"/>
      <c r="AG1350" s="18"/>
      <c r="AH1350" s="18"/>
      <c r="AI1350" s="36">
        <v>31.06</v>
      </c>
      <c r="AK1350" s="18"/>
      <c r="AL1350" s="18"/>
      <c r="AM1350" s="18"/>
      <c r="AN1350" s="18"/>
      <c r="AO1350" s="6"/>
      <c r="AP1350" s="32"/>
      <c r="AQ1350" s="32"/>
      <c r="AR1350" s="32"/>
      <c r="AS1350" s="32"/>
      <c r="AT1350" s="32"/>
      <c r="AU1350" s="32"/>
      <c r="AV1350" s="32"/>
      <c r="AW1350" s="32"/>
      <c r="AX1350" s="32"/>
      <c r="AY1350" s="32"/>
      <c r="AZ1350" s="32"/>
      <c r="BA1350" s="32"/>
      <c r="BB1350" s="32"/>
      <c r="BC1350" s="32"/>
      <c r="BD1350" s="32"/>
      <c r="BE1350" s="32"/>
      <c r="BF1350" s="32"/>
      <c r="BG1350" s="32"/>
      <c r="BH1350" s="32"/>
      <c r="BI1350" s="32"/>
      <c r="BJ1350" s="6"/>
      <c r="BK1350" s="6"/>
      <c r="BL1350" s="22" t="s">
        <v>101</v>
      </c>
      <c r="BO1350" s="15"/>
    </row>
    <row r="1351" spans="1:67">
      <c r="A1351" s="35" t="s">
        <v>102</v>
      </c>
      <c r="B1351" s="35"/>
      <c r="C1351" s="17">
        <v>26129.75</v>
      </c>
      <c r="D1351" s="36">
        <v>35</v>
      </c>
      <c r="E1351" s="37">
        <v>15.214285714285714</v>
      </c>
      <c r="F1351" s="38">
        <v>213</v>
      </c>
      <c r="G1351" s="22"/>
      <c r="H1351" s="22"/>
      <c r="I1351" s="22"/>
      <c r="J1351" s="22"/>
      <c r="K1351" s="22"/>
      <c r="L1351" s="22"/>
      <c r="M1351" s="22"/>
      <c r="N1351" s="36"/>
      <c r="O1351" s="36"/>
      <c r="P1351" s="22"/>
      <c r="Q1351" s="22"/>
      <c r="R1351" s="22"/>
      <c r="S1351" s="22"/>
      <c r="T1351" s="22"/>
      <c r="U1351" s="22"/>
      <c r="V1351" s="6"/>
      <c r="W1351" s="6"/>
      <c r="X1351" s="19"/>
      <c r="Y1351" s="6"/>
      <c r="Z1351" s="6"/>
      <c r="AA1351" s="6"/>
      <c r="AB1351" s="6"/>
      <c r="AC1351" s="6"/>
      <c r="AD1351" s="6"/>
      <c r="AE1351" s="6"/>
      <c r="AF1351" s="18"/>
      <c r="AG1351" s="18"/>
      <c r="AH1351" s="18"/>
      <c r="AI1351" s="36">
        <v>34.5</v>
      </c>
      <c r="AK1351" s="18"/>
      <c r="AL1351" s="18"/>
      <c r="AM1351" s="18"/>
      <c r="AN1351" s="18"/>
      <c r="AO1351" s="6"/>
      <c r="AP1351" s="32"/>
      <c r="AQ1351" s="32"/>
      <c r="AR1351" s="32"/>
      <c r="AS1351" s="32"/>
      <c r="AT1351" s="32"/>
      <c r="AU1351" s="32"/>
      <c r="AV1351" s="32"/>
      <c r="AW1351" s="32"/>
      <c r="AX1351" s="32"/>
      <c r="AY1351" s="32"/>
      <c r="AZ1351" s="32"/>
      <c r="BA1351" s="32"/>
      <c r="BB1351" s="32"/>
      <c r="BC1351" s="32"/>
      <c r="BD1351" s="32"/>
      <c r="BE1351" s="32"/>
      <c r="BF1351" s="32"/>
      <c r="BG1351" s="32"/>
      <c r="BH1351" s="32"/>
      <c r="BI1351" s="32"/>
      <c r="BJ1351" s="6"/>
      <c r="BK1351" s="6"/>
      <c r="BL1351" s="22" t="s">
        <v>101</v>
      </c>
      <c r="BO1351" s="15"/>
    </row>
    <row r="1352" spans="1:67">
      <c r="A1352" s="35" t="s">
        <v>102</v>
      </c>
      <c r="B1352" s="35"/>
      <c r="C1352" s="17">
        <v>26860.25</v>
      </c>
      <c r="D1352" s="36">
        <v>37</v>
      </c>
      <c r="E1352" s="37">
        <v>15.214285714285714</v>
      </c>
      <c r="F1352" s="38">
        <v>213</v>
      </c>
      <c r="G1352" s="22"/>
      <c r="H1352" s="22"/>
      <c r="I1352" s="22"/>
      <c r="J1352" s="22"/>
      <c r="K1352" s="22"/>
      <c r="L1352" s="22"/>
      <c r="M1352" s="22"/>
      <c r="N1352" s="36">
        <v>432.9</v>
      </c>
      <c r="O1352" s="36"/>
      <c r="P1352" s="22"/>
      <c r="Q1352" s="22"/>
      <c r="R1352" s="22"/>
      <c r="S1352" s="22"/>
      <c r="T1352" s="22"/>
      <c r="U1352" s="22"/>
      <c r="V1352" s="6"/>
      <c r="W1352" s="6"/>
      <c r="X1352" s="19"/>
      <c r="Y1352" s="6"/>
      <c r="Z1352" s="6"/>
      <c r="AA1352" s="6"/>
      <c r="AB1352" s="6"/>
      <c r="AC1352" s="6"/>
      <c r="AD1352" s="6"/>
      <c r="AE1352" s="6"/>
      <c r="AF1352" s="18"/>
      <c r="AG1352" s="18"/>
      <c r="AH1352" s="18"/>
      <c r="AI1352" s="36">
        <v>38.479999999999997</v>
      </c>
      <c r="AK1352" s="18"/>
      <c r="AL1352" s="18"/>
      <c r="AM1352" s="18">
        <v>11.7</v>
      </c>
      <c r="AN1352" s="18"/>
      <c r="AO1352" s="6"/>
      <c r="AP1352" s="32"/>
      <c r="AQ1352" s="32"/>
      <c r="AR1352" s="32"/>
      <c r="AS1352" s="32"/>
      <c r="AT1352" s="32"/>
      <c r="AU1352" s="32"/>
      <c r="AV1352" s="32"/>
      <c r="AW1352" s="32"/>
      <c r="AX1352" s="32"/>
      <c r="AY1352" s="32"/>
      <c r="AZ1352" s="32"/>
      <c r="BA1352" s="32"/>
      <c r="BB1352" s="32"/>
      <c r="BC1352" s="32"/>
      <c r="BD1352" s="32"/>
      <c r="BE1352" s="32"/>
      <c r="BF1352" s="32"/>
      <c r="BG1352" s="32"/>
      <c r="BH1352" s="32"/>
      <c r="BI1352" s="32"/>
      <c r="BJ1352" s="6"/>
      <c r="BK1352" s="6"/>
      <c r="BL1352" s="22" t="s">
        <v>101</v>
      </c>
      <c r="BO1352" s="15"/>
    </row>
    <row r="1353" spans="1:67">
      <c r="A1353" s="35" t="s">
        <v>102</v>
      </c>
      <c r="B1353" s="35"/>
      <c r="C1353" s="17">
        <v>27956</v>
      </c>
      <c r="D1353" s="36">
        <v>40</v>
      </c>
      <c r="E1353" s="37">
        <v>10.428571428571429</v>
      </c>
      <c r="F1353" s="38">
        <v>146</v>
      </c>
      <c r="G1353" s="22"/>
      <c r="H1353" s="22"/>
      <c r="I1353" s="22"/>
      <c r="J1353" s="22"/>
      <c r="K1353" s="22"/>
      <c r="L1353" s="22"/>
      <c r="M1353" s="22"/>
      <c r="N1353" s="36">
        <v>349.1</v>
      </c>
      <c r="O1353" s="36"/>
      <c r="P1353" s="22"/>
      <c r="Q1353" s="22"/>
      <c r="R1353" s="22"/>
      <c r="S1353" s="22"/>
      <c r="T1353" s="22"/>
      <c r="U1353" s="22"/>
      <c r="V1353" s="6"/>
      <c r="W1353" s="6"/>
      <c r="X1353" s="19"/>
      <c r="Y1353" s="6"/>
      <c r="Z1353" s="6"/>
      <c r="AA1353" s="6"/>
      <c r="AB1353" s="6"/>
      <c r="AC1353" s="6"/>
      <c r="AD1353" s="6"/>
      <c r="AE1353" s="6"/>
      <c r="AF1353" s="18"/>
      <c r="AG1353" s="18"/>
      <c r="AH1353" s="18"/>
      <c r="AI1353" s="36">
        <v>30.13</v>
      </c>
      <c r="AK1353" s="18"/>
      <c r="AL1353" s="18"/>
      <c r="AM1353" s="18">
        <v>8.7275000000000009</v>
      </c>
      <c r="AN1353" s="18"/>
      <c r="AO1353" s="6"/>
      <c r="AP1353" s="32"/>
      <c r="AQ1353" s="32"/>
      <c r="AR1353" s="32"/>
      <c r="AS1353" s="32"/>
      <c r="AT1353" s="32"/>
      <c r="AU1353" s="32"/>
      <c r="AV1353" s="32"/>
      <c r="AW1353" s="32"/>
      <c r="AX1353" s="32"/>
      <c r="AY1353" s="32"/>
      <c r="AZ1353" s="32"/>
      <c r="BA1353" s="32"/>
      <c r="BB1353" s="32"/>
      <c r="BC1353" s="32"/>
      <c r="BD1353" s="32"/>
      <c r="BE1353" s="32"/>
      <c r="BF1353" s="32"/>
      <c r="BG1353" s="32"/>
      <c r="BH1353" s="32"/>
      <c r="BI1353" s="32"/>
      <c r="BJ1353" s="6"/>
      <c r="BK1353" s="6"/>
      <c r="BL1353" s="22" t="s">
        <v>101</v>
      </c>
      <c r="BO1353" s="15"/>
    </row>
    <row r="1354" spans="1:67">
      <c r="A1354" s="35" t="s">
        <v>102</v>
      </c>
      <c r="B1354" s="35"/>
      <c r="C1354" s="17">
        <v>29051.75</v>
      </c>
      <c r="D1354" s="36">
        <v>43</v>
      </c>
      <c r="E1354" s="37">
        <v>10.428571428571429</v>
      </c>
      <c r="F1354" s="38">
        <v>146</v>
      </c>
      <c r="G1354" s="22"/>
      <c r="H1354" s="22"/>
      <c r="I1354" s="22"/>
      <c r="J1354" s="22"/>
      <c r="K1354" s="22"/>
      <c r="L1354" s="22"/>
      <c r="M1354" s="22"/>
      <c r="N1354" s="36">
        <v>395.5</v>
      </c>
      <c r="O1354" s="36"/>
      <c r="P1354" s="22"/>
      <c r="Q1354" s="22"/>
      <c r="R1354" s="22"/>
      <c r="S1354" s="22"/>
      <c r="T1354" s="22"/>
      <c r="U1354" s="22"/>
      <c r="V1354" s="6"/>
      <c r="W1354" s="6"/>
      <c r="X1354" s="19"/>
      <c r="Y1354" s="6"/>
      <c r="Z1354" s="6"/>
      <c r="AA1354" s="6"/>
      <c r="AB1354" s="6"/>
      <c r="AC1354" s="6"/>
      <c r="AD1354" s="6"/>
      <c r="AE1354" s="6"/>
      <c r="AF1354" s="18"/>
      <c r="AG1354" s="18"/>
      <c r="AH1354" s="18"/>
      <c r="AI1354" s="36">
        <v>33.35</v>
      </c>
      <c r="AK1354" s="18"/>
      <c r="AL1354" s="18"/>
      <c r="AM1354" s="18">
        <v>9.1976744186046506</v>
      </c>
      <c r="AN1354" s="18"/>
      <c r="AO1354" s="6"/>
      <c r="AP1354" s="32"/>
      <c r="AQ1354" s="32"/>
      <c r="AR1354" s="32"/>
      <c r="AS1354" s="32"/>
      <c r="AT1354" s="32"/>
      <c r="AU1354" s="32"/>
      <c r="AV1354" s="32"/>
      <c r="AW1354" s="32"/>
      <c r="AX1354" s="32"/>
      <c r="AY1354" s="32"/>
      <c r="AZ1354" s="32"/>
      <c r="BA1354" s="32"/>
      <c r="BB1354" s="32"/>
      <c r="BC1354" s="32"/>
      <c r="BD1354" s="32"/>
      <c r="BE1354" s="32"/>
      <c r="BF1354" s="32"/>
      <c r="BG1354" s="32"/>
      <c r="BH1354" s="32"/>
      <c r="BI1354" s="32"/>
      <c r="BJ1354" s="6"/>
      <c r="BK1354" s="6"/>
      <c r="BL1354" s="22" t="s">
        <v>101</v>
      </c>
      <c r="BO1354" s="15"/>
    </row>
    <row r="1355" spans="1:67">
      <c r="A1355" s="35" t="s">
        <v>102</v>
      </c>
      <c r="B1355" s="35"/>
      <c r="C1355" s="17">
        <v>29782.25</v>
      </c>
      <c r="D1355" s="36">
        <v>45</v>
      </c>
      <c r="E1355" s="37">
        <v>6.6428571428571432</v>
      </c>
      <c r="F1355" s="38">
        <v>93</v>
      </c>
      <c r="G1355" s="22"/>
      <c r="H1355" s="22"/>
      <c r="I1355" s="22"/>
      <c r="J1355" s="22"/>
      <c r="K1355" s="22"/>
      <c r="L1355" s="22"/>
      <c r="M1355" s="22"/>
      <c r="N1355" s="36"/>
      <c r="O1355" s="36"/>
      <c r="P1355" s="22"/>
      <c r="Q1355" s="22"/>
      <c r="R1355" s="22"/>
      <c r="S1355" s="22"/>
      <c r="T1355" s="22"/>
      <c r="U1355" s="22"/>
      <c r="V1355" s="6"/>
      <c r="W1355" s="6"/>
      <c r="X1355" s="19"/>
      <c r="Y1355" s="6"/>
      <c r="Z1355" s="6"/>
      <c r="AA1355" s="6"/>
      <c r="AB1355" s="6"/>
      <c r="AC1355" s="6"/>
      <c r="AD1355" s="6"/>
      <c r="AE1355" s="6"/>
      <c r="AF1355" s="18"/>
      <c r="AG1355" s="18"/>
      <c r="AH1355" s="18"/>
      <c r="AI1355" s="36">
        <v>24.99</v>
      </c>
      <c r="AK1355" s="18"/>
      <c r="AL1355" s="18"/>
      <c r="AM1355" s="18"/>
      <c r="AN1355" s="18"/>
      <c r="AO1355" s="6"/>
      <c r="AP1355" s="32"/>
      <c r="AQ1355" s="32"/>
      <c r="AR1355" s="32"/>
      <c r="AS1355" s="32"/>
      <c r="AT1355" s="32"/>
      <c r="AU1355" s="32"/>
      <c r="AV1355" s="32"/>
      <c r="AW1355" s="32"/>
      <c r="AX1355" s="32"/>
      <c r="AY1355" s="32"/>
      <c r="AZ1355" s="32"/>
      <c r="BA1355" s="32"/>
      <c r="BB1355" s="32"/>
      <c r="BC1355" s="32"/>
      <c r="BD1355" s="32"/>
      <c r="BE1355" s="32"/>
      <c r="BF1355" s="32"/>
      <c r="BG1355" s="32"/>
      <c r="BH1355" s="32"/>
      <c r="BI1355" s="32"/>
      <c r="BJ1355" s="6"/>
      <c r="BK1355" s="6"/>
      <c r="BL1355" s="22" t="s">
        <v>101</v>
      </c>
      <c r="BO1355" s="15"/>
    </row>
    <row r="1356" spans="1:67">
      <c r="A1356" s="35" t="s">
        <v>102</v>
      </c>
      <c r="B1356" s="35"/>
      <c r="C1356" s="17">
        <v>30512.75</v>
      </c>
      <c r="D1356" s="36">
        <v>47</v>
      </c>
      <c r="E1356" s="37">
        <v>6.6428571428571432</v>
      </c>
      <c r="F1356" s="38">
        <v>93</v>
      </c>
      <c r="G1356" s="22"/>
      <c r="H1356" s="22"/>
      <c r="I1356" s="22"/>
      <c r="J1356" s="22"/>
      <c r="K1356" s="22"/>
      <c r="L1356" s="22"/>
      <c r="M1356" s="22"/>
      <c r="N1356" s="36">
        <v>326.2</v>
      </c>
      <c r="O1356" s="36"/>
      <c r="P1356" s="22"/>
      <c r="Q1356" s="22"/>
      <c r="R1356" s="22"/>
      <c r="S1356" s="22"/>
      <c r="T1356" s="22"/>
      <c r="U1356" s="22"/>
      <c r="V1356" s="6"/>
      <c r="W1356" s="6"/>
      <c r="X1356" s="19"/>
      <c r="Y1356" s="6"/>
      <c r="Z1356" s="6"/>
      <c r="AA1356" s="6"/>
      <c r="AB1356" s="6"/>
      <c r="AC1356" s="6"/>
      <c r="AD1356" s="6"/>
      <c r="AE1356" s="6"/>
      <c r="AF1356" s="18"/>
      <c r="AG1356" s="18"/>
      <c r="AH1356" s="18"/>
      <c r="AI1356" s="36">
        <v>26.44</v>
      </c>
      <c r="AK1356" s="18"/>
      <c r="AL1356" s="18"/>
      <c r="AM1356" s="18">
        <v>6.9404255319148938</v>
      </c>
      <c r="AN1356" s="18"/>
      <c r="AO1356" s="6"/>
      <c r="AP1356" s="32"/>
      <c r="AQ1356" s="32"/>
      <c r="AR1356" s="32"/>
      <c r="AS1356" s="32"/>
      <c r="AT1356" s="32"/>
      <c r="AU1356" s="32"/>
      <c r="AV1356" s="32"/>
      <c r="AW1356" s="32"/>
      <c r="AX1356" s="32"/>
      <c r="AY1356" s="32"/>
      <c r="AZ1356" s="32"/>
      <c r="BA1356" s="32"/>
      <c r="BB1356" s="32"/>
      <c r="BC1356" s="32"/>
      <c r="BD1356" s="32"/>
      <c r="BE1356" s="32"/>
      <c r="BF1356" s="32"/>
      <c r="BG1356" s="32"/>
      <c r="BH1356" s="32"/>
      <c r="BI1356" s="32"/>
      <c r="BJ1356" s="6"/>
      <c r="BK1356" s="6"/>
      <c r="BL1356" s="22" t="s">
        <v>101</v>
      </c>
      <c r="BO1356" s="15"/>
    </row>
    <row r="1357" spans="1:67">
      <c r="A1357" s="35" t="s">
        <v>102</v>
      </c>
      <c r="B1357" s="35"/>
      <c r="C1357" s="17">
        <v>31608.5</v>
      </c>
      <c r="D1357" s="36">
        <v>50</v>
      </c>
      <c r="E1357" s="37">
        <v>6.6428571428571432</v>
      </c>
      <c r="F1357" s="38">
        <v>93</v>
      </c>
      <c r="G1357" s="22"/>
      <c r="H1357" s="22"/>
      <c r="I1357" s="22"/>
      <c r="J1357" s="22"/>
      <c r="K1357" s="22"/>
      <c r="L1357" s="22"/>
      <c r="M1357" s="22"/>
      <c r="N1357" s="36">
        <v>357.5</v>
      </c>
      <c r="O1357" s="36"/>
      <c r="P1357" s="22"/>
      <c r="Q1357" s="22"/>
      <c r="R1357" s="22"/>
      <c r="S1357" s="22"/>
      <c r="T1357" s="22"/>
      <c r="U1357" s="22"/>
      <c r="V1357" s="6"/>
      <c r="W1357" s="6"/>
      <c r="X1357" s="19"/>
      <c r="Y1357" s="6"/>
      <c r="Z1357" s="6"/>
      <c r="AA1357" s="6"/>
      <c r="AB1357" s="6"/>
      <c r="AC1357" s="6"/>
      <c r="AD1357" s="6"/>
      <c r="AE1357" s="6"/>
      <c r="AF1357" s="18"/>
      <c r="AG1357" s="18"/>
      <c r="AH1357" s="18"/>
      <c r="AI1357" s="36">
        <v>29.04</v>
      </c>
      <c r="AK1357" s="18"/>
      <c r="AL1357" s="18"/>
      <c r="AM1357" s="18">
        <v>7.15</v>
      </c>
      <c r="AN1357" s="18"/>
      <c r="AO1357" s="6"/>
      <c r="AP1357" s="32"/>
      <c r="AQ1357" s="32"/>
      <c r="AR1357" s="32"/>
      <c r="AS1357" s="32"/>
      <c r="AT1357" s="32"/>
      <c r="AU1357" s="32"/>
      <c r="AV1357" s="32"/>
      <c r="AW1357" s="32"/>
      <c r="AX1357" s="32"/>
      <c r="AY1357" s="32"/>
      <c r="AZ1357" s="32"/>
      <c r="BA1357" s="32"/>
      <c r="BB1357" s="32"/>
      <c r="BC1357" s="32"/>
      <c r="BD1357" s="32"/>
      <c r="BE1357" s="32"/>
      <c r="BF1357" s="32"/>
      <c r="BG1357" s="32"/>
      <c r="BH1357" s="32"/>
      <c r="BI1357" s="32"/>
      <c r="BJ1357" s="6"/>
      <c r="BK1357" s="6"/>
      <c r="BL1357" s="22" t="s">
        <v>101</v>
      </c>
      <c r="BO1357" s="15"/>
    </row>
    <row r="1358" spans="1:67">
      <c r="A1358" s="35" t="s">
        <v>102</v>
      </c>
      <c r="B1358" s="35"/>
      <c r="C1358" s="17">
        <v>32339</v>
      </c>
      <c r="D1358" s="36">
        <v>52</v>
      </c>
      <c r="E1358" s="37">
        <v>6.6428571428571432</v>
      </c>
      <c r="F1358" s="38">
        <v>93</v>
      </c>
      <c r="G1358" s="22"/>
      <c r="H1358" s="22"/>
      <c r="I1358" s="22"/>
      <c r="J1358" s="22"/>
      <c r="K1358" s="22"/>
      <c r="L1358" s="22"/>
      <c r="M1358" s="22"/>
      <c r="N1358" s="36"/>
      <c r="O1358" s="36"/>
      <c r="P1358" s="22"/>
      <c r="Q1358" s="22"/>
      <c r="R1358" s="22"/>
      <c r="S1358" s="22"/>
      <c r="T1358" s="22"/>
      <c r="U1358" s="22"/>
      <c r="V1358" s="6"/>
      <c r="W1358" s="6"/>
      <c r="X1358" s="19"/>
      <c r="Y1358" s="6"/>
      <c r="Z1358" s="6"/>
      <c r="AA1358" s="6"/>
      <c r="AB1358" s="6"/>
      <c r="AC1358" s="6"/>
      <c r="AD1358" s="6"/>
      <c r="AE1358" s="6"/>
      <c r="AF1358" s="18"/>
      <c r="AG1358" s="18"/>
      <c r="AH1358" s="18"/>
      <c r="AI1358" s="36">
        <v>30.91</v>
      </c>
      <c r="AK1358" s="18"/>
      <c r="AL1358" s="18"/>
      <c r="AM1358" s="18"/>
      <c r="AN1358" s="18"/>
      <c r="AO1358" s="6"/>
      <c r="AP1358" s="32"/>
      <c r="AQ1358" s="32"/>
      <c r="AR1358" s="32"/>
      <c r="AS1358" s="32"/>
      <c r="AT1358" s="32"/>
      <c r="AU1358" s="32"/>
      <c r="AV1358" s="32"/>
      <c r="AW1358" s="32"/>
      <c r="AX1358" s="32"/>
      <c r="AY1358" s="32"/>
      <c r="AZ1358" s="32"/>
      <c r="BA1358" s="32"/>
      <c r="BB1358" s="32"/>
      <c r="BC1358" s="32"/>
      <c r="BD1358" s="32"/>
      <c r="BE1358" s="32"/>
      <c r="BF1358" s="32"/>
      <c r="BG1358" s="32"/>
      <c r="BH1358" s="32"/>
      <c r="BI1358" s="32"/>
      <c r="BJ1358" s="6"/>
      <c r="BK1358" s="6"/>
      <c r="BL1358" s="22" t="s">
        <v>101</v>
      </c>
      <c r="BO1358" s="15"/>
    </row>
    <row r="1359" spans="1:67">
      <c r="A1359" s="35" t="s">
        <v>102</v>
      </c>
      <c r="B1359" s="35"/>
      <c r="C1359" s="17">
        <v>33069.5</v>
      </c>
      <c r="D1359" s="36">
        <v>54</v>
      </c>
      <c r="E1359" s="37">
        <v>6.6428571428571432</v>
      </c>
      <c r="F1359" s="38">
        <v>93</v>
      </c>
      <c r="G1359" s="22"/>
      <c r="H1359" s="22"/>
      <c r="I1359" s="22"/>
      <c r="J1359" s="22"/>
      <c r="K1359" s="22"/>
      <c r="L1359" s="22"/>
      <c r="M1359" s="22"/>
      <c r="N1359" s="36"/>
      <c r="O1359" s="36"/>
      <c r="P1359" s="22"/>
      <c r="Q1359" s="22"/>
      <c r="R1359" s="22"/>
      <c r="S1359" s="22"/>
      <c r="T1359" s="22"/>
      <c r="U1359" s="22"/>
      <c r="V1359" s="6"/>
      <c r="W1359" s="6"/>
      <c r="X1359" s="19"/>
      <c r="Y1359" s="6"/>
      <c r="Z1359" s="6"/>
      <c r="AA1359" s="6"/>
      <c r="AB1359" s="6"/>
      <c r="AC1359" s="6"/>
      <c r="AD1359" s="6"/>
      <c r="AE1359" s="6"/>
      <c r="AF1359" s="18"/>
      <c r="AG1359" s="18"/>
      <c r="AH1359" s="18"/>
      <c r="AI1359" s="36">
        <v>32.24</v>
      </c>
      <c r="AK1359" s="18"/>
      <c r="AL1359" s="18"/>
      <c r="AM1359" s="18"/>
      <c r="AN1359" s="18"/>
      <c r="AO1359" s="6"/>
      <c r="AP1359" s="32"/>
      <c r="AQ1359" s="32"/>
      <c r="AR1359" s="32"/>
      <c r="AS1359" s="32"/>
      <c r="AT1359" s="32"/>
      <c r="AU1359" s="32"/>
      <c r="AV1359" s="32"/>
      <c r="AW1359" s="32"/>
      <c r="AX1359" s="32"/>
      <c r="AY1359" s="32"/>
      <c r="AZ1359" s="32"/>
      <c r="BA1359" s="32"/>
      <c r="BB1359" s="32"/>
      <c r="BC1359" s="32"/>
      <c r="BD1359" s="32"/>
      <c r="BE1359" s="32"/>
      <c r="BF1359" s="32"/>
      <c r="BG1359" s="32"/>
      <c r="BH1359" s="32"/>
      <c r="BI1359" s="32"/>
      <c r="BJ1359" s="6"/>
      <c r="BK1359" s="6"/>
      <c r="BL1359" s="22" t="s">
        <v>101</v>
      </c>
      <c r="BO1359" s="15"/>
    </row>
    <row r="1360" spans="1:67">
      <c r="A1360" s="35" t="s">
        <v>102</v>
      </c>
      <c r="B1360" s="35"/>
      <c r="C1360" s="17">
        <v>33434.75</v>
      </c>
      <c r="D1360" s="36">
        <v>55</v>
      </c>
      <c r="E1360" s="37">
        <v>6.6428571428571432</v>
      </c>
      <c r="F1360" s="38">
        <v>93</v>
      </c>
      <c r="G1360" s="22"/>
      <c r="H1360" s="22"/>
      <c r="I1360" s="22"/>
      <c r="J1360" s="22"/>
      <c r="K1360" s="22"/>
      <c r="L1360" s="22"/>
      <c r="M1360" s="22"/>
      <c r="N1360" s="36"/>
      <c r="O1360" s="36"/>
      <c r="P1360" s="22"/>
      <c r="Q1360" s="22"/>
      <c r="R1360" s="22"/>
      <c r="S1360" s="22"/>
      <c r="T1360" s="22"/>
      <c r="U1360" s="22"/>
      <c r="V1360" s="6"/>
      <c r="W1360" s="6"/>
      <c r="X1360" s="19"/>
      <c r="Y1360" s="6"/>
      <c r="Z1360" s="6"/>
      <c r="AA1360" s="6"/>
      <c r="AB1360" s="6"/>
      <c r="AC1360" s="6"/>
      <c r="AD1360" s="6"/>
      <c r="AE1360" s="6"/>
      <c r="AF1360" s="18"/>
      <c r="AG1360" s="18"/>
      <c r="AH1360" s="18"/>
      <c r="AI1360" s="36">
        <v>32.78</v>
      </c>
      <c r="AK1360" s="18"/>
      <c r="AL1360" s="18"/>
      <c r="AM1360" s="18"/>
      <c r="AN1360" s="18"/>
      <c r="AO1360" s="6"/>
      <c r="AP1360" s="32"/>
      <c r="AQ1360" s="32"/>
      <c r="AR1360" s="32"/>
      <c r="AS1360" s="32"/>
      <c r="AT1360" s="32"/>
      <c r="AU1360" s="32"/>
      <c r="AV1360" s="32"/>
      <c r="AW1360" s="32"/>
      <c r="AX1360" s="32"/>
      <c r="AY1360" s="32"/>
      <c r="AZ1360" s="32"/>
      <c r="BA1360" s="32"/>
      <c r="BB1360" s="32"/>
      <c r="BC1360" s="32"/>
      <c r="BD1360" s="32"/>
      <c r="BE1360" s="32"/>
      <c r="BF1360" s="32"/>
      <c r="BG1360" s="32"/>
      <c r="BH1360" s="32"/>
      <c r="BI1360" s="32"/>
      <c r="BJ1360" s="6"/>
      <c r="BK1360" s="6"/>
      <c r="BL1360" s="22" t="s">
        <v>101</v>
      </c>
      <c r="BO1360" s="15"/>
    </row>
    <row r="1361" spans="1:67">
      <c r="A1361" s="35" t="s">
        <v>102</v>
      </c>
      <c r="B1361" s="35"/>
      <c r="C1361" s="17">
        <v>33800</v>
      </c>
      <c r="D1361" s="36">
        <v>56</v>
      </c>
      <c r="E1361" s="37">
        <v>6.6428571428571432</v>
      </c>
      <c r="F1361" s="38">
        <v>93</v>
      </c>
      <c r="G1361" s="22"/>
      <c r="H1361" s="22"/>
      <c r="I1361" s="22"/>
      <c r="J1361" s="22"/>
      <c r="K1361" s="22"/>
      <c r="L1361" s="22"/>
      <c r="M1361" s="22"/>
      <c r="N1361" s="36">
        <v>417.2</v>
      </c>
      <c r="O1361" s="36"/>
      <c r="P1361" s="22"/>
      <c r="Q1361" s="22"/>
      <c r="R1361" s="22"/>
      <c r="S1361" s="22"/>
      <c r="T1361" s="22"/>
      <c r="U1361" s="22"/>
      <c r="V1361" s="6"/>
      <c r="W1361" s="6"/>
      <c r="X1361" s="19"/>
      <c r="Y1361" s="6"/>
      <c r="Z1361" s="6"/>
      <c r="AA1361" s="6"/>
      <c r="AB1361" s="6"/>
      <c r="AC1361" s="6"/>
      <c r="AD1361" s="6"/>
      <c r="AE1361" s="6"/>
      <c r="AF1361" s="18"/>
      <c r="AG1361" s="18"/>
      <c r="AH1361" s="18"/>
      <c r="AI1361" s="36">
        <v>33.54</v>
      </c>
      <c r="AK1361" s="18"/>
      <c r="AL1361" s="18"/>
      <c r="AM1361" s="18">
        <v>7.45</v>
      </c>
      <c r="AN1361" s="18"/>
      <c r="AO1361" s="6"/>
      <c r="AP1361" s="32"/>
      <c r="AQ1361" s="32"/>
      <c r="AR1361" s="32"/>
      <c r="AS1361" s="32"/>
      <c r="AT1361" s="32"/>
      <c r="AU1361" s="32"/>
      <c r="AV1361" s="32"/>
      <c r="AW1361" s="32"/>
      <c r="AX1361" s="32"/>
      <c r="AY1361" s="32"/>
      <c r="AZ1361" s="32"/>
      <c r="BA1361" s="32"/>
      <c r="BB1361" s="32"/>
      <c r="BC1361" s="32"/>
      <c r="BD1361" s="32"/>
      <c r="BE1361" s="32"/>
      <c r="BF1361" s="32"/>
      <c r="BG1361" s="32"/>
      <c r="BH1361" s="32"/>
      <c r="BI1361" s="32"/>
      <c r="BJ1361" s="6"/>
      <c r="BK1361" s="6"/>
      <c r="BL1361" s="22" t="s">
        <v>101</v>
      </c>
      <c r="BO1361" s="15"/>
    </row>
    <row r="1362" spans="1:67">
      <c r="A1362" s="35" t="s">
        <v>102</v>
      </c>
      <c r="B1362" s="35"/>
      <c r="C1362" s="17">
        <v>34530.5</v>
      </c>
      <c r="D1362" s="36">
        <v>58</v>
      </c>
      <c r="E1362" s="37">
        <v>3.7857142857142856</v>
      </c>
      <c r="F1362" s="38">
        <v>53</v>
      </c>
      <c r="G1362" s="22"/>
      <c r="H1362" s="22"/>
      <c r="I1362" s="22"/>
      <c r="J1362" s="22"/>
      <c r="K1362" s="22"/>
      <c r="L1362" s="22"/>
      <c r="M1362" s="22"/>
      <c r="N1362" s="36"/>
      <c r="O1362" s="36"/>
      <c r="P1362" s="22"/>
      <c r="Q1362" s="22"/>
      <c r="R1362" s="22"/>
      <c r="S1362" s="22"/>
      <c r="T1362" s="22"/>
      <c r="U1362" s="22"/>
      <c r="V1362" s="6"/>
      <c r="W1362" s="6"/>
      <c r="X1362" s="19"/>
      <c r="Y1362" s="6"/>
      <c r="Z1362" s="6"/>
      <c r="AA1362" s="6"/>
      <c r="AB1362" s="6"/>
      <c r="AC1362" s="6"/>
      <c r="AD1362" s="6"/>
      <c r="AE1362" s="6"/>
      <c r="AF1362" s="18"/>
      <c r="AG1362" s="18"/>
      <c r="AH1362" s="18"/>
      <c r="AI1362" s="36">
        <v>22.16</v>
      </c>
      <c r="AK1362" s="18"/>
      <c r="AL1362" s="18"/>
      <c r="AM1362" s="18"/>
      <c r="AN1362" s="18"/>
      <c r="AO1362" s="6"/>
      <c r="AP1362" s="32"/>
      <c r="AQ1362" s="32"/>
      <c r="AR1362" s="32"/>
      <c r="AS1362" s="32"/>
      <c r="AT1362" s="32"/>
      <c r="AU1362" s="32"/>
      <c r="AV1362" s="32"/>
      <c r="AW1362" s="32"/>
      <c r="AX1362" s="32"/>
      <c r="AY1362" s="32"/>
      <c r="AZ1362" s="32"/>
      <c r="BA1362" s="32"/>
      <c r="BB1362" s="32"/>
      <c r="BC1362" s="32"/>
      <c r="BD1362" s="32"/>
      <c r="BE1362" s="32"/>
      <c r="BF1362" s="32"/>
      <c r="BG1362" s="32"/>
      <c r="BH1362" s="32"/>
      <c r="BI1362" s="32"/>
      <c r="BJ1362" s="6"/>
      <c r="BK1362" s="6"/>
      <c r="BL1362" s="22" t="s">
        <v>101</v>
      </c>
      <c r="BO1362" s="15"/>
    </row>
    <row r="1363" spans="1:67">
      <c r="A1363" s="35" t="s">
        <v>102</v>
      </c>
      <c r="B1363" s="35"/>
      <c r="C1363" s="17">
        <v>34895.75</v>
      </c>
      <c r="D1363" s="36">
        <v>59</v>
      </c>
      <c r="E1363" s="37">
        <v>3.7857142857142856</v>
      </c>
      <c r="F1363" s="38">
        <v>53</v>
      </c>
      <c r="G1363" s="22"/>
      <c r="H1363" s="22"/>
      <c r="I1363" s="22"/>
      <c r="J1363" s="22"/>
      <c r="K1363" s="22"/>
      <c r="L1363" s="22"/>
      <c r="M1363" s="22"/>
      <c r="N1363" s="36">
        <v>295.8</v>
      </c>
      <c r="O1363" s="36"/>
      <c r="P1363" s="22"/>
      <c r="Q1363" s="22"/>
      <c r="R1363" s="22"/>
      <c r="S1363" s="22"/>
      <c r="T1363" s="22"/>
      <c r="U1363" s="22"/>
      <c r="V1363" s="6"/>
      <c r="W1363" s="6"/>
      <c r="X1363" s="19"/>
      <c r="Y1363" s="6"/>
      <c r="Z1363" s="6"/>
      <c r="AA1363" s="6"/>
      <c r="AB1363" s="6"/>
      <c r="AC1363" s="6"/>
      <c r="AD1363" s="6"/>
      <c r="AE1363" s="6"/>
      <c r="AF1363" s="18"/>
      <c r="AG1363" s="18"/>
      <c r="AH1363" s="18"/>
      <c r="AI1363" s="36">
        <v>22.66</v>
      </c>
      <c r="AK1363" s="18"/>
      <c r="AL1363" s="18"/>
      <c r="AM1363" s="18">
        <v>5.0135593220338981</v>
      </c>
      <c r="AN1363" s="18"/>
      <c r="AO1363" s="6"/>
      <c r="AP1363" s="32"/>
      <c r="AQ1363" s="32"/>
      <c r="AR1363" s="32"/>
      <c r="AS1363" s="32"/>
      <c r="AT1363" s="32"/>
      <c r="AU1363" s="32"/>
      <c r="AV1363" s="32"/>
      <c r="AW1363" s="32"/>
      <c r="AX1363" s="32"/>
      <c r="AY1363" s="32"/>
      <c r="AZ1363" s="32"/>
      <c r="BA1363" s="32"/>
      <c r="BB1363" s="32"/>
      <c r="BC1363" s="32"/>
      <c r="BD1363" s="32"/>
      <c r="BE1363" s="32"/>
      <c r="BF1363" s="32"/>
      <c r="BG1363" s="32"/>
      <c r="BH1363" s="32"/>
      <c r="BI1363" s="32"/>
      <c r="BJ1363" s="6"/>
      <c r="BK1363" s="6"/>
      <c r="BL1363" s="22" t="s">
        <v>101</v>
      </c>
      <c r="BO1363" s="15"/>
    </row>
    <row r="1364" spans="1:67">
      <c r="A1364" s="16" t="s">
        <v>129</v>
      </c>
      <c r="B1364" s="16"/>
      <c r="C1364" s="17">
        <v>30934</v>
      </c>
      <c r="D1364" s="18">
        <v>11.233641676673724</v>
      </c>
      <c r="E1364" s="6"/>
      <c r="F1364" s="6"/>
      <c r="G1364" s="22"/>
      <c r="H1364" s="22"/>
      <c r="I1364" s="22"/>
      <c r="J1364" s="22"/>
      <c r="K1364" s="22"/>
      <c r="L1364" s="22"/>
      <c r="M1364" s="22"/>
      <c r="N1364" s="18"/>
      <c r="O1364" s="18"/>
      <c r="P1364" s="22"/>
      <c r="Q1364" s="22"/>
      <c r="R1364" s="22"/>
      <c r="S1364" s="22"/>
      <c r="T1364" s="22"/>
      <c r="U1364" s="22"/>
      <c r="V1364" s="6"/>
      <c r="W1364" s="6"/>
      <c r="X1364" s="19"/>
      <c r="Y1364" s="6"/>
      <c r="Z1364" s="6"/>
      <c r="AA1364" s="6"/>
      <c r="AB1364" s="6">
        <v>271.81122449999998</v>
      </c>
      <c r="AC1364" s="6"/>
      <c r="AD1364" s="6"/>
      <c r="AE1364" s="6"/>
      <c r="AF1364" s="18"/>
      <c r="AG1364" s="18"/>
      <c r="AH1364" s="18"/>
      <c r="AI1364" s="18"/>
      <c r="AK1364" s="18"/>
      <c r="AL1364" s="18"/>
      <c r="AM1364" s="18"/>
      <c r="AN1364" s="18"/>
      <c r="AO1364" s="6"/>
      <c r="AP1364" s="32"/>
      <c r="AQ1364" s="32"/>
      <c r="AR1364" s="32"/>
      <c r="AS1364" s="32"/>
      <c r="AT1364" s="32"/>
      <c r="AU1364" s="32"/>
      <c r="AV1364" s="32"/>
      <c r="AW1364" s="32"/>
      <c r="AX1364" s="32"/>
      <c r="AY1364" s="32"/>
      <c r="AZ1364" s="32"/>
      <c r="BA1364" s="32"/>
      <c r="BB1364" s="32"/>
      <c r="BC1364" s="32"/>
      <c r="BD1364" s="32"/>
      <c r="BE1364" s="32"/>
      <c r="BF1364" s="32"/>
      <c r="BG1364" s="32"/>
      <c r="BH1364" s="32"/>
      <c r="BI1364" s="32"/>
      <c r="BJ1364" s="6"/>
      <c r="BK1364" s="6"/>
      <c r="BL1364" s="6"/>
      <c r="BO1364" s="15"/>
    </row>
    <row r="1365" spans="1:67">
      <c r="A1365" s="16" t="s">
        <v>129</v>
      </c>
      <c r="B1365" s="16"/>
      <c r="C1365" s="17">
        <v>30955</v>
      </c>
      <c r="D1365" s="18">
        <v>11.29113777104617</v>
      </c>
      <c r="E1365" s="6"/>
      <c r="F1365" s="6"/>
      <c r="G1365" s="22"/>
      <c r="H1365" s="22"/>
      <c r="I1365" s="22"/>
      <c r="J1365" s="22"/>
      <c r="K1365" s="22"/>
      <c r="L1365" s="22"/>
      <c r="M1365" s="22"/>
      <c r="N1365" s="18"/>
      <c r="O1365" s="18"/>
      <c r="P1365" s="22"/>
      <c r="Q1365" s="22"/>
      <c r="R1365" s="22"/>
      <c r="S1365" s="22"/>
      <c r="T1365" s="22"/>
      <c r="U1365" s="22"/>
      <c r="V1365" s="6"/>
      <c r="W1365" s="6"/>
      <c r="X1365" s="19"/>
      <c r="Y1365" s="6"/>
      <c r="Z1365" s="6"/>
      <c r="AA1365" s="6"/>
      <c r="AB1365" s="6">
        <v>326.91326529999998</v>
      </c>
      <c r="AC1365" s="6"/>
      <c r="AD1365" s="6"/>
      <c r="AE1365" s="6"/>
      <c r="AF1365" s="18"/>
      <c r="AG1365" s="18"/>
      <c r="AH1365" s="18"/>
      <c r="AI1365" s="18"/>
      <c r="AK1365" s="18"/>
      <c r="AL1365" s="18"/>
      <c r="AM1365" s="18"/>
      <c r="AN1365" s="18"/>
      <c r="AO1365" s="6"/>
      <c r="AP1365" s="32"/>
      <c r="AQ1365" s="32"/>
      <c r="AR1365" s="32"/>
      <c r="AS1365" s="32"/>
      <c r="AT1365" s="32"/>
      <c r="AU1365" s="32"/>
      <c r="AV1365" s="32"/>
      <c r="AW1365" s="32"/>
      <c r="AX1365" s="32"/>
      <c r="AY1365" s="32"/>
      <c r="AZ1365" s="32"/>
      <c r="BA1365" s="32"/>
      <c r="BB1365" s="32"/>
      <c r="BC1365" s="32"/>
      <c r="BD1365" s="32"/>
      <c r="BE1365" s="32"/>
      <c r="BF1365" s="32"/>
      <c r="BG1365" s="32"/>
      <c r="BH1365" s="32"/>
      <c r="BI1365" s="32"/>
      <c r="BJ1365" s="6"/>
      <c r="BK1365" s="6"/>
      <c r="BL1365" s="6"/>
      <c r="BO1365" s="15"/>
    </row>
    <row r="1366" spans="1:67">
      <c r="A1366" s="16" t="s">
        <v>129</v>
      </c>
      <c r="B1366" s="16"/>
      <c r="C1366" s="17">
        <v>30968</v>
      </c>
      <c r="D1366" s="18">
        <v>11.326730591371971</v>
      </c>
      <c r="E1366" s="6"/>
      <c r="F1366" s="6"/>
      <c r="G1366" s="22"/>
      <c r="H1366" s="22"/>
      <c r="I1366" s="22"/>
      <c r="J1366" s="22"/>
      <c r="K1366" s="22"/>
      <c r="L1366" s="22"/>
      <c r="M1366" s="22"/>
      <c r="N1366" s="18"/>
      <c r="O1366" s="18"/>
      <c r="P1366" s="22"/>
      <c r="Q1366" s="22"/>
      <c r="R1366" s="22"/>
      <c r="S1366" s="22"/>
      <c r="T1366" s="22"/>
      <c r="U1366" s="22"/>
      <c r="V1366" s="6"/>
      <c r="W1366" s="6"/>
      <c r="X1366" s="19"/>
      <c r="Y1366" s="6"/>
      <c r="Z1366" s="6"/>
      <c r="AA1366" s="6"/>
      <c r="AB1366" s="6">
        <v>348.72448980000001</v>
      </c>
      <c r="AC1366" s="6"/>
      <c r="AD1366" s="6"/>
      <c r="AE1366" s="6"/>
      <c r="AF1366" s="18"/>
      <c r="AG1366" s="18"/>
      <c r="AH1366" s="18"/>
      <c r="AI1366" s="18"/>
      <c r="AK1366" s="18"/>
      <c r="AL1366" s="18"/>
      <c r="AM1366" s="18"/>
      <c r="AN1366" s="18"/>
      <c r="AO1366" s="6"/>
      <c r="AP1366" s="32"/>
      <c r="AQ1366" s="32"/>
      <c r="AR1366" s="32"/>
      <c r="AS1366" s="32"/>
      <c r="AT1366" s="32"/>
      <c r="AU1366" s="32"/>
      <c r="AV1366" s="32"/>
      <c r="AW1366" s="32"/>
      <c r="AX1366" s="32"/>
      <c r="AY1366" s="32"/>
      <c r="AZ1366" s="32"/>
      <c r="BA1366" s="32"/>
      <c r="BB1366" s="32"/>
      <c r="BC1366" s="32"/>
      <c r="BD1366" s="32"/>
      <c r="BE1366" s="32"/>
      <c r="BF1366" s="32"/>
      <c r="BG1366" s="32"/>
      <c r="BH1366" s="32"/>
      <c r="BI1366" s="32"/>
      <c r="BJ1366" s="6"/>
      <c r="BK1366" s="6"/>
      <c r="BL1366" s="6"/>
      <c r="BO1366" s="15"/>
    </row>
    <row r="1367" spans="1:67">
      <c r="A1367" s="16" t="s">
        <v>129</v>
      </c>
      <c r="B1367" s="16"/>
      <c r="C1367" s="17">
        <v>30971</v>
      </c>
      <c r="D1367" s="18">
        <v>11.334944319139463</v>
      </c>
      <c r="E1367" s="6"/>
      <c r="F1367" s="6"/>
      <c r="G1367" s="22"/>
      <c r="H1367" s="22"/>
      <c r="I1367" s="22"/>
      <c r="J1367" s="22"/>
      <c r="K1367" s="22"/>
      <c r="L1367" s="22"/>
      <c r="M1367" s="22"/>
      <c r="N1367" s="18"/>
      <c r="O1367" s="18"/>
      <c r="P1367" s="22"/>
      <c r="Q1367" s="22"/>
      <c r="R1367" s="22"/>
      <c r="S1367" s="22"/>
      <c r="T1367" s="22"/>
      <c r="U1367" s="22"/>
      <c r="V1367" s="6"/>
      <c r="W1367" s="6"/>
      <c r="X1367" s="19"/>
      <c r="Y1367" s="6"/>
      <c r="Z1367" s="6"/>
      <c r="AA1367" s="6"/>
      <c r="AB1367" s="6">
        <v>365.17857140000001</v>
      </c>
      <c r="AC1367" s="6"/>
      <c r="AD1367" s="6"/>
      <c r="AE1367" s="6"/>
      <c r="AF1367" s="18"/>
      <c r="AG1367" s="18"/>
      <c r="AH1367" s="18"/>
      <c r="AI1367" s="18"/>
      <c r="AK1367" s="18"/>
      <c r="AL1367" s="18"/>
      <c r="AM1367" s="18"/>
      <c r="AN1367" s="18"/>
      <c r="AO1367" s="6"/>
      <c r="AP1367" s="32"/>
      <c r="AQ1367" s="32"/>
      <c r="AR1367" s="32"/>
      <c r="AS1367" s="32"/>
      <c r="AT1367" s="32"/>
      <c r="AU1367" s="32"/>
      <c r="AV1367" s="32"/>
      <c r="AW1367" s="32"/>
      <c r="AX1367" s="32"/>
      <c r="AY1367" s="32"/>
      <c r="AZ1367" s="32"/>
      <c r="BA1367" s="32"/>
      <c r="BB1367" s="32"/>
      <c r="BC1367" s="32"/>
      <c r="BD1367" s="32"/>
      <c r="BE1367" s="32"/>
      <c r="BF1367" s="32"/>
      <c r="BG1367" s="32"/>
      <c r="BH1367" s="32"/>
      <c r="BI1367" s="32"/>
      <c r="BJ1367" s="6"/>
      <c r="BK1367" s="6"/>
      <c r="BL1367" s="6"/>
      <c r="BO1367" s="15"/>
    </row>
    <row r="1368" spans="1:67">
      <c r="A1368" s="16" t="s">
        <v>129</v>
      </c>
      <c r="B1368" s="16"/>
      <c r="C1368" s="17">
        <v>30991</v>
      </c>
      <c r="D1368" s="18">
        <v>11.389702504256078</v>
      </c>
      <c r="E1368" s="6"/>
      <c r="F1368" s="6"/>
      <c r="G1368" s="22"/>
      <c r="H1368" s="22"/>
      <c r="I1368" s="22"/>
      <c r="J1368" s="22"/>
      <c r="K1368" s="22"/>
      <c r="L1368" s="22"/>
      <c r="M1368" s="22"/>
      <c r="N1368" s="18"/>
      <c r="O1368" s="18"/>
      <c r="P1368" s="22"/>
      <c r="Q1368" s="22"/>
      <c r="R1368" s="22"/>
      <c r="S1368" s="22"/>
      <c r="T1368" s="22"/>
      <c r="U1368" s="22"/>
      <c r="V1368" s="6"/>
      <c r="W1368" s="6"/>
      <c r="X1368" s="19"/>
      <c r="Y1368" s="6"/>
      <c r="Z1368" s="6"/>
      <c r="AA1368" s="6"/>
      <c r="AB1368" s="6">
        <v>365.17857140000001</v>
      </c>
      <c r="AC1368" s="6"/>
      <c r="AD1368" s="6"/>
      <c r="AE1368" s="6"/>
      <c r="AF1368" s="18"/>
      <c r="AG1368" s="18"/>
      <c r="AH1368" s="18"/>
      <c r="AI1368" s="18"/>
      <c r="AK1368" s="18"/>
      <c r="AL1368" s="18"/>
      <c r="AM1368" s="18"/>
      <c r="AN1368" s="18"/>
      <c r="AO1368" s="6"/>
      <c r="AP1368" s="32"/>
      <c r="AQ1368" s="32"/>
      <c r="AR1368" s="32"/>
      <c r="AS1368" s="32"/>
      <c r="AT1368" s="32"/>
      <c r="AU1368" s="32"/>
      <c r="AV1368" s="32"/>
      <c r="AW1368" s="32"/>
      <c r="AX1368" s="32"/>
      <c r="AY1368" s="32"/>
      <c r="AZ1368" s="32"/>
      <c r="BA1368" s="32"/>
      <c r="BB1368" s="32"/>
      <c r="BC1368" s="32"/>
      <c r="BD1368" s="32"/>
      <c r="BE1368" s="32"/>
      <c r="BF1368" s="32"/>
      <c r="BG1368" s="32"/>
      <c r="BH1368" s="32"/>
      <c r="BI1368" s="32"/>
      <c r="BJ1368" s="6"/>
      <c r="BK1368" s="6"/>
      <c r="BL1368" s="6"/>
      <c r="BO1368" s="15"/>
    </row>
    <row r="1369" spans="1:67">
      <c r="A1369" s="16" t="s">
        <v>129</v>
      </c>
      <c r="B1369" s="16"/>
      <c r="C1369" s="17">
        <v>31002</v>
      </c>
      <c r="D1369" s="18">
        <v>11.419819506070217</v>
      </c>
      <c r="E1369" s="6"/>
      <c r="F1369" s="6"/>
      <c r="G1369" s="22"/>
      <c r="H1369" s="22"/>
      <c r="I1369" s="22"/>
      <c r="J1369" s="22"/>
      <c r="K1369" s="22"/>
      <c r="L1369" s="22"/>
      <c r="M1369" s="22"/>
      <c r="N1369" s="18"/>
      <c r="O1369" s="18"/>
      <c r="P1369" s="22"/>
      <c r="Q1369" s="22"/>
      <c r="R1369" s="22"/>
      <c r="S1369" s="22"/>
      <c r="T1369" s="22"/>
      <c r="U1369" s="22"/>
      <c r="V1369" s="6"/>
      <c r="W1369" s="6"/>
      <c r="X1369" s="19"/>
      <c r="Y1369" s="6"/>
      <c r="Z1369" s="6"/>
      <c r="AA1369" s="6"/>
      <c r="AB1369" s="6">
        <v>367.09183669999999</v>
      </c>
      <c r="AC1369" s="6"/>
      <c r="AD1369" s="6"/>
      <c r="AE1369" s="6"/>
      <c r="AF1369" s="18"/>
      <c r="AG1369" s="18"/>
      <c r="AH1369" s="18"/>
      <c r="AI1369" s="18"/>
      <c r="AK1369" s="18"/>
      <c r="AL1369" s="18"/>
      <c r="AM1369" s="18"/>
      <c r="AN1369" s="18"/>
      <c r="AO1369" s="6"/>
      <c r="AP1369" s="32"/>
      <c r="AQ1369" s="32"/>
      <c r="AR1369" s="32"/>
      <c r="AS1369" s="32"/>
      <c r="AT1369" s="32"/>
      <c r="AU1369" s="32"/>
      <c r="AV1369" s="32"/>
      <c r="AW1369" s="32"/>
      <c r="AX1369" s="32"/>
      <c r="AY1369" s="32"/>
      <c r="AZ1369" s="32"/>
      <c r="BA1369" s="32"/>
      <c r="BB1369" s="32"/>
      <c r="BC1369" s="32"/>
      <c r="BD1369" s="32"/>
      <c r="BE1369" s="32"/>
      <c r="BF1369" s="32"/>
      <c r="BG1369" s="32"/>
      <c r="BH1369" s="32"/>
      <c r="BI1369" s="32"/>
      <c r="BJ1369" s="6"/>
      <c r="BK1369" s="6"/>
      <c r="BL1369" s="6"/>
      <c r="BO1369" s="15"/>
    </row>
    <row r="1370" spans="1:67">
      <c r="A1370" s="16" t="s">
        <v>129</v>
      </c>
      <c r="B1370" s="16"/>
      <c r="C1370" s="17">
        <v>31017</v>
      </c>
      <c r="D1370" s="18">
        <v>11.460888144907679</v>
      </c>
      <c r="E1370" s="6"/>
      <c r="F1370" s="6"/>
      <c r="G1370" s="22"/>
      <c r="H1370" s="22"/>
      <c r="I1370" s="22"/>
      <c r="J1370" s="22"/>
      <c r="K1370" s="22"/>
      <c r="L1370" s="22"/>
      <c r="M1370" s="22"/>
      <c r="N1370" s="18"/>
      <c r="O1370" s="18"/>
      <c r="P1370" s="22"/>
      <c r="Q1370" s="22"/>
      <c r="R1370" s="22"/>
      <c r="S1370" s="22"/>
      <c r="T1370" s="22"/>
      <c r="U1370" s="22"/>
      <c r="V1370" s="6"/>
      <c r="W1370" s="6"/>
      <c r="X1370" s="19"/>
      <c r="Y1370" s="6"/>
      <c r="Z1370" s="6"/>
      <c r="AA1370" s="6"/>
      <c r="AB1370" s="6">
        <v>333.4183673</v>
      </c>
      <c r="AC1370" s="6"/>
      <c r="AD1370" s="6"/>
      <c r="AE1370" s="6"/>
      <c r="AF1370" s="18"/>
      <c r="AG1370" s="18"/>
      <c r="AH1370" s="18"/>
      <c r="AI1370" s="18"/>
      <c r="AK1370" s="18"/>
      <c r="AL1370" s="18"/>
      <c r="AM1370" s="18"/>
      <c r="AN1370" s="18"/>
      <c r="AO1370" s="6"/>
      <c r="AP1370" s="32"/>
      <c r="AQ1370" s="32"/>
      <c r="AR1370" s="32"/>
      <c r="AS1370" s="32"/>
      <c r="AT1370" s="32"/>
      <c r="AU1370" s="32"/>
      <c r="AV1370" s="32"/>
      <c r="AW1370" s="32"/>
      <c r="AX1370" s="32"/>
      <c r="AY1370" s="32"/>
      <c r="AZ1370" s="32"/>
      <c r="BA1370" s="32"/>
      <c r="BB1370" s="32"/>
      <c r="BC1370" s="32"/>
      <c r="BD1370" s="32"/>
      <c r="BE1370" s="32"/>
      <c r="BF1370" s="32"/>
      <c r="BG1370" s="32"/>
      <c r="BH1370" s="32"/>
      <c r="BI1370" s="32"/>
      <c r="BJ1370" s="6"/>
      <c r="BK1370" s="6"/>
      <c r="BL1370" s="6"/>
      <c r="BO1370" s="15"/>
    </row>
    <row r="1371" spans="1:67">
      <c r="A1371" s="16" t="s">
        <v>129</v>
      </c>
      <c r="B1371" s="16"/>
      <c r="C1371" s="17">
        <v>31031</v>
      </c>
      <c r="D1371" s="18">
        <v>11.49921887448931</v>
      </c>
      <c r="E1371" s="6"/>
      <c r="F1371" s="6"/>
      <c r="G1371" s="22"/>
      <c r="H1371" s="22"/>
      <c r="I1371" s="22"/>
      <c r="J1371" s="22"/>
      <c r="K1371" s="22"/>
      <c r="L1371" s="22"/>
      <c r="M1371" s="22"/>
      <c r="N1371" s="18"/>
      <c r="O1371" s="18"/>
      <c r="P1371" s="22"/>
      <c r="Q1371" s="22"/>
      <c r="R1371" s="22"/>
      <c r="S1371" s="22"/>
      <c r="T1371" s="22"/>
      <c r="U1371" s="22"/>
      <c r="V1371" s="6"/>
      <c r="W1371" s="6"/>
      <c r="X1371" s="19"/>
      <c r="Y1371" s="6"/>
      <c r="Z1371" s="6"/>
      <c r="AA1371" s="6"/>
      <c r="AB1371" s="6">
        <v>297.8316327</v>
      </c>
      <c r="AC1371" s="6"/>
      <c r="AD1371" s="6"/>
      <c r="AE1371" s="6"/>
      <c r="AF1371" s="18"/>
      <c r="AG1371" s="18"/>
      <c r="AH1371" s="18"/>
      <c r="AI1371" s="18"/>
      <c r="AK1371" s="18"/>
      <c r="AL1371" s="18"/>
      <c r="AM1371" s="18"/>
      <c r="AN1371" s="18"/>
      <c r="AO1371" s="6"/>
      <c r="AP1371" s="32"/>
      <c r="AQ1371" s="32"/>
      <c r="AR1371" s="32"/>
      <c r="AS1371" s="32"/>
      <c r="AT1371" s="32"/>
      <c r="AU1371" s="32"/>
      <c r="AV1371" s="32"/>
      <c r="AW1371" s="32"/>
      <c r="AX1371" s="32"/>
      <c r="AY1371" s="32"/>
      <c r="AZ1371" s="32"/>
      <c r="BA1371" s="32"/>
      <c r="BB1371" s="32"/>
      <c r="BC1371" s="32"/>
      <c r="BD1371" s="32"/>
      <c r="BE1371" s="32"/>
      <c r="BF1371" s="32"/>
      <c r="BG1371" s="32"/>
      <c r="BH1371" s="32"/>
      <c r="BI1371" s="32"/>
      <c r="BJ1371" s="6"/>
      <c r="BK1371" s="6"/>
      <c r="BL1371" s="6"/>
      <c r="BO1371" s="15"/>
    </row>
    <row r="1372" spans="1:67">
      <c r="A1372" s="16" t="s">
        <v>129</v>
      </c>
      <c r="B1372" s="16"/>
      <c r="C1372" s="17">
        <v>31041</v>
      </c>
      <c r="D1372" s="18">
        <v>11.526597967047618</v>
      </c>
      <c r="E1372" s="6"/>
      <c r="F1372" s="6"/>
      <c r="G1372" s="22"/>
      <c r="H1372" s="22"/>
      <c r="I1372" s="22"/>
      <c r="J1372" s="22"/>
      <c r="K1372" s="22"/>
      <c r="L1372" s="22"/>
      <c r="M1372" s="22"/>
      <c r="N1372" s="18"/>
      <c r="O1372" s="18"/>
      <c r="P1372" s="22"/>
      <c r="Q1372" s="22"/>
      <c r="R1372" s="22"/>
      <c r="S1372" s="22"/>
      <c r="T1372" s="22"/>
      <c r="U1372" s="22"/>
      <c r="V1372" s="6"/>
      <c r="W1372" s="6"/>
      <c r="X1372" s="19"/>
      <c r="Y1372" s="6"/>
      <c r="Z1372" s="6"/>
      <c r="AA1372" s="6"/>
      <c r="AB1372" s="6">
        <v>282.14285710000001</v>
      </c>
      <c r="AC1372" s="6"/>
      <c r="AD1372" s="6"/>
      <c r="AE1372" s="6"/>
      <c r="AF1372" s="18"/>
      <c r="AG1372" s="18"/>
      <c r="AH1372" s="18"/>
      <c r="AI1372" s="18"/>
      <c r="AK1372" s="18"/>
      <c r="AL1372" s="18"/>
      <c r="AM1372" s="18"/>
      <c r="AN1372" s="18"/>
      <c r="AO1372" s="6"/>
      <c r="AP1372" s="32"/>
      <c r="AQ1372" s="32"/>
      <c r="AR1372" s="32"/>
      <c r="AS1372" s="32"/>
      <c r="AT1372" s="32"/>
      <c r="AU1372" s="32"/>
      <c r="AV1372" s="32"/>
      <c r="AW1372" s="32"/>
      <c r="AX1372" s="32"/>
      <c r="AY1372" s="32"/>
      <c r="AZ1372" s="32"/>
      <c r="BA1372" s="32"/>
      <c r="BB1372" s="32"/>
      <c r="BC1372" s="32"/>
      <c r="BD1372" s="32"/>
      <c r="BE1372" s="32"/>
      <c r="BF1372" s="32"/>
      <c r="BG1372" s="32"/>
      <c r="BH1372" s="32"/>
      <c r="BI1372" s="32"/>
      <c r="BJ1372" s="6"/>
      <c r="BK1372" s="6"/>
      <c r="BL1372" s="6"/>
      <c r="BO1372" s="15"/>
    </row>
    <row r="1373" spans="1:67">
      <c r="A1373" s="16" t="s">
        <v>129</v>
      </c>
      <c r="B1373" s="16"/>
      <c r="C1373" s="17">
        <v>31056</v>
      </c>
      <c r="D1373" s="18">
        <v>11.56766660588508</v>
      </c>
      <c r="E1373" s="6"/>
      <c r="F1373" s="6"/>
      <c r="G1373" s="22"/>
      <c r="H1373" s="22"/>
      <c r="I1373" s="22"/>
      <c r="J1373" s="22"/>
      <c r="K1373" s="22"/>
      <c r="L1373" s="22"/>
      <c r="M1373" s="22"/>
      <c r="N1373" s="18"/>
      <c r="O1373" s="18"/>
      <c r="P1373" s="22"/>
      <c r="Q1373" s="22"/>
      <c r="R1373" s="22"/>
      <c r="S1373" s="22"/>
      <c r="T1373" s="22"/>
      <c r="U1373" s="22"/>
      <c r="V1373" s="6"/>
      <c r="W1373" s="6"/>
      <c r="X1373" s="19"/>
      <c r="Y1373" s="6"/>
      <c r="Z1373" s="6"/>
      <c r="AA1373" s="6"/>
      <c r="AB1373" s="6">
        <v>252.29591840000001</v>
      </c>
      <c r="AC1373" s="6"/>
      <c r="AD1373" s="6"/>
      <c r="AE1373" s="6"/>
      <c r="AF1373" s="18"/>
      <c r="AG1373" s="18"/>
      <c r="AH1373" s="18"/>
      <c r="AI1373" s="18"/>
      <c r="AK1373" s="18"/>
      <c r="AL1373" s="18"/>
      <c r="AM1373" s="18"/>
      <c r="AN1373" s="18"/>
      <c r="AO1373" s="6"/>
      <c r="AP1373" s="32"/>
      <c r="AQ1373" s="32"/>
      <c r="AR1373" s="32"/>
      <c r="AS1373" s="32"/>
      <c r="AT1373" s="32"/>
      <c r="AU1373" s="32"/>
      <c r="AV1373" s="32"/>
      <c r="AW1373" s="32"/>
      <c r="AX1373" s="32"/>
      <c r="AY1373" s="32"/>
      <c r="AZ1373" s="32"/>
      <c r="BA1373" s="32"/>
      <c r="BB1373" s="32"/>
      <c r="BC1373" s="32"/>
      <c r="BD1373" s="32"/>
      <c r="BE1373" s="32"/>
      <c r="BF1373" s="32"/>
      <c r="BG1373" s="32"/>
      <c r="BH1373" s="32"/>
      <c r="BI1373" s="32"/>
      <c r="BJ1373" s="6"/>
      <c r="BK1373" s="6"/>
      <c r="BL1373" s="6"/>
      <c r="BO1373" s="15"/>
    </row>
    <row r="1374" spans="1:67">
      <c r="A1374" s="16" t="s">
        <v>129</v>
      </c>
      <c r="B1374" s="16"/>
      <c r="C1374" s="17">
        <v>31067</v>
      </c>
      <c r="D1374" s="18">
        <v>11.597783607699219</v>
      </c>
      <c r="E1374" s="6"/>
      <c r="F1374" s="6"/>
      <c r="G1374" s="22"/>
      <c r="H1374" s="22"/>
      <c r="I1374" s="22"/>
      <c r="J1374" s="22"/>
      <c r="K1374" s="22"/>
      <c r="L1374" s="22"/>
      <c r="M1374" s="22"/>
      <c r="N1374" s="18"/>
      <c r="O1374" s="18"/>
      <c r="P1374" s="22"/>
      <c r="Q1374" s="22"/>
      <c r="R1374" s="22"/>
      <c r="S1374" s="22"/>
      <c r="T1374" s="22"/>
      <c r="U1374" s="22"/>
      <c r="V1374" s="6"/>
      <c r="W1374" s="6"/>
      <c r="X1374" s="19"/>
      <c r="Y1374" s="6"/>
      <c r="Z1374" s="6"/>
      <c r="AA1374" s="6"/>
      <c r="AB1374" s="6">
        <v>222.8316327</v>
      </c>
      <c r="AC1374" s="6"/>
      <c r="AD1374" s="6"/>
      <c r="AE1374" s="6"/>
      <c r="AF1374" s="18"/>
      <c r="AG1374" s="18"/>
      <c r="AH1374" s="18"/>
      <c r="AI1374" s="18"/>
      <c r="AK1374" s="18"/>
      <c r="AL1374" s="18"/>
      <c r="AM1374" s="18"/>
      <c r="AN1374" s="18"/>
      <c r="AO1374" s="6"/>
      <c r="AP1374" s="32"/>
      <c r="AQ1374" s="32"/>
      <c r="AR1374" s="32"/>
      <c r="AS1374" s="32"/>
      <c r="AT1374" s="32"/>
      <c r="AU1374" s="32"/>
      <c r="AV1374" s="32"/>
      <c r="AW1374" s="32"/>
      <c r="AX1374" s="32"/>
      <c r="AY1374" s="32"/>
      <c r="AZ1374" s="32"/>
      <c r="BA1374" s="32"/>
      <c r="BB1374" s="32"/>
      <c r="BC1374" s="32"/>
      <c r="BD1374" s="32"/>
      <c r="BE1374" s="32"/>
      <c r="BF1374" s="32"/>
      <c r="BG1374" s="32"/>
      <c r="BH1374" s="32"/>
      <c r="BI1374" s="32"/>
      <c r="BJ1374" s="6"/>
      <c r="BK1374" s="6"/>
      <c r="BL1374" s="6"/>
      <c r="BO1374" s="15"/>
    </row>
    <row r="1375" spans="1:67">
      <c r="A1375" s="16" t="s">
        <v>129</v>
      </c>
      <c r="B1375" s="16"/>
      <c r="C1375" s="17">
        <v>31078</v>
      </c>
      <c r="D1375" s="18">
        <v>11.627900609513357</v>
      </c>
      <c r="E1375" s="6"/>
      <c r="F1375" s="6"/>
      <c r="G1375" s="22"/>
      <c r="H1375" s="22"/>
      <c r="I1375" s="22"/>
      <c r="J1375" s="22"/>
      <c r="K1375" s="22"/>
      <c r="L1375" s="22"/>
      <c r="M1375" s="22"/>
      <c r="N1375" s="18"/>
      <c r="O1375" s="18"/>
      <c r="P1375" s="22"/>
      <c r="Q1375" s="22"/>
      <c r="R1375" s="22"/>
      <c r="S1375" s="22"/>
      <c r="T1375" s="22"/>
      <c r="U1375" s="22"/>
      <c r="V1375" s="6"/>
      <c r="W1375" s="6"/>
      <c r="X1375" s="19"/>
      <c r="Y1375" s="6"/>
      <c r="Z1375" s="6"/>
      <c r="AA1375" s="6"/>
      <c r="AB1375" s="6">
        <v>205.22959180000001</v>
      </c>
      <c r="AC1375" s="6"/>
      <c r="AD1375" s="6"/>
      <c r="AE1375" s="6"/>
      <c r="AF1375" s="18"/>
      <c r="AG1375" s="18"/>
      <c r="AH1375" s="18"/>
      <c r="AI1375" s="18"/>
      <c r="AK1375" s="18"/>
      <c r="AL1375" s="18"/>
      <c r="AM1375" s="18"/>
      <c r="AN1375" s="18"/>
      <c r="AO1375" s="6"/>
      <c r="AP1375" s="32"/>
      <c r="AQ1375" s="32"/>
      <c r="AR1375" s="32"/>
      <c r="AS1375" s="32"/>
      <c r="AT1375" s="32"/>
      <c r="AU1375" s="32"/>
      <c r="AV1375" s="32"/>
      <c r="AW1375" s="32"/>
      <c r="AX1375" s="32"/>
      <c r="AY1375" s="32"/>
      <c r="AZ1375" s="32"/>
      <c r="BA1375" s="32"/>
      <c r="BB1375" s="32"/>
      <c r="BC1375" s="32"/>
      <c r="BD1375" s="32"/>
      <c r="BE1375" s="32"/>
      <c r="BF1375" s="32"/>
      <c r="BG1375" s="32"/>
      <c r="BH1375" s="32"/>
      <c r="BI1375" s="32"/>
      <c r="BJ1375" s="6"/>
      <c r="BK1375" s="6"/>
      <c r="BL1375" s="6"/>
      <c r="BO1375" s="15"/>
    </row>
    <row r="1376" spans="1:67">
      <c r="A1376" s="16" t="s">
        <v>129</v>
      </c>
      <c r="B1376" s="16"/>
      <c r="C1376" s="17">
        <v>31086</v>
      </c>
      <c r="D1376" s="18">
        <v>11.649803883560004</v>
      </c>
      <c r="E1376" s="6"/>
      <c r="F1376" s="6"/>
      <c r="G1376" s="22"/>
      <c r="H1376" s="22"/>
      <c r="I1376" s="22"/>
      <c r="J1376" s="22"/>
      <c r="K1376" s="22"/>
      <c r="L1376" s="22"/>
      <c r="M1376" s="22"/>
      <c r="N1376" s="18"/>
      <c r="O1376" s="18"/>
      <c r="P1376" s="22"/>
      <c r="Q1376" s="22"/>
      <c r="R1376" s="22"/>
      <c r="S1376" s="22"/>
      <c r="T1376" s="22"/>
      <c r="U1376" s="22"/>
      <c r="V1376" s="6"/>
      <c r="W1376" s="6"/>
      <c r="X1376" s="19"/>
      <c r="Y1376" s="6"/>
      <c r="Z1376" s="6"/>
      <c r="AA1376" s="6"/>
      <c r="AB1376" s="6">
        <v>193.75</v>
      </c>
      <c r="AC1376" s="6"/>
      <c r="AD1376" s="6"/>
      <c r="AE1376" s="6"/>
      <c r="AF1376" s="18"/>
      <c r="AG1376" s="18"/>
      <c r="AH1376" s="18"/>
      <c r="AI1376" s="18"/>
      <c r="AK1376" s="18"/>
      <c r="AL1376" s="18"/>
      <c r="AM1376" s="18"/>
      <c r="AN1376" s="18"/>
      <c r="AO1376" s="6"/>
      <c r="AP1376" s="32"/>
      <c r="AQ1376" s="32"/>
      <c r="AR1376" s="32"/>
      <c r="AS1376" s="32"/>
      <c r="AT1376" s="32"/>
      <c r="AU1376" s="32"/>
      <c r="AV1376" s="32"/>
      <c r="AW1376" s="32"/>
      <c r="AX1376" s="32"/>
      <c r="AY1376" s="32"/>
      <c r="AZ1376" s="32"/>
      <c r="BA1376" s="32"/>
      <c r="BB1376" s="32"/>
      <c r="BC1376" s="32"/>
      <c r="BD1376" s="32"/>
      <c r="BE1376" s="32"/>
      <c r="BF1376" s="32"/>
      <c r="BG1376" s="32"/>
      <c r="BH1376" s="32"/>
      <c r="BI1376" s="32"/>
      <c r="BJ1376" s="6"/>
      <c r="BK1376" s="6"/>
      <c r="BL1376" s="6"/>
      <c r="BO1376" s="15"/>
    </row>
    <row r="1377" spans="1:67">
      <c r="A1377" s="16" t="s">
        <v>129</v>
      </c>
      <c r="B1377" s="16"/>
      <c r="C1377" s="17">
        <v>31109</v>
      </c>
      <c r="D1377" s="18">
        <v>11.712775796444113</v>
      </c>
      <c r="E1377" s="6"/>
      <c r="F1377" s="6"/>
      <c r="G1377" s="22"/>
      <c r="H1377" s="22"/>
      <c r="I1377" s="22"/>
      <c r="J1377" s="22"/>
      <c r="K1377" s="22"/>
      <c r="L1377" s="22"/>
      <c r="M1377" s="22"/>
      <c r="N1377" s="18"/>
      <c r="O1377" s="18"/>
      <c r="P1377" s="22"/>
      <c r="Q1377" s="22"/>
      <c r="R1377" s="22"/>
      <c r="S1377" s="22"/>
      <c r="T1377" s="22"/>
      <c r="U1377" s="22"/>
      <c r="V1377" s="6"/>
      <c r="W1377" s="6"/>
      <c r="X1377" s="19"/>
      <c r="Y1377" s="6"/>
      <c r="Z1377" s="6"/>
      <c r="AA1377" s="6"/>
      <c r="AB1377" s="6">
        <v>179.20918370000001</v>
      </c>
      <c r="AC1377" s="6"/>
      <c r="AD1377" s="6"/>
      <c r="AE1377" s="6"/>
      <c r="AF1377" s="18"/>
      <c r="AG1377" s="18"/>
      <c r="AH1377" s="18"/>
      <c r="AI1377" s="18"/>
      <c r="AK1377" s="18"/>
      <c r="AL1377" s="18"/>
      <c r="AM1377" s="18"/>
      <c r="AN1377" s="18"/>
      <c r="AO1377" s="6"/>
      <c r="AP1377" s="32"/>
      <c r="AQ1377" s="32"/>
      <c r="AR1377" s="32"/>
      <c r="AS1377" s="32"/>
      <c r="AT1377" s="32"/>
      <c r="AU1377" s="32"/>
      <c r="AV1377" s="32"/>
      <c r="AW1377" s="32"/>
      <c r="AX1377" s="32"/>
      <c r="AY1377" s="32"/>
      <c r="AZ1377" s="32"/>
      <c r="BA1377" s="32"/>
      <c r="BB1377" s="32"/>
      <c r="BC1377" s="32"/>
      <c r="BD1377" s="32"/>
      <c r="BE1377" s="32"/>
      <c r="BF1377" s="32"/>
      <c r="BG1377" s="32"/>
      <c r="BH1377" s="32"/>
      <c r="BI1377" s="32"/>
      <c r="BJ1377" s="6"/>
      <c r="BK1377" s="6"/>
      <c r="BL1377" s="6"/>
      <c r="BO1377" s="15"/>
    </row>
    <row r="1378" spans="1:67">
      <c r="A1378" s="16" t="s">
        <v>129</v>
      </c>
      <c r="B1378" s="16"/>
      <c r="C1378" s="17">
        <v>31122</v>
      </c>
      <c r="D1378" s="18">
        <v>11.748368616769913</v>
      </c>
      <c r="E1378" s="6"/>
      <c r="F1378" s="6"/>
      <c r="G1378" s="22"/>
      <c r="H1378" s="22"/>
      <c r="I1378" s="22"/>
      <c r="J1378" s="22"/>
      <c r="K1378" s="22"/>
      <c r="L1378" s="22"/>
      <c r="M1378" s="22"/>
      <c r="N1378" s="18"/>
      <c r="O1378" s="18"/>
      <c r="P1378" s="22"/>
      <c r="Q1378" s="22"/>
      <c r="R1378" s="22"/>
      <c r="S1378" s="22"/>
      <c r="T1378" s="22"/>
      <c r="U1378" s="22"/>
      <c r="V1378" s="6"/>
      <c r="W1378" s="6"/>
      <c r="X1378" s="19"/>
      <c r="Y1378" s="6"/>
      <c r="Z1378" s="6"/>
      <c r="AA1378" s="6"/>
      <c r="AB1378" s="6">
        <v>174.6173469</v>
      </c>
      <c r="AC1378" s="6"/>
      <c r="AD1378" s="6"/>
      <c r="AE1378" s="6"/>
      <c r="AF1378" s="18"/>
      <c r="AG1378" s="18"/>
      <c r="AH1378" s="18"/>
      <c r="AI1378" s="18"/>
      <c r="AK1378" s="18"/>
      <c r="AL1378" s="18"/>
      <c r="AM1378" s="18"/>
      <c r="AN1378" s="18"/>
      <c r="AO1378" s="6"/>
      <c r="AP1378" s="32"/>
      <c r="AQ1378" s="32"/>
      <c r="AR1378" s="32"/>
      <c r="AS1378" s="32"/>
      <c r="AT1378" s="32"/>
      <c r="AU1378" s="32"/>
      <c r="AV1378" s="32"/>
      <c r="AW1378" s="32"/>
      <c r="AX1378" s="32"/>
      <c r="AY1378" s="32"/>
      <c r="AZ1378" s="32"/>
      <c r="BA1378" s="32"/>
      <c r="BB1378" s="32"/>
      <c r="BC1378" s="32"/>
      <c r="BD1378" s="32"/>
      <c r="BE1378" s="32"/>
      <c r="BF1378" s="32"/>
      <c r="BG1378" s="32"/>
      <c r="BH1378" s="32"/>
      <c r="BI1378" s="32"/>
      <c r="BJ1378" s="6"/>
      <c r="BK1378" s="6"/>
      <c r="BL1378" s="6"/>
      <c r="BO1378" s="15"/>
    </row>
    <row r="1379" spans="1:67">
      <c r="A1379" s="16" t="s">
        <v>129</v>
      </c>
      <c r="B1379" s="16"/>
      <c r="C1379" s="17">
        <v>31131</v>
      </c>
      <c r="D1379" s="18">
        <v>11.773009800072389</v>
      </c>
      <c r="E1379" s="6"/>
      <c r="F1379" s="6"/>
      <c r="G1379" s="22"/>
      <c r="H1379" s="22"/>
      <c r="I1379" s="22"/>
      <c r="J1379" s="22"/>
      <c r="K1379" s="22"/>
      <c r="L1379" s="22"/>
      <c r="M1379" s="22"/>
      <c r="N1379" s="18"/>
      <c r="O1379" s="18"/>
      <c r="P1379" s="22"/>
      <c r="Q1379" s="22"/>
      <c r="R1379" s="22"/>
      <c r="S1379" s="22"/>
      <c r="T1379" s="22"/>
      <c r="U1379" s="22"/>
      <c r="V1379" s="6"/>
      <c r="W1379" s="6"/>
      <c r="X1379" s="19"/>
      <c r="Y1379" s="6"/>
      <c r="Z1379" s="6"/>
      <c r="AA1379" s="6"/>
      <c r="AB1379" s="6">
        <v>168.11224490000001</v>
      </c>
      <c r="AC1379" s="6"/>
      <c r="AD1379" s="6"/>
      <c r="AE1379" s="6"/>
      <c r="AF1379" s="18"/>
      <c r="AG1379" s="18"/>
      <c r="AH1379" s="18"/>
      <c r="AI1379" s="18"/>
      <c r="AK1379" s="18"/>
      <c r="AL1379" s="18"/>
      <c r="AM1379" s="18"/>
      <c r="AN1379" s="18"/>
      <c r="AO1379" s="6"/>
      <c r="AP1379" s="32"/>
      <c r="AQ1379" s="32"/>
      <c r="AR1379" s="32"/>
      <c r="AS1379" s="32"/>
      <c r="AT1379" s="32"/>
      <c r="AU1379" s="32"/>
      <c r="AV1379" s="32"/>
      <c r="AW1379" s="32"/>
      <c r="AX1379" s="32"/>
      <c r="AY1379" s="32"/>
      <c r="AZ1379" s="32"/>
      <c r="BA1379" s="32"/>
      <c r="BB1379" s="32"/>
      <c r="BC1379" s="32"/>
      <c r="BD1379" s="32"/>
      <c r="BE1379" s="32"/>
      <c r="BF1379" s="32"/>
      <c r="BG1379" s="32"/>
      <c r="BH1379" s="32"/>
      <c r="BI1379" s="32"/>
      <c r="BJ1379" s="6"/>
      <c r="BK1379" s="6"/>
      <c r="BL1379" s="6"/>
      <c r="BO1379" s="15"/>
    </row>
    <row r="1380" spans="1:67">
      <c r="A1380" s="16" t="s">
        <v>129</v>
      </c>
      <c r="B1380" s="16"/>
      <c r="C1380" s="17">
        <v>31162</v>
      </c>
      <c r="D1380" s="18">
        <v>11.857884987003144</v>
      </c>
      <c r="E1380" s="6"/>
      <c r="F1380" s="6"/>
      <c r="G1380" s="22"/>
      <c r="H1380" s="22"/>
      <c r="I1380" s="22"/>
      <c r="J1380" s="22"/>
      <c r="K1380" s="22"/>
      <c r="L1380" s="22"/>
      <c r="M1380" s="22"/>
      <c r="N1380" s="18"/>
      <c r="O1380" s="18"/>
      <c r="P1380" s="22"/>
      <c r="Q1380" s="22"/>
      <c r="R1380" s="22"/>
      <c r="S1380" s="22"/>
      <c r="T1380" s="22"/>
      <c r="U1380" s="22"/>
      <c r="V1380" s="6"/>
      <c r="W1380" s="6"/>
      <c r="X1380" s="19"/>
      <c r="Y1380" s="6"/>
      <c r="Z1380" s="6"/>
      <c r="AA1380" s="6"/>
      <c r="AB1380" s="6">
        <v>160.45918370000001</v>
      </c>
      <c r="AC1380" s="6"/>
      <c r="AD1380" s="6"/>
      <c r="AE1380" s="6"/>
      <c r="AF1380" s="18"/>
      <c r="AG1380" s="18"/>
      <c r="AH1380" s="18"/>
      <c r="AI1380" s="18"/>
      <c r="AK1380" s="18"/>
      <c r="AL1380" s="18"/>
      <c r="AM1380" s="18"/>
      <c r="AN1380" s="18"/>
      <c r="AO1380" s="6"/>
      <c r="AP1380" s="32"/>
      <c r="AQ1380" s="32"/>
      <c r="AR1380" s="32"/>
      <c r="AS1380" s="32"/>
      <c r="AT1380" s="32"/>
      <c r="AU1380" s="32"/>
      <c r="AV1380" s="32"/>
      <c r="AW1380" s="32"/>
      <c r="AX1380" s="32"/>
      <c r="AY1380" s="32"/>
      <c r="AZ1380" s="32"/>
      <c r="BA1380" s="32"/>
      <c r="BB1380" s="32"/>
      <c r="BC1380" s="32"/>
      <c r="BD1380" s="32"/>
      <c r="BE1380" s="32"/>
      <c r="BF1380" s="32"/>
      <c r="BG1380" s="32"/>
      <c r="BH1380" s="32"/>
      <c r="BI1380" s="32"/>
      <c r="BJ1380" s="6"/>
      <c r="BK1380" s="6"/>
      <c r="BL1380" s="6"/>
      <c r="BO1380" s="15"/>
    </row>
    <row r="1381" spans="1:67">
      <c r="A1381" s="16" t="s">
        <v>129</v>
      </c>
      <c r="B1381" s="16"/>
      <c r="C1381" s="17">
        <v>31169</v>
      </c>
      <c r="D1381" s="18">
        <v>11.87705035179396</v>
      </c>
      <c r="E1381" s="6"/>
      <c r="F1381" s="6"/>
      <c r="G1381" s="22"/>
      <c r="H1381" s="22"/>
      <c r="I1381" s="22"/>
      <c r="J1381" s="22"/>
      <c r="K1381" s="22"/>
      <c r="L1381" s="22"/>
      <c r="M1381" s="22"/>
      <c r="N1381" s="18"/>
      <c r="O1381" s="18"/>
      <c r="P1381" s="22"/>
      <c r="Q1381" s="22"/>
      <c r="R1381" s="22"/>
      <c r="S1381" s="22"/>
      <c r="T1381" s="22"/>
      <c r="U1381" s="22"/>
      <c r="V1381" s="6"/>
      <c r="W1381" s="6"/>
      <c r="X1381" s="19"/>
      <c r="Y1381" s="6"/>
      <c r="Z1381" s="6"/>
      <c r="AA1381" s="6"/>
      <c r="AB1381" s="6">
        <v>283.29081630000002</v>
      </c>
      <c r="AC1381" s="6"/>
      <c r="AD1381" s="6"/>
      <c r="AE1381" s="6"/>
      <c r="AF1381" s="18"/>
      <c r="AG1381" s="18"/>
      <c r="AH1381" s="18"/>
      <c r="AI1381" s="18"/>
      <c r="AK1381" s="18"/>
      <c r="AL1381" s="18"/>
      <c r="AM1381" s="18"/>
      <c r="AN1381" s="18"/>
      <c r="AO1381" s="6"/>
      <c r="AP1381" s="32"/>
      <c r="AQ1381" s="32"/>
      <c r="AR1381" s="32"/>
      <c r="AS1381" s="32"/>
      <c r="AT1381" s="32"/>
      <c r="AU1381" s="32"/>
      <c r="AV1381" s="32"/>
      <c r="AW1381" s="32"/>
      <c r="AX1381" s="32"/>
      <c r="AY1381" s="32"/>
      <c r="AZ1381" s="32"/>
      <c r="BA1381" s="32"/>
      <c r="BB1381" s="32"/>
      <c r="BC1381" s="32"/>
      <c r="BD1381" s="32"/>
      <c r="BE1381" s="32"/>
      <c r="BF1381" s="32"/>
      <c r="BG1381" s="32"/>
      <c r="BH1381" s="32"/>
      <c r="BI1381" s="32"/>
      <c r="BJ1381" s="6"/>
      <c r="BK1381" s="6"/>
      <c r="BL1381" s="6"/>
      <c r="BO1381" s="15"/>
    </row>
    <row r="1382" spans="1:67">
      <c r="A1382" s="16" t="s">
        <v>129</v>
      </c>
      <c r="B1382" s="16"/>
      <c r="C1382" s="17">
        <v>31183</v>
      </c>
      <c r="D1382" s="18">
        <v>11.915381081375591</v>
      </c>
      <c r="E1382" s="6"/>
      <c r="F1382" s="6"/>
      <c r="G1382" s="22"/>
      <c r="H1382" s="22"/>
      <c r="I1382" s="22"/>
      <c r="J1382" s="22"/>
      <c r="K1382" s="22"/>
      <c r="L1382" s="22"/>
      <c r="M1382" s="22"/>
      <c r="N1382" s="18"/>
      <c r="O1382" s="18"/>
      <c r="P1382" s="22"/>
      <c r="Q1382" s="22"/>
      <c r="R1382" s="22"/>
      <c r="S1382" s="22"/>
      <c r="T1382" s="22"/>
      <c r="U1382" s="22"/>
      <c r="V1382" s="6"/>
      <c r="W1382" s="6"/>
      <c r="X1382" s="19"/>
      <c r="Y1382" s="6"/>
      <c r="Z1382" s="6"/>
      <c r="AA1382" s="6"/>
      <c r="AB1382" s="6">
        <v>251.91326530000001</v>
      </c>
      <c r="AC1382" s="6"/>
      <c r="AD1382" s="6"/>
      <c r="AE1382" s="6"/>
      <c r="AF1382" s="18"/>
      <c r="AG1382" s="18"/>
      <c r="AH1382" s="18"/>
      <c r="AI1382" s="18"/>
      <c r="AK1382" s="18"/>
      <c r="AL1382" s="18"/>
      <c r="AM1382" s="18"/>
      <c r="AN1382" s="18"/>
      <c r="AO1382" s="6"/>
      <c r="AP1382" s="32"/>
      <c r="AQ1382" s="32"/>
      <c r="AR1382" s="32"/>
      <c r="AS1382" s="32"/>
      <c r="AT1382" s="32"/>
      <c r="AU1382" s="32"/>
      <c r="AV1382" s="32"/>
      <c r="AW1382" s="32"/>
      <c r="AX1382" s="32"/>
      <c r="AY1382" s="32"/>
      <c r="AZ1382" s="32"/>
      <c r="BA1382" s="32"/>
      <c r="BB1382" s="32"/>
      <c r="BC1382" s="32"/>
      <c r="BD1382" s="32"/>
      <c r="BE1382" s="32"/>
      <c r="BF1382" s="32"/>
      <c r="BG1382" s="32"/>
      <c r="BH1382" s="32"/>
      <c r="BI1382" s="32"/>
      <c r="BJ1382" s="6"/>
      <c r="BK1382" s="6"/>
      <c r="BL1382" s="6"/>
      <c r="BO1382" s="15"/>
    </row>
    <row r="1383" spans="1:67">
      <c r="A1383" s="16" t="s">
        <v>129</v>
      </c>
      <c r="B1383" s="16"/>
      <c r="C1383" s="17">
        <v>31202</v>
      </c>
      <c r="D1383" s="18">
        <v>11.967401357236376</v>
      </c>
      <c r="E1383" s="6"/>
      <c r="F1383" s="6"/>
      <c r="G1383" s="22"/>
      <c r="H1383" s="22"/>
      <c r="I1383" s="22"/>
      <c r="J1383" s="22"/>
      <c r="K1383" s="22"/>
      <c r="L1383" s="22"/>
      <c r="M1383" s="22"/>
      <c r="N1383" s="18"/>
      <c r="O1383" s="18"/>
      <c r="P1383" s="22"/>
      <c r="Q1383" s="22"/>
      <c r="R1383" s="22"/>
      <c r="S1383" s="22"/>
      <c r="T1383" s="22"/>
      <c r="U1383" s="22"/>
      <c r="V1383" s="6"/>
      <c r="W1383" s="6"/>
      <c r="X1383" s="19"/>
      <c r="Y1383" s="6"/>
      <c r="Z1383" s="6"/>
      <c r="AA1383" s="6"/>
      <c r="AB1383" s="6">
        <v>233.16326530000001</v>
      </c>
      <c r="AC1383" s="6"/>
      <c r="AD1383" s="6"/>
      <c r="AE1383" s="6"/>
      <c r="AF1383" s="18"/>
      <c r="AG1383" s="18"/>
      <c r="AH1383" s="18"/>
      <c r="AI1383" s="18"/>
      <c r="AK1383" s="18"/>
      <c r="AL1383" s="18"/>
      <c r="AM1383" s="18"/>
      <c r="AN1383" s="18"/>
      <c r="AO1383" s="6"/>
      <c r="AP1383" s="32"/>
      <c r="AQ1383" s="32"/>
      <c r="AR1383" s="32"/>
      <c r="AS1383" s="32"/>
      <c r="AT1383" s="32"/>
      <c r="AU1383" s="32"/>
      <c r="AV1383" s="32"/>
      <c r="AW1383" s="32"/>
      <c r="AX1383" s="32"/>
      <c r="AY1383" s="32"/>
      <c r="AZ1383" s="32"/>
      <c r="BA1383" s="32"/>
      <c r="BB1383" s="32"/>
      <c r="BC1383" s="32"/>
      <c r="BD1383" s="32"/>
      <c r="BE1383" s="32"/>
      <c r="BF1383" s="32"/>
      <c r="BG1383" s="32"/>
      <c r="BH1383" s="32"/>
      <c r="BI1383" s="32"/>
      <c r="BJ1383" s="6"/>
      <c r="BK1383" s="6"/>
      <c r="BL1383" s="6"/>
      <c r="BO1383" s="15"/>
    </row>
    <row r="1384" spans="1:67">
      <c r="A1384" s="16" t="s">
        <v>129</v>
      </c>
      <c r="B1384" s="16"/>
      <c r="C1384" s="17">
        <v>31208</v>
      </c>
      <c r="D1384" s="18">
        <v>11.98382881277136</v>
      </c>
      <c r="E1384" s="6"/>
      <c r="F1384" s="6"/>
      <c r="G1384" s="22"/>
      <c r="H1384" s="22"/>
      <c r="I1384" s="22"/>
      <c r="J1384" s="22"/>
      <c r="K1384" s="22"/>
      <c r="L1384" s="22"/>
      <c r="M1384" s="22"/>
      <c r="N1384" s="18"/>
      <c r="O1384" s="18"/>
      <c r="P1384" s="22"/>
      <c r="Q1384" s="22"/>
      <c r="R1384" s="22"/>
      <c r="S1384" s="22"/>
      <c r="T1384" s="22"/>
      <c r="U1384" s="22"/>
      <c r="V1384" s="6"/>
      <c r="W1384" s="6"/>
      <c r="X1384" s="19"/>
      <c r="Y1384" s="6"/>
      <c r="Z1384" s="6"/>
      <c r="AA1384" s="6"/>
      <c r="AB1384" s="6">
        <v>220.5357143</v>
      </c>
      <c r="AC1384" s="6"/>
      <c r="AD1384" s="6"/>
      <c r="AE1384" s="6"/>
      <c r="AF1384" s="18"/>
      <c r="AG1384" s="18"/>
      <c r="AH1384" s="18"/>
      <c r="AI1384" s="18"/>
      <c r="AK1384" s="18"/>
      <c r="AL1384" s="18"/>
      <c r="AM1384" s="18"/>
      <c r="AN1384" s="18"/>
      <c r="AO1384" s="6"/>
      <c r="AP1384" s="32"/>
      <c r="AQ1384" s="32"/>
      <c r="AR1384" s="32"/>
      <c r="AS1384" s="32"/>
      <c r="AT1384" s="32"/>
      <c r="AU1384" s="32"/>
      <c r="AV1384" s="32"/>
      <c r="AW1384" s="32"/>
      <c r="AX1384" s="32"/>
      <c r="AY1384" s="32"/>
      <c r="AZ1384" s="32"/>
      <c r="BA1384" s="32"/>
      <c r="BB1384" s="32"/>
      <c r="BC1384" s="32"/>
      <c r="BD1384" s="32"/>
      <c r="BE1384" s="32"/>
      <c r="BF1384" s="32"/>
      <c r="BG1384" s="32"/>
      <c r="BH1384" s="32"/>
      <c r="BI1384" s="32"/>
      <c r="BJ1384" s="6"/>
      <c r="BK1384" s="6"/>
      <c r="BL1384" s="6"/>
      <c r="BO1384" s="15"/>
    </row>
    <row r="1385" spans="1:67">
      <c r="A1385" s="16" t="s">
        <v>129</v>
      </c>
      <c r="B1385" s="16"/>
      <c r="C1385" s="17">
        <v>31229</v>
      </c>
      <c r="D1385" s="18">
        <v>12.041324907143807</v>
      </c>
      <c r="E1385" s="6"/>
      <c r="F1385" s="6"/>
      <c r="G1385" s="22"/>
      <c r="H1385" s="22"/>
      <c r="I1385" s="22"/>
      <c r="J1385" s="22"/>
      <c r="K1385" s="22"/>
      <c r="L1385" s="22"/>
      <c r="M1385" s="22"/>
      <c r="N1385" s="18"/>
      <c r="O1385" s="18"/>
      <c r="P1385" s="22"/>
      <c r="Q1385" s="22"/>
      <c r="R1385" s="22"/>
      <c r="S1385" s="22"/>
      <c r="T1385" s="22"/>
      <c r="U1385" s="22"/>
      <c r="V1385" s="6"/>
      <c r="W1385" s="6"/>
      <c r="X1385" s="19"/>
      <c r="Y1385" s="6"/>
      <c r="Z1385" s="6"/>
      <c r="AA1385" s="6"/>
      <c r="AB1385" s="6">
        <v>220.5357143</v>
      </c>
      <c r="AC1385" s="6"/>
      <c r="AD1385" s="6"/>
      <c r="AE1385" s="6"/>
      <c r="AF1385" s="18"/>
      <c r="AG1385" s="18"/>
      <c r="AH1385" s="18"/>
      <c r="AI1385" s="18"/>
      <c r="AK1385" s="18"/>
      <c r="AL1385" s="18"/>
      <c r="AM1385" s="18"/>
      <c r="AN1385" s="18"/>
      <c r="AO1385" s="6"/>
      <c r="AP1385" s="32"/>
      <c r="AQ1385" s="32"/>
      <c r="AR1385" s="32"/>
      <c r="AS1385" s="32"/>
      <c r="AT1385" s="32"/>
      <c r="AU1385" s="32"/>
      <c r="AV1385" s="32"/>
      <c r="AW1385" s="32"/>
      <c r="AX1385" s="32"/>
      <c r="AY1385" s="32"/>
      <c r="AZ1385" s="32"/>
      <c r="BA1385" s="32"/>
      <c r="BB1385" s="32"/>
      <c r="BC1385" s="32"/>
      <c r="BD1385" s="32"/>
      <c r="BE1385" s="32"/>
      <c r="BF1385" s="32"/>
      <c r="BG1385" s="32"/>
      <c r="BH1385" s="32"/>
      <c r="BI1385" s="32"/>
      <c r="BJ1385" s="6"/>
      <c r="BK1385" s="6"/>
      <c r="BL1385" s="6"/>
      <c r="BO1385" s="15"/>
    </row>
    <row r="1386" spans="1:67">
      <c r="A1386" s="16" t="s">
        <v>129</v>
      </c>
      <c r="B1386" s="16"/>
      <c r="C1386" s="17">
        <v>31253</v>
      </c>
      <c r="D1386" s="18">
        <v>12.107034729283745</v>
      </c>
      <c r="E1386" s="6"/>
      <c r="F1386" s="6"/>
      <c r="G1386" s="22"/>
      <c r="H1386" s="22"/>
      <c r="I1386" s="22"/>
      <c r="J1386" s="22"/>
      <c r="K1386" s="22"/>
      <c r="L1386" s="22"/>
      <c r="M1386" s="22"/>
      <c r="N1386" s="18"/>
      <c r="O1386" s="18"/>
      <c r="P1386" s="22"/>
      <c r="Q1386" s="22"/>
      <c r="R1386" s="22"/>
      <c r="S1386" s="22"/>
      <c r="T1386" s="22"/>
      <c r="U1386" s="22"/>
      <c r="V1386" s="6"/>
      <c r="W1386" s="6"/>
      <c r="X1386" s="19"/>
      <c r="Y1386" s="6"/>
      <c r="Z1386" s="6"/>
      <c r="AA1386" s="6"/>
      <c r="AB1386" s="6">
        <v>222.0663265</v>
      </c>
      <c r="AC1386" s="6"/>
      <c r="AD1386" s="6"/>
      <c r="AE1386" s="6"/>
      <c r="AF1386" s="18"/>
      <c r="AG1386" s="18"/>
      <c r="AH1386" s="18"/>
      <c r="AI1386" s="18"/>
      <c r="AK1386" s="18"/>
      <c r="AL1386" s="18"/>
      <c r="AM1386" s="18"/>
      <c r="AN1386" s="18"/>
      <c r="AO1386" s="6"/>
      <c r="AP1386" s="32"/>
      <c r="AQ1386" s="32"/>
      <c r="AR1386" s="32"/>
      <c r="AS1386" s="32"/>
      <c r="AT1386" s="32"/>
      <c r="AU1386" s="32"/>
      <c r="AV1386" s="32"/>
      <c r="AW1386" s="32"/>
      <c r="AX1386" s="32"/>
      <c r="AY1386" s="32"/>
      <c r="AZ1386" s="32"/>
      <c r="BA1386" s="32"/>
      <c r="BB1386" s="32"/>
      <c r="BC1386" s="32"/>
      <c r="BD1386" s="32"/>
      <c r="BE1386" s="32"/>
      <c r="BF1386" s="32"/>
      <c r="BG1386" s="32"/>
      <c r="BH1386" s="32"/>
      <c r="BI1386" s="32"/>
      <c r="BJ1386" s="6"/>
      <c r="BK1386" s="6"/>
      <c r="BL1386" s="6"/>
      <c r="BO1386" s="15"/>
    </row>
    <row r="1387" spans="1:67">
      <c r="A1387" s="16" t="s">
        <v>129</v>
      </c>
      <c r="B1387" s="16"/>
      <c r="C1387" s="17">
        <v>31265</v>
      </c>
      <c r="D1387" s="18">
        <v>12.139889640353715</v>
      </c>
      <c r="E1387" s="6"/>
      <c r="F1387" s="6"/>
      <c r="G1387" s="22"/>
      <c r="H1387" s="22"/>
      <c r="I1387" s="22"/>
      <c r="J1387" s="22"/>
      <c r="K1387" s="22"/>
      <c r="L1387" s="22"/>
      <c r="M1387" s="22"/>
      <c r="N1387" s="18"/>
      <c r="O1387" s="18"/>
      <c r="P1387" s="22"/>
      <c r="Q1387" s="22"/>
      <c r="R1387" s="22"/>
      <c r="S1387" s="22"/>
      <c r="T1387" s="22"/>
      <c r="U1387" s="22"/>
      <c r="V1387" s="6"/>
      <c r="W1387" s="6"/>
      <c r="X1387" s="19"/>
      <c r="Y1387" s="6"/>
      <c r="Z1387" s="6"/>
      <c r="AA1387" s="6"/>
      <c r="AB1387" s="6">
        <v>213.2653061</v>
      </c>
      <c r="AC1387" s="6"/>
      <c r="AD1387" s="6"/>
      <c r="AE1387" s="6"/>
      <c r="AF1387" s="18"/>
      <c r="AG1387" s="18"/>
      <c r="AH1387" s="18"/>
      <c r="AI1387" s="18"/>
      <c r="AK1387" s="18"/>
      <c r="AL1387" s="18"/>
      <c r="AM1387" s="18"/>
      <c r="AN1387" s="18"/>
      <c r="AO1387" s="6"/>
      <c r="AP1387" s="32"/>
      <c r="AQ1387" s="32"/>
      <c r="AR1387" s="32"/>
      <c r="AS1387" s="32"/>
      <c r="AT1387" s="32"/>
      <c r="AU1387" s="32"/>
      <c r="AV1387" s="32"/>
      <c r="AW1387" s="32"/>
      <c r="AX1387" s="32"/>
      <c r="AY1387" s="32"/>
      <c r="AZ1387" s="32"/>
      <c r="BA1387" s="32"/>
      <c r="BB1387" s="32"/>
      <c r="BC1387" s="32"/>
      <c r="BD1387" s="32"/>
      <c r="BE1387" s="32"/>
      <c r="BF1387" s="32"/>
      <c r="BG1387" s="32"/>
      <c r="BH1387" s="32"/>
      <c r="BI1387" s="32"/>
      <c r="BJ1387" s="6"/>
      <c r="BK1387" s="6"/>
      <c r="BL1387" s="6"/>
      <c r="BO1387" s="15"/>
    </row>
    <row r="1388" spans="1:67">
      <c r="A1388" s="16" t="s">
        <v>129</v>
      </c>
      <c r="B1388" s="16"/>
      <c r="C1388" s="17">
        <v>31283</v>
      </c>
      <c r="D1388" s="18">
        <v>12.189172006958669</v>
      </c>
      <c r="E1388" s="6"/>
      <c r="F1388" s="6"/>
      <c r="G1388" s="22"/>
      <c r="H1388" s="22"/>
      <c r="I1388" s="22"/>
      <c r="J1388" s="22"/>
      <c r="K1388" s="22"/>
      <c r="L1388" s="22"/>
      <c r="M1388" s="22"/>
      <c r="N1388" s="18"/>
      <c r="O1388" s="18"/>
      <c r="P1388" s="22"/>
      <c r="Q1388" s="22"/>
      <c r="R1388" s="22"/>
      <c r="S1388" s="22"/>
      <c r="T1388" s="22"/>
      <c r="U1388" s="22"/>
      <c r="V1388" s="6"/>
      <c r="W1388" s="6"/>
      <c r="X1388" s="19"/>
      <c r="Y1388" s="6"/>
      <c r="Z1388" s="6"/>
      <c r="AA1388" s="6"/>
      <c r="AB1388" s="6">
        <v>232.78061220000001</v>
      </c>
      <c r="AC1388" s="6"/>
      <c r="AD1388" s="6"/>
      <c r="AE1388" s="6"/>
      <c r="AF1388" s="18"/>
      <c r="AG1388" s="18"/>
      <c r="AH1388" s="18"/>
      <c r="AI1388" s="18"/>
      <c r="AK1388" s="18"/>
      <c r="AL1388" s="18"/>
      <c r="AM1388" s="18"/>
      <c r="AN1388" s="18"/>
      <c r="AO1388" s="6"/>
      <c r="AP1388" s="32"/>
      <c r="AQ1388" s="32"/>
      <c r="AR1388" s="32"/>
      <c r="AS1388" s="32"/>
      <c r="AT1388" s="32"/>
      <c r="AU1388" s="32"/>
      <c r="AV1388" s="32"/>
      <c r="AW1388" s="32"/>
      <c r="AX1388" s="32"/>
      <c r="AY1388" s="32"/>
      <c r="AZ1388" s="32"/>
      <c r="BA1388" s="32"/>
      <c r="BB1388" s="32"/>
      <c r="BC1388" s="32"/>
      <c r="BD1388" s="32"/>
      <c r="BE1388" s="32"/>
      <c r="BF1388" s="32"/>
      <c r="BG1388" s="32"/>
      <c r="BH1388" s="32"/>
      <c r="BI1388" s="32"/>
      <c r="BJ1388" s="6"/>
      <c r="BK1388" s="6"/>
      <c r="BL1388" s="6"/>
      <c r="BO1388" s="15"/>
    </row>
    <row r="1389" spans="1:67">
      <c r="A1389" s="16" t="s">
        <v>129</v>
      </c>
      <c r="B1389" s="16"/>
      <c r="C1389" s="17">
        <v>31321</v>
      </c>
      <c r="D1389" s="18">
        <v>12.293212558680239</v>
      </c>
      <c r="E1389" s="6"/>
      <c r="F1389" s="6"/>
      <c r="G1389" s="22"/>
      <c r="H1389" s="22"/>
      <c r="I1389" s="22"/>
      <c r="J1389" s="22"/>
      <c r="K1389" s="22"/>
      <c r="L1389" s="22"/>
      <c r="M1389" s="22"/>
      <c r="N1389" s="18"/>
      <c r="O1389" s="18"/>
      <c r="P1389" s="22"/>
      <c r="Q1389" s="22"/>
      <c r="R1389" s="22"/>
      <c r="S1389" s="22"/>
      <c r="T1389" s="22"/>
      <c r="U1389" s="22"/>
      <c r="V1389" s="6"/>
      <c r="W1389" s="6"/>
      <c r="X1389" s="19"/>
      <c r="Y1389" s="6"/>
      <c r="Z1389" s="6"/>
      <c r="AA1389" s="6"/>
      <c r="AB1389" s="6">
        <v>300.12755099999998</v>
      </c>
      <c r="AC1389" s="6"/>
      <c r="AD1389" s="6"/>
      <c r="AE1389" s="6"/>
      <c r="AF1389" s="18"/>
      <c r="AG1389" s="18"/>
      <c r="AH1389" s="18"/>
      <c r="AI1389" s="18"/>
      <c r="AK1389" s="18"/>
      <c r="AL1389" s="18"/>
      <c r="AM1389" s="18"/>
      <c r="AN1389" s="18"/>
      <c r="AO1389" s="6"/>
      <c r="AP1389" s="32"/>
      <c r="AQ1389" s="32"/>
      <c r="AR1389" s="32"/>
      <c r="AS1389" s="32"/>
      <c r="AT1389" s="32"/>
      <c r="AU1389" s="32"/>
      <c r="AV1389" s="32"/>
      <c r="AW1389" s="32"/>
      <c r="AX1389" s="32"/>
      <c r="AY1389" s="32"/>
      <c r="AZ1389" s="32"/>
      <c r="BA1389" s="32"/>
      <c r="BB1389" s="32"/>
      <c r="BC1389" s="32"/>
      <c r="BD1389" s="32"/>
      <c r="BE1389" s="32"/>
      <c r="BF1389" s="32"/>
      <c r="BG1389" s="32"/>
      <c r="BH1389" s="32"/>
      <c r="BI1389" s="32"/>
      <c r="BJ1389" s="6"/>
      <c r="BK1389" s="6"/>
      <c r="BL1389" s="6"/>
      <c r="BO1389" s="15"/>
    </row>
    <row r="1390" spans="1:67">
      <c r="A1390" s="16" t="s">
        <v>129</v>
      </c>
      <c r="B1390" s="16"/>
      <c r="C1390" s="17">
        <v>31333</v>
      </c>
      <c r="D1390" s="18">
        <v>12.326067469750209</v>
      </c>
      <c r="E1390" s="6"/>
      <c r="F1390" s="6"/>
      <c r="G1390" s="22"/>
      <c r="H1390" s="22"/>
      <c r="I1390" s="22"/>
      <c r="J1390" s="22"/>
      <c r="K1390" s="22"/>
      <c r="L1390" s="22"/>
      <c r="M1390" s="22"/>
      <c r="N1390" s="18"/>
      <c r="O1390" s="18"/>
      <c r="P1390" s="22"/>
      <c r="Q1390" s="22"/>
      <c r="R1390" s="22"/>
      <c r="S1390" s="22"/>
      <c r="T1390" s="22"/>
      <c r="U1390" s="22"/>
      <c r="V1390" s="6"/>
      <c r="W1390" s="6"/>
      <c r="X1390" s="19"/>
      <c r="Y1390" s="6"/>
      <c r="Z1390" s="6"/>
      <c r="AA1390" s="6"/>
      <c r="AB1390" s="6">
        <v>287.5</v>
      </c>
      <c r="AC1390" s="6"/>
      <c r="AD1390" s="6"/>
      <c r="AE1390" s="6"/>
      <c r="AF1390" s="18"/>
      <c r="AG1390" s="18"/>
      <c r="AH1390" s="18"/>
      <c r="AI1390" s="18"/>
      <c r="AK1390" s="18"/>
      <c r="AL1390" s="18"/>
      <c r="AM1390" s="18"/>
      <c r="AN1390" s="18"/>
      <c r="AO1390" s="6"/>
      <c r="AP1390" s="32"/>
      <c r="AQ1390" s="32"/>
      <c r="AR1390" s="32"/>
      <c r="AS1390" s="32"/>
      <c r="AT1390" s="32"/>
      <c r="AU1390" s="32"/>
      <c r="AV1390" s="32"/>
      <c r="AW1390" s="32"/>
      <c r="AX1390" s="32"/>
      <c r="AY1390" s="32"/>
      <c r="AZ1390" s="32"/>
      <c r="BA1390" s="32"/>
      <c r="BB1390" s="32"/>
      <c r="BC1390" s="32"/>
      <c r="BD1390" s="32"/>
      <c r="BE1390" s="32"/>
      <c r="BF1390" s="32"/>
      <c r="BG1390" s="32"/>
      <c r="BH1390" s="32"/>
      <c r="BI1390" s="32"/>
      <c r="BJ1390" s="6"/>
      <c r="BK1390" s="6"/>
      <c r="BL1390" s="6"/>
      <c r="BO1390" s="15"/>
    </row>
    <row r="1391" spans="1:67">
      <c r="A1391" s="16" t="s">
        <v>129</v>
      </c>
      <c r="B1391" s="16"/>
      <c r="C1391" s="17">
        <v>31342</v>
      </c>
      <c r="D1391" s="18">
        <v>12.350708653052687</v>
      </c>
      <c r="E1391" s="6"/>
      <c r="F1391" s="6"/>
      <c r="G1391" s="22"/>
      <c r="H1391" s="22"/>
      <c r="I1391" s="22"/>
      <c r="J1391" s="22"/>
      <c r="K1391" s="22"/>
      <c r="L1391" s="22"/>
      <c r="M1391" s="22"/>
      <c r="N1391" s="18"/>
      <c r="O1391" s="18"/>
      <c r="P1391" s="22"/>
      <c r="Q1391" s="22"/>
      <c r="R1391" s="22"/>
      <c r="S1391" s="22"/>
      <c r="T1391" s="22"/>
      <c r="U1391" s="22"/>
      <c r="V1391" s="6"/>
      <c r="W1391" s="6"/>
      <c r="X1391" s="19"/>
      <c r="Y1391" s="6"/>
      <c r="Z1391" s="6"/>
      <c r="AA1391" s="6"/>
      <c r="AB1391" s="6">
        <v>316.19897959999997</v>
      </c>
      <c r="AC1391" s="6"/>
      <c r="AD1391" s="6"/>
      <c r="AE1391" s="6"/>
      <c r="AF1391" s="18"/>
      <c r="AG1391" s="18"/>
      <c r="AH1391" s="18"/>
      <c r="AI1391" s="18"/>
      <c r="AK1391" s="18"/>
      <c r="AL1391" s="18"/>
      <c r="AM1391" s="18"/>
      <c r="AN1391" s="18"/>
      <c r="AO1391" s="6"/>
      <c r="AP1391" s="32"/>
      <c r="AQ1391" s="32"/>
      <c r="AR1391" s="32"/>
      <c r="AS1391" s="32"/>
      <c r="AT1391" s="32"/>
      <c r="AU1391" s="32"/>
      <c r="AV1391" s="32"/>
      <c r="AW1391" s="32"/>
      <c r="AX1391" s="32"/>
      <c r="AY1391" s="32"/>
      <c r="AZ1391" s="32"/>
      <c r="BA1391" s="32"/>
      <c r="BB1391" s="32"/>
      <c r="BC1391" s="32"/>
      <c r="BD1391" s="32"/>
      <c r="BE1391" s="32"/>
      <c r="BF1391" s="32"/>
      <c r="BG1391" s="32"/>
      <c r="BH1391" s="32"/>
      <c r="BI1391" s="32"/>
      <c r="BJ1391" s="6"/>
      <c r="BK1391" s="6"/>
      <c r="BL1391" s="6"/>
      <c r="BO1391" s="15"/>
    </row>
    <row r="1392" spans="1:67">
      <c r="A1392" s="16" t="s">
        <v>129</v>
      </c>
      <c r="B1392" s="16"/>
      <c r="C1392" s="17">
        <v>31377</v>
      </c>
      <c r="D1392" s="18">
        <v>12.446535477006764</v>
      </c>
      <c r="E1392" s="6"/>
      <c r="F1392" s="6"/>
      <c r="G1392" s="22"/>
      <c r="H1392" s="22"/>
      <c r="I1392" s="22"/>
      <c r="J1392" s="22"/>
      <c r="K1392" s="22"/>
      <c r="L1392" s="22"/>
      <c r="M1392" s="22"/>
      <c r="N1392" s="18"/>
      <c r="O1392" s="18"/>
      <c r="P1392" s="22"/>
      <c r="Q1392" s="22"/>
      <c r="R1392" s="22"/>
      <c r="S1392" s="22"/>
      <c r="T1392" s="22"/>
      <c r="U1392" s="22"/>
      <c r="V1392" s="6"/>
      <c r="W1392" s="6"/>
      <c r="X1392" s="19"/>
      <c r="Y1392" s="6"/>
      <c r="Z1392" s="6"/>
      <c r="AA1392" s="6"/>
      <c r="AB1392" s="6">
        <v>274.10714289999999</v>
      </c>
      <c r="AC1392" s="6"/>
      <c r="AD1392" s="6"/>
      <c r="AE1392" s="6"/>
      <c r="AF1392" s="18"/>
      <c r="AG1392" s="18"/>
      <c r="AH1392" s="18"/>
      <c r="AI1392" s="18"/>
      <c r="AK1392" s="18"/>
      <c r="AL1392" s="18"/>
      <c r="AM1392" s="18"/>
      <c r="AN1392" s="18"/>
      <c r="AO1392" s="6"/>
      <c r="AP1392" s="32"/>
      <c r="AQ1392" s="32"/>
      <c r="AR1392" s="32"/>
      <c r="AS1392" s="32"/>
      <c r="AT1392" s="32"/>
      <c r="AU1392" s="32"/>
      <c r="AV1392" s="32"/>
      <c r="AW1392" s="32"/>
      <c r="AX1392" s="32"/>
      <c r="AY1392" s="32"/>
      <c r="AZ1392" s="32"/>
      <c r="BA1392" s="32"/>
      <c r="BB1392" s="32"/>
      <c r="BC1392" s="32"/>
      <c r="BD1392" s="32"/>
      <c r="BE1392" s="32"/>
      <c r="BF1392" s="32"/>
      <c r="BG1392" s="32"/>
      <c r="BH1392" s="32"/>
      <c r="BI1392" s="32"/>
      <c r="BJ1392" s="6"/>
      <c r="BK1392" s="6"/>
      <c r="BL1392" s="6"/>
      <c r="BO1392" s="15"/>
    </row>
    <row r="1393" spans="1:67">
      <c r="A1393" s="16" t="s">
        <v>129</v>
      </c>
      <c r="B1393" s="16"/>
      <c r="C1393" s="17">
        <v>31384</v>
      </c>
      <c r="D1393" s="18">
        <v>12.465700841797579</v>
      </c>
      <c r="E1393" s="6"/>
      <c r="F1393" s="6"/>
      <c r="G1393" s="22"/>
      <c r="H1393" s="22"/>
      <c r="I1393" s="22"/>
      <c r="J1393" s="22"/>
      <c r="K1393" s="22"/>
      <c r="L1393" s="22"/>
      <c r="M1393" s="22"/>
      <c r="N1393" s="18"/>
      <c r="O1393" s="18"/>
      <c r="P1393" s="22"/>
      <c r="Q1393" s="22"/>
      <c r="R1393" s="22"/>
      <c r="S1393" s="22"/>
      <c r="T1393" s="22"/>
      <c r="U1393" s="22"/>
      <c r="V1393" s="6"/>
      <c r="W1393" s="6"/>
      <c r="X1393" s="19"/>
      <c r="Y1393" s="6"/>
      <c r="Z1393" s="6"/>
      <c r="AA1393" s="6"/>
      <c r="AB1393" s="6">
        <v>251.53061220000001</v>
      </c>
      <c r="AC1393" s="6"/>
      <c r="AD1393" s="6"/>
      <c r="AE1393" s="6"/>
      <c r="AF1393" s="18"/>
      <c r="AG1393" s="18"/>
      <c r="AH1393" s="18"/>
      <c r="AI1393" s="18"/>
      <c r="AK1393" s="18"/>
      <c r="AL1393" s="18"/>
      <c r="AM1393" s="18"/>
      <c r="AN1393" s="18"/>
      <c r="AO1393" s="6"/>
      <c r="AP1393" s="32"/>
      <c r="AQ1393" s="32"/>
      <c r="AR1393" s="32"/>
      <c r="AS1393" s="32"/>
      <c r="AT1393" s="32"/>
      <c r="AU1393" s="32"/>
      <c r="AV1393" s="32"/>
      <c r="AW1393" s="32"/>
      <c r="AX1393" s="32"/>
      <c r="AY1393" s="32"/>
      <c r="AZ1393" s="32"/>
      <c r="BA1393" s="32"/>
      <c r="BB1393" s="32"/>
      <c r="BC1393" s="32"/>
      <c r="BD1393" s="32"/>
      <c r="BE1393" s="32"/>
      <c r="BF1393" s="32"/>
      <c r="BG1393" s="32"/>
      <c r="BH1393" s="32"/>
      <c r="BI1393" s="32"/>
      <c r="BJ1393" s="6"/>
      <c r="BK1393" s="6"/>
      <c r="BL1393" s="6"/>
      <c r="BO1393" s="15"/>
    </row>
    <row r="1394" spans="1:67">
      <c r="A1394" s="16" t="s">
        <v>129</v>
      </c>
      <c r="B1394" s="16"/>
      <c r="C1394" s="17">
        <v>31398</v>
      </c>
      <c r="D1394" s="18">
        <v>12.50403157137921</v>
      </c>
      <c r="E1394" s="6"/>
      <c r="F1394" s="6"/>
      <c r="G1394" s="22"/>
      <c r="H1394" s="22"/>
      <c r="I1394" s="22"/>
      <c r="J1394" s="22"/>
      <c r="K1394" s="22"/>
      <c r="L1394" s="22"/>
      <c r="M1394" s="22"/>
      <c r="N1394" s="18"/>
      <c r="O1394" s="18"/>
      <c r="P1394" s="22"/>
      <c r="Q1394" s="22"/>
      <c r="R1394" s="22"/>
      <c r="S1394" s="22"/>
      <c r="T1394" s="22"/>
      <c r="U1394" s="22"/>
      <c r="V1394" s="6"/>
      <c r="W1394" s="6"/>
      <c r="X1394" s="19"/>
      <c r="Y1394" s="6"/>
      <c r="Z1394" s="6"/>
      <c r="AA1394" s="6"/>
      <c r="AB1394" s="6">
        <v>239.6683673</v>
      </c>
      <c r="AC1394" s="6"/>
      <c r="AD1394" s="6"/>
      <c r="AE1394" s="6"/>
      <c r="AF1394" s="18"/>
      <c r="AG1394" s="18"/>
      <c r="AH1394" s="18"/>
      <c r="AI1394" s="18"/>
      <c r="AK1394" s="18"/>
      <c r="AL1394" s="18"/>
      <c r="AM1394" s="18"/>
      <c r="AN1394" s="18"/>
      <c r="AO1394" s="6"/>
      <c r="AP1394" s="32"/>
      <c r="AQ1394" s="32"/>
      <c r="AR1394" s="32"/>
      <c r="AS1394" s="32"/>
      <c r="AT1394" s="32"/>
      <c r="AU1394" s="32"/>
      <c r="AV1394" s="32"/>
      <c r="AW1394" s="32"/>
      <c r="AX1394" s="32"/>
      <c r="AY1394" s="32"/>
      <c r="AZ1394" s="32"/>
      <c r="BA1394" s="32"/>
      <c r="BB1394" s="32"/>
      <c r="BC1394" s="32"/>
      <c r="BD1394" s="32"/>
      <c r="BE1394" s="32"/>
      <c r="BF1394" s="32"/>
      <c r="BG1394" s="32"/>
      <c r="BH1394" s="32"/>
      <c r="BI1394" s="32"/>
      <c r="BJ1394" s="6"/>
      <c r="BK1394" s="6"/>
      <c r="BL1394" s="6"/>
      <c r="BO1394" s="15"/>
    </row>
    <row r="1395" spans="1:67">
      <c r="A1395" s="16" t="s">
        <v>129</v>
      </c>
      <c r="B1395" s="16"/>
      <c r="C1395" s="17">
        <v>31409</v>
      </c>
      <c r="D1395" s="18">
        <v>12.534148573193349</v>
      </c>
      <c r="E1395" s="6"/>
      <c r="F1395" s="6"/>
      <c r="G1395" s="22"/>
      <c r="H1395" s="22"/>
      <c r="I1395" s="22"/>
      <c r="J1395" s="22"/>
      <c r="K1395" s="22"/>
      <c r="L1395" s="22"/>
      <c r="M1395" s="22"/>
      <c r="N1395" s="18"/>
      <c r="O1395" s="18"/>
      <c r="P1395" s="22"/>
      <c r="Q1395" s="22"/>
      <c r="R1395" s="22"/>
      <c r="S1395" s="22"/>
      <c r="T1395" s="22"/>
      <c r="U1395" s="22"/>
      <c r="V1395" s="6"/>
      <c r="W1395" s="6"/>
      <c r="X1395" s="19"/>
      <c r="Y1395" s="6"/>
      <c r="Z1395" s="6"/>
      <c r="AA1395" s="6"/>
      <c r="AB1395" s="6">
        <v>230.8673469</v>
      </c>
      <c r="AC1395" s="6"/>
      <c r="AD1395" s="6"/>
      <c r="AE1395" s="6"/>
      <c r="AF1395" s="18"/>
      <c r="AG1395" s="18"/>
      <c r="AH1395" s="18"/>
      <c r="AI1395" s="18"/>
      <c r="AK1395" s="18"/>
      <c r="AL1395" s="18"/>
      <c r="AM1395" s="18"/>
      <c r="AN1395" s="18"/>
      <c r="AO1395" s="6"/>
      <c r="AP1395" s="32"/>
      <c r="AQ1395" s="32"/>
      <c r="AR1395" s="32"/>
      <c r="AS1395" s="32"/>
      <c r="AT1395" s="32"/>
      <c r="AU1395" s="32"/>
      <c r="AV1395" s="32"/>
      <c r="AW1395" s="32"/>
      <c r="AX1395" s="32"/>
      <c r="AY1395" s="32"/>
      <c r="AZ1395" s="32"/>
      <c r="BA1395" s="32"/>
      <c r="BB1395" s="32"/>
      <c r="BC1395" s="32"/>
      <c r="BD1395" s="32"/>
      <c r="BE1395" s="32"/>
      <c r="BF1395" s="32"/>
      <c r="BG1395" s="32"/>
      <c r="BH1395" s="32"/>
      <c r="BI1395" s="32"/>
      <c r="BJ1395" s="6"/>
      <c r="BK1395" s="6"/>
      <c r="BL1395" s="6"/>
      <c r="BO1395" s="15"/>
    </row>
    <row r="1396" spans="1:67">
      <c r="A1396" s="16" t="s">
        <v>129</v>
      </c>
      <c r="B1396" s="16"/>
      <c r="C1396" s="17">
        <v>31436</v>
      </c>
      <c r="D1396" s="18">
        <v>12.608072123100779</v>
      </c>
      <c r="E1396" s="6"/>
      <c r="F1396" s="6"/>
      <c r="G1396" s="22"/>
      <c r="H1396" s="22"/>
      <c r="I1396" s="22"/>
      <c r="J1396" s="22"/>
      <c r="K1396" s="22"/>
      <c r="L1396" s="22"/>
      <c r="M1396" s="22"/>
      <c r="N1396" s="18"/>
      <c r="O1396" s="18"/>
      <c r="P1396" s="22"/>
      <c r="Q1396" s="22"/>
      <c r="R1396" s="22"/>
      <c r="S1396" s="22"/>
      <c r="T1396" s="22"/>
      <c r="U1396" s="22"/>
      <c r="V1396" s="6"/>
      <c r="W1396" s="6"/>
      <c r="X1396" s="19"/>
      <c r="Y1396" s="6"/>
      <c r="Z1396" s="6"/>
      <c r="AA1396" s="6"/>
      <c r="AB1396" s="6">
        <v>193.3673469</v>
      </c>
      <c r="AC1396" s="6"/>
      <c r="AD1396" s="6"/>
      <c r="AE1396" s="6"/>
      <c r="AF1396" s="18"/>
      <c r="AG1396" s="18"/>
      <c r="AH1396" s="18"/>
      <c r="AI1396" s="18"/>
      <c r="AK1396" s="18"/>
      <c r="AL1396" s="18"/>
      <c r="AM1396" s="18"/>
      <c r="AN1396" s="18"/>
      <c r="AO1396" s="6"/>
      <c r="AP1396" s="32"/>
      <c r="AQ1396" s="32"/>
      <c r="AR1396" s="32"/>
      <c r="AS1396" s="32"/>
      <c r="AT1396" s="32"/>
      <c r="AU1396" s="32"/>
      <c r="AV1396" s="32"/>
      <c r="AW1396" s="32"/>
      <c r="AX1396" s="32"/>
      <c r="AY1396" s="32"/>
      <c r="AZ1396" s="32"/>
      <c r="BA1396" s="32"/>
      <c r="BB1396" s="32"/>
      <c r="BC1396" s="32"/>
      <c r="BD1396" s="32"/>
      <c r="BE1396" s="32"/>
      <c r="BF1396" s="32"/>
      <c r="BG1396" s="32"/>
      <c r="BH1396" s="32"/>
      <c r="BI1396" s="32"/>
      <c r="BJ1396" s="6"/>
      <c r="BK1396" s="6"/>
      <c r="BL1396" s="6"/>
      <c r="BO1396" s="15"/>
    </row>
    <row r="1397" spans="1:67">
      <c r="A1397" s="16" t="s">
        <v>129</v>
      </c>
      <c r="B1397" s="16"/>
      <c r="C1397" s="17">
        <v>31445</v>
      </c>
      <c r="D1397" s="18">
        <v>12.632713306403257</v>
      </c>
      <c r="E1397" s="6"/>
      <c r="F1397" s="6"/>
      <c r="G1397" s="22"/>
      <c r="H1397" s="22"/>
      <c r="I1397" s="22"/>
      <c r="J1397" s="22"/>
      <c r="K1397" s="22"/>
      <c r="L1397" s="22"/>
      <c r="M1397" s="22"/>
      <c r="N1397" s="18"/>
      <c r="O1397" s="18"/>
      <c r="P1397" s="22"/>
      <c r="Q1397" s="22"/>
      <c r="R1397" s="22"/>
      <c r="S1397" s="22"/>
      <c r="T1397" s="22"/>
      <c r="U1397" s="22"/>
      <c r="V1397" s="6"/>
      <c r="W1397" s="6"/>
      <c r="X1397" s="19"/>
      <c r="Y1397" s="6"/>
      <c r="Z1397" s="6"/>
      <c r="AA1397" s="6"/>
      <c r="AB1397" s="6">
        <v>184.1836735</v>
      </c>
      <c r="AC1397" s="6"/>
      <c r="AD1397" s="6"/>
      <c r="AE1397" s="6"/>
      <c r="AF1397" s="18"/>
      <c r="AG1397" s="18"/>
      <c r="AH1397" s="18"/>
      <c r="AI1397" s="18"/>
      <c r="AK1397" s="18"/>
      <c r="AL1397" s="18"/>
      <c r="AM1397" s="18"/>
      <c r="AN1397" s="18"/>
      <c r="AO1397" s="6"/>
      <c r="AP1397" s="32"/>
      <c r="AQ1397" s="32"/>
      <c r="AR1397" s="32"/>
      <c r="AS1397" s="32"/>
      <c r="AT1397" s="32"/>
      <c r="AU1397" s="32"/>
      <c r="AV1397" s="32"/>
      <c r="AW1397" s="32"/>
      <c r="AX1397" s="32"/>
      <c r="AY1397" s="32"/>
      <c r="AZ1397" s="32"/>
      <c r="BA1397" s="32"/>
      <c r="BB1397" s="32"/>
      <c r="BC1397" s="32"/>
      <c r="BD1397" s="32"/>
      <c r="BE1397" s="32"/>
      <c r="BF1397" s="32"/>
      <c r="BG1397" s="32"/>
      <c r="BH1397" s="32"/>
      <c r="BI1397" s="32"/>
      <c r="BJ1397" s="6"/>
      <c r="BK1397" s="6"/>
      <c r="BL1397" s="6"/>
      <c r="BO1397" s="15"/>
    </row>
    <row r="1398" spans="1:67">
      <c r="A1398" s="16" t="s">
        <v>129</v>
      </c>
      <c r="B1398" s="16"/>
      <c r="C1398" s="17">
        <v>31465</v>
      </c>
      <c r="D1398" s="18">
        <v>12.687471491519872</v>
      </c>
      <c r="E1398" s="6"/>
      <c r="F1398" s="6"/>
      <c r="G1398" s="22"/>
      <c r="H1398" s="22"/>
      <c r="I1398" s="22"/>
      <c r="J1398" s="22"/>
      <c r="K1398" s="22"/>
      <c r="L1398" s="22"/>
      <c r="M1398" s="22"/>
      <c r="N1398" s="18"/>
      <c r="O1398" s="18"/>
      <c r="P1398" s="22"/>
      <c r="Q1398" s="22"/>
      <c r="R1398" s="22"/>
      <c r="S1398" s="22"/>
      <c r="T1398" s="22"/>
      <c r="U1398" s="22"/>
      <c r="V1398" s="6"/>
      <c r="W1398" s="6"/>
      <c r="X1398" s="19"/>
      <c r="Y1398" s="6"/>
      <c r="Z1398" s="6"/>
      <c r="AA1398" s="6"/>
      <c r="AB1398" s="6">
        <v>185.7142857</v>
      </c>
      <c r="AC1398" s="6"/>
      <c r="AD1398" s="6"/>
      <c r="AE1398" s="6"/>
      <c r="AF1398" s="18"/>
      <c r="AG1398" s="18"/>
      <c r="AH1398" s="18"/>
      <c r="AI1398" s="18"/>
      <c r="AK1398" s="18"/>
      <c r="AL1398" s="18"/>
      <c r="AM1398" s="18"/>
      <c r="AN1398" s="18"/>
      <c r="AO1398" s="6"/>
      <c r="AP1398" s="32"/>
      <c r="AQ1398" s="32"/>
      <c r="AR1398" s="32"/>
      <c r="AS1398" s="32"/>
      <c r="AT1398" s="32"/>
      <c r="AU1398" s="32"/>
      <c r="AV1398" s="32"/>
      <c r="AW1398" s="32"/>
      <c r="AX1398" s="32"/>
      <c r="AY1398" s="32"/>
      <c r="AZ1398" s="32"/>
      <c r="BA1398" s="32"/>
      <c r="BB1398" s="32"/>
      <c r="BC1398" s="32"/>
      <c r="BD1398" s="32"/>
      <c r="BE1398" s="32"/>
      <c r="BF1398" s="32"/>
      <c r="BG1398" s="32"/>
      <c r="BH1398" s="32"/>
      <c r="BI1398" s="32"/>
      <c r="BJ1398" s="6"/>
      <c r="BK1398" s="6"/>
      <c r="BL1398" s="6"/>
      <c r="BO1398" s="15"/>
    </row>
    <row r="1399" spans="1:67">
      <c r="A1399" s="16" t="s">
        <v>129</v>
      </c>
      <c r="B1399" s="16"/>
      <c r="C1399" s="17">
        <v>31478</v>
      </c>
      <c r="D1399" s="18">
        <v>12.723064311845674</v>
      </c>
      <c r="E1399" s="6"/>
      <c r="F1399" s="6"/>
      <c r="G1399" s="22"/>
      <c r="H1399" s="22"/>
      <c r="I1399" s="22"/>
      <c r="J1399" s="22"/>
      <c r="K1399" s="22"/>
      <c r="L1399" s="22"/>
      <c r="M1399" s="22"/>
      <c r="N1399" s="18"/>
      <c r="O1399" s="18"/>
      <c r="P1399" s="22"/>
      <c r="Q1399" s="22"/>
      <c r="R1399" s="22"/>
      <c r="S1399" s="22"/>
      <c r="T1399" s="22"/>
      <c r="U1399" s="22"/>
      <c r="V1399" s="6"/>
      <c r="W1399" s="6"/>
      <c r="X1399" s="19"/>
      <c r="Y1399" s="6"/>
      <c r="Z1399" s="6"/>
      <c r="AA1399" s="6"/>
      <c r="AB1399" s="6">
        <v>171.93877549999999</v>
      </c>
      <c r="AC1399" s="6"/>
      <c r="AD1399" s="6"/>
      <c r="AE1399" s="6"/>
      <c r="AF1399" s="18"/>
      <c r="AG1399" s="18"/>
      <c r="AH1399" s="18"/>
      <c r="AI1399" s="18"/>
      <c r="AK1399" s="18"/>
      <c r="AL1399" s="18"/>
      <c r="AM1399" s="18"/>
      <c r="AN1399" s="18"/>
      <c r="AO1399" s="6"/>
      <c r="AP1399" s="32"/>
      <c r="AQ1399" s="32"/>
      <c r="AR1399" s="32"/>
      <c r="AS1399" s="32"/>
      <c r="AT1399" s="32"/>
      <c r="AU1399" s="32"/>
      <c r="AV1399" s="32"/>
      <c r="AW1399" s="32"/>
      <c r="AX1399" s="32"/>
      <c r="AY1399" s="32"/>
      <c r="AZ1399" s="32"/>
      <c r="BA1399" s="32"/>
      <c r="BB1399" s="32"/>
      <c r="BC1399" s="32"/>
      <c r="BD1399" s="32"/>
      <c r="BE1399" s="32"/>
      <c r="BF1399" s="32"/>
      <c r="BG1399" s="32"/>
      <c r="BH1399" s="32"/>
      <c r="BI1399" s="32"/>
      <c r="BJ1399" s="6"/>
      <c r="BK1399" s="6"/>
      <c r="BL1399" s="6"/>
      <c r="BO1399" s="15"/>
    </row>
    <row r="1400" spans="1:67">
      <c r="A1400" s="16" t="s">
        <v>129</v>
      </c>
      <c r="B1400" s="16"/>
      <c r="C1400" s="17">
        <v>31504</v>
      </c>
      <c r="D1400" s="18">
        <v>12.794249952497273</v>
      </c>
      <c r="E1400" s="6"/>
      <c r="F1400" s="6"/>
      <c r="G1400" s="22"/>
      <c r="H1400" s="22"/>
      <c r="I1400" s="22"/>
      <c r="J1400" s="22"/>
      <c r="K1400" s="22"/>
      <c r="L1400" s="22"/>
      <c r="M1400" s="22"/>
      <c r="N1400" s="18"/>
      <c r="O1400" s="18"/>
      <c r="P1400" s="22"/>
      <c r="Q1400" s="22"/>
      <c r="R1400" s="22"/>
      <c r="S1400" s="22"/>
      <c r="T1400" s="22"/>
      <c r="U1400" s="22"/>
      <c r="V1400" s="6"/>
      <c r="W1400" s="6"/>
      <c r="X1400" s="19"/>
      <c r="Y1400" s="6"/>
      <c r="Z1400" s="6"/>
      <c r="AA1400" s="6"/>
      <c r="AB1400" s="6">
        <v>164.2857143</v>
      </c>
      <c r="AC1400" s="6"/>
      <c r="AD1400" s="6"/>
      <c r="AE1400" s="6"/>
      <c r="AF1400" s="18"/>
      <c r="AG1400" s="18"/>
      <c r="AH1400" s="18"/>
      <c r="AI1400" s="18"/>
      <c r="AK1400" s="18"/>
      <c r="AL1400" s="18"/>
      <c r="AM1400" s="18"/>
      <c r="AN1400" s="18"/>
      <c r="AO1400" s="6"/>
      <c r="AP1400" s="32"/>
      <c r="AQ1400" s="32"/>
      <c r="AR1400" s="32"/>
      <c r="AS1400" s="32"/>
      <c r="AT1400" s="32"/>
      <c r="AU1400" s="32"/>
      <c r="AV1400" s="32"/>
      <c r="AW1400" s="32"/>
      <c r="AX1400" s="32"/>
      <c r="AY1400" s="32"/>
      <c r="AZ1400" s="32"/>
      <c r="BA1400" s="32"/>
      <c r="BB1400" s="32"/>
      <c r="BC1400" s="32"/>
      <c r="BD1400" s="32"/>
      <c r="BE1400" s="32"/>
      <c r="BF1400" s="32"/>
      <c r="BG1400" s="32"/>
      <c r="BH1400" s="32"/>
      <c r="BI1400" s="32"/>
      <c r="BJ1400" s="6"/>
      <c r="BK1400" s="6"/>
      <c r="BL1400" s="6"/>
      <c r="BO1400" s="15"/>
    </row>
    <row r="1401" spans="1:67">
      <c r="A1401" s="16" t="s">
        <v>129</v>
      </c>
      <c r="B1401" s="16"/>
      <c r="C1401" s="17">
        <v>31520</v>
      </c>
      <c r="D1401" s="18">
        <v>12.838056500590566</v>
      </c>
      <c r="E1401" s="6"/>
      <c r="F1401" s="6"/>
      <c r="G1401" s="22"/>
      <c r="H1401" s="22"/>
      <c r="I1401" s="22"/>
      <c r="J1401" s="22"/>
      <c r="K1401" s="22"/>
      <c r="L1401" s="22"/>
      <c r="M1401" s="22"/>
      <c r="N1401" s="18"/>
      <c r="O1401" s="18"/>
      <c r="P1401" s="22"/>
      <c r="Q1401" s="22"/>
      <c r="R1401" s="22"/>
      <c r="S1401" s="22"/>
      <c r="T1401" s="22"/>
      <c r="U1401" s="22"/>
      <c r="V1401" s="6"/>
      <c r="W1401" s="6"/>
      <c r="X1401" s="19"/>
      <c r="Y1401" s="6"/>
      <c r="Z1401" s="6"/>
      <c r="AA1401" s="6"/>
      <c r="AB1401" s="6">
        <v>153.18877549999999</v>
      </c>
      <c r="AC1401" s="6"/>
      <c r="AD1401" s="6"/>
      <c r="AE1401" s="6"/>
      <c r="AF1401" s="18"/>
      <c r="AG1401" s="18"/>
      <c r="AH1401" s="18"/>
      <c r="AI1401" s="18"/>
      <c r="AK1401" s="18"/>
      <c r="AL1401" s="18"/>
      <c r="AM1401" s="18"/>
      <c r="AN1401" s="18"/>
      <c r="AO1401" s="6"/>
      <c r="AP1401" s="32"/>
      <c r="AQ1401" s="32"/>
      <c r="AR1401" s="32"/>
      <c r="AS1401" s="32"/>
      <c r="AT1401" s="32"/>
      <c r="AU1401" s="32"/>
      <c r="AV1401" s="32"/>
      <c r="AW1401" s="32"/>
      <c r="AX1401" s="32"/>
      <c r="AY1401" s="32"/>
      <c r="AZ1401" s="32"/>
      <c r="BA1401" s="32"/>
      <c r="BB1401" s="32"/>
      <c r="BC1401" s="32"/>
      <c r="BD1401" s="32"/>
      <c r="BE1401" s="32"/>
      <c r="BF1401" s="32"/>
      <c r="BG1401" s="32"/>
      <c r="BH1401" s="32"/>
      <c r="BI1401" s="32"/>
      <c r="BJ1401" s="6"/>
      <c r="BK1401" s="6"/>
      <c r="BL1401" s="6"/>
      <c r="BO1401" s="15"/>
    </row>
    <row r="1402" spans="1:67">
      <c r="A1402" s="16" t="s">
        <v>129</v>
      </c>
      <c r="B1402" s="16"/>
      <c r="C1402" s="17">
        <v>31536</v>
      </c>
      <c r="D1402" s="18">
        <v>12.881863048683858</v>
      </c>
      <c r="E1402" s="6"/>
      <c r="F1402" s="6"/>
      <c r="G1402" s="22"/>
      <c r="H1402" s="22"/>
      <c r="I1402" s="22"/>
      <c r="J1402" s="22"/>
      <c r="K1402" s="22"/>
      <c r="L1402" s="22"/>
      <c r="M1402" s="22"/>
      <c r="N1402" s="18"/>
      <c r="O1402" s="18"/>
      <c r="P1402" s="22"/>
      <c r="Q1402" s="22"/>
      <c r="R1402" s="22"/>
      <c r="S1402" s="22"/>
      <c r="T1402" s="22"/>
      <c r="U1402" s="22"/>
      <c r="V1402" s="6"/>
      <c r="W1402" s="6"/>
      <c r="X1402" s="19"/>
      <c r="Y1402" s="6"/>
      <c r="Z1402" s="6"/>
      <c r="AA1402" s="6"/>
      <c r="AB1402" s="6">
        <v>153.95408159999999</v>
      </c>
      <c r="AC1402" s="6"/>
      <c r="AD1402" s="6"/>
      <c r="AE1402" s="6"/>
      <c r="AF1402" s="18"/>
      <c r="AG1402" s="18"/>
      <c r="AH1402" s="18"/>
      <c r="AI1402" s="18"/>
      <c r="AK1402" s="18"/>
      <c r="AL1402" s="18"/>
      <c r="AM1402" s="18"/>
      <c r="AN1402" s="18"/>
      <c r="AO1402" s="6"/>
      <c r="AP1402" s="32"/>
      <c r="AQ1402" s="32"/>
      <c r="AR1402" s="32"/>
      <c r="AS1402" s="32"/>
      <c r="AT1402" s="32"/>
      <c r="AU1402" s="32"/>
      <c r="AV1402" s="32"/>
      <c r="AW1402" s="32"/>
      <c r="AX1402" s="32"/>
      <c r="AY1402" s="32"/>
      <c r="AZ1402" s="32"/>
      <c r="BA1402" s="32"/>
      <c r="BB1402" s="32"/>
      <c r="BC1402" s="32"/>
      <c r="BD1402" s="32"/>
      <c r="BE1402" s="32"/>
      <c r="BF1402" s="32"/>
      <c r="BG1402" s="32"/>
      <c r="BH1402" s="32"/>
      <c r="BI1402" s="32"/>
      <c r="BJ1402" s="6"/>
      <c r="BK1402" s="6"/>
      <c r="BL1402" s="6"/>
      <c r="BO1402" s="15"/>
    </row>
    <row r="1403" spans="1:67">
      <c r="A1403" s="16" t="s">
        <v>129</v>
      </c>
      <c r="B1403" s="16"/>
      <c r="C1403" s="17">
        <v>31546</v>
      </c>
      <c r="D1403" s="18">
        <v>12.909242141242167</v>
      </c>
      <c r="E1403" s="6"/>
      <c r="F1403" s="6"/>
      <c r="G1403" s="22"/>
      <c r="H1403" s="22"/>
      <c r="I1403" s="22"/>
      <c r="J1403" s="22"/>
      <c r="K1403" s="22"/>
      <c r="L1403" s="22"/>
      <c r="M1403" s="22"/>
      <c r="N1403" s="18"/>
      <c r="O1403" s="18"/>
      <c r="P1403" s="22"/>
      <c r="Q1403" s="22"/>
      <c r="R1403" s="22"/>
      <c r="S1403" s="22"/>
      <c r="T1403" s="22"/>
      <c r="U1403" s="22"/>
      <c r="V1403" s="6"/>
      <c r="W1403" s="6"/>
      <c r="X1403" s="19"/>
      <c r="Y1403" s="6"/>
      <c r="Z1403" s="6"/>
      <c r="AA1403" s="6"/>
      <c r="AB1403" s="6">
        <v>160.45918370000001</v>
      </c>
      <c r="AC1403" s="6"/>
      <c r="AD1403" s="6"/>
      <c r="AE1403" s="6"/>
      <c r="AF1403" s="18"/>
      <c r="AG1403" s="18"/>
      <c r="AH1403" s="18"/>
      <c r="AI1403" s="18"/>
      <c r="AK1403" s="18"/>
      <c r="AL1403" s="18"/>
      <c r="AM1403" s="18"/>
      <c r="AN1403" s="18"/>
      <c r="AO1403" s="6"/>
      <c r="AP1403" s="32"/>
      <c r="AQ1403" s="32"/>
      <c r="AR1403" s="32"/>
      <c r="AS1403" s="32"/>
      <c r="AT1403" s="32"/>
      <c r="AU1403" s="32"/>
      <c r="AV1403" s="32"/>
      <c r="AW1403" s="32"/>
      <c r="AX1403" s="32"/>
      <c r="AY1403" s="32"/>
      <c r="AZ1403" s="32"/>
      <c r="BA1403" s="32"/>
      <c r="BB1403" s="32"/>
      <c r="BC1403" s="32"/>
      <c r="BD1403" s="32"/>
      <c r="BE1403" s="32"/>
      <c r="BF1403" s="32"/>
      <c r="BG1403" s="32"/>
      <c r="BH1403" s="32"/>
      <c r="BI1403" s="32"/>
      <c r="BJ1403" s="6"/>
      <c r="BK1403" s="6"/>
      <c r="BL1403" s="6"/>
      <c r="BO1403" s="15"/>
    </row>
    <row r="1404" spans="1:67">
      <c r="A1404" s="16" t="s">
        <v>129</v>
      </c>
      <c r="B1404" s="16"/>
      <c r="C1404" s="17">
        <v>31559</v>
      </c>
      <c r="D1404" s="18">
        <v>12.944834961567967</v>
      </c>
      <c r="E1404" s="6"/>
      <c r="F1404" s="6"/>
      <c r="G1404" s="22"/>
      <c r="H1404" s="22"/>
      <c r="I1404" s="22"/>
      <c r="J1404" s="22"/>
      <c r="K1404" s="22"/>
      <c r="L1404" s="22"/>
      <c r="M1404" s="22"/>
      <c r="N1404" s="18"/>
      <c r="O1404" s="18"/>
      <c r="P1404" s="22"/>
      <c r="Q1404" s="22"/>
      <c r="R1404" s="22"/>
      <c r="S1404" s="22"/>
      <c r="T1404" s="22"/>
      <c r="U1404" s="22"/>
      <c r="V1404" s="6"/>
      <c r="W1404" s="6"/>
      <c r="X1404" s="19"/>
      <c r="Y1404" s="6"/>
      <c r="Z1404" s="6"/>
      <c r="AA1404" s="6"/>
      <c r="AB1404" s="6">
        <v>192.6020408</v>
      </c>
      <c r="AC1404" s="6"/>
      <c r="AD1404" s="6"/>
      <c r="AE1404" s="6"/>
      <c r="AF1404" s="18"/>
      <c r="AG1404" s="18"/>
      <c r="AH1404" s="18"/>
      <c r="AI1404" s="18"/>
      <c r="AK1404" s="18"/>
      <c r="AL1404" s="18"/>
      <c r="AM1404" s="18"/>
      <c r="AN1404" s="18"/>
      <c r="AO1404" s="6"/>
      <c r="AP1404" s="32"/>
      <c r="AQ1404" s="32"/>
      <c r="AR1404" s="32"/>
      <c r="AS1404" s="32"/>
      <c r="AT1404" s="32"/>
      <c r="AU1404" s="32"/>
      <c r="AV1404" s="32"/>
      <c r="AW1404" s="32"/>
      <c r="AX1404" s="32"/>
      <c r="AY1404" s="32"/>
      <c r="AZ1404" s="32"/>
      <c r="BA1404" s="32"/>
      <c r="BB1404" s="32"/>
      <c r="BC1404" s="32"/>
      <c r="BD1404" s="32"/>
      <c r="BE1404" s="32"/>
      <c r="BF1404" s="32"/>
      <c r="BG1404" s="32"/>
      <c r="BH1404" s="32"/>
      <c r="BI1404" s="32"/>
      <c r="BJ1404" s="6"/>
      <c r="BK1404" s="6"/>
      <c r="BL1404" s="6"/>
      <c r="BO1404" s="15"/>
    </row>
    <row r="1405" spans="1:67">
      <c r="A1405" s="16" t="s">
        <v>129</v>
      </c>
      <c r="B1405" s="16"/>
      <c r="C1405" s="17">
        <v>31568</v>
      </c>
      <c r="D1405" s="18">
        <v>12.969476144870445</v>
      </c>
      <c r="E1405" s="6"/>
      <c r="F1405" s="6"/>
      <c r="G1405" s="22"/>
      <c r="H1405" s="22"/>
      <c r="I1405" s="22"/>
      <c r="J1405" s="22"/>
      <c r="K1405" s="22"/>
      <c r="L1405" s="22"/>
      <c r="M1405" s="22"/>
      <c r="N1405" s="18"/>
      <c r="O1405" s="18"/>
      <c r="P1405" s="22"/>
      <c r="Q1405" s="22"/>
      <c r="R1405" s="22"/>
      <c r="S1405" s="22"/>
      <c r="T1405" s="22"/>
      <c r="U1405" s="22"/>
      <c r="V1405" s="6"/>
      <c r="W1405" s="6"/>
      <c r="X1405" s="19"/>
      <c r="Y1405" s="6"/>
      <c r="Z1405" s="6"/>
      <c r="AA1405" s="6"/>
      <c r="AB1405" s="6">
        <v>205.61224490000001</v>
      </c>
      <c r="AC1405" s="6"/>
      <c r="AD1405" s="6"/>
      <c r="AE1405" s="6"/>
      <c r="AF1405" s="18"/>
      <c r="AG1405" s="18"/>
      <c r="AH1405" s="18"/>
      <c r="AI1405" s="18"/>
      <c r="AK1405" s="18"/>
      <c r="AL1405" s="18"/>
      <c r="AM1405" s="18"/>
      <c r="AN1405" s="18"/>
      <c r="AO1405" s="6"/>
      <c r="AP1405" s="32"/>
      <c r="AQ1405" s="32"/>
      <c r="AR1405" s="32"/>
      <c r="AS1405" s="32"/>
      <c r="AT1405" s="32"/>
      <c r="AU1405" s="32"/>
      <c r="AV1405" s="32"/>
      <c r="AW1405" s="32"/>
      <c r="AX1405" s="32"/>
      <c r="AY1405" s="32"/>
      <c r="AZ1405" s="32"/>
      <c r="BA1405" s="32"/>
      <c r="BB1405" s="32"/>
      <c r="BC1405" s="32"/>
      <c r="BD1405" s="32"/>
      <c r="BE1405" s="32"/>
      <c r="BF1405" s="32"/>
      <c r="BG1405" s="32"/>
      <c r="BH1405" s="32"/>
      <c r="BI1405" s="32"/>
      <c r="BJ1405" s="6"/>
      <c r="BK1405" s="6"/>
      <c r="BL1405" s="6"/>
      <c r="BO1405" s="15"/>
    </row>
    <row r="1406" spans="1:67">
      <c r="A1406" s="16" t="s">
        <v>129</v>
      </c>
      <c r="B1406" s="16"/>
      <c r="C1406" s="17">
        <v>31586</v>
      </c>
      <c r="D1406" s="18">
        <v>13.018758511475399</v>
      </c>
      <c r="E1406" s="6"/>
      <c r="F1406" s="6"/>
      <c r="G1406" s="22"/>
      <c r="H1406" s="22"/>
      <c r="I1406" s="22"/>
      <c r="J1406" s="22"/>
      <c r="K1406" s="22"/>
      <c r="L1406" s="22"/>
      <c r="M1406" s="22"/>
      <c r="N1406" s="18"/>
      <c r="O1406" s="18"/>
      <c r="P1406" s="22"/>
      <c r="Q1406" s="22"/>
      <c r="R1406" s="22"/>
      <c r="S1406" s="22"/>
      <c r="T1406" s="22"/>
      <c r="U1406" s="22"/>
      <c r="V1406" s="6"/>
      <c r="W1406" s="6"/>
      <c r="X1406" s="19"/>
      <c r="Y1406" s="6"/>
      <c r="Z1406" s="6"/>
      <c r="AA1406" s="6"/>
      <c r="AB1406" s="6">
        <v>218.62244899999999</v>
      </c>
      <c r="AC1406" s="6"/>
      <c r="AD1406" s="6"/>
      <c r="AE1406" s="6"/>
      <c r="AF1406" s="18"/>
      <c r="AG1406" s="18"/>
      <c r="AH1406" s="18"/>
      <c r="AI1406" s="18"/>
      <c r="AK1406" s="18"/>
      <c r="AL1406" s="18"/>
      <c r="AM1406" s="18"/>
      <c r="AN1406" s="18"/>
      <c r="AO1406" s="6"/>
      <c r="AP1406" s="32"/>
      <c r="AQ1406" s="32"/>
      <c r="AR1406" s="32"/>
      <c r="AS1406" s="32"/>
      <c r="AT1406" s="32"/>
      <c r="AU1406" s="32"/>
      <c r="AV1406" s="32"/>
      <c r="AW1406" s="32"/>
      <c r="AX1406" s="32"/>
      <c r="AY1406" s="32"/>
      <c r="AZ1406" s="32"/>
      <c r="BA1406" s="32"/>
      <c r="BB1406" s="32"/>
      <c r="BC1406" s="32"/>
      <c r="BD1406" s="32"/>
      <c r="BE1406" s="32"/>
      <c r="BF1406" s="32"/>
      <c r="BG1406" s="32"/>
      <c r="BH1406" s="32"/>
      <c r="BI1406" s="32"/>
      <c r="BJ1406" s="6"/>
      <c r="BK1406" s="6"/>
      <c r="BL1406" s="6"/>
      <c r="BO1406" s="15"/>
    </row>
    <row r="1407" spans="1:67">
      <c r="A1407" s="16" t="s">
        <v>129</v>
      </c>
      <c r="B1407" s="16"/>
      <c r="C1407" s="17">
        <v>31598</v>
      </c>
      <c r="D1407" s="18">
        <v>13.051613422545367</v>
      </c>
      <c r="E1407" s="6"/>
      <c r="F1407" s="6"/>
      <c r="G1407" s="22"/>
      <c r="H1407" s="22"/>
      <c r="I1407" s="22"/>
      <c r="J1407" s="22"/>
      <c r="K1407" s="22"/>
      <c r="L1407" s="22"/>
      <c r="M1407" s="22"/>
      <c r="N1407" s="18"/>
      <c r="O1407" s="18"/>
      <c r="P1407" s="22"/>
      <c r="Q1407" s="22"/>
      <c r="R1407" s="22"/>
      <c r="S1407" s="22"/>
      <c r="T1407" s="22"/>
      <c r="U1407" s="22"/>
      <c r="V1407" s="6"/>
      <c r="W1407" s="6"/>
      <c r="X1407" s="19"/>
      <c r="Y1407" s="6"/>
      <c r="Z1407" s="6"/>
      <c r="AA1407" s="6"/>
      <c r="AB1407" s="6">
        <v>210.58673469999999</v>
      </c>
      <c r="AC1407" s="6"/>
      <c r="AD1407" s="6"/>
      <c r="AE1407" s="6"/>
      <c r="AF1407" s="18"/>
      <c r="AG1407" s="18"/>
      <c r="AH1407" s="18"/>
      <c r="AI1407" s="18"/>
      <c r="AK1407" s="18"/>
      <c r="AL1407" s="18"/>
      <c r="AM1407" s="18"/>
      <c r="AN1407" s="18"/>
      <c r="AO1407" s="6"/>
      <c r="AP1407" s="32"/>
      <c r="AQ1407" s="32"/>
      <c r="AR1407" s="32"/>
      <c r="AS1407" s="32"/>
      <c r="AT1407" s="32"/>
      <c r="AU1407" s="32"/>
      <c r="AV1407" s="32"/>
      <c r="AW1407" s="32"/>
      <c r="AX1407" s="32"/>
      <c r="AY1407" s="32"/>
      <c r="AZ1407" s="32"/>
      <c r="BA1407" s="32"/>
      <c r="BB1407" s="32"/>
      <c r="BC1407" s="32"/>
      <c r="BD1407" s="32"/>
      <c r="BE1407" s="32"/>
      <c r="BF1407" s="32"/>
      <c r="BG1407" s="32"/>
      <c r="BH1407" s="32"/>
      <c r="BI1407" s="32"/>
      <c r="BJ1407" s="6"/>
      <c r="BK1407" s="6"/>
      <c r="BL1407" s="6"/>
      <c r="BO1407" s="15"/>
    </row>
    <row r="1408" spans="1:67">
      <c r="A1408" s="16" t="s">
        <v>129</v>
      </c>
      <c r="B1408" s="16"/>
      <c r="C1408" s="17">
        <v>31612</v>
      </c>
      <c r="D1408" s="18">
        <v>13.089944152126998</v>
      </c>
      <c r="E1408" s="6"/>
      <c r="F1408" s="6"/>
      <c r="G1408" s="22"/>
      <c r="H1408" s="22"/>
      <c r="I1408" s="22"/>
      <c r="J1408" s="22"/>
      <c r="K1408" s="22"/>
      <c r="L1408" s="22"/>
      <c r="M1408" s="22"/>
      <c r="N1408" s="18"/>
      <c r="O1408" s="18"/>
      <c r="P1408" s="22"/>
      <c r="Q1408" s="22"/>
      <c r="R1408" s="22"/>
      <c r="S1408" s="22"/>
      <c r="T1408" s="22"/>
      <c r="U1408" s="22"/>
      <c r="V1408" s="6"/>
      <c r="W1408" s="6"/>
      <c r="X1408" s="19"/>
      <c r="Y1408" s="6"/>
      <c r="Z1408" s="6"/>
      <c r="AA1408" s="6"/>
      <c r="AB1408" s="6">
        <v>197.19387760000001</v>
      </c>
      <c r="AC1408" s="6"/>
      <c r="AD1408" s="6"/>
      <c r="AE1408" s="6"/>
      <c r="AF1408" s="18"/>
      <c r="AG1408" s="18"/>
      <c r="AH1408" s="18"/>
      <c r="AI1408" s="18"/>
      <c r="AK1408" s="18"/>
      <c r="AL1408" s="18"/>
      <c r="AM1408" s="18"/>
      <c r="AN1408" s="18"/>
      <c r="AO1408" s="6"/>
      <c r="AP1408" s="32"/>
      <c r="AQ1408" s="32"/>
      <c r="AR1408" s="32"/>
      <c r="AS1408" s="32"/>
      <c r="AT1408" s="32"/>
      <c r="AU1408" s="32"/>
      <c r="AV1408" s="32"/>
      <c r="AW1408" s="32"/>
      <c r="AX1408" s="32"/>
      <c r="AY1408" s="32"/>
      <c r="AZ1408" s="32"/>
      <c r="BA1408" s="32"/>
      <c r="BB1408" s="32"/>
      <c r="BC1408" s="32"/>
      <c r="BD1408" s="32"/>
      <c r="BE1408" s="32"/>
      <c r="BF1408" s="32"/>
      <c r="BG1408" s="32"/>
      <c r="BH1408" s="32"/>
      <c r="BI1408" s="32"/>
      <c r="BJ1408" s="6"/>
      <c r="BK1408" s="6"/>
      <c r="BL1408" s="6"/>
      <c r="BO1408" s="15"/>
    </row>
    <row r="1409" spans="1:67">
      <c r="A1409" s="16" t="s">
        <v>129</v>
      </c>
      <c r="B1409" s="16"/>
      <c r="C1409" s="17">
        <v>31627</v>
      </c>
      <c r="D1409" s="18">
        <v>13.13101279096446</v>
      </c>
      <c r="E1409" s="6"/>
      <c r="F1409" s="6"/>
      <c r="G1409" s="22"/>
      <c r="H1409" s="22"/>
      <c r="I1409" s="22"/>
      <c r="J1409" s="22"/>
      <c r="K1409" s="22"/>
      <c r="L1409" s="22"/>
      <c r="M1409" s="22"/>
      <c r="N1409" s="18"/>
      <c r="O1409" s="18"/>
      <c r="P1409" s="22"/>
      <c r="Q1409" s="22"/>
      <c r="R1409" s="22"/>
      <c r="S1409" s="22"/>
      <c r="T1409" s="22"/>
      <c r="U1409" s="22"/>
      <c r="V1409" s="6"/>
      <c r="W1409" s="6"/>
      <c r="X1409" s="19"/>
      <c r="Y1409" s="6"/>
      <c r="Z1409" s="6"/>
      <c r="AA1409" s="6"/>
      <c r="AB1409" s="6">
        <v>250.3826531</v>
      </c>
      <c r="AC1409" s="6"/>
      <c r="AD1409" s="6"/>
      <c r="AE1409" s="6"/>
      <c r="AF1409" s="18"/>
      <c r="AG1409" s="18"/>
      <c r="AH1409" s="18"/>
      <c r="AI1409" s="18"/>
      <c r="AK1409" s="18"/>
      <c r="AL1409" s="18"/>
      <c r="AM1409" s="18"/>
      <c r="AN1409" s="18"/>
      <c r="AO1409" s="6"/>
      <c r="AP1409" s="32"/>
      <c r="AQ1409" s="32"/>
      <c r="AR1409" s="32"/>
      <c r="AS1409" s="32"/>
      <c r="AT1409" s="32"/>
      <c r="AU1409" s="32"/>
      <c r="AV1409" s="32"/>
      <c r="AW1409" s="32"/>
      <c r="AX1409" s="32"/>
      <c r="AY1409" s="32"/>
      <c r="AZ1409" s="32"/>
      <c r="BA1409" s="32"/>
      <c r="BB1409" s="32"/>
      <c r="BC1409" s="32"/>
      <c r="BD1409" s="32"/>
      <c r="BE1409" s="32"/>
      <c r="BF1409" s="32"/>
      <c r="BG1409" s="32"/>
      <c r="BH1409" s="32"/>
      <c r="BI1409" s="32"/>
      <c r="BJ1409" s="6"/>
      <c r="BK1409" s="6"/>
      <c r="BL1409" s="6"/>
      <c r="BO1409" s="15"/>
    </row>
    <row r="1410" spans="1:67">
      <c r="A1410" s="16" t="s">
        <v>129</v>
      </c>
      <c r="B1410" s="16"/>
      <c r="C1410" s="17">
        <v>31670</v>
      </c>
      <c r="D1410" s="18">
        <v>13.248742888965184</v>
      </c>
      <c r="E1410" s="6"/>
      <c r="F1410" s="6"/>
      <c r="G1410" s="22"/>
      <c r="H1410" s="22"/>
      <c r="I1410" s="22"/>
      <c r="J1410" s="22"/>
      <c r="K1410" s="22"/>
      <c r="L1410" s="22"/>
      <c r="M1410" s="22"/>
      <c r="N1410" s="18"/>
      <c r="O1410" s="18"/>
      <c r="P1410" s="22"/>
      <c r="Q1410" s="22"/>
      <c r="R1410" s="22"/>
      <c r="S1410" s="22"/>
      <c r="T1410" s="22"/>
      <c r="U1410" s="22"/>
      <c r="V1410" s="6"/>
      <c r="W1410" s="6"/>
      <c r="X1410" s="19"/>
      <c r="Y1410" s="6"/>
      <c r="Z1410" s="6"/>
      <c r="AA1410" s="6"/>
      <c r="AB1410" s="6">
        <v>296.30102040000003</v>
      </c>
      <c r="AC1410" s="6"/>
      <c r="AD1410" s="6"/>
      <c r="AE1410" s="6"/>
      <c r="AF1410" s="18"/>
      <c r="AG1410" s="18"/>
      <c r="AH1410" s="18"/>
      <c r="AI1410" s="18"/>
      <c r="AK1410" s="18"/>
      <c r="AL1410" s="18"/>
      <c r="AM1410" s="18"/>
      <c r="AN1410" s="18"/>
      <c r="AO1410" s="6"/>
      <c r="AP1410" s="32"/>
      <c r="AQ1410" s="32"/>
      <c r="AR1410" s="32"/>
      <c r="AS1410" s="32"/>
      <c r="AT1410" s="32"/>
      <c r="AU1410" s="32"/>
      <c r="AV1410" s="32"/>
      <c r="AW1410" s="32"/>
      <c r="AX1410" s="32"/>
      <c r="AY1410" s="32"/>
      <c r="AZ1410" s="32"/>
      <c r="BA1410" s="32"/>
      <c r="BB1410" s="32"/>
      <c r="BC1410" s="32"/>
      <c r="BD1410" s="32"/>
      <c r="BE1410" s="32"/>
      <c r="BF1410" s="32"/>
      <c r="BG1410" s="32"/>
      <c r="BH1410" s="32"/>
      <c r="BI1410" s="32"/>
      <c r="BJ1410" s="6"/>
      <c r="BK1410" s="6"/>
      <c r="BL1410" s="6"/>
      <c r="BO1410" s="15"/>
    </row>
    <row r="1411" spans="1:67">
      <c r="A1411" s="16" t="s">
        <v>129</v>
      </c>
      <c r="B1411" s="16"/>
      <c r="C1411" s="17">
        <v>31673</v>
      </c>
      <c r="D1411" s="18">
        <v>13.256956616732676</v>
      </c>
      <c r="E1411" s="6"/>
      <c r="F1411" s="6"/>
      <c r="G1411" s="22"/>
      <c r="H1411" s="22"/>
      <c r="I1411" s="22"/>
      <c r="J1411" s="22"/>
      <c r="K1411" s="22"/>
      <c r="L1411" s="22"/>
      <c r="M1411" s="22"/>
      <c r="N1411" s="18"/>
      <c r="O1411" s="18"/>
      <c r="P1411" s="22"/>
      <c r="Q1411" s="22"/>
      <c r="R1411" s="22"/>
      <c r="S1411" s="22"/>
      <c r="T1411" s="22"/>
      <c r="U1411" s="22"/>
      <c r="V1411" s="6"/>
      <c r="W1411" s="6"/>
      <c r="X1411" s="19"/>
      <c r="Y1411" s="6"/>
      <c r="Z1411" s="6"/>
      <c r="AA1411" s="6"/>
      <c r="AB1411" s="6">
        <v>273.34183669999999</v>
      </c>
      <c r="AC1411" s="6"/>
      <c r="AD1411" s="6"/>
      <c r="AE1411" s="6"/>
      <c r="AF1411" s="18"/>
      <c r="AG1411" s="18"/>
      <c r="AH1411" s="18"/>
      <c r="AI1411" s="18"/>
      <c r="AK1411" s="18"/>
      <c r="AL1411" s="18"/>
      <c r="AM1411" s="18"/>
      <c r="AN1411" s="18"/>
      <c r="AO1411" s="6"/>
      <c r="AP1411" s="32"/>
      <c r="AQ1411" s="32"/>
      <c r="AR1411" s="32"/>
      <c r="AS1411" s="32"/>
      <c r="AT1411" s="32"/>
      <c r="AU1411" s="32"/>
      <c r="AV1411" s="32"/>
      <c r="AW1411" s="32"/>
      <c r="AX1411" s="32"/>
      <c r="AY1411" s="32"/>
      <c r="AZ1411" s="32"/>
      <c r="BA1411" s="32"/>
      <c r="BB1411" s="32"/>
      <c r="BC1411" s="32"/>
      <c r="BD1411" s="32"/>
      <c r="BE1411" s="32"/>
      <c r="BF1411" s="32"/>
      <c r="BG1411" s="32"/>
      <c r="BH1411" s="32"/>
      <c r="BI1411" s="32"/>
      <c r="BJ1411" s="6"/>
      <c r="BK1411" s="6"/>
      <c r="BL1411" s="6"/>
      <c r="BO1411" s="15"/>
    </row>
    <row r="1412" spans="1:67">
      <c r="A1412" s="16" t="s">
        <v>129</v>
      </c>
      <c r="B1412" s="16"/>
      <c r="C1412" s="17">
        <v>31673</v>
      </c>
      <c r="D1412" s="18">
        <v>13.256956616732676</v>
      </c>
      <c r="E1412" s="6"/>
      <c r="F1412" s="6"/>
      <c r="G1412" s="22"/>
      <c r="H1412" s="22"/>
      <c r="I1412" s="22"/>
      <c r="J1412" s="22"/>
      <c r="K1412" s="22"/>
      <c r="L1412" s="22"/>
      <c r="M1412" s="22"/>
      <c r="N1412" s="18"/>
      <c r="O1412" s="18"/>
      <c r="P1412" s="22"/>
      <c r="Q1412" s="22"/>
      <c r="R1412" s="22"/>
      <c r="S1412" s="22"/>
      <c r="T1412" s="22"/>
      <c r="U1412" s="22"/>
      <c r="V1412" s="6"/>
      <c r="W1412" s="6"/>
      <c r="X1412" s="19"/>
      <c r="Y1412" s="6"/>
      <c r="Z1412" s="6"/>
      <c r="AA1412" s="6"/>
      <c r="AB1412" s="6">
        <v>273.34183669999999</v>
      </c>
      <c r="AC1412" s="6"/>
      <c r="AD1412" s="6"/>
      <c r="AE1412" s="6"/>
      <c r="AF1412" s="18"/>
      <c r="AG1412" s="18"/>
      <c r="AH1412" s="18"/>
      <c r="AI1412" s="18"/>
      <c r="AK1412" s="18"/>
      <c r="AL1412" s="18"/>
      <c r="AM1412" s="18"/>
      <c r="AN1412" s="18"/>
      <c r="AO1412" s="6"/>
      <c r="AP1412" s="32"/>
      <c r="AQ1412" s="32"/>
      <c r="AR1412" s="32"/>
      <c r="AS1412" s="32"/>
      <c r="AT1412" s="32"/>
      <c r="AU1412" s="32"/>
      <c r="AV1412" s="32"/>
      <c r="AW1412" s="32"/>
      <c r="AX1412" s="32"/>
      <c r="AY1412" s="32"/>
      <c r="AZ1412" s="32"/>
      <c r="BA1412" s="32"/>
      <c r="BB1412" s="32"/>
      <c r="BC1412" s="32"/>
      <c r="BD1412" s="32"/>
      <c r="BE1412" s="32"/>
      <c r="BF1412" s="32"/>
      <c r="BG1412" s="32"/>
      <c r="BH1412" s="32"/>
      <c r="BI1412" s="32"/>
      <c r="BJ1412" s="6"/>
      <c r="BK1412" s="6"/>
      <c r="BL1412" s="6"/>
      <c r="BO1412" s="15"/>
    </row>
    <row r="1413" spans="1:67">
      <c r="A1413" s="16" t="s">
        <v>129</v>
      </c>
      <c r="B1413" s="16"/>
      <c r="C1413" s="17">
        <v>31706</v>
      </c>
      <c r="D1413" s="18">
        <v>13.347307622175093</v>
      </c>
      <c r="E1413" s="6"/>
      <c r="F1413" s="6"/>
      <c r="G1413" s="22"/>
      <c r="H1413" s="22"/>
      <c r="I1413" s="22"/>
      <c r="J1413" s="22"/>
      <c r="K1413" s="22"/>
      <c r="L1413" s="22"/>
      <c r="M1413" s="22"/>
      <c r="N1413" s="18"/>
      <c r="O1413" s="18"/>
      <c r="P1413" s="22"/>
      <c r="Q1413" s="22"/>
      <c r="R1413" s="22"/>
      <c r="S1413" s="22"/>
      <c r="T1413" s="22"/>
      <c r="U1413" s="22"/>
      <c r="V1413" s="6"/>
      <c r="W1413" s="6"/>
      <c r="X1413" s="19"/>
      <c r="Y1413" s="6"/>
      <c r="Z1413" s="6"/>
      <c r="AA1413" s="6"/>
      <c r="AB1413" s="6">
        <v>257.27040820000002</v>
      </c>
      <c r="AC1413" s="6"/>
      <c r="AD1413" s="6"/>
      <c r="AE1413" s="6"/>
      <c r="AF1413" s="18"/>
      <c r="AG1413" s="18"/>
      <c r="AH1413" s="18"/>
      <c r="AI1413" s="18"/>
      <c r="AK1413" s="18"/>
      <c r="AL1413" s="18"/>
      <c r="AM1413" s="18"/>
      <c r="AN1413" s="18"/>
      <c r="AO1413" s="6"/>
      <c r="AP1413" s="32"/>
      <c r="AQ1413" s="32"/>
      <c r="AR1413" s="32"/>
      <c r="AS1413" s="32"/>
      <c r="AT1413" s="32"/>
      <c r="AU1413" s="32"/>
      <c r="AV1413" s="32"/>
      <c r="AW1413" s="32"/>
      <c r="AX1413" s="32"/>
      <c r="AY1413" s="32"/>
      <c r="AZ1413" s="32"/>
      <c r="BA1413" s="32"/>
      <c r="BB1413" s="32"/>
      <c r="BC1413" s="32"/>
      <c r="BD1413" s="32"/>
      <c r="BE1413" s="32"/>
      <c r="BF1413" s="32"/>
      <c r="BG1413" s="32"/>
      <c r="BH1413" s="32"/>
      <c r="BI1413" s="32"/>
      <c r="BJ1413" s="6"/>
      <c r="BK1413" s="6"/>
      <c r="BL1413" s="6"/>
      <c r="BO1413" s="15"/>
    </row>
    <row r="1414" spans="1:67">
      <c r="A1414" s="16" t="s">
        <v>129</v>
      </c>
      <c r="B1414" s="16"/>
      <c r="C1414" s="17">
        <v>31689</v>
      </c>
      <c r="D1414" s="18">
        <v>13.30076316482597</v>
      </c>
      <c r="E1414" s="6"/>
      <c r="F1414" s="6"/>
      <c r="G1414" s="22"/>
      <c r="H1414" s="22"/>
      <c r="I1414" s="22"/>
      <c r="J1414" s="22"/>
      <c r="K1414" s="22"/>
      <c r="L1414" s="22"/>
      <c r="M1414" s="22"/>
      <c r="N1414" s="18"/>
      <c r="O1414" s="18"/>
      <c r="P1414" s="22"/>
      <c r="Q1414" s="22"/>
      <c r="R1414" s="22"/>
      <c r="S1414" s="22"/>
      <c r="T1414" s="22"/>
      <c r="U1414" s="22"/>
      <c r="V1414" s="6"/>
      <c r="W1414" s="6"/>
      <c r="X1414" s="19"/>
      <c r="Y1414" s="6"/>
      <c r="Z1414" s="6"/>
      <c r="AA1414" s="6"/>
      <c r="AB1414" s="6">
        <v>269.8979592</v>
      </c>
      <c r="AC1414" s="6"/>
      <c r="AD1414" s="6"/>
      <c r="AE1414" s="6"/>
      <c r="AF1414" s="18"/>
      <c r="AG1414" s="18"/>
      <c r="AH1414" s="18"/>
      <c r="AI1414" s="18"/>
      <c r="AK1414" s="18"/>
      <c r="AL1414" s="18"/>
      <c r="AM1414" s="18"/>
      <c r="AN1414" s="18"/>
      <c r="AO1414" s="6"/>
      <c r="AP1414" s="32"/>
      <c r="AQ1414" s="32"/>
      <c r="AR1414" s="32"/>
      <c r="AS1414" s="32"/>
      <c r="AT1414" s="32"/>
      <c r="AU1414" s="32"/>
      <c r="AV1414" s="32"/>
      <c r="AW1414" s="32"/>
      <c r="AX1414" s="32"/>
      <c r="AY1414" s="32"/>
      <c r="AZ1414" s="32"/>
      <c r="BA1414" s="32"/>
      <c r="BB1414" s="32"/>
      <c r="BC1414" s="32"/>
      <c r="BD1414" s="32"/>
      <c r="BE1414" s="32"/>
      <c r="BF1414" s="32"/>
      <c r="BG1414" s="32"/>
      <c r="BH1414" s="32"/>
      <c r="BI1414" s="32"/>
      <c r="BJ1414" s="6"/>
      <c r="BK1414" s="6"/>
      <c r="BL1414" s="6"/>
      <c r="BO1414" s="15"/>
    </row>
    <row r="1415" spans="1:67">
      <c r="A1415" s="16" t="s">
        <v>129</v>
      </c>
      <c r="B1415" s="16"/>
      <c r="C1415" s="17">
        <v>31721</v>
      </c>
      <c r="D1415" s="18">
        <v>13.388376261012555</v>
      </c>
      <c r="E1415" s="6"/>
      <c r="F1415" s="6"/>
      <c r="G1415" s="22"/>
      <c r="H1415" s="22"/>
      <c r="I1415" s="22"/>
      <c r="J1415" s="22"/>
      <c r="K1415" s="22"/>
      <c r="L1415" s="22"/>
      <c r="M1415" s="22"/>
      <c r="N1415" s="18"/>
      <c r="O1415" s="18"/>
      <c r="P1415" s="22"/>
      <c r="Q1415" s="22"/>
      <c r="R1415" s="22"/>
      <c r="S1415" s="22"/>
      <c r="T1415" s="22"/>
      <c r="U1415" s="22"/>
      <c r="V1415" s="6"/>
      <c r="W1415" s="6"/>
      <c r="X1415" s="19"/>
      <c r="Y1415" s="6"/>
      <c r="Z1415" s="6"/>
      <c r="AA1415" s="6"/>
      <c r="AB1415" s="6">
        <v>270.28061220000001</v>
      </c>
      <c r="AC1415" s="6"/>
      <c r="AD1415" s="6"/>
      <c r="AE1415" s="6"/>
      <c r="AF1415" s="18"/>
      <c r="AG1415" s="18"/>
      <c r="AH1415" s="18"/>
      <c r="AI1415" s="18"/>
      <c r="AK1415" s="18"/>
      <c r="AL1415" s="18"/>
      <c r="AM1415" s="18"/>
      <c r="AN1415" s="18"/>
      <c r="AO1415" s="6"/>
      <c r="AP1415" s="32"/>
      <c r="AQ1415" s="32"/>
      <c r="AR1415" s="32"/>
      <c r="AS1415" s="32"/>
      <c r="AT1415" s="32"/>
      <c r="AU1415" s="32"/>
      <c r="AV1415" s="32"/>
      <c r="AW1415" s="32"/>
      <c r="AX1415" s="32"/>
      <c r="AY1415" s="32"/>
      <c r="AZ1415" s="32"/>
      <c r="BA1415" s="32"/>
      <c r="BB1415" s="32"/>
      <c r="BC1415" s="32"/>
      <c r="BD1415" s="32"/>
      <c r="BE1415" s="32"/>
      <c r="BF1415" s="32"/>
      <c r="BG1415" s="32"/>
      <c r="BH1415" s="32"/>
      <c r="BI1415" s="32"/>
      <c r="BJ1415" s="6"/>
      <c r="BK1415" s="6"/>
      <c r="BL1415" s="6"/>
      <c r="BO1415" s="15"/>
    </row>
    <row r="1416" spans="1:67">
      <c r="A1416" s="16" t="s">
        <v>129</v>
      </c>
      <c r="B1416" s="16"/>
      <c r="C1416" s="17">
        <v>31749</v>
      </c>
      <c r="D1416" s="18">
        <v>13.465037720175816</v>
      </c>
      <c r="E1416" s="6"/>
      <c r="F1416" s="6"/>
      <c r="G1416" s="22"/>
      <c r="H1416" s="22"/>
      <c r="I1416" s="22"/>
      <c r="J1416" s="22"/>
      <c r="K1416" s="22"/>
      <c r="L1416" s="22"/>
      <c r="M1416" s="22"/>
      <c r="N1416" s="18"/>
      <c r="O1416" s="18"/>
      <c r="P1416" s="22"/>
      <c r="Q1416" s="22"/>
      <c r="R1416" s="22"/>
      <c r="S1416" s="22"/>
      <c r="T1416" s="22"/>
      <c r="U1416" s="22"/>
      <c r="V1416" s="6"/>
      <c r="W1416" s="6"/>
      <c r="X1416" s="19"/>
      <c r="Y1416" s="6"/>
      <c r="Z1416" s="6"/>
      <c r="AA1416" s="6"/>
      <c r="AB1416" s="6">
        <v>251.91326530000001</v>
      </c>
      <c r="AC1416" s="6"/>
      <c r="AD1416" s="6"/>
      <c r="AE1416" s="6"/>
      <c r="AF1416" s="18"/>
      <c r="AG1416" s="18"/>
      <c r="AH1416" s="18"/>
      <c r="AI1416" s="18"/>
      <c r="AK1416" s="18"/>
      <c r="AL1416" s="18"/>
      <c r="AM1416" s="18"/>
      <c r="AN1416" s="18"/>
      <c r="AO1416" s="6"/>
      <c r="AP1416" s="32"/>
      <c r="AQ1416" s="32"/>
      <c r="AR1416" s="32"/>
      <c r="AS1416" s="32"/>
      <c r="AT1416" s="32"/>
      <c r="AU1416" s="32"/>
      <c r="AV1416" s="32"/>
      <c r="AW1416" s="32"/>
      <c r="AX1416" s="32"/>
      <c r="AY1416" s="32"/>
      <c r="AZ1416" s="32"/>
      <c r="BA1416" s="32"/>
      <c r="BB1416" s="32"/>
      <c r="BC1416" s="32"/>
      <c r="BD1416" s="32"/>
      <c r="BE1416" s="32"/>
      <c r="BF1416" s="32"/>
      <c r="BG1416" s="32"/>
      <c r="BH1416" s="32"/>
      <c r="BI1416" s="32"/>
      <c r="BJ1416" s="6"/>
      <c r="BK1416" s="6"/>
      <c r="BL1416" s="6"/>
      <c r="BO1416" s="15"/>
    </row>
    <row r="1417" spans="1:67">
      <c r="A1417" s="16" t="s">
        <v>129</v>
      </c>
      <c r="B1417" s="16"/>
      <c r="C1417" s="17">
        <v>31739</v>
      </c>
      <c r="D1417" s="18">
        <v>13.437658627617509</v>
      </c>
      <c r="E1417" s="6"/>
      <c r="F1417" s="6"/>
      <c r="G1417" s="22"/>
      <c r="H1417" s="22"/>
      <c r="I1417" s="22"/>
      <c r="J1417" s="22"/>
      <c r="K1417" s="22"/>
      <c r="L1417" s="22"/>
      <c r="M1417" s="22"/>
      <c r="N1417" s="18"/>
      <c r="O1417" s="18"/>
      <c r="P1417" s="22"/>
      <c r="Q1417" s="22"/>
      <c r="R1417" s="22"/>
      <c r="S1417" s="22"/>
      <c r="T1417" s="22"/>
      <c r="U1417" s="22"/>
      <c r="V1417" s="6"/>
      <c r="W1417" s="6"/>
      <c r="X1417" s="19"/>
      <c r="Y1417" s="6"/>
      <c r="Z1417" s="6"/>
      <c r="AA1417" s="6"/>
      <c r="AB1417" s="6">
        <v>240.8163265</v>
      </c>
      <c r="AC1417" s="6"/>
      <c r="AD1417" s="6"/>
      <c r="AE1417" s="6"/>
      <c r="AF1417" s="18"/>
      <c r="AG1417" s="18"/>
      <c r="AH1417" s="18"/>
      <c r="AI1417" s="18"/>
      <c r="AK1417" s="18"/>
      <c r="AL1417" s="18"/>
      <c r="AM1417" s="18"/>
      <c r="AN1417" s="18"/>
      <c r="AO1417" s="6"/>
      <c r="AP1417" s="32"/>
      <c r="AQ1417" s="32"/>
      <c r="AR1417" s="32"/>
      <c r="AS1417" s="32"/>
      <c r="AT1417" s="32"/>
      <c r="AU1417" s="32"/>
      <c r="AV1417" s="32"/>
      <c r="AW1417" s="32"/>
      <c r="AX1417" s="32"/>
      <c r="AY1417" s="32"/>
      <c r="AZ1417" s="32"/>
      <c r="BA1417" s="32"/>
      <c r="BB1417" s="32"/>
      <c r="BC1417" s="32"/>
      <c r="BD1417" s="32"/>
      <c r="BE1417" s="32"/>
      <c r="BF1417" s="32"/>
      <c r="BG1417" s="32"/>
      <c r="BH1417" s="32"/>
      <c r="BI1417" s="32"/>
      <c r="BJ1417" s="6"/>
      <c r="BK1417" s="6"/>
      <c r="BL1417" s="6"/>
      <c r="BO1417" s="15"/>
    </row>
    <row r="1418" spans="1:67">
      <c r="A1418" s="16" t="s">
        <v>129</v>
      </c>
      <c r="B1418" s="16"/>
      <c r="C1418" s="17">
        <v>31766</v>
      </c>
      <c r="D1418" s="18">
        <v>13.511582177524939</v>
      </c>
      <c r="E1418" s="6"/>
      <c r="F1418" s="6"/>
      <c r="G1418" s="22"/>
      <c r="H1418" s="22"/>
      <c r="I1418" s="22"/>
      <c r="J1418" s="22"/>
      <c r="K1418" s="22"/>
      <c r="L1418" s="22"/>
      <c r="M1418" s="22"/>
      <c r="N1418" s="18"/>
      <c r="O1418" s="18"/>
      <c r="P1418" s="22"/>
      <c r="Q1418" s="22"/>
      <c r="R1418" s="22"/>
      <c r="S1418" s="22"/>
      <c r="T1418" s="22"/>
      <c r="U1418" s="22"/>
      <c r="V1418" s="6"/>
      <c r="W1418" s="6"/>
      <c r="X1418" s="19"/>
      <c r="Y1418" s="6"/>
      <c r="Z1418" s="6"/>
      <c r="AA1418" s="6"/>
      <c r="AB1418" s="6">
        <v>225.51020410000001</v>
      </c>
      <c r="AC1418" s="6"/>
      <c r="AD1418" s="6"/>
      <c r="AE1418" s="6"/>
      <c r="AF1418" s="18"/>
      <c r="AG1418" s="18"/>
      <c r="AH1418" s="18"/>
      <c r="AI1418" s="18"/>
      <c r="AK1418" s="18"/>
      <c r="AL1418" s="18"/>
      <c r="AM1418" s="18"/>
      <c r="AN1418" s="18"/>
      <c r="AO1418" s="6"/>
      <c r="AP1418" s="32"/>
      <c r="AQ1418" s="32"/>
      <c r="AR1418" s="32"/>
      <c r="AS1418" s="32"/>
      <c r="AT1418" s="32"/>
      <c r="AU1418" s="32"/>
      <c r="AV1418" s="32"/>
      <c r="AW1418" s="32"/>
      <c r="AX1418" s="32"/>
      <c r="AY1418" s="32"/>
      <c r="AZ1418" s="32"/>
      <c r="BA1418" s="32"/>
      <c r="BB1418" s="32"/>
      <c r="BC1418" s="32"/>
      <c r="BD1418" s="32"/>
      <c r="BE1418" s="32"/>
      <c r="BF1418" s="32"/>
      <c r="BG1418" s="32"/>
      <c r="BH1418" s="32"/>
      <c r="BI1418" s="32"/>
      <c r="BJ1418" s="6"/>
      <c r="BK1418" s="6"/>
      <c r="BL1418" s="6"/>
      <c r="BO1418" s="15"/>
    </row>
    <row r="1419" spans="1:67">
      <c r="A1419" s="16" t="s">
        <v>129</v>
      </c>
      <c r="B1419" s="16"/>
      <c r="C1419" s="17">
        <v>31773</v>
      </c>
      <c r="D1419" s="18">
        <v>13.530747542315755</v>
      </c>
      <c r="E1419" s="6"/>
      <c r="F1419" s="6"/>
      <c r="G1419" s="22"/>
      <c r="H1419" s="22"/>
      <c r="I1419" s="22"/>
      <c r="J1419" s="22"/>
      <c r="K1419" s="22"/>
      <c r="L1419" s="22"/>
      <c r="M1419" s="22"/>
      <c r="N1419" s="18"/>
      <c r="O1419" s="18"/>
      <c r="P1419" s="22"/>
      <c r="Q1419" s="22"/>
      <c r="R1419" s="22"/>
      <c r="S1419" s="22"/>
      <c r="T1419" s="22"/>
      <c r="U1419" s="22"/>
      <c r="V1419" s="6"/>
      <c r="W1419" s="6"/>
      <c r="X1419" s="19"/>
      <c r="Y1419" s="6"/>
      <c r="Z1419" s="6"/>
      <c r="AA1419" s="6"/>
      <c r="AB1419" s="6">
        <v>213.2653061</v>
      </c>
      <c r="AC1419" s="6"/>
      <c r="AD1419" s="6"/>
      <c r="AE1419" s="6"/>
      <c r="AF1419" s="18"/>
      <c r="AG1419" s="18"/>
      <c r="AH1419" s="18"/>
      <c r="AI1419" s="18"/>
      <c r="AK1419" s="18"/>
      <c r="AL1419" s="18"/>
      <c r="AM1419" s="18"/>
      <c r="AN1419" s="18"/>
      <c r="AO1419" s="6"/>
      <c r="AP1419" s="32"/>
      <c r="AQ1419" s="32"/>
      <c r="AR1419" s="32"/>
      <c r="AS1419" s="32"/>
      <c r="AT1419" s="32"/>
      <c r="AU1419" s="32"/>
      <c r="AV1419" s="32"/>
      <c r="AW1419" s="32"/>
      <c r="AX1419" s="32"/>
      <c r="AY1419" s="32"/>
      <c r="AZ1419" s="32"/>
      <c r="BA1419" s="32"/>
      <c r="BB1419" s="32"/>
      <c r="BC1419" s="32"/>
      <c r="BD1419" s="32"/>
      <c r="BE1419" s="32"/>
      <c r="BF1419" s="32"/>
      <c r="BG1419" s="32"/>
      <c r="BH1419" s="32"/>
      <c r="BI1419" s="32"/>
      <c r="BJ1419" s="6"/>
      <c r="BK1419" s="6"/>
      <c r="BL1419" s="6"/>
      <c r="BO1419" s="15"/>
    </row>
    <row r="1420" spans="1:67">
      <c r="A1420" s="16" t="s">
        <v>129</v>
      </c>
      <c r="B1420" s="16"/>
      <c r="C1420" s="17">
        <v>31784</v>
      </c>
      <c r="D1420" s="18">
        <v>13.560864544129894</v>
      </c>
      <c r="E1420" s="6"/>
      <c r="F1420" s="6"/>
      <c r="G1420" s="22"/>
      <c r="H1420" s="22"/>
      <c r="I1420" s="22"/>
      <c r="J1420" s="22"/>
      <c r="K1420" s="22"/>
      <c r="L1420" s="22"/>
      <c r="M1420" s="22"/>
      <c r="N1420" s="18"/>
      <c r="O1420" s="18"/>
      <c r="P1420" s="22"/>
      <c r="Q1420" s="22"/>
      <c r="R1420" s="22"/>
      <c r="S1420" s="22"/>
      <c r="T1420" s="22"/>
      <c r="U1420" s="22"/>
      <c r="V1420" s="6"/>
      <c r="W1420" s="6"/>
      <c r="X1420" s="19"/>
      <c r="Y1420" s="6"/>
      <c r="Z1420" s="6"/>
      <c r="AA1420" s="6"/>
      <c r="AB1420" s="6">
        <v>188.01020410000001</v>
      </c>
      <c r="AC1420" s="6"/>
      <c r="AD1420" s="6"/>
      <c r="AE1420" s="6"/>
      <c r="AF1420" s="18"/>
      <c r="AG1420" s="18"/>
      <c r="AH1420" s="18"/>
      <c r="AI1420" s="18"/>
      <c r="AK1420" s="18"/>
      <c r="AL1420" s="18"/>
      <c r="AM1420" s="18"/>
      <c r="AN1420" s="18"/>
      <c r="AO1420" s="6"/>
      <c r="AP1420" s="32"/>
      <c r="AQ1420" s="32"/>
      <c r="AR1420" s="32"/>
      <c r="AS1420" s="32"/>
      <c r="AT1420" s="32"/>
      <c r="AU1420" s="32"/>
      <c r="AV1420" s="32"/>
      <c r="AW1420" s="32"/>
      <c r="AX1420" s="32"/>
      <c r="AY1420" s="32"/>
      <c r="AZ1420" s="32"/>
      <c r="BA1420" s="32"/>
      <c r="BB1420" s="32"/>
      <c r="BC1420" s="32"/>
      <c r="BD1420" s="32"/>
      <c r="BE1420" s="32"/>
      <c r="BF1420" s="32"/>
      <c r="BG1420" s="32"/>
      <c r="BH1420" s="32"/>
      <c r="BI1420" s="32"/>
      <c r="BJ1420" s="6"/>
      <c r="BK1420" s="6"/>
      <c r="BL1420" s="6"/>
      <c r="BO1420" s="15"/>
    </row>
    <row r="1421" spans="1:67">
      <c r="A1421" s="16" t="s">
        <v>129</v>
      </c>
      <c r="B1421" s="16"/>
      <c r="C1421" s="17">
        <v>31788</v>
      </c>
      <c r="D1421" s="18">
        <v>13.571816181153217</v>
      </c>
      <c r="E1421" s="6"/>
      <c r="F1421" s="6"/>
      <c r="G1421" s="22"/>
      <c r="H1421" s="22"/>
      <c r="I1421" s="22"/>
      <c r="J1421" s="22"/>
      <c r="K1421" s="22"/>
      <c r="L1421" s="22"/>
      <c r="M1421" s="22"/>
      <c r="N1421" s="18"/>
      <c r="O1421" s="18"/>
      <c r="P1421" s="22"/>
      <c r="Q1421" s="22"/>
      <c r="R1421" s="22"/>
      <c r="S1421" s="22"/>
      <c r="T1421" s="22"/>
      <c r="U1421" s="22"/>
      <c r="V1421" s="6"/>
      <c r="W1421" s="6"/>
      <c r="X1421" s="19"/>
      <c r="Y1421" s="6"/>
      <c r="Z1421" s="6"/>
      <c r="AA1421" s="6"/>
      <c r="AB1421" s="6">
        <v>176.91326530000001</v>
      </c>
      <c r="AC1421" s="6"/>
      <c r="AD1421" s="6"/>
      <c r="AE1421" s="6"/>
      <c r="AF1421" s="18"/>
      <c r="AG1421" s="18"/>
      <c r="AH1421" s="18"/>
      <c r="AI1421" s="18"/>
      <c r="AK1421" s="18"/>
      <c r="AL1421" s="18"/>
      <c r="AM1421" s="18"/>
      <c r="AN1421" s="18"/>
      <c r="AO1421" s="6"/>
      <c r="AP1421" s="32"/>
      <c r="AQ1421" s="32"/>
      <c r="AR1421" s="32"/>
      <c r="AS1421" s="32"/>
      <c r="AT1421" s="32"/>
      <c r="AU1421" s="32"/>
      <c r="AV1421" s="32"/>
      <c r="AW1421" s="32"/>
      <c r="AX1421" s="32"/>
      <c r="AY1421" s="32"/>
      <c r="AZ1421" s="32"/>
      <c r="BA1421" s="32"/>
      <c r="BB1421" s="32"/>
      <c r="BC1421" s="32"/>
      <c r="BD1421" s="32"/>
      <c r="BE1421" s="32"/>
      <c r="BF1421" s="32"/>
      <c r="BG1421" s="32"/>
      <c r="BH1421" s="32"/>
      <c r="BI1421" s="32"/>
      <c r="BJ1421" s="6"/>
      <c r="BK1421" s="6"/>
      <c r="BL1421" s="6"/>
      <c r="BO1421" s="15"/>
    </row>
    <row r="1422" spans="1:67">
      <c r="A1422" s="16" t="s">
        <v>129</v>
      </c>
      <c r="B1422" s="16"/>
      <c r="C1422" s="17">
        <v>31799</v>
      </c>
      <c r="D1422" s="18">
        <v>13.601933182967356</v>
      </c>
      <c r="E1422" s="6"/>
      <c r="F1422" s="6"/>
      <c r="G1422" s="22"/>
      <c r="H1422" s="22"/>
      <c r="I1422" s="22"/>
      <c r="J1422" s="22"/>
      <c r="K1422" s="22"/>
      <c r="L1422" s="22"/>
      <c r="M1422" s="22"/>
      <c r="N1422" s="18"/>
      <c r="O1422" s="18"/>
      <c r="P1422" s="22"/>
      <c r="Q1422" s="22"/>
      <c r="R1422" s="22"/>
      <c r="S1422" s="22"/>
      <c r="T1422" s="22"/>
      <c r="U1422" s="22"/>
      <c r="V1422" s="6"/>
      <c r="W1422" s="6"/>
      <c r="X1422" s="19"/>
      <c r="Y1422" s="6"/>
      <c r="Z1422" s="6"/>
      <c r="AA1422" s="6"/>
      <c r="AB1422" s="6">
        <v>162.37244899999999</v>
      </c>
      <c r="AC1422" s="6"/>
      <c r="AD1422" s="6"/>
      <c r="AE1422" s="6"/>
      <c r="AF1422" s="18"/>
      <c r="AG1422" s="18"/>
      <c r="AH1422" s="18"/>
      <c r="AI1422" s="18"/>
      <c r="AK1422" s="18"/>
      <c r="AL1422" s="18"/>
      <c r="AM1422" s="18"/>
      <c r="AN1422" s="18"/>
      <c r="AO1422" s="6"/>
      <c r="AP1422" s="32"/>
      <c r="AQ1422" s="32"/>
      <c r="AR1422" s="32"/>
      <c r="AS1422" s="32"/>
      <c r="AT1422" s="32"/>
      <c r="AU1422" s="32"/>
      <c r="AV1422" s="32"/>
      <c r="AW1422" s="32"/>
      <c r="AX1422" s="32"/>
      <c r="AY1422" s="32"/>
      <c r="AZ1422" s="32"/>
      <c r="BA1422" s="32"/>
      <c r="BB1422" s="32"/>
      <c r="BC1422" s="32"/>
      <c r="BD1422" s="32"/>
      <c r="BE1422" s="32"/>
      <c r="BF1422" s="32"/>
      <c r="BG1422" s="32"/>
      <c r="BH1422" s="32"/>
      <c r="BI1422" s="32"/>
      <c r="BJ1422" s="6"/>
      <c r="BK1422" s="6"/>
      <c r="BL1422" s="6"/>
      <c r="BO1422" s="15"/>
    </row>
    <row r="1423" spans="1:67">
      <c r="A1423" s="16" t="s">
        <v>129</v>
      </c>
      <c r="B1423" s="16"/>
      <c r="C1423" s="17">
        <v>31832</v>
      </c>
      <c r="D1423" s="18">
        <v>13.692284188409772</v>
      </c>
      <c r="E1423" s="6"/>
      <c r="F1423" s="6"/>
      <c r="G1423" s="22"/>
      <c r="H1423" s="22"/>
      <c r="I1423" s="22"/>
      <c r="J1423" s="22"/>
      <c r="K1423" s="22"/>
      <c r="L1423" s="22"/>
      <c r="M1423" s="22"/>
      <c r="N1423" s="18"/>
      <c r="O1423" s="18"/>
      <c r="P1423" s="22"/>
      <c r="Q1423" s="22"/>
      <c r="R1423" s="22"/>
      <c r="S1423" s="22"/>
      <c r="T1423" s="22"/>
      <c r="U1423" s="22"/>
      <c r="V1423" s="6"/>
      <c r="W1423" s="6"/>
      <c r="X1423" s="19"/>
      <c r="Y1423" s="6"/>
      <c r="Z1423" s="6"/>
      <c r="AA1423" s="6"/>
      <c r="AB1423" s="6">
        <v>175.7653061</v>
      </c>
      <c r="AC1423" s="6"/>
      <c r="AD1423" s="6"/>
      <c r="AE1423" s="6"/>
      <c r="AF1423" s="18"/>
      <c r="AG1423" s="18"/>
      <c r="AH1423" s="18"/>
      <c r="AI1423" s="18"/>
      <c r="AK1423" s="18"/>
      <c r="AL1423" s="18"/>
      <c r="AM1423" s="18"/>
      <c r="AN1423" s="18"/>
      <c r="AO1423" s="6"/>
      <c r="AP1423" s="32"/>
      <c r="AQ1423" s="32"/>
      <c r="AR1423" s="32"/>
      <c r="AS1423" s="32"/>
      <c r="AT1423" s="32"/>
      <c r="AU1423" s="32"/>
      <c r="AV1423" s="32"/>
      <c r="AW1423" s="32"/>
      <c r="AX1423" s="32"/>
      <c r="AY1423" s="32"/>
      <c r="AZ1423" s="32"/>
      <c r="BA1423" s="32"/>
      <c r="BB1423" s="32"/>
      <c r="BC1423" s="32"/>
      <c r="BD1423" s="32"/>
      <c r="BE1423" s="32"/>
      <c r="BF1423" s="32"/>
      <c r="BG1423" s="32"/>
      <c r="BH1423" s="32"/>
      <c r="BI1423" s="32"/>
      <c r="BJ1423" s="6"/>
      <c r="BK1423" s="6"/>
      <c r="BL1423" s="6"/>
      <c r="BO1423" s="15"/>
    </row>
    <row r="1424" spans="1:67">
      <c r="A1424" s="16" t="s">
        <v>129</v>
      </c>
      <c r="B1424" s="16"/>
      <c r="C1424" s="17">
        <v>31849</v>
      </c>
      <c r="D1424" s="18">
        <v>13.738828645758895</v>
      </c>
      <c r="E1424" s="6"/>
      <c r="F1424" s="6"/>
      <c r="G1424" s="22"/>
      <c r="H1424" s="22"/>
      <c r="I1424" s="22"/>
      <c r="J1424" s="22"/>
      <c r="K1424" s="22"/>
      <c r="L1424" s="22"/>
      <c r="M1424" s="22"/>
      <c r="N1424" s="18"/>
      <c r="O1424" s="18"/>
      <c r="P1424" s="22"/>
      <c r="Q1424" s="22"/>
      <c r="R1424" s="22"/>
      <c r="S1424" s="22"/>
      <c r="T1424" s="22"/>
      <c r="U1424" s="22"/>
      <c r="V1424" s="6"/>
      <c r="W1424" s="6"/>
      <c r="X1424" s="19"/>
      <c r="Y1424" s="6"/>
      <c r="Z1424" s="6"/>
      <c r="AA1424" s="6"/>
      <c r="AB1424" s="6">
        <v>166.9642857</v>
      </c>
      <c r="AC1424" s="6"/>
      <c r="AD1424" s="6"/>
      <c r="AE1424" s="6"/>
      <c r="AF1424" s="18"/>
      <c r="AG1424" s="18"/>
      <c r="AH1424" s="18"/>
      <c r="AI1424" s="18"/>
      <c r="AK1424" s="18"/>
      <c r="AL1424" s="18"/>
      <c r="AM1424" s="18"/>
      <c r="AN1424" s="18"/>
      <c r="AO1424" s="6"/>
      <c r="AP1424" s="32"/>
      <c r="AQ1424" s="32"/>
      <c r="AR1424" s="32"/>
      <c r="AS1424" s="32"/>
      <c r="AT1424" s="32"/>
      <c r="AU1424" s="32"/>
      <c r="AV1424" s="32"/>
      <c r="AW1424" s="32"/>
      <c r="AX1424" s="32"/>
      <c r="AY1424" s="32"/>
      <c r="AZ1424" s="32"/>
      <c r="BA1424" s="32"/>
      <c r="BB1424" s="32"/>
      <c r="BC1424" s="32"/>
      <c r="BD1424" s="32"/>
      <c r="BE1424" s="32"/>
      <c r="BF1424" s="32"/>
      <c r="BG1424" s="32"/>
      <c r="BH1424" s="32"/>
      <c r="BI1424" s="32"/>
      <c r="BJ1424" s="6"/>
      <c r="BK1424" s="6"/>
      <c r="BL1424" s="6"/>
      <c r="BO1424" s="15"/>
    </row>
    <row r="1425" spans="1:67">
      <c r="A1425" s="16" t="s">
        <v>129</v>
      </c>
      <c r="B1425" s="16"/>
      <c r="C1425" s="17">
        <v>31866</v>
      </c>
      <c r="D1425" s="18">
        <v>13.785373103108018</v>
      </c>
      <c r="E1425" s="6"/>
      <c r="F1425" s="6"/>
      <c r="G1425" s="22"/>
      <c r="H1425" s="22"/>
      <c r="I1425" s="22"/>
      <c r="J1425" s="22"/>
      <c r="K1425" s="22"/>
      <c r="L1425" s="22"/>
      <c r="M1425" s="22"/>
      <c r="N1425" s="18"/>
      <c r="O1425" s="18"/>
      <c r="P1425" s="22"/>
      <c r="Q1425" s="22"/>
      <c r="R1425" s="22"/>
      <c r="S1425" s="22"/>
      <c r="T1425" s="22"/>
      <c r="U1425" s="22"/>
      <c r="V1425" s="6"/>
      <c r="W1425" s="6"/>
      <c r="X1425" s="19"/>
      <c r="Y1425" s="6"/>
      <c r="Z1425" s="6"/>
      <c r="AA1425" s="6"/>
      <c r="AB1425" s="6">
        <v>161.98979589999999</v>
      </c>
      <c r="AC1425" s="6"/>
      <c r="AD1425" s="6"/>
      <c r="AE1425" s="6"/>
      <c r="AF1425" s="18"/>
      <c r="AG1425" s="18"/>
      <c r="AH1425" s="18"/>
      <c r="AI1425" s="18"/>
      <c r="AK1425" s="18"/>
      <c r="AL1425" s="18"/>
      <c r="AM1425" s="18"/>
      <c r="AN1425" s="18"/>
      <c r="AO1425" s="6"/>
      <c r="AP1425" s="32"/>
      <c r="AQ1425" s="32"/>
      <c r="AR1425" s="32"/>
      <c r="AS1425" s="32"/>
      <c r="AT1425" s="32"/>
      <c r="AU1425" s="32"/>
      <c r="AV1425" s="32"/>
      <c r="AW1425" s="32"/>
      <c r="AX1425" s="32"/>
      <c r="AY1425" s="32"/>
      <c r="AZ1425" s="32"/>
      <c r="BA1425" s="32"/>
      <c r="BB1425" s="32"/>
      <c r="BC1425" s="32"/>
      <c r="BD1425" s="32"/>
      <c r="BE1425" s="32"/>
      <c r="BF1425" s="32"/>
      <c r="BG1425" s="32"/>
      <c r="BH1425" s="32"/>
      <c r="BI1425" s="32"/>
      <c r="BJ1425" s="6"/>
      <c r="BK1425" s="6"/>
      <c r="BL1425" s="6"/>
      <c r="BO1425" s="15"/>
    </row>
    <row r="1426" spans="1:67">
      <c r="A1426" s="16" t="s">
        <v>129</v>
      </c>
      <c r="B1426" s="16"/>
      <c r="C1426" s="17">
        <v>31878</v>
      </c>
      <c r="D1426" s="18">
        <v>13.818228014177988</v>
      </c>
      <c r="E1426" s="6"/>
      <c r="F1426" s="6"/>
      <c r="G1426" s="22"/>
      <c r="H1426" s="22"/>
      <c r="I1426" s="22"/>
      <c r="J1426" s="22"/>
      <c r="K1426" s="22"/>
      <c r="L1426" s="22"/>
      <c r="M1426" s="22"/>
      <c r="N1426" s="18"/>
      <c r="O1426" s="18"/>
      <c r="P1426" s="22"/>
      <c r="Q1426" s="22"/>
      <c r="R1426" s="22"/>
      <c r="S1426" s="22"/>
      <c r="T1426" s="22"/>
      <c r="U1426" s="22"/>
      <c r="V1426" s="6"/>
      <c r="W1426" s="6"/>
      <c r="X1426" s="19"/>
      <c r="Y1426" s="6"/>
      <c r="Z1426" s="6"/>
      <c r="AA1426" s="6"/>
      <c r="AB1426" s="6">
        <v>153.18877549999999</v>
      </c>
      <c r="AC1426" s="6"/>
      <c r="AD1426" s="6"/>
      <c r="AE1426" s="6"/>
      <c r="AF1426" s="18"/>
      <c r="AG1426" s="18"/>
      <c r="AH1426" s="18"/>
      <c r="AI1426" s="18"/>
      <c r="AK1426" s="18"/>
      <c r="AL1426" s="18"/>
      <c r="AM1426" s="18"/>
      <c r="AN1426" s="18"/>
      <c r="AO1426" s="6"/>
      <c r="AP1426" s="32"/>
      <c r="AQ1426" s="32"/>
      <c r="AR1426" s="32"/>
      <c r="AS1426" s="32"/>
      <c r="AT1426" s="32"/>
      <c r="AU1426" s="32"/>
      <c r="AV1426" s="32"/>
      <c r="AW1426" s="32"/>
      <c r="AX1426" s="32"/>
      <c r="AY1426" s="32"/>
      <c r="AZ1426" s="32"/>
      <c r="BA1426" s="32"/>
      <c r="BB1426" s="32"/>
      <c r="BC1426" s="32"/>
      <c r="BD1426" s="32"/>
      <c r="BE1426" s="32"/>
      <c r="BF1426" s="32"/>
      <c r="BG1426" s="32"/>
      <c r="BH1426" s="32"/>
      <c r="BI1426" s="32"/>
      <c r="BJ1426" s="6"/>
      <c r="BK1426" s="6"/>
      <c r="BL1426" s="6"/>
      <c r="BO1426" s="15"/>
    </row>
    <row r="1427" spans="1:67">
      <c r="A1427" s="16" t="s">
        <v>129</v>
      </c>
      <c r="B1427" s="16"/>
      <c r="C1427" s="17">
        <v>31889</v>
      </c>
      <c r="D1427" s="18">
        <v>13.848345015992127</v>
      </c>
      <c r="E1427" s="6"/>
      <c r="F1427" s="6"/>
      <c r="G1427" s="22"/>
      <c r="H1427" s="22"/>
      <c r="I1427" s="22"/>
      <c r="J1427" s="22"/>
      <c r="K1427" s="22"/>
      <c r="L1427" s="22"/>
      <c r="M1427" s="22"/>
      <c r="N1427" s="18"/>
      <c r="O1427" s="18"/>
      <c r="P1427" s="22"/>
      <c r="Q1427" s="22"/>
      <c r="R1427" s="22"/>
      <c r="S1427" s="22"/>
      <c r="T1427" s="22"/>
      <c r="U1427" s="22"/>
      <c r="V1427" s="6"/>
      <c r="W1427" s="6"/>
      <c r="X1427" s="19"/>
      <c r="Y1427" s="6"/>
      <c r="Z1427" s="6"/>
      <c r="AA1427" s="6"/>
      <c r="AB1427" s="6">
        <v>154.33673469999999</v>
      </c>
      <c r="AC1427" s="6"/>
      <c r="AD1427" s="6"/>
      <c r="AE1427" s="6"/>
      <c r="AF1427" s="18"/>
      <c r="AG1427" s="18"/>
      <c r="AH1427" s="18"/>
      <c r="AI1427" s="18"/>
      <c r="AK1427" s="18"/>
      <c r="AL1427" s="18"/>
      <c r="AM1427" s="18"/>
      <c r="AN1427" s="18"/>
      <c r="AO1427" s="6"/>
      <c r="AP1427" s="32"/>
      <c r="AQ1427" s="32"/>
      <c r="AR1427" s="32"/>
      <c r="AS1427" s="32"/>
      <c r="AT1427" s="32"/>
      <c r="AU1427" s="32"/>
      <c r="AV1427" s="32"/>
      <c r="AW1427" s="32"/>
      <c r="AX1427" s="32"/>
      <c r="AY1427" s="32"/>
      <c r="AZ1427" s="32"/>
      <c r="BA1427" s="32"/>
      <c r="BB1427" s="32"/>
      <c r="BC1427" s="32"/>
      <c r="BD1427" s="32"/>
      <c r="BE1427" s="32"/>
      <c r="BF1427" s="32"/>
      <c r="BG1427" s="32"/>
      <c r="BH1427" s="32"/>
      <c r="BI1427" s="32"/>
      <c r="BJ1427" s="6"/>
      <c r="BK1427" s="6"/>
      <c r="BL1427" s="6"/>
      <c r="BO1427" s="15"/>
    </row>
    <row r="1428" spans="1:67">
      <c r="A1428" s="16" t="s">
        <v>129</v>
      </c>
      <c r="B1428" s="16"/>
      <c r="C1428" s="17">
        <v>31904</v>
      </c>
      <c r="D1428" s="18">
        <v>13.889413654829589</v>
      </c>
      <c r="E1428" s="6"/>
      <c r="F1428" s="6"/>
      <c r="G1428" s="22"/>
      <c r="H1428" s="22"/>
      <c r="I1428" s="22"/>
      <c r="J1428" s="22"/>
      <c r="K1428" s="22"/>
      <c r="L1428" s="22"/>
      <c r="M1428" s="22"/>
      <c r="N1428" s="18"/>
      <c r="O1428" s="18"/>
      <c r="P1428" s="22"/>
      <c r="Q1428" s="22"/>
      <c r="R1428" s="22"/>
      <c r="S1428" s="22"/>
      <c r="T1428" s="22"/>
      <c r="U1428" s="22"/>
      <c r="V1428" s="6"/>
      <c r="W1428" s="6"/>
      <c r="X1428" s="19"/>
      <c r="Y1428" s="6"/>
      <c r="Z1428" s="6"/>
      <c r="AA1428" s="6"/>
      <c r="AB1428" s="6">
        <v>159.69387760000001</v>
      </c>
      <c r="AC1428" s="6"/>
      <c r="AD1428" s="6"/>
      <c r="AE1428" s="6"/>
      <c r="AF1428" s="18"/>
      <c r="AG1428" s="18"/>
      <c r="AH1428" s="18"/>
      <c r="AI1428" s="18"/>
      <c r="AK1428" s="18"/>
      <c r="AL1428" s="18"/>
      <c r="AM1428" s="18"/>
      <c r="AN1428" s="18"/>
      <c r="AO1428" s="6"/>
      <c r="AP1428" s="32"/>
      <c r="AQ1428" s="32"/>
      <c r="AR1428" s="32"/>
      <c r="AS1428" s="32"/>
      <c r="AT1428" s="32"/>
      <c r="AU1428" s="32"/>
      <c r="AV1428" s="32"/>
      <c r="AW1428" s="32"/>
      <c r="AX1428" s="32"/>
      <c r="AY1428" s="32"/>
      <c r="AZ1428" s="32"/>
      <c r="BA1428" s="32"/>
      <c r="BB1428" s="32"/>
      <c r="BC1428" s="32"/>
      <c r="BD1428" s="32"/>
      <c r="BE1428" s="32"/>
      <c r="BF1428" s="32"/>
      <c r="BG1428" s="32"/>
      <c r="BH1428" s="32"/>
      <c r="BI1428" s="32"/>
      <c r="BJ1428" s="6"/>
      <c r="BK1428" s="6"/>
      <c r="BL1428" s="6"/>
      <c r="BO1428" s="15"/>
    </row>
    <row r="1429" spans="1:67">
      <c r="A1429" s="16" t="s">
        <v>129</v>
      </c>
      <c r="B1429" s="16"/>
      <c r="C1429" s="17">
        <v>31920</v>
      </c>
      <c r="D1429" s="18">
        <v>13.933220202922881</v>
      </c>
      <c r="E1429" s="6"/>
      <c r="F1429" s="6"/>
      <c r="G1429" s="22"/>
      <c r="H1429" s="22"/>
      <c r="I1429" s="22"/>
      <c r="J1429" s="22"/>
      <c r="K1429" s="22"/>
      <c r="L1429" s="22"/>
      <c r="M1429" s="22"/>
      <c r="N1429" s="18"/>
      <c r="O1429" s="18"/>
      <c r="P1429" s="22"/>
      <c r="Q1429" s="22"/>
      <c r="R1429" s="22"/>
      <c r="S1429" s="22"/>
      <c r="T1429" s="22"/>
      <c r="U1429" s="22"/>
      <c r="V1429" s="6"/>
      <c r="W1429" s="6"/>
      <c r="X1429" s="19"/>
      <c r="Y1429" s="6"/>
      <c r="Z1429" s="6"/>
      <c r="AA1429" s="6"/>
      <c r="AB1429" s="6">
        <v>164.6683673</v>
      </c>
      <c r="AC1429" s="6"/>
      <c r="AD1429" s="6"/>
      <c r="AE1429" s="6"/>
      <c r="AF1429" s="18"/>
      <c r="AG1429" s="18"/>
      <c r="AH1429" s="18"/>
      <c r="AI1429" s="18"/>
      <c r="AK1429" s="18"/>
      <c r="AL1429" s="18"/>
      <c r="AM1429" s="18"/>
      <c r="AN1429" s="18"/>
      <c r="AO1429" s="6"/>
      <c r="AP1429" s="32"/>
      <c r="AQ1429" s="32"/>
      <c r="AR1429" s="32"/>
      <c r="AS1429" s="32"/>
      <c r="AT1429" s="32"/>
      <c r="AU1429" s="32"/>
      <c r="AV1429" s="32"/>
      <c r="AW1429" s="32"/>
      <c r="AX1429" s="32"/>
      <c r="AY1429" s="32"/>
      <c r="AZ1429" s="32"/>
      <c r="BA1429" s="32"/>
      <c r="BB1429" s="32"/>
      <c r="BC1429" s="32"/>
      <c r="BD1429" s="32"/>
      <c r="BE1429" s="32"/>
      <c r="BF1429" s="32"/>
      <c r="BG1429" s="32"/>
      <c r="BH1429" s="32"/>
      <c r="BI1429" s="32"/>
      <c r="BJ1429" s="6"/>
      <c r="BK1429" s="6"/>
      <c r="BL1429" s="6"/>
      <c r="BO1429" s="15"/>
    </row>
    <row r="1430" spans="1:67">
      <c r="A1430" s="16" t="s">
        <v>129</v>
      </c>
      <c r="B1430" s="16"/>
      <c r="C1430" s="17">
        <v>31937</v>
      </c>
      <c r="D1430" s="18">
        <v>13.979764660272005</v>
      </c>
      <c r="E1430" s="6"/>
      <c r="F1430" s="6"/>
      <c r="G1430" s="22"/>
      <c r="H1430" s="22"/>
      <c r="I1430" s="22"/>
      <c r="J1430" s="22"/>
      <c r="K1430" s="22"/>
      <c r="L1430" s="22"/>
      <c r="M1430" s="22"/>
      <c r="N1430" s="18"/>
      <c r="O1430" s="18"/>
      <c r="P1430" s="22"/>
      <c r="Q1430" s="22"/>
      <c r="R1430" s="22"/>
      <c r="S1430" s="22"/>
      <c r="T1430" s="22"/>
      <c r="U1430" s="22"/>
      <c r="V1430" s="6"/>
      <c r="W1430" s="6"/>
      <c r="X1430" s="19"/>
      <c r="Y1430" s="6"/>
      <c r="Z1430" s="6"/>
      <c r="AA1430" s="6"/>
      <c r="AB1430" s="6">
        <v>163.13775509999999</v>
      </c>
      <c r="AC1430" s="6"/>
      <c r="AD1430" s="6"/>
      <c r="AE1430" s="6"/>
      <c r="AF1430" s="18"/>
      <c r="AG1430" s="18"/>
      <c r="AH1430" s="18"/>
      <c r="AI1430" s="18"/>
      <c r="AK1430" s="18"/>
      <c r="AL1430" s="18"/>
      <c r="AM1430" s="18"/>
      <c r="AN1430" s="18"/>
      <c r="AO1430" s="6"/>
      <c r="AP1430" s="32"/>
      <c r="AQ1430" s="32"/>
      <c r="AR1430" s="32"/>
      <c r="AS1430" s="32"/>
      <c r="AT1430" s="32"/>
      <c r="AU1430" s="32"/>
      <c r="AV1430" s="32"/>
      <c r="AW1430" s="32"/>
      <c r="AX1430" s="32"/>
      <c r="AY1430" s="32"/>
      <c r="AZ1430" s="32"/>
      <c r="BA1430" s="32"/>
      <c r="BB1430" s="32"/>
      <c r="BC1430" s="32"/>
      <c r="BD1430" s="32"/>
      <c r="BE1430" s="32"/>
      <c r="BF1430" s="32"/>
      <c r="BG1430" s="32"/>
      <c r="BH1430" s="32"/>
      <c r="BI1430" s="32"/>
      <c r="BJ1430" s="6"/>
      <c r="BK1430" s="6"/>
      <c r="BL1430" s="6"/>
      <c r="BO1430" s="15"/>
    </row>
    <row r="1431" spans="1:67">
      <c r="A1431" s="16" t="s">
        <v>129</v>
      </c>
      <c r="B1431" s="16"/>
      <c r="C1431" s="17">
        <v>31944</v>
      </c>
      <c r="D1431" s="18">
        <v>13.998930025062821</v>
      </c>
      <c r="E1431" s="6"/>
      <c r="F1431" s="6"/>
      <c r="G1431" s="22"/>
      <c r="H1431" s="22"/>
      <c r="I1431" s="22"/>
      <c r="J1431" s="22"/>
      <c r="K1431" s="22"/>
      <c r="L1431" s="22"/>
      <c r="M1431" s="22"/>
      <c r="N1431" s="18"/>
      <c r="O1431" s="18"/>
      <c r="P1431" s="22"/>
      <c r="Q1431" s="22"/>
      <c r="R1431" s="22"/>
      <c r="S1431" s="22"/>
      <c r="T1431" s="22"/>
      <c r="U1431" s="22"/>
      <c r="V1431" s="6"/>
      <c r="W1431" s="6"/>
      <c r="X1431" s="19"/>
      <c r="Y1431" s="6"/>
      <c r="Z1431" s="6"/>
      <c r="AA1431" s="6"/>
      <c r="AB1431" s="6">
        <v>188.39285709999999</v>
      </c>
      <c r="AC1431" s="6"/>
      <c r="AD1431" s="6"/>
      <c r="AE1431" s="6"/>
      <c r="AF1431" s="18"/>
      <c r="AG1431" s="18"/>
      <c r="AH1431" s="18"/>
      <c r="AI1431" s="18"/>
      <c r="AK1431" s="18"/>
      <c r="AL1431" s="18"/>
      <c r="AM1431" s="18"/>
      <c r="AN1431" s="18"/>
      <c r="AO1431" s="6"/>
      <c r="AP1431" s="32"/>
      <c r="AQ1431" s="32"/>
      <c r="AR1431" s="32"/>
      <c r="AS1431" s="32"/>
      <c r="AT1431" s="32"/>
      <c r="AU1431" s="32"/>
      <c r="AV1431" s="32"/>
      <c r="AW1431" s="32"/>
      <c r="AX1431" s="32"/>
      <c r="AY1431" s="32"/>
      <c r="AZ1431" s="32"/>
      <c r="BA1431" s="32"/>
      <c r="BB1431" s="32"/>
      <c r="BC1431" s="32"/>
      <c r="BD1431" s="32"/>
      <c r="BE1431" s="32"/>
      <c r="BF1431" s="32"/>
      <c r="BG1431" s="32"/>
      <c r="BH1431" s="32"/>
      <c r="BI1431" s="32"/>
      <c r="BJ1431" s="6"/>
      <c r="BK1431" s="6"/>
      <c r="BL1431" s="6"/>
      <c r="BO1431" s="15"/>
    </row>
    <row r="1432" spans="1:67">
      <c r="A1432" s="16" t="s">
        <v>129</v>
      </c>
      <c r="B1432" s="16"/>
      <c r="C1432" s="17">
        <v>31966</v>
      </c>
      <c r="D1432" s="18">
        <v>14.059164028691098</v>
      </c>
      <c r="E1432" s="6"/>
      <c r="F1432" s="6"/>
      <c r="G1432" s="22"/>
      <c r="H1432" s="22"/>
      <c r="I1432" s="22"/>
      <c r="J1432" s="22"/>
      <c r="K1432" s="22"/>
      <c r="L1432" s="22"/>
      <c r="M1432" s="22"/>
      <c r="N1432" s="18"/>
      <c r="O1432" s="18"/>
      <c r="P1432" s="22"/>
      <c r="Q1432" s="22"/>
      <c r="R1432" s="22"/>
      <c r="S1432" s="22"/>
      <c r="T1432" s="22"/>
      <c r="U1432" s="22"/>
      <c r="V1432" s="6"/>
      <c r="W1432" s="6"/>
      <c r="X1432" s="19"/>
      <c r="Y1432" s="6"/>
      <c r="Z1432" s="6"/>
      <c r="AA1432" s="6"/>
      <c r="AB1432" s="6">
        <v>184.5663265</v>
      </c>
      <c r="AC1432" s="6"/>
      <c r="AD1432" s="6"/>
      <c r="AE1432" s="6"/>
      <c r="AF1432" s="18"/>
      <c r="AG1432" s="18"/>
      <c r="AH1432" s="18"/>
      <c r="AI1432" s="18"/>
      <c r="AK1432" s="18"/>
      <c r="AL1432" s="18"/>
      <c r="AM1432" s="18"/>
      <c r="AN1432" s="18"/>
      <c r="AO1432" s="6"/>
      <c r="AP1432" s="32"/>
      <c r="AQ1432" s="32"/>
      <c r="AR1432" s="32"/>
      <c r="AS1432" s="32"/>
      <c r="AT1432" s="32"/>
      <c r="AU1432" s="32"/>
      <c r="AV1432" s="32"/>
      <c r="AW1432" s="32"/>
      <c r="AX1432" s="32"/>
      <c r="AY1432" s="32"/>
      <c r="AZ1432" s="32"/>
      <c r="BA1432" s="32"/>
      <c r="BB1432" s="32"/>
      <c r="BC1432" s="32"/>
      <c r="BD1432" s="32"/>
      <c r="BE1432" s="32"/>
      <c r="BF1432" s="32"/>
      <c r="BG1432" s="32"/>
      <c r="BH1432" s="32"/>
      <c r="BI1432" s="32"/>
      <c r="BJ1432" s="6"/>
      <c r="BK1432" s="6"/>
      <c r="BL1432" s="6"/>
      <c r="BO1432" s="15"/>
    </row>
    <row r="1433" spans="1:67">
      <c r="A1433" s="16" t="s">
        <v>129</v>
      </c>
      <c r="B1433" s="16"/>
      <c r="C1433" s="17">
        <v>31971</v>
      </c>
      <c r="D1433" s="18">
        <v>14.072853574970251</v>
      </c>
      <c r="E1433" s="6"/>
      <c r="F1433" s="6"/>
      <c r="G1433" s="22"/>
      <c r="H1433" s="22"/>
      <c r="I1433" s="22"/>
      <c r="J1433" s="22"/>
      <c r="K1433" s="22"/>
      <c r="L1433" s="22"/>
      <c r="M1433" s="22"/>
      <c r="N1433" s="18"/>
      <c r="O1433" s="18"/>
      <c r="P1433" s="22"/>
      <c r="Q1433" s="22"/>
      <c r="R1433" s="22"/>
      <c r="S1433" s="22"/>
      <c r="T1433" s="22"/>
      <c r="U1433" s="22"/>
      <c r="V1433" s="6"/>
      <c r="W1433" s="6"/>
      <c r="X1433" s="19"/>
      <c r="Y1433" s="6"/>
      <c r="Z1433" s="6"/>
      <c r="AA1433" s="6"/>
      <c r="AB1433" s="6">
        <v>176.91326530000001</v>
      </c>
      <c r="AC1433" s="6"/>
      <c r="AD1433" s="6"/>
      <c r="AE1433" s="6"/>
      <c r="AF1433" s="18"/>
      <c r="AG1433" s="18"/>
      <c r="AH1433" s="18"/>
      <c r="AI1433" s="18"/>
      <c r="AK1433" s="18"/>
      <c r="AL1433" s="18"/>
      <c r="AM1433" s="18"/>
      <c r="AN1433" s="18"/>
      <c r="AO1433" s="6"/>
      <c r="AP1433" s="32"/>
      <c r="AQ1433" s="32"/>
      <c r="AR1433" s="32"/>
      <c r="AS1433" s="32"/>
      <c r="AT1433" s="32"/>
      <c r="AU1433" s="32"/>
      <c r="AV1433" s="32"/>
      <c r="AW1433" s="32"/>
      <c r="AX1433" s="32"/>
      <c r="AY1433" s="32"/>
      <c r="AZ1433" s="32"/>
      <c r="BA1433" s="32"/>
      <c r="BB1433" s="32"/>
      <c r="BC1433" s="32"/>
      <c r="BD1433" s="32"/>
      <c r="BE1433" s="32"/>
      <c r="BF1433" s="32"/>
      <c r="BG1433" s="32"/>
      <c r="BH1433" s="32"/>
      <c r="BI1433" s="32"/>
      <c r="BJ1433" s="6"/>
      <c r="BK1433" s="6"/>
      <c r="BL1433" s="6"/>
      <c r="BO1433" s="15"/>
    </row>
    <row r="1434" spans="1:67">
      <c r="A1434" s="16" t="s">
        <v>129</v>
      </c>
      <c r="B1434" s="16"/>
      <c r="C1434" s="17">
        <v>31988</v>
      </c>
      <c r="D1434" s="18">
        <v>14.119398032319374</v>
      </c>
      <c r="E1434" s="6"/>
      <c r="F1434" s="6"/>
      <c r="G1434" s="22"/>
      <c r="H1434" s="22"/>
      <c r="I1434" s="22"/>
      <c r="J1434" s="22"/>
      <c r="K1434" s="22"/>
      <c r="L1434" s="22"/>
      <c r="M1434" s="22"/>
      <c r="N1434" s="18"/>
      <c r="O1434" s="18"/>
      <c r="P1434" s="22"/>
      <c r="Q1434" s="22"/>
      <c r="R1434" s="22"/>
      <c r="S1434" s="22"/>
      <c r="T1434" s="22"/>
      <c r="U1434" s="22"/>
      <c r="V1434" s="6"/>
      <c r="W1434" s="6"/>
      <c r="X1434" s="19"/>
      <c r="Y1434" s="6"/>
      <c r="Z1434" s="6"/>
      <c r="AA1434" s="6"/>
      <c r="AB1434" s="6">
        <v>199.87244899999999</v>
      </c>
      <c r="AC1434" s="6"/>
      <c r="AD1434" s="6"/>
      <c r="AE1434" s="6"/>
      <c r="AF1434" s="18"/>
      <c r="AG1434" s="18"/>
      <c r="AH1434" s="18"/>
      <c r="AI1434" s="18"/>
      <c r="AK1434" s="18"/>
      <c r="AL1434" s="18"/>
      <c r="AM1434" s="18"/>
      <c r="AN1434" s="18"/>
      <c r="AO1434" s="6"/>
      <c r="AP1434" s="32"/>
      <c r="AQ1434" s="32"/>
      <c r="AR1434" s="32"/>
      <c r="AS1434" s="32"/>
      <c r="AT1434" s="32"/>
      <c r="AU1434" s="32"/>
      <c r="AV1434" s="32"/>
      <c r="AW1434" s="32"/>
      <c r="AX1434" s="32"/>
      <c r="AY1434" s="32"/>
      <c r="AZ1434" s="32"/>
      <c r="BA1434" s="32"/>
      <c r="BB1434" s="32"/>
      <c r="BC1434" s="32"/>
      <c r="BD1434" s="32"/>
      <c r="BE1434" s="32"/>
      <c r="BF1434" s="32"/>
      <c r="BG1434" s="32"/>
      <c r="BH1434" s="32"/>
      <c r="BI1434" s="32"/>
      <c r="BJ1434" s="6"/>
      <c r="BK1434" s="6"/>
      <c r="BL1434" s="6"/>
      <c r="BO1434" s="15"/>
    </row>
    <row r="1435" spans="1:67">
      <c r="A1435" s="16" t="s">
        <v>129</v>
      </c>
      <c r="B1435" s="16"/>
      <c r="C1435" s="17">
        <v>32002</v>
      </c>
      <c r="D1435" s="18">
        <v>14.157728761901007</v>
      </c>
      <c r="E1435" s="6"/>
      <c r="F1435" s="6"/>
      <c r="G1435" s="22"/>
      <c r="H1435" s="22"/>
      <c r="I1435" s="22"/>
      <c r="J1435" s="22"/>
      <c r="K1435" s="22"/>
      <c r="L1435" s="22"/>
      <c r="M1435" s="22"/>
      <c r="N1435" s="18"/>
      <c r="O1435" s="18"/>
      <c r="P1435" s="22"/>
      <c r="Q1435" s="22"/>
      <c r="R1435" s="22"/>
      <c r="S1435" s="22"/>
      <c r="T1435" s="22"/>
      <c r="U1435" s="22"/>
      <c r="V1435" s="6"/>
      <c r="W1435" s="6"/>
      <c r="X1435" s="19"/>
      <c r="Y1435" s="6"/>
      <c r="Z1435" s="6"/>
      <c r="AA1435" s="6"/>
      <c r="AB1435" s="6">
        <v>199.87244899999999</v>
      </c>
      <c r="AC1435" s="6"/>
      <c r="AD1435" s="6"/>
      <c r="AE1435" s="6"/>
      <c r="AF1435" s="18"/>
      <c r="AG1435" s="18"/>
      <c r="AH1435" s="18"/>
      <c r="AI1435" s="18"/>
      <c r="AK1435" s="18"/>
      <c r="AL1435" s="18"/>
      <c r="AM1435" s="18"/>
      <c r="AN1435" s="18"/>
      <c r="AO1435" s="6"/>
      <c r="AP1435" s="32"/>
      <c r="AQ1435" s="32"/>
      <c r="AR1435" s="32"/>
      <c r="AS1435" s="32"/>
      <c r="AT1435" s="32"/>
      <c r="AU1435" s="32"/>
      <c r="AV1435" s="32"/>
      <c r="AW1435" s="32"/>
      <c r="AX1435" s="32"/>
      <c r="AY1435" s="32"/>
      <c r="AZ1435" s="32"/>
      <c r="BA1435" s="32"/>
      <c r="BB1435" s="32"/>
      <c r="BC1435" s="32"/>
      <c r="BD1435" s="32"/>
      <c r="BE1435" s="32"/>
      <c r="BF1435" s="32"/>
      <c r="BG1435" s="32"/>
      <c r="BH1435" s="32"/>
      <c r="BI1435" s="32"/>
      <c r="BJ1435" s="6"/>
      <c r="BK1435" s="6"/>
      <c r="BL1435" s="6"/>
      <c r="BO1435" s="15"/>
    </row>
    <row r="1436" spans="1:67">
      <c r="A1436" s="16" t="s">
        <v>129</v>
      </c>
      <c r="B1436" s="16"/>
      <c r="C1436" s="17">
        <v>32033</v>
      </c>
      <c r="D1436" s="18">
        <v>14.242603948831761</v>
      </c>
      <c r="E1436" s="6"/>
      <c r="F1436" s="6"/>
      <c r="G1436" s="22"/>
      <c r="H1436" s="22"/>
      <c r="I1436" s="22"/>
      <c r="J1436" s="22"/>
      <c r="K1436" s="22"/>
      <c r="L1436" s="22"/>
      <c r="M1436" s="22"/>
      <c r="N1436" s="18"/>
      <c r="O1436" s="18"/>
      <c r="P1436" s="22"/>
      <c r="Q1436" s="22"/>
      <c r="R1436" s="22"/>
      <c r="S1436" s="22"/>
      <c r="T1436" s="22"/>
      <c r="U1436" s="22"/>
      <c r="V1436" s="6"/>
      <c r="W1436" s="6"/>
      <c r="X1436" s="19"/>
      <c r="Y1436" s="6"/>
      <c r="Z1436" s="6"/>
      <c r="AA1436" s="6"/>
      <c r="AB1436" s="6">
        <v>194.8979592</v>
      </c>
      <c r="AC1436" s="6"/>
      <c r="AD1436" s="6"/>
      <c r="AE1436" s="6"/>
      <c r="AF1436" s="18"/>
      <c r="AG1436" s="18"/>
      <c r="AH1436" s="18"/>
      <c r="AI1436" s="18"/>
      <c r="AK1436" s="18"/>
      <c r="AL1436" s="18"/>
      <c r="AM1436" s="18"/>
      <c r="AN1436" s="18"/>
      <c r="AO1436" s="6"/>
      <c r="AP1436" s="32"/>
      <c r="AQ1436" s="32"/>
      <c r="AR1436" s="32"/>
      <c r="AS1436" s="32"/>
      <c r="AT1436" s="32"/>
      <c r="AU1436" s="32"/>
      <c r="AV1436" s="32"/>
      <c r="AW1436" s="32"/>
      <c r="AX1436" s="32"/>
      <c r="AY1436" s="32"/>
      <c r="AZ1436" s="32"/>
      <c r="BA1436" s="32"/>
      <c r="BB1436" s="32"/>
      <c r="BC1436" s="32"/>
      <c r="BD1436" s="32"/>
      <c r="BE1436" s="32"/>
      <c r="BF1436" s="32"/>
      <c r="BG1436" s="32"/>
      <c r="BH1436" s="32"/>
      <c r="BI1436" s="32"/>
      <c r="BJ1436" s="6"/>
      <c r="BK1436" s="6"/>
      <c r="BL1436" s="6"/>
      <c r="BO1436" s="15"/>
    </row>
    <row r="1437" spans="1:67">
      <c r="A1437" s="16" t="s">
        <v>129</v>
      </c>
      <c r="B1437" s="16"/>
      <c r="C1437" s="17">
        <v>32045</v>
      </c>
      <c r="D1437" s="18">
        <v>14.275458859901731</v>
      </c>
      <c r="E1437" s="6"/>
      <c r="F1437" s="6"/>
      <c r="G1437" s="22"/>
      <c r="H1437" s="22"/>
      <c r="I1437" s="22"/>
      <c r="J1437" s="22"/>
      <c r="K1437" s="22"/>
      <c r="L1437" s="22"/>
      <c r="M1437" s="22"/>
      <c r="N1437" s="18"/>
      <c r="O1437" s="18"/>
      <c r="P1437" s="22"/>
      <c r="Q1437" s="22"/>
      <c r="R1437" s="22"/>
      <c r="S1437" s="22"/>
      <c r="T1437" s="22"/>
      <c r="U1437" s="22"/>
      <c r="V1437" s="6"/>
      <c r="W1437" s="6"/>
      <c r="X1437" s="19"/>
      <c r="Y1437" s="6"/>
      <c r="Z1437" s="6"/>
      <c r="AA1437" s="6"/>
      <c r="AB1437" s="6">
        <v>173.08673469999999</v>
      </c>
      <c r="AC1437" s="6"/>
      <c r="AD1437" s="6"/>
      <c r="AE1437" s="6"/>
      <c r="AF1437" s="18"/>
      <c r="AG1437" s="18"/>
      <c r="AH1437" s="18"/>
      <c r="AI1437" s="18"/>
      <c r="AK1437" s="18"/>
      <c r="AL1437" s="18"/>
      <c r="AM1437" s="18"/>
      <c r="AN1437" s="18"/>
      <c r="AO1437" s="6"/>
      <c r="AP1437" s="32"/>
      <c r="AQ1437" s="32"/>
      <c r="AR1437" s="32"/>
      <c r="AS1437" s="32"/>
      <c r="AT1437" s="32"/>
      <c r="AU1437" s="32"/>
      <c r="AV1437" s="32"/>
      <c r="AW1437" s="32"/>
      <c r="AX1437" s="32"/>
      <c r="AY1437" s="32"/>
      <c r="AZ1437" s="32"/>
      <c r="BA1437" s="32"/>
      <c r="BB1437" s="32"/>
      <c r="BC1437" s="32"/>
      <c r="BD1437" s="32"/>
      <c r="BE1437" s="32"/>
      <c r="BF1437" s="32"/>
      <c r="BG1437" s="32"/>
      <c r="BH1437" s="32"/>
      <c r="BI1437" s="32"/>
      <c r="BJ1437" s="6"/>
      <c r="BK1437" s="6"/>
      <c r="BL1437" s="6"/>
      <c r="BO1437" s="15"/>
    </row>
    <row r="1438" spans="1:67">
      <c r="A1438" s="16" t="s">
        <v>129</v>
      </c>
      <c r="B1438" s="16"/>
      <c r="C1438" s="17">
        <v>32067</v>
      </c>
      <c r="D1438" s="18">
        <v>14.335692863530006</v>
      </c>
      <c r="E1438" s="6"/>
      <c r="F1438" s="6"/>
      <c r="G1438" s="22"/>
      <c r="H1438" s="22"/>
      <c r="I1438" s="22"/>
      <c r="J1438" s="22"/>
      <c r="K1438" s="22"/>
      <c r="L1438" s="22"/>
      <c r="M1438" s="22"/>
      <c r="N1438" s="18"/>
      <c r="O1438" s="18"/>
      <c r="P1438" s="22"/>
      <c r="Q1438" s="22"/>
      <c r="R1438" s="22"/>
      <c r="S1438" s="22"/>
      <c r="T1438" s="22"/>
      <c r="U1438" s="22"/>
      <c r="V1438" s="6"/>
      <c r="W1438" s="6"/>
      <c r="X1438" s="19"/>
      <c r="Y1438" s="6"/>
      <c r="Z1438" s="6"/>
      <c r="AA1438" s="6"/>
      <c r="AB1438" s="6">
        <v>158.16326530000001</v>
      </c>
      <c r="AC1438" s="6"/>
      <c r="AD1438" s="6"/>
      <c r="AE1438" s="6"/>
      <c r="AF1438" s="18"/>
      <c r="AG1438" s="18"/>
      <c r="AH1438" s="18"/>
      <c r="AI1438" s="18"/>
      <c r="AK1438" s="18"/>
      <c r="AL1438" s="18"/>
      <c r="AM1438" s="18"/>
      <c r="AN1438" s="18"/>
      <c r="AO1438" s="6"/>
      <c r="AP1438" s="32"/>
      <c r="AQ1438" s="32"/>
      <c r="AR1438" s="32"/>
      <c r="AS1438" s="32"/>
      <c r="AT1438" s="32"/>
      <c r="AU1438" s="32"/>
      <c r="AV1438" s="32"/>
      <c r="AW1438" s="32"/>
      <c r="AX1438" s="32"/>
      <c r="AY1438" s="32"/>
      <c r="AZ1438" s="32"/>
      <c r="BA1438" s="32"/>
      <c r="BB1438" s="32"/>
      <c r="BC1438" s="32"/>
      <c r="BD1438" s="32"/>
      <c r="BE1438" s="32"/>
      <c r="BF1438" s="32"/>
      <c r="BG1438" s="32"/>
      <c r="BH1438" s="32"/>
      <c r="BI1438" s="32"/>
      <c r="BJ1438" s="6"/>
      <c r="BK1438" s="6"/>
      <c r="BL1438" s="6"/>
      <c r="BO1438" s="15"/>
    </row>
    <row r="1439" spans="1:67">
      <c r="A1439" s="16" t="s">
        <v>129</v>
      </c>
      <c r="B1439" s="16"/>
      <c r="C1439" s="17">
        <v>32076</v>
      </c>
      <c r="D1439" s="18">
        <v>14.360334046832484</v>
      </c>
      <c r="E1439" s="6"/>
      <c r="F1439" s="6"/>
      <c r="G1439" s="22"/>
      <c r="H1439" s="22"/>
      <c r="I1439" s="22"/>
      <c r="J1439" s="22"/>
      <c r="K1439" s="22"/>
      <c r="L1439" s="22"/>
      <c r="M1439" s="22"/>
      <c r="N1439" s="18"/>
      <c r="O1439" s="18"/>
      <c r="P1439" s="22"/>
      <c r="Q1439" s="22"/>
      <c r="R1439" s="22"/>
      <c r="S1439" s="22"/>
      <c r="T1439" s="22"/>
      <c r="U1439" s="22"/>
      <c r="V1439" s="6"/>
      <c r="W1439" s="6"/>
      <c r="X1439" s="19"/>
      <c r="Y1439" s="6"/>
      <c r="Z1439" s="6"/>
      <c r="AA1439" s="6"/>
      <c r="AB1439" s="6">
        <v>166.5816327</v>
      </c>
      <c r="AC1439" s="6"/>
      <c r="AD1439" s="6"/>
      <c r="AE1439" s="6"/>
      <c r="AF1439" s="18"/>
      <c r="AG1439" s="18"/>
      <c r="AH1439" s="18"/>
      <c r="AI1439" s="18"/>
      <c r="AK1439" s="18"/>
      <c r="AL1439" s="18"/>
      <c r="AM1439" s="18"/>
      <c r="AN1439" s="18"/>
      <c r="AO1439" s="6"/>
      <c r="AP1439" s="32"/>
      <c r="AQ1439" s="32"/>
      <c r="AR1439" s="32"/>
      <c r="AS1439" s="32"/>
      <c r="AT1439" s="32"/>
      <c r="AU1439" s="32"/>
      <c r="AV1439" s="32"/>
      <c r="AW1439" s="32"/>
      <c r="AX1439" s="32"/>
      <c r="AY1439" s="32"/>
      <c r="AZ1439" s="32"/>
      <c r="BA1439" s="32"/>
      <c r="BB1439" s="32"/>
      <c r="BC1439" s="32"/>
      <c r="BD1439" s="32"/>
      <c r="BE1439" s="32"/>
      <c r="BF1439" s="32"/>
      <c r="BG1439" s="32"/>
      <c r="BH1439" s="32"/>
      <c r="BI1439" s="32"/>
      <c r="BJ1439" s="6"/>
      <c r="BK1439" s="6"/>
      <c r="BL1439" s="6"/>
      <c r="BO1439" s="15"/>
    </row>
    <row r="1440" spans="1:67">
      <c r="A1440" s="16" t="s">
        <v>129</v>
      </c>
      <c r="B1440" s="16"/>
      <c r="C1440" s="17">
        <v>32095</v>
      </c>
      <c r="D1440" s="18">
        <v>14.41235432269327</v>
      </c>
      <c r="E1440" s="6"/>
      <c r="F1440" s="6"/>
      <c r="G1440" s="22"/>
      <c r="H1440" s="22"/>
      <c r="I1440" s="22"/>
      <c r="J1440" s="22"/>
      <c r="K1440" s="22"/>
      <c r="L1440" s="22"/>
      <c r="M1440" s="22"/>
      <c r="N1440" s="18"/>
      <c r="O1440" s="18"/>
      <c r="P1440" s="22"/>
      <c r="Q1440" s="22"/>
      <c r="R1440" s="22"/>
      <c r="S1440" s="22"/>
      <c r="T1440" s="22"/>
      <c r="U1440" s="22"/>
      <c r="V1440" s="6"/>
      <c r="W1440" s="6"/>
      <c r="X1440" s="19"/>
      <c r="Y1440" s="6"/>
      <c r="Z1440" s="6"/>
      <c r="AA1440" s="6"/>
      <c r="AB1440" s="6">
        <v>167.72959180000001</v>
      </c>
      <c r="AC1440" s="6"/>
      <c r="AD1440" s="6"/>
      <c r="AE1440" s="6"/>
      <c r="AF1440" s="18"/>
      <c r="AG1440" s="18"/>
      <c r="AH1440" s="18"/>
      <c r="AI1440" s="18"/>
      <c r="AK1440" s="18"/>
      <c r="AL1440" s="18"/>
      <c r="AM1440" s="18"/>
      <c r="AN1440" s="18"/>
      <c r="AO1440" s="6"/>
      <c r="AP1440" s="32"/>
      <c r="AQ1440" s="32"/>
      <c r="AR1440" s="32"/>
      <c r="AS1440" s="32"/>
      <c r="AT1440" s="32"/>
      <c r="AU1440" s="32"/>
      <c r="AV1440" s="32"/>
      <c r="AW1440" s="32"/>
      <c r="AX1440" s="32"/>
      <c r="AY1440" s="32"/>
      <c r="AZ1440" s="32"/>
      <c r="BA1440" s="32"/>
      <c r="BB1440" s="32"/>
      <c r="BC1440" s="32"/>
      <c r="BD1440" s="32"/>
      <c r="BE1440" s="32"/>
      <c r="BF1440" s="32"/>
      <c r="BG1440" s="32"/>
      <c r="BH1440" s="32"/>
      <c r="BI1440" s="32"/>
      <c r="BJ1440" s="6"/>
      <c r="BK1440" s="6"/>
      <c r="BL1440" s="6"/>
      <c r="BO1440" s="15"/>
    </row>
    <row r="1441" spans="1:67">
      <c r="A1441" s="16" t="s">
        <v>129</v>
      </c>
      <c r="B1441" s="16"/>
      <c r="C1441" s="17">
        <v>32109</v>
      </c>
      <c r="D1441" s="18">
        <v>14.450685052274901</v>
      </c>
      <c r="E1441" s="6"/>
      <c r="F1441" s="6"/>
      <c r="G1441" s="22"/>
      <c r="H1441" s="22"/>
      <c r="I1441" s="22"/>
      <c r="J1441" s="22"/>
      <c r="K1441" s="22"/>
      <c r="L1441" s="22"/>
      <c r="M1441" s="22"/>
      <c r="N1441" s="18"/>
      <c r="O1441" s="18"/>
      <c r="P1441" s="22"/>
      <c r="Q1441" s="22"/>
      <c r="R1441" s="22"/>
      <c r="S1441" s="22"/>
      <c r="T1441" s="22"/>
      <c r="U1441" s="22"/>
      <c r="V1441" s="6"/>
      <c r="W1441" s="6"/>
      <c r="X1441" s="19"/>
      <c r="Y1441" s="6"/>
      <c r="Z1441" s="6"/>
      <c r="AA1441" s="6"/>
      <c r="AB1441" s="6">
        <v>162.37244899999999</v>
      </c>
      <c r="AC1441" s="6"/>
      <c r="AD1441" s="6"/>
      <c r="AE1441" s="6"/>
      <c r="AF1441" s="18"/>
      <c r="AG1441" s="18"/>
      <c r="AH1441" s="18"/>
      <c r="AI1441" s="18"/>
      <c r="AK1441" s="18"/>
      <c r="AL1441" s="18"/>
      <c r="AM1441" s="18"/>
      <c r="AN1441" s="18"/>
      <c r="AO1441" s="6"/>
      <c r="AP1441" s="32"/>
      <c r="AQ1441" s="32"/>
      <c r="AR1441" s="32"/>
      <c r="AS1441" s="32"/>
      <c r="AT1441" s="32"/>
      <c r="AU1441" s="32"/>
      <c r="AV1441" s="32"/>
      <c r="AW1441" s="32"/>
      <c r="AX1441" s="32"/>
      <c r="AY1441" s="32"/>
      <c r="AZ1441" s="32"/>
      <c r="BA1441" s="32"/>
      <c r="BB1441" s="32"/>
      <c r="BC1441" s="32"/>
      <c r="BD1441" s="32"/>
      <c r="BE1441" s="32"/>
      <c r="BF1441" s="32"/>
      <c r="BG1441" s="32"/>
      <c r="BH1441" s="32"/>
      <c r="BI1441" s="32"/>
      <c r="BJ1441" s="6"/>
      <c r="BK1441" s="6"/>
      <c r="BL1441" s="6"/>
      <c r="BO1441" s="15"/>
    </row>
    <row r="1442" spans="1:67">
      <c r="A1442" s="16" t="s">
        <v>129</v>
      </c>
      <c r="B1442" s="16"/>
      <c r="C1442" s="17">
        <v>32117</v>
      </c>
      <c r="D1442" s="18">
        <v>14.472588326321548</v>
      </c>
      <c r="E1442" s="6"/>
      <c r="F1442" s="6"/>
      <c r="G1442" s="22"/>
      <c r="H1442" s="22"/>
      <c r="I1442" s="22"/>
      <c r="J1442" s="22"/>
      <c r="K1442" s="22"/>
      <c r="L1442" s="22"/>
      <c r="M1442" s="22"/>
      <c r="N1442" s="18"/>
      <c r="O1442" s="18"/>
      <c r="P1442" s="22"/>
      <c r="Q1442" s="22"/>
      <c r="R1442" s="22"/>
      <c r="S1442" s="22"/>
      <c r="T1442" s="22"/>
      <c r="U1442" s="22"/>
      <c r="V1442" s="6"/>
      <c r="W1442" s="6"/>
      <c r="X1442" s="19"/>
      <c r="Y1442" s="6"/>
      <c r="Z1442" s="6"/>
      <c r="AA1442" s="6"/>
      <c r="AB1442" s="6">
        <v>154.33673469999999</v>
      </c>
      <c r="AC1442" s="6"/>
      <c r="AD1442" s="6"/>
      <c r="AE1442" s="6"/>
      <c r="AF1442" s="18"/>
      <c r="AG1442" s="18"/>
      <c r="AH1442" s="18"/>
      <c r="AI1442" s="18"/>
      <c r="AK1442" s="18"/>
      <c r="AL1442" s="18"/>
      <c r="AM1442" s="18"/>
      <c r="AN1442" s="18"/>
      <c r="AO1442" s="6"/>
      <c r="AP1442" s="32"/>
      <c r="AQ1442" s="32"/>
      <c r="AR1442" s="32"/>
      <c r="AS1442" s="32"/>
      <c r="AT1442" s="32"/>
      <c r="AU1442" s="32"/>
      <c r="AV1442" s="32"/>
      <c r="AW1442" s="32"/>
      <c r="AX1442" s="32"/>
      <c r="AY1442" s="32"/>
      <c r="AZ1442" s="32"/>
      <c r="BA1442" s="32"/>
      <c r="BB1442" s="32"/>
      <c r="BC1442" s="32"/>
      <c r="BD1442" s="32"/>
      <c r="BE1442" s="32"/>
      <c r="BF1442" s="32"/>
      <c r="BG1442" s="32"/>
      <c r="BH1442" s="32"/>
      <c r="BI1442" s="32"/>
      <c r="BJ1442" s="6"/>
      <c r="BK1442" s="6"/>
      <c r="BL1442" s="6"/>
      <c r="BO1442" s="15"/>
    </row>
    <row r="1443" spans="1:67">
      <c r="A1443" s="16" t="s">
        <v>129</v>
      </c>
      <c r="B1443" s="16"/>
      <c r="C1443" s="17">
        <v>32133</v>
      </c>
      <c r="D1443" s="18">
        <v>14.516394874414839</v>
      </c>
      <c r="E1443" s="6"/>
      <c r="F1443" s="6"/>
      <c r="G1443" s="22"/>
      <c r="H1443" s="22"/>
      <c r="I1443" s="22"/>
      <c r="J1443" s="22"/>
      <c r="K1443" s="22"/>
      <c r="L1443" s="22"/>
      <c r="M1443" s="22"/>
      <c r="N1443" s="18"/>
      <c r="O1443" s="18"/>
      <c r="P1443" s="22"/>
      <c r="Q1443" s="22"/>
      <c r="R1443" s="22"/>
      <c r="S1443" s="22"/>
      <c r="T1443" s="22"/>
      <c r="U1443" s="22"/>
      <c r="V1443" s="6"/>
      <c r="W1443" s="6"/>
      <c r="X1443" s="19"/>
      <c r="Y1443" s="6"/>
      <c r="Z1443" s="6"/>
      <c r="AA1443" s="6"/>
      <c r="AB1443" s="6">
        <v>166.1989796</v>
      </c>
      <c r="AC1443" s="6"/>
      <c r="AD1443" s="6"/>
      <c r="AE1443" s="6"/>
      <c r="AF1443" s="18"/>
      <c r="AG1443" s="18"/>
      <c r="AH1443" s="18"/>
      <c r="AI1443" s="18"/>
      <c r="AK1443" s="18"/>
      <c r="AL1443" s="18"/>
      <c r="AM1443" s="18"/>
      <c r="AN1443" s="18"/>
      <c r="AO1443" s="6"/>
      <c r="AP1443" s="32"/>
      <c r="AQ1443" s="32"/>
      <c r="AR1443" s="32"/>
      <c r="AS1443" s="32"/>
      <c r="AT1443" s="32"/>
      <c r="AU1443" s="32"/>
      <c r="AV1443" s="32"/>
      <c r="AW1443" s="32"/>
      <c r="AX1443" s="32"/>
      <c r="AY1443" s="32"/>
      <c r="AZ1443" s="32"/>
      <c r="BA1443" s="32"/>
      <c r="BB1443" s="32"/>
      <c r="BC1443" s="32"/>
      <c r="BD1443" s="32"/>
      <c r="BE1443" s="32"/>
      <c r="BF1443" s="32"/>
      <c r="BG1443" s="32"/>
      <c r="BH1443" s="32"/>
      <c r="BI1443" s="32"/>
      <c r="BJ1443" s="6"/>
      <c r="BK1443" s="6"/>
      <c r="BL1443" s="6"/>
      <c r="BO1443" s="15"/>
    </row>
    <row r="1444" spans="1:67">
      <c r="A1444" s="16" t="s">
        <v>129</v>
      </c>
      <c r="B1444" s="16"/>
      <c r="C1444" s="17">
        <v>32141</v>
      </c>
      <c r="D1444" s="18">
        <v>14.538298148461486</v>
      </c>
      <c r="E1444" s="6"/>
      <c r="F1444" s="6"/>
      <c r="G1444" s="22"/>
      <c r="H1444" s="22"/>
      <c r="I1444" s="22"/>
      <c r="J1444" s="22"/>
      <c r="K1444" s="22"/>
      <c r="L1444" s="22"/>
      <c r="M1444" s="22"/>
      <c r="N1444" s="18"/>
      <c r="O1444" s="18"/>
      <c r="P1444" s="22"/>
      <c r="Q1444" s="22"/>
      <c r="R1444" s="22"/>
      <c r="S1444" s="22"/>
      <c r="T1444" s="22"/>
      <c r="U1444" s="22"/>
      <c r="V1444" s="6"/>
      <c r="W1444" s="6"/>
      <c r="X1444" s="19"/>
      <c r="Y1444" s="6"/>
      <c r="Z1444" s="6"/>
      <c r="AA1444" s="6"/>
      <c r="AB1444" s="6">
        <v>154.33673469999999</v>
      </c>
      <c r="AC1444" s="6"/>
      <c r="AD1444" s="6"/>
      <c r="AE1444" s="6"/>
      <c r="AF1444" s="18"/>
      <c r="AG1444" s="18"/>
      <c r="AH1444" s="18"/>
      <c r="AI1444" s="18"/>
      <c r="AK1444" s="18"/>
      <c r="AL1444" s="18"/>
      <c r="AM1444" s="18"/>
      <c r="AN1444" s="18"/>
      <c r="AO1444" s="6"/>
      <c r="AP1444" s="32"/>
      <c r="AQ1444" s="32"/>
      <c r="AR1444" s="32"/>
      <c r="AS1444" s="32"/>
      <c r="AT1444" s="32"/>
      <c r="AU1444" s="32"/>
      <c r="AV1444" s="32"/>
      <c r="AW1444" s="32"/>
      <c r="AX1444" s="32"/>
      <c r="AY1444" s="32"/>
      <c r="AZ1444" s="32"/>
      <c r="BA1444" s="32"/>
      <c r="BB1444" s="32"/>
      <c r="BC1444" s="32"/>
      <c r="BD1444" s="32"/>
      <c r="BE1444" s="32"/>
      <c r="BF1444" s="32"/>
      <c r="BG1444" s="32"/>
      <c r="BH1444" s="32"/>
      <c r="BI1444" s="32"/>
      <c r="BJ1444" s="6"/>
      <c r="BK1444" s="6"/>
      <c r="BL1444" s="6"/>
      <c r="BO1444" s="15"/>
    </row>
    <row r="1445" spans="1:67">
      <c r="A1445" s="16" t="s">
        <v>129</v>
      </c>
      <c r="B1445" s="16"/>
      <c r="C1445" s="17">
        <v>32168</v>
      </c>
      <c r="D1445" s="18">
        <v>14.612221698368916</v>
      </c>
      <c r="E1445" s="6"/>
      <c r="F1445" s="6"/>
      <c r="G1445" s="22"/>
      <c r="H1445" s="22"/>
      <c r="I1445" s="22"/>
      <c r="J1445" s="22"/>
      <c r="K1445" s="22"/>
      <c r="L1445" s="22"/>
      <c r="M1445" s="22"/>
      <c r="N1445" s="18"/>
      <c r="O1445" s="18"/>
      <c r="P1445" s="22"/>
      <c r="Q1445" s="22"/>
      <c r="R1445" s="22"/>
      <c r="S1445" s="22"/>
      <c r="T1445" s="22"/>
      <c r="U1445" s="22"/>
      <c r="V1445" s="6"/>
      <c r="W1445" s="6"/>
      <c r="X1445" s="19"/>
      <c r="Y1445" s="6"/>
      <c r="Z1445" s="6"/>
      <c r="AA1445" s="6"/>
      <c r="AB1445" s="6">
        <v>172.32142859999999</v>
      </c>
      <c r="AC1445" s="6"/>
      <c r="AD1445" s="6"/>
      <c r="AE1445" s="6"/>
      <c r="AF1445" s="18"/>
      <c r="AG1445" s="18"/>
      <c r="AH1445" s="18"/>
      <c r="AI1445" s="18"/>
      <c r="AK1445" s="18"/>
      <c r="AL1445" s="18"/>
      <c r="AM1445" s="18"/>
      <c r="AN1445" s="18"/>
      <c r="AO1445" s="6"/>
      <c r="AP1445" s="32"/>
      <c r="AQ1445" s="32"/>
      <c r="AR1445" s="32"/>
      <c r="AS1445" s="32"/>
      <c r="AT1445" s="32"/>
      <c r="AU1445" s="32"/>
      <c r="AV1445" s="32"/>
      <c r="AW1445" s="32"/>
      <c r="AX1445" s="32"/>
      <c r="AY1445" s="32"/>
      <c r="AZ1445" s="32"/>
      <c r="BA1445" s="32"/>
      <c r="BB1445" s="32"/>
      <c r="BC1445" s="32"/>
      <c r="BD1445" s="32"/>
      <c r="BE1445" s="32"/>
      <c r="BF1445" s="32"/>
      <c r="BG1445" s="32"/>
      <c r="BH1445" s="32"/>
      <c r="BI1445" s="32"/>
      <c r="BJ1445" s="6"/>
      <c r="BK1445" s="6"/>
      <c r="BL1445" s="6"/>
      <c r="BO1445" s="15"/>
    </row>
    <row r="1446" spans="1:67">
      <c r="A1446" s="16" t="s">
        <v>129</v>
      </c>
      <c r="B1446" s="16"/>
      <c r="C1446" s="17">
        <v>32174</v>
      </c>
      <c r="D1446" s="18">
        <v>14.628649153903902</v>
      </c>
      <c r="E1446" s="6"/>
      <c r="F1446" s="6"/>
      <c r="G1446" s="22"/>
      <c r="H1446" s="22"/>
      <c r="I1446" s="22"/>
      <c r="J1446" s="22"/>
      <c r="K1446" s="22"/>
      <c r="L1446" s="22"/>
      <c r="M1446" s="22"/>
      <c r="N1446" s="18"/>
      <c r="O1446" s="18"/>
      <c r="P1446" s="22"/>
      <c r="Q1446" s="22"/>
      <c r="R1446" s="22"/>
      <c r="S1446" s="22"/>
      <c r="T1446" s="22"/>
      <c r="U1446" s="22"/>
      <c r="V1446" s="6"/>
      <c r="W1446" s="6"/>
      <c r="X1446" s="19"/>
      <c r="Y1446" s="6"/>
      <c r="Z1446" s="6"/>
      <c r="AA1446" s="6"/>
      <c r="AB1446" s="6">
        <v>155.1020408</v>
      </c>
      <c r="AC1446" s="6"/>
      <c r="AD1446" s="6"/>
      <c r="AE1446" s="6"/>
      <c r="AF1446" s="18"/>
      <c r="AG1446" s="18"/>
      <c r="AH1446" s="18"/>
      <c r="AI1446" s="18"/>
      <c r="AK1446" s="18"/>
      <c r="AL1446" s="18"/>
      <c r="AM1446" s="18"/>
      <c r="AN1446" s="18"/>
      <c r="AO1446" s="6"/>
      <c r="AP1446" s="32"/>
      <c r="AQ1446" s="32"/>
      <c r="AR1446" s="32"/>
      <c r="AS1446" s="32"/>
      <c r="AT1446" s="32"/>
      <c r="AU1446" s="32"/>
      <c r="AV1446" s="32"/>
      <c r="AW1446" s="32"/>
      <c r="AX1446" s="32"/>
      <c r="AY1446" s="32"/>
      <c r="AZ1446" s="32"/>
      <c r="BA1446" s="32"/>
      <c r="BB1446" s="32"/>
      <c r="BC1446" s="32"/>
      <c r="BD1446" s="32"/>
      <c r="BE1446" s="32"/>
      <c r="BF1446" s="32"/>
      <c r="BG1446" s="32"/>
      <c r="BH1446" s="32"/>
      <c r="BI1446" s="32"/>
      <c r="BJ1446" s="6"/>
      <c r="BK1446" s="6"/>
      <c r="BL1446" s="6"/>
      <c r="BO1446" s="15"/>
    </row>
    <row r="1447" spans="1:67">
      <c r="A1447" s="16" t="s">
        <v>129</v>
      </c>
      <c r="B1447" s="16"/>
      <c r="C1447" s="17">
        <v>32195</v>
      </c>
      <c r="D1447" s="18">
        <v>14.686145248276349</v>
      </c>
      <c r="E1447" s="6"/>
      <c r="F1447" s="6"/>
      <c r="G1447" s="22"/>
      <c r="H1447" s="22"/>
      <c r="I1447" s="22"/>
      <c r="J1447" s="22"/>
      <c r="K1447" s="22"/>
      <c r="L1447" s="22"/>
      <c r="M1447" s="22"/>
      <c r="N1447" s="18"/>
      <c r="O1447" s="18"/>
      <c r="P1447" s="22"/>
      <c r="Q1447" s="22"/>
      <c r="R1447" s="22"/>
      <c r="S1447" s="22"/>
      <c r="T1447" s="22"/>
      <c r="U1447" s="22"/>
      <c r="V1447" s="6"/>
      <c r="W1447" s="6"/>
      <c r="X1447" s="19"/>
      <c r="Y1447" s="6"/>
      <c r="Z1447" s="6"/>
      <c r="AA1447" s="6"/>
      <c r="AB1447" s="6">
        <v>151.27551020000001</v>
      </c>
      <c r="AC1447" s="6"/>
      <c r="AD1447" s="6"/>
      <c r="AE1447" s="6"/>
      <c r="AF1447" s="18"/>
      <c r="AG1447" s="18"/>
      <c r="AH1447" s="18"/>
      <c r="AI1447" s="18"/>
      <c r="AK1447" s="18"/>
      <c r="AL1447" s="18"/>
      <c r="AM1447" s="18"/>
      <c r="AN1447" s="18"/>
      <c r="AO1447" s="6"/>
      <c r="AP1447" s="32"/>
      <c r="AQ1447" s="32"/>
      <c r="AR1447" s="32"/>
      <c r="AS1447" s="32"/>
      <c r="AT1447" s="32"/>
      <c r="AU1447" s="32"/>
      <c r="AV1447" s="32"/>
      <c r="AW1447" s="32"/>
      <c r="AX1447" s="32"/>
      <c r="AY1447" s="32"/>
      <c r="AZ1447" s="32"/>
      <c r="BA1447" s="32"/>
      <c r="BB1447" s="32"/>
      <c r="BC1447" s="32"/>
      <c r="BD1447" s="32"/>
      <c r="BE1447" s="32"/>
      <c r="BF1447" s="32"/>
      <c r="BG1447" s="32"/>
      <c r="BH1447" s="32"/>
      <c r="BI1447" s="32"/>
      <c r="BJ1447" s="6"/>
      <c r="BK1447" s="6"/>
      <c r="BL1447" s="6"/>
      <c r="BO1447" s="15"/>
    </row>
    <row r="1448" spans="1:67">
      <c r="A1448" s="16" t="s">
        <v>129</v>
      </c>
      <c r="B1448" s="16"/>
      <c r="C1448" s="17">
        <v>32219</v>
      </c>
      <c r="D1448" s="18">
        <v>14.751855070416287</v>
      </c>
      <c r="E1448" s="6"/>
      <c r="F1448" s="6"/>
      <c r="G1448" s="22"/>
      <c r="H1448" s="22"/>
      <c r="I1448" s="22"/>
      <c r="J1448" s="22"/>
      <c r="K1448" s="22"/>
      <c r="L1448" s="22"/>
      <c r="M1448" s="22"/>
      <c r="N1448" s="18"/>
      <c r="O1448" s="18"/>
      <c r="P1448" s="22"/>
      <c r="Q1448" s="22"/>
      <c r="R1448" s="22"/>
      <c r="S1448" s="22"/>
      <c r="T1448" s="22"/>
      <c r="U1448" s="22"/>
      <c r="V1448" s="6"/>
      <c r="W1448" s="6"/>
      <c r="X1448" s="19"/>
      <c r="Y1448" s="6"/>
      <c r="Z1448" s="6"/>
      <c r="AA1448" s="6"/>
      <c r="AB1448" s="6">
        <v>151.65816330000001</v>
      </c>
      <c r="AC1448" s="6"/>
      <c r="AD1448" s="6"/>
      <c r="AE1448" s="6"/>
      <c r="AF1448" s="18"/>
      <c r="AG1448" s="18"/>
      <c r="AH1448" s="18"/>
      <c r="AI1448" s="18"/>
      <c r="AK1448" s="18"/>
      <c r="AL1448" s="18"/>
      <c r="AM1448" s="18"/>
      <c r="AN1448" s="18"/>
      <c r="AO1448" s="6"/>
      <c r="AP1448" s="32"/>
      <c r="AQ1448" s="32"/>
      <c r="AR1448" s="32"/>
      <c r="AS1448" s="32"/>
      <c r="AT1448" s="32"/>
      <c r="AU1448" s="32"/>
      <c r="AV1448" s="32"/>
      <c r="AW1448" s="32"/>
      <c r="AX1448" s="32"/>
      <c r="AY1448" s="32"/>
      <c r="AZ1448" s="32"/>
      <c r="BA1448" s="32"/>
      <c r="BB1448" s="32"/>
      <c r="BC1448" s="32"/>
      <c r="BD1448" s="32"/>
      <c r="BE1448" s="32"/>
      <c r="BF1448" s="32"/>
      <c r="BG1448" s="32"/>
      <c r="BH1448" s="32"/>
      <c r="BI1448" s="32"/>
      <c r="BJ1448" s="6"/>
      <c r="BK1448" s="6"/>
      <c r="BL1448" s="6"/>
      <c r="BO1448" s="15"/>
    </row>
    <row r="1449" spans="1:67">
      <c r="A1449" s="16" t="s">
        <v>129</v>
      </c>
      <c r="B1449" s="16"/>
      <c r="C1449" s="17">
        <v>32209</v>
      </c>
      <c r="D1449" s="18">
        <v>14.724475977857979</v>
      </c>
      <c r="E1449" s="6"/>
      <c r="F1449" s="6"/>
      <c r="G1449" s="22"/>
      <c r="H1449" s="22"/>
      <c r="I1449" s="22"/>
      <c r="J1449" s="22"/>
      <c r="K1449" s="22"/>
      <c r="L1449" s="22"/>
      <c r="M1449" s="22"/>
      <c r="N1449" s="18"/>
      <c r="O1449" s="18"/>
      <c r="P1449" s="22"/>
      <c r="Q1449" s="22"/>
      <c r="R1449" s="22"/>
      <c r="S1449" s="22"/>
      <c r="T1449" s="22"/>
      <c r="U1449" s="22"/>
      <c r="V1449" s="6"/>
      <c r="W1449" s="6"/>
      <c r="X1449" s="19"/>
      <c r="Y1449" s="6"/>
      <c r="Z1449" s="6"/>
      <c r="AA1449" s="6"/>
      <c r="AB1449" s="6">
        <v>148.97959180000001</v>
      </c>
      <c r="AC1449" s="6"/>
      <c r="AD1449" s="6"/>
      <c r="AE1449" s="6"/>
      <c r="AF1449" s="18"/>
      <c r="AG1449" s="18"/>
      <c r="AH1449" s="18"/>
      <c r="AI1449" s="18"/>
      <c r="AK1449" s="18"/>
      <c r="AL1449" s="18"/>
      <c r="AM1449" s="18"/>
      <c r="AN1449" s="18"/>
      <c r="AO1449" s="6"/>
      <c r="AP1449" s="32"/>
      <c r="AQ1449" s="32"/>
      <c r="AR1449" s="32"/>
      <c r="AS1449" s="32"/>
      <c r="AT1449" s="32"/>
      <c r="AU1449" s="32"/>
      <c r="AV1449" s="32"/>
      <c r="AW1449" s="32"/>
      <c r="AX1449" s="32"/>
      <c r="AY1449" s="32"/>
      <c r="AZ1449" s="32"/>
      <c r="BA1449" s="32"/>
      <c r="BB1449" s="32"/>
      <c r="BC1449" s="32"/>
      <c r="BD1449" s="32"/>
      <c r="BE1449" s="32"/>
      <c r="BF1449" s="32"/>
      <c r="BG1449" s="32"/>
      <c r="BH1449" s="32"/>
      <c r="BI1449" s="32"/>
      <c r="BJ1449" s="6"/>
      <c r="BK1449" s="6"/>
      <c r="BL1449" s="6"/>
      <c r="BO1449" s="15"/>
    </row>
    <row r="1450" spans="1:67">
      <c r="A1450" s="16" t="s">
        <v>129</v>
      </c>
      <c r="B1450" s="16"/>
      <c r="C1450" s="17">
        <v>32233</v>
      </c>
      <c r="D1450" s="18">
        <v>14.790185799997918</v>
      </c>
      <c r="E1450" s="6"/>
      <c r="F1450" s="6"/>
      <c r="G1450" s="22"/>
      <c r="H1450" s="22"/>
      <c r="I1450" s="22"/>
      <c r="J1450" s="22"/>
      <c r="K1450" s="22"/>
      <c r="L1450" s="22"/>
      <c r="M1450" s="22"/>
      <c r="N1450" s="18"/>
      <c r="O1450" s="18"/>
      <c r="P1450" s="22"/>
      <c r="Q1450" s="22"/>
      <c r="R1450" s="22"/>
      <c r="S1450" s="22"/>
      <c r="T1450" s="22"/>
      <c r="U1450" s="22"/>
      <c r="V1450" s="6"/>
      <c r="W1450" s="6"/>
      <c r="X1450" s="19"/>
      <c r="Y1450" s="6"/>
      <c r="Z1450" s="6"/>
      <c r="AA1450" s="6"/>
      <c r="AB1450" s="6">
        <v>159.31122450000001</v>
      </c>
      <c r="AC1450" s="6"/>
      <c r="AD1450" s="6"/>
      <c r="AE1450" s="6"/>
      <c r="AF1450" s="18"/>
      <c r="AG1450" s="18"/>
      <c r="AH1450" s="18"/>
      <c r="AI1450" s="18"/>
      <c r="AK1450" s="18"/>
      <c r="AL1450" s="18"/>
      <c r="AM1450" s="18"/>
      <c r="AN1450" s="18"/>
      <c r="AO1450" s="6"/>
      <c r="AP1450" s="32"/>
      <c r="AQ1450" s="32"/>
      <c r="AR1450" s="32"/>
      <c r="AS1450" s="32"/>
      <c r="AT1450" s="32"/>
      <c r="AU1450" s="32"/>
      <c r="AV1450" s="32"/>
      <c r="AW1450" s="32"/>
      <c r="AX1450" s="32"/>
      <c r="AY1450" s="32"/>
      <c r="AZ1450" s="32"/>
      <c r="BA1450" s="32"/>
      <c r="BB1450" s="32"/>
      <c r="BC1450" s="32"/>
      <c r="BD1450" s="32"/>
      <c r="BE1450" s="32"/>
      <c r="BF1450" s="32"/>
      <c r="BG1450" s="32"/>
      <c r="BH1450" s="32"/>
      <c r="BI1450" s="32"/>
      <c r="BJ1450" s="6"/>
      <c r="BK1450" s="6"/>
      <c r="BL1450" s="6"/>
      <c r="BO1450" s="15"/>
    </row>
    <row r="1451" spans="1:67">
      <c r="A1451" s="16" t="s">
        <v>129</v>
      </c>
      <c r="B1451" s="16"/>
      <c r="C1451" s="17">
        <v>32249</v>
      </c>
      <c r="D1451" s="18">
        <v>14.833992348091211</v>
      </c>
      <c r="E1451" s="6"/>
      <c r="F1451" s="6"/>
      <c r="G1451" s="22"/>
      <c r="H1451" s="22"/>
      <c r="I1451" s="22"/>
      <c r="J1451" s="22"/>
      <c r="K1451" s="22"/>
      <c r="L1451" s="22"/>
      <c r="M1451" s="22"/>
      <c r="N1451" s="18"/>
      <c r="O1451" s="18"/>
      <c r="P1451" s="22"/>
      <c r="Q1451" s="22"/>
      <c r="R1451" s="22"/>
      <c r="S1451" s="22"/>
      <c r="T1451" s="22"/>
      <c r="U1451" s="22"/>
      <c r="V1451" s="6"/>
      <c r="W1451" s="6"/>
      <c r="X1451" s="19"/>
      <c r="Y1451" s="6"/>
      <c r="Z1451" s="6"/>
      <c r="AA1451" s="6"/>
      <c r="AB1451" s="6">
        <v>202.9336735</v>
      </c>
      <c r="AC1451" s="6"/>
      <c r="AD1451" s="6"/>
      <c r="AE1451" s="6"/>
      <c r="AF1451" s="18"/>
      <c r="AG1451" s="18"/>
      <c r="AH1451" s="18"/>
      <c r="AI1451" s="18"/>
      <c r="AK1451" s="18"/>
      <c r="AL1451" s="18"/>
      <c r="AM1451" s="18"/>
      <c r="AN1451" s="18"/>
      <c r="AO1451" s="6"/>
      <c r="AP1451" s="32"/>
      <c r="AQ1451" s="32"/>
      <c r="AR1451" s="32"/>
      <c r="AS1451" s="32"/>
      <c r="AT1451" s="32"/>
      <c r="AU1451" s="32"/>
      <c r="AV1451" s="32"/>
      <c r="AW1451" s="32"/>
      <c r="AX1451" s="32"/>
      <c r="AY1451" s="32"/>
      <c r="AZ1451" s="32"/>
      <c r="BA1451" s="32"/>
      <c r="BB1451" s="32"/>
      <c r="BC1451" s="32"/>
      <c r="BD1451" s="32"/>
      <c r="BE1451" s="32"/>
      <c r="BF1451" s="32"/>
      <c r="BG1451" s="32"/>
      <c r="BH1451" s="32"/>
      <c r="BI1451" s="32"/>
      <c r="BJ1451" s="6"/>
      <c r="BK1451" s="6"/>
      <c r="BL1451" s="6"/>
      <c r="BO1451" s="15"/>
    </row>
    <row r="1452" spans="1:67">
      <c r="A1452" s="16" t="s">
        <v>129</v>
      </c>
      <c r="B1452" s="16"/>
      <c r="C1452" s="17">
        <v>32260</v>
      </c>
      <c r="D1452" s="18">
        <v>14.86410934990535</v>
      </c>
      <c r="E1452" s="6"/>
      <c r="F1452" s="6"/>
      <c r="G1452" s="22"/>
      <c r="H1452" s="22"/>
      <c r="I1452" s="22"/>
      <c r="J1452" s="22"/>
      <c r="K1452" s="22"/>
      <c r="L1452" s="22"/>
      <c r="M1452" s="22"/>
      <c r="N1452" s="18"/>
      <c r="O1452" s="18"/>
      <c r="P1452" s="22"/>
      <c r="Q1452" s="22"/>
      <c r="R1452" s="22"/>
      <c r="S1452" s="22"/>
      <c r="T1452" s="22"/>
      <c r="U1452" s="22"/>
      <c r="V1452" s="6"/>
      <c r="W1452" s="6"/>
      <c r="X1452" s="19"/>
      <c r="Y1452" s="6"/>
      <c r="Z1452" s="6"/>
      <c r="AA1452" s="6"/>
      <c r="AB1452" s="6">
        <v>235.45918370000001</v>
      </c>
      <c r="AC1452" s="6"/>
      <c r="AD1452" s="6"/>
      <c r="AE1452" s="6"/>
      <c r="AF1452" s="18"/>
      <c r="AG1452" s="18"/>
      <c r="AH1452" s="18"/>
      <c r="AI1452" s="18"/>
      <c r="AK1452" s="18"/>
      <c r="AL1452" s="18"/>
      <c r="AM1452" s="18"/>
      <c r="AN1452" s="18"/>
      <c r="AO1452" s="6"/>
      <c r="AP1452" s="32"/>
      <c r="AQ1452" s="32"/>
      <c r="AR1452" s="32"/>
      <c r="AS1452" s="32"/>
      <c r="AT1452" s="32"/>
      <c r="AU1452" s="32"/>
      <c r="AV1452" s="32"/>
      <c r="AW1452" s="32"/>
      <c r="AX1452" s="32"/>
      <c r="AY1452" s="32"/>
      <c r="AZ1452" s="32"/>
      <c r="BA1452" s="32"/>
      <c r="BB1452" s="32"/>
      <c r="BC1452" s="32"/>
      <c r="BD1452" s="32"/>
      <c r="BE1452" s="32"/>
      <c r="BF1452" s="32"/>
      <c r="BG1452" s="32"/>
      <c r="BH1452" s="32"/>
      <c r="BI1452" s="32"/>
      <c r="BJ1452" s="6"/>
      <c r="BK1452" s="6"/>
      <c r="BL1452" s="6"/>
      <c r="BO1452" s="15"/>
    </row>
    <row r="1453" spans="1:67">
      <c r="A1453" s="16" t="s">
        <v>129</v>
      </c>
      <c r="B1453" s="16"/>
      <c r="C1453" s="17">
        <v>32276</v>
      </c>
      <c r="D1453" s="18">
        <v>14.907915897998642</v>
      </c>
      <c r="E1453" s="6"/>
      <c r="F1453" s="6"/>
      <c r="G1453" s="22"/>
      <c r="H1453" s="22"/>
      <c r="I1453" s="22"/>
      <c r="J1453" s="22"/>
      <c r="K1453" s="22"/>
      <c r="L1453" s="22"/>
      <c r="M1453" s="22"/>
      <c r="N1453" s="18"/>
      <c r="O1453" s="18"/>
      <c r="P1453" s="22"/>
      <c r="Q1453" s="22"/>
      <c r="R1453" s="22"/>
      <c r="S1453" s="22"/>
      <c r="T1453" s="22"/>
      <c r="U1453" s="22"/>
      <c r="V1453" s="6"/>
      <c r="W1453" s="6"/>
      <c r="X1453" s="19"/>
      <c r="Y1453" s="6"/>
      <c r="Z1453" s="6"/>
      <c r="AA1453" s="6"/>
      <c r="AB1453" s="6">
        <v>251.91326530000001</v>
      </c>
      <c r="AC1453" s="6"/>
      <c r="AD1453" s="6"/>
      <c r="AE1453" s="6"/>
      <c r="AF1453" s="18"/>
      <c r="AG1453" s="18"/>
      <c r="AH1453" s="18"/>
      <c r="AI1453" s="18"/>
      <c r="AK1453" s="18"/>
      <c r="AL1453" s="18"/>
      <c r="AM1453" s="18"/>
      <c r="AN1453" s="18"/>
      <c r="AO1453" s="6"/>
      <c r="AP1453" s="32"/>
      <c r="AQ1453" s="32"/>
      <c r="AR1453" s="32"/>
      <c r="AS1453" s="32"/>
      <c r="AT1453" s="32"/>
      <c r="AU1453" s="32"/>
      <c r="AV1453" s="32"/>
      <c r="AW1453" s="32"/>
      <c r="AX1453" s="32"/>
      <c r="AY1453" s="32"/>
      <c r="AZ1453" s="32"/>
      <c r="BA1453" s="32"/>
      <c r="BB1453" s="32"/>
      <c r="BC1453" s="32"/>
      <c r="BD1453" s="32"/>
      <c r="BE1453" s="32"/>
      <c r="BF1453" s="32"/>
      <c r="BG1453" s="32"/>
      <c r="BH1453" s="32"/>
      <c r="BI1453" s="32"/>
      <c r="BJ1453" s="6"/>
      <c r="BK1453" s="6"/>
      <c r="BL1453" s="6"/>
      <c r="BO1453" s="15"/>
    </row>
    <row r="1454" spans="1:67">
      <c r="A1454" s="16" t="s">
        <v>130</v>
      </c>
      <c r="B1454" s="16"/>
      <c r="C1454" s="17">
        <v>30876</v>
      </c>
      <c r="D1454" s="18">
        <v>11.074842939835538</v>
      </c>
      <c r="E1454" s="6"/>
      <c r="F1454" s="6"/>
      <c r="G1454" s="22"/>
      <c r="H1454" s="22"/>
      <c r="I1454" s="22"/>
      <c r="J1454" s="22"/>
      <c r="K1454" s="22"/>
      <c r="L1454" s="22"/>
      <c r="M1454" s="22"/>
      <c r="N1454" s="18"/>
      <c r="O1454" s="18"/>
      <c r="P1454" s="22"/>
      <c r="Q1454" s="22"/>
      <c r="R1454" s="22"/>
      <c r="S1454" s="22"/>
      <c r="T1454" s="22"/>
      <c r="U1454" s="22"/>
      <c r="V1454" s="6"/>
      <c r="W1454" s="6"/>
      <c r="X1454" s="19"/>
      <c r="Y1454" s="6"/>
      <c r="Z1454" s="6"/>
      <c r="AA1454" s="6"/>
      <c r="AB1454" s="6">
        <v>214.3243243</v>
      </c>
      <c r="AC1454" s="6"/>
      <c r="AD1454" s="6"/>
      <c r="AE1454" s="6"/>
      <c r="AF1454" s="18"/>
      <c r="AG1454" s="18"/>
      <c r="AH1454" s="18"/>
      <c r="AI1454" s="18"/>
      <c r="AK1454" s="18"/>
      <c r="AL1454" s="18"/>
      <c r="AM1454" s="18"/>
      <c r="AN1454" s="18"/>
      <c r="AO1454" s="6"/>
      <c r="AP1454" s="32"/>
      <c r="AQ1454" s="32"/>
      <c r="AR1454" s="32"/>
      <c r="AS1454" s="32"/>
      <c r="AT1454" s="32"/>
      <c r="AU1454" s="32"/>
      <c r="AV1454" s="32"/>
      <c r="AW1454" s="32"/>
      <c r="AX1454" s="32"/>
      <c r="AY1454" s="32"/>
      <c r="AZ1454" s="32"/>
      <c r="BA1454" s="32"/>
      <c r="BB1454" s="32"/>
      <c r="BC1454" s="32"/>
      <c r="BD1454" s="32"/>
      <c r="BE1454" s="32"/>
      <c r="BF1454" s="32"/>
      <c r="BG1454" s="32"/>
      <c r="BH1454" s="32"/>
      <c r="BI1454" s="32"/>
      <c r="BJ1454" s="6"/>
      <c r="BK1454" s="6"/>
      <c r="BL1454" s="6"/>
      <c r="BO1454" s="15"/>
    </row>
    <row r="1455" spans="1:67">
      <c r="A1455" s="16" t="s">
        <v>130</v>
      </c>
      <c r="B1455" s="16"/>
      <c r="C1455" s="17">
        <v>30887</v>
      </c>
      <c r="D1455" s="18">
        <v>11.104959941649676</v>
      </c>
      <c r="E1455" s="6"/>
      <c r="F1455" s="6"/>
      <c r="G1455" s="22"/>
      <c r="H1455" s="22"/>
      <c r="I1455" s="22"/>
      <c r="J1455" s="22"/>
      <c r="K1455" s="22"/>
      <c r="L1455" s="22"/>
      <c r="M1455" s="22"/>
      <c r="N1455" s="18"/>
      <c r="O1455" s="18"/>
      <c r="P1455" s="22"/>
      <c r="Q1455" s="22"/>
      <c r="R1455" s="22"/>
      <c r="S1455" s="22"/>
      <c r="T1455" s="22"/>
      <c r="U1455" s="22"/>
      <c r="V1455" s="6"/>
      <c r="W1455" s="6"/>
      <c r="X1455" s="19"/>
      <c r="Y1455" s="6"/>
      <c r="Z1455" s="6"/>
      <c r="AA1455" s="6"/>
      <c r="AB1455" s="6">
        <v>241.08108110000001</v>
      </c>
      <c r="AC1455" s="6"/>
      <c r="AD1455" s="6"/>
      <c r="AE1455" s="6"/>
      <c r="AF1455" s="18"/>
      <c r="AG1455" s="18"/>
      <c r="AH1455" s="18"/>
      <c r="AI1455" s="18"/>
      <c r="AK1455" s="18"/>
      <c r="AL1455" s="18"/>
      <c r="AM1455" s="18"/>
      <c r="AN1455" s="18"/>
      <c r="AO1455" s="6"/>
      <c r="AP1455" s="32"/>
      <c r="AQ1455" s="32"/>
      <c r="AR1455" s="32"/>
      <c r="AS1455" s="32"/>
      <c r="AT1455" s="32"/>
      <c r="AU1455" s="32"/>
      <c r="AV1455" s="32"/>
      <c r="AW1455" s="32"/>
      <c r="AX1455" s="32"/>
      <c r="AY1455" s="32"/>
      <c r="AZ1455" s="32"/>
      <c r="BA1455" s="32"/>
      <c r="BB1455" s="32"/>
      <c r="BC1455" s="32"/>
      <c r="BD1455" s="32"/>
      <c r="BE1455" s="32"/>
      <c r="BF1455" s="32"/>
      <c r="BG1455" s="32"/>
      <c r="BH1455" s="32"/>
      <c r="BI1455" s="32"/>
      <c r="BJ1455" s="6"/>
      <c r="BK1455" s="6"/>
      <c r="BL1455" s="6"/>
      <c r="BO1455" s="15"/>
    </row>
    <row r="1456" spans="1:67">
      <c r="A1456" s="16" t="s">
        <v>130</v>
      </c>
      <c r="B1456" s="16"/>
      <c r="C1456" s="17">
        <v>30896</v>
      </c>
      <c r="D1456" s="18">
        <v>11.129601124952154</v>
      </c>
      <c r="E1456" s="6"/>
      <c r="F1456" s="6"/>
      <c r="G1456" s="22"/>
      <c r="H1456" s="22"/>
      <c r="I1456" s="22"/>
      <c r="J1456" s="22"/>
      <c r="K1456" s="22"/>
      <c r="L1456" s="22"/>
      <c r="M1456" s="22"/>
      <c r="N1456" s="18"/>
      <c r="O1456" s="18"/>
      <c r="P1456" s="22"/>
      <c r="Q1456" s="22"/>
      <c r="R1456" s="22"/>
      <c r="S1456" s="22"/>
      <c r="T1456" s="22"/>
      <c r="U1456" s="22"/>
      <c r="V1456" s="6"/>
      <c r="W1456" s="6"/>
      <c r="X1456" s="19"/>
      <c r="Y1456" s="6"/>
      <c r="Z1456" s="6"/>
      <c r="AA1456" s="6"/>
      <c r="AB1456" s="6">
        <v>309.59459459999999</v>
      </c>
      <c r="AC1456" s="6"/>
      <c r="AD1456" s="6"/>
      <c r="AE1456" s="6"/>
      <c r="AF1456" s="18"/>
      <c r="AG1456" s="18"/>
      <c r="AH1456" s="18"/>
      <c r="AI1456" s="18"/>
      <c r="AK1456" s="18"/>
      <c r="AL1456" s="18"/>
      <c r="AM1456" s="18"/>
      <c r="AN1456" s="18"/>
      <c r="AO1456" s="6"/>
      <c r="AP1456" s="32"/>
      <c r="AQ1456" s="32"/>
      <c r="AR1456" s="32"/>
      <c r="AS1456" s="32"/>
      <c r="AT1456" s="32"/>
      <c r="AU1456" s="32"/>
      <c r="AV1456" s="32"/>
      <c r="AW1456" s="32"/>
      <c r="AX1456" s="32"/>
      <c r="AY1456" s="32"/>
      <c r="AZ1456" s="32"/>
      <c r="BA1456" s="32"/>
      <c r="BB1456" s="32"/>
      <c r="BC1456" s="32"/>
      <c r="BD1456" s="32"/>
      <c r="BE1456" s="32"/>
      <c r="BF1456" s="32"/>
      <c r="BG1456" s="32"/>
      <c r="BH1456" s="32"/>
      <c r="BI1456" s="32"/>
      <c r="BJ1456" s="6"/>
      <c r="BK1456" s="6"/>
      <c r="BL1456" s="6"/>
      <c r="BO1456" s="15"/>
    </row>
    <row r="1457" spans="1:67">
      <c r="A1457" s="16" t="s">
        <v>130</v>
      </c>
      <c r="B1457" s="16"/>
      <c r="C1457" s="17">
        <v>30904</v>
      </c>
      <c r="D1457" s="18">
        <v>11.151504398998801</v>
      </c>
      <c r="E1457" s="6"/>
      <c r="F1457" s="6"/>
      <c r="G1457" s="22"/>
      <c r="H1457" s="22"/>
      <c r="I1457" s="22"/>
      <c r="J1457" s="22"/>
      <c r="K1457" s="22"/>
      <c r="L1457" s="22"/>
      <c r="M1457" s="22"/>
      <c r="N1457" s="18"/>
      <c r="O1457" s="18"/>
      <c r="P1457" s="22"/>
      <c r="Q1457" s="22"/>
      <c r="R1457" s="22"/>
      <c r="S1457" s="22"/>
      <c r="T1457" s="22"/>
      <c r="U1457" s="22"/>
      <c r="V1457" s="6"/>
      <c r="W1457" s="6"/>
      <c r="X1457" s="19"/>
      <c r="Y1457" s="6"/>
      <c r="Z1457" s="6"/>
      <c r="AA1457" s="6"/>
      <c r="AB1457" s="6">
        <v>324.59459459999999</v>
      </c>
      <c r="AC1457" s="6"/>
      <c r="AD1457" s="6"/>
      <c r="AE1457" s="6"/>
      <c r="AF1457" s="18"/>
      <c r="AG1457" s="18"/>
      <c r="AH1457" s="18"/>
      <c r="AI1457" s="18"/>
      <c r="AK1457" s="18"/>
      <c r="AL1457" s="18"/>
      <c r="AM1457" s="18"/>
      <c r="AN1457" s="18"/>
      <c r="AO1457" s="6"/>
      <c r="AP1457" s="32"/>
      <c r="AQ1457" s="32"/>
      <c r="AR1457" s="32"/>
      <c r="AS1457" s="32"/>
      <c r="AT1457" s="32"/>
      <c r="AU1457" s="32"/>
      <c r="AV1457" s="32"/>
      <c r="AW1457" s="32"/>
      <c r="AX1457" s="32"/>
      <c r="AY1457" s="32"/>
      <c r="AZ1457" s="32"/>
      <c r="BA1457" s="32"/>
      <c r="BB1457" s="32"/>
      <c r="BC1457" s="32"/>
      <c r="BD1457" s="32"/>
      <c r="BE1457" s="32"/>
      <c r="BF1457" s="32"/>
      <c r="BG1457" s="32"/>
      <c r="BH1457" s="32"/>
      <c r="BI1457" s="32"/>
      <c r="BJ1457" s="6"/>
      <c r="BK1457" s="6"/>
      <c r="BL1457" s="6"/>
      <c r="BO1457" s="15"/>
    </row>
    <row r="1458" spans="1:67">
      <c r="A1458" s="16" t="s">
        <v>130</v>
      </c>
      <c r="B1458" s="16"/>
      <c r="C1458" s="17">
        <v>30928</v>
      </c>
      <c r="D1458" s="18">
        <v>11.21721422113874</v>
      </c>
      <c r="E1458" s="6"/>
      <c r="F1458" s="6"/>
      <c r="G1458" s="22"/>
      <c r="H1458" s="22"/>
      <c r="I1458" s="22"/>
      <c r="J1458" s="22"/>
      <c r="K1458" s="22"/>
      <c r="L1458" s="22"/>
      <c r="M1458" s="22"/>
      <c r="N1458" s="18"/>
      <c r="O1458" s="18"/>
      <c r="P1458" s="22"/>
      <c r="Q1458" s="22"/>
      <c r="R1458" s="22"/>
      <c r="S1458" s="22"/>
      <c r="T1458" s="22"/>
      <c r="U1458" s="22"/>
      <c r="V1458" s="6"/>
      <c r="W1458" s="6"/>
      <c r="X1458" s="19"/>
      <c r="Y1458" s="6"/>
      <c r="Z1458" s="6"/>
      <c r="AA1458" s="6"/>
      <c r="AB1458" s="6">
        <v>334.3243243</v>
      </c>
      <c r="AC1458" s="6"/>
      <c r="AD1458" s="6"/>
      <c r="AE1458" s="6"/>
      <c r="AF1458" s="18"/>
      <c r="AG1458" s="18"/>
      <c r="AH1458" s="18"/>
      <c r="AI1458" s="18"/>
      <c r="AK1458" s="18"/>
      <c r="AL1458" s="18"/>
      <c r="AM1458" s="18"/>
      <c r="AN1458" s="18"/>
      <c r="AO1458" s="6"/>
      <c r="AP1458" s="32"/>
      <c r="AQ1458" s="32"/>
      <c r="AR1458" s="32"/>
      <c r="AS1458" s="32"/>
      <c r="AT1458" s="32"/>
      <c r="AU1458" s="32"/>
      <c r="AV1458" s="32"/>
      <c r="AW1458" s="32"/>
      <c r="AX1458" s="32"/>
      <c r="AY1458" s="32"/>
      <c r="AZ1458" s="32"/>
      <c r="BA1458" s="32"/>
      <c r="BB1458" s="32"/>
      <c r="BC1458" s="32"/>
      <c r="BD1458" s="32"/>
      <c r="BE1458" s="32"/>
      <c r="BF1458" s="32"/>
      <c r="BG1458" s="32"/>
      <c r="BH1458" s="32"/>
      <c r="BI1458" s="32"/>
      <c r="BJ1458" s="6"/>
      <c r="BK1458" s="6"/>
      <c r="BL1458" s="6"/>
      <c r="BO1458" s="15"/>
    </row>
    <row r="1459" spans="1:67">
      <c r="A1459" s="16" t="s">
        <v>130</v>
      </c>
      <c r="B1459" s="16"/>
      <c r="C1459" s="17">
        <v>30970</v>
      </c>
      <c r="D1459" s="18">
        <v>11.332206409883632</v>
      </c>
      <c r="E1459" s="6"/>
      <c r="F1459" s="6"/>
      <c r="G1459" s="22"/>
      <c r="H1459" s="22"/>
      <c r="I1459" s="22"/>
      <c r="J1459" s="22"/>
      <c r="K1459" s="22"/>
      <c r="L1459" s="22"/>
      <c r="M1459" s="22"/>
      <c r="N1459" s="18"/>
      <c r="O1459" s="18"/>
      <c r="P1459" s="22"/>
      <c r="Q1459" s="22"/>
      <c r="R1459" s="22"/>
      <c r="S1459" s="22"/>
      <c r="T1459" s="22"/>
      <c r="U1459" s="22"/>
      <c r="V1459" s="6"/>
      <c r="W1459" s="6"/>
      <c r="X1459" s="19"/>
      <c r="Y1459" s="6"/>
      <c r="Z1459" s="6"/>
      <c r="AA1459" s="6"/>
      <c r="AB1459" s="6">
        <v>306.75675680000001</v>
      </c>
      <c r="AC1459" s="6"/>
      <c r="AD1459" s="6"/>
      <c r="AE1459" s="6"/>
      <c r="AF1459" s="18"/>
      <c r="AG1459" s="18"/>
      <c r="AH1459" s="18"/>
      <c r="AI1459" s="18"/>
      <c r="AK1459" s="18"/>
      <c r="AL1459" s="18"/>
      <c r="AM1459" s="18"/>
      <c r="AN1459" s="18"/>
      <c r="AO1459" s="6"/>
      <c r="AP1459" s="32"/>
      <c r="AQ1459" s="32"/>
      <c r="AR1459" s="32"/>
      <c r="AS1459" s="32"/>
      <c r="AT1459" s="32"/>
      <c r="AU1459" s="32"/>
      <c r="AV1459" s="32"/>
      <c r="AW1459" s="32"/>
      <c r="AX1459" s="32"/>
      <c r="AY1459" s="32"/>
      <c r="AZ1459" s="32"/>
      <c r="BA1459" s="32"/>
      <c r="BB1459" s="32"/>
      <c r="BC1459" s="32"/>
      <c r="BD1459" s="32"/>
      <c r="BE1459" s="32"/>
      <c r="BF1459" s="32"/>
      <c r="BG1459" s="32"/>
      <c r="BH1459" s="32"/>
      <c r="BI1459" s="32"/>
      <c r="BJ1459" s="6"/>
      <c r="BK1459" s="6"/>
      <c r="BL1459" s="6"/>
      <c r="BO1459" s="15"/>
    </row>
    <row r="1460" spans="1:67">
      <c r="A1460" s="16" t="s">
        <v>130</v>
      </c>
      <c r="B1460" s="16"/>
      <c r="C1460" s="17">
        <v>30979</v>
      </c>
      <c r="D1460" s="18">
        <v>11.35684759318611</v>
      </c>
      <c r="E1460" s="6"/>
      <c r="F1460" s="6"/>
      <c r="G1460" s="22"/>
      <c r="H1460" s="22"/>
      <c r="I1460" s="22"/>
      <c r="J1460" s="22"/>
      <c r="K1460" s="22"/>
      <c r="L1460" s="22"/>
      <c r="M1460" s="22"/>
      <c r="N1460" s="18"/>
      <c r="O1460" s="18"/>
      <c r="P1460" s="22"/>
      <c r="Q1460" s="22"/>
      <c r="R1460" s="22"/>
      <c r="S1460" s="22"/>
      <c r="T1460" s="22"/>
      <c r="U1460" s="22"/>
      <c r="V1460" s="6"/>
      <c r="W1460" s="6"/>
      <c r="X1460" s="19"/>
      <c r="Y1460" s="6"/>
      <c r="Z1460" s="6"/>
      <c r="AA1460" s="6"/>
      <c r="AB1460" s="6">
        <v>264.18918919999999</v>
      </c>
      <c r="AC1460" s="6"/>
      <c r="AD1460" s="6"/>
      <c r="AE1460" s="6"/>
      <c r="AF1460" s="18"/>
      <c r="AG1460" s="18"/>
      <c r="AH1460" s="18"/>
      <c r="AI1460" s="18"/>
      <c r="AK1460" s="18"/>
      <c r="AL1460" s="18"/>
      <c r="AM1460" s="18"/>
      <c r="AN1460" s="18"/>
      <c r="AO1460" s="6"/>
      <c r="AP1460" s="32"/>
      <c r="AQ1460" s="32"/>
      <c r="AR1460" s="32"/>
      <c r="AS1460" s="32"/>
      <c r="AT1460" s="32"/>
      <c r="AU1460" s="32"/>
      <c r="AV1460" s="32"/>
      <c r="AW1460" s="32"/>
      <c r="AX1460" s="32"/>
      <c r="AY1460" s="32"/>
      <c r="AZ1460" s="32"/>
      <c r="BA1460" s="32"/>
      <c r="BB1460" s="32"/>
      <c r="BC1460" s="32"/>
      <c r="BD1460" s="32"/>
      <c r="BE1460" s="32"/>
      <c r="BF1460" s="32"/>
      <c r="BG1460" s="32"/>
      <c r="BH1460" s="32"/>
      <c r="BI1460" s="32"/>
      <c r="BJ1460" s="6"/>
      <c r="BK1460" s="6"/>
      <c r="BL1460" s="6"/>
      <c r="BO1460" s="15"/>
    </row>
    <row r="1461" spans="1:67">
      <c r="A1461" s="16" t="s">
        <v>130</v>
      </c>
      <c r="B1461" s="16"/>
      <c r="C1461" s="17">
        <v>30995</v>
      </c>
      <c r="D1461" s="18">
        <v>11.400654141279402</v>
      </c>
      <c r="E1461" s="6"/>
      <c r="F1461" s="6"/>
      <c r="G1461" s="22"/>
      <c r="H1461" s="22"/>
      <c r="I1461" s="22"/>
      <c r="J1461" s="22"/>
      <c r="K1461" s="22"/>
      <c r="L1461" s="22"/>
      <c r="M1461" s="22"/>
      <c r="N1461" s="18"/>
      <c r="O1461" s="18"/>
      <c r="P1461" s="22"/>
      <c r="Q1461" s="22"/>
      <c r="R1461" s="22"/>
      <c r="S1461" s="22"/>
      <c r="T1461" s="22"/>
      <c r="U1461" s="22"/>
      <c r="V1461" s="6"/>
      <c r="W1461" s="6"/>
      <c r="X1461" s="19"/>
      <c r="Y1461" s="6"/>
      <c r="Z1461" s="6"/>
      <c r="AA1461" s="6"/>
      <c r="AB1461" s="6">
        <v>236.6216216</v>
      </c>
      <c r="AC1461" s="6"/>
      <c r="AD1461" s="6"/>
      <c r="AE1461" s="6"/>
      <c r="AF1461" s="18"/>
      <c r="AG1461" s="18"/>
      <c r="AH1461" s="18"/>
      <c r="AI1461" s="18"/>
      <c r="AK1461" s="18"/>
      <c r="AL1461" s="18"/>
      <c r="AM1461" s="18"/>
      <c r="AN1461" s="18"/>
      <c r="AO1461" s="6"/>
      <c r="AP1461" s="32"/>
      <c r="AQ1461" s="32"/>
      <c r="AR1461" s="32"/>
      <c r="AS1461" s="32"/>
      <c r="AT1461" s="32"/>
      <c r="AU1461" s="32"/>
      <c r="AV1461" s="32"/>
      <c r="AW1461" s="32"/>
      <c r="AX1461" s="32"/>
      <c r="AY1461" s="32"/>
      <c r="AZ1461" s="32"/>
      <c r="BA1461" s="32"/>
      <c r="BB1461" s="32"/>
      <c r="BC1461" s="32"/>
      <c r="BD1461" s="32"/>
      <c r="BE1461" s="32"/>
      <c r="BF1461" s="32"/>
      <c r="BG1461" s="32"/>
      <c r="BH1461" s="32"/>
      <c r="BI1461" s="32"/>
      <c r="BJ1461" s="6"/>
      <c r="BK1461" s="6"/>
      <c r="BL1461" s="6"/>
      <c r="BO1461" s="15"/>
    </row>
    <row r="1462" spans="1:67">
      <c r="A1462" s="16" t="s">
        <v>130</v>
      </c>
      <c r="B1462" s="16"/>
      <c r="C1462" s="17">
        <v>31011</v>
      </c>
      <c r="D1462" s="18">
        <v>11.444460689372695</v>
      </c>
      <c r="E1462" s="6"/>
      <c r="F1462" s="6"/>
      <c r="G1462" s="22"/>
      <c r="H1462" s="22"/>
      <c r="I1462" s="22"/>
      <c r="J1462" s="22"/>
      <c r="K1462" s="22"/>
      <c r="L1462" s="22"/>
      <c r="M1462" s="22"/>
      <c r="N1462" s="18"/>
      <c r="O1462" s="18"/>
      <c r="P1462" s="22"/>
      <c r="Q1462" s="22"/>
      <c r="R1462" s="22"/>
      <c r="S1462" s="22"/>
      <c r="T1462" s="22"/>
      <c r="U1462" s="22"/>
      <c r="V1462" s="6"/>
      <c r="W1462" s="6"/>
      <c r="X1462" s="19"/>
      <c r="Y1462" s="6"/>
      <c r="Z1462" s="6"/>
      <c r="AA1462" s="6"/>
      <c r="AB1462" s="6">
        <v>208.24324319999999</v>
      </c>
      <c r="AC1462" s="6"/>
      <c r="AD1462" s="6"/>
      <c r="AE1462" s="6"/>
      <c r="AF1462" s="18"/>
      <c r="AG1462" s="18"/>
      <c r="AH1462" s="18"/>
      <c r="AI1462" s="18"/>
      <c r="AK1462" s="18"/>
      <c r="AL1462" s="18"/>
      <c r="AM1462" s="18"/>
      <c r="AN1462" s="18"/>
      <c r="AO1462" s="6"/>
      <c r="AP1462" s="32"/>
      <c r="AQ1462" s="32"/>
      <c r="AR1462" s="32"/>
      <c r="AS1462" s="32"/>
      <c r="AT1462" s="32"/>
      <c r="AU1462" s="32"/>
      <c r="AV1462" s="32"/>
      <c r="AW1462" s="32"/>
      <c r="AX1462" s="32"/>
      <c r="AY1462" s="32"/>
      <c r="AZ1462" s="32"/>
      <c r="BA1462" s="32"/>
      <c r="BB1462" s="32"/>
      <c r="BC1462" s="32"/>
      <c r="BD1462" s="32"/>
      <c r="BE1462" s="32"/>
      <c r="BF1462" s="32"/>
      <c r="BG1462" s="32"/>
      <c r="BH1462" s="32"/>
      <c r="BI1462" s="32"/>
      <c r="BJ1462" s="6"/>
      <c r="BK1462" s="6"/>
      <c r="BL1462" s="6"/>
      <c r="BO1462" s="15"/>
    </row>
    <row r="1463" spans="1:67">
      <c r="A1463" s="16" t="s">
        <v>130</v>
      </c>
      <c r="B1463" s="16"/>
      <c r="C1463" s="17">
        <v>31021</v>
      </c>
      <c r="D1463" s="18">
        <v>11.471839781931003</v>
      </c>
      <c r="E1463" s="6"/>
      <c r="F1463" s="6"/>
      <c r="G1463" s="22"/>
      <c r="H1463" s="22"/>
      <c r="I1463" s="22"/>
      <c r="J1463" s="22"/>
      <c r="K1463" s="22"/>
      <c r="L1463" s="22"/>
      <c r="M1463" s="22"/>
      <c r="N1463" s="18"/>
      <c r="O1463" s="18"/>
      <c r="P1463" s="22"/>
      <c r="Q1463" s="22"/>
      <c r="R1463" s="22"/>
      <c r="S1463" s="22"/>
      <c r="T1463" s="22"/>
      <c r="U1463" s="22"/>
      <c r="V1463" s="6"/>
      <c r="W1463" s="6"/>
      <c r="X1463" s="19"/>
      <c r="Y1463" s="6"/>
      <c r="Z1463" s="6"/>
      <c r="AA1463" s="6"/>
      <c r="AB1463" s="6">
        <v>179.0540541</v>
      </c>
      <c r="AC1463" s="6"/>
      <c r="AD1463" s="6"/>
      <c r="AE1463" s="6"/>
      <c r="AF1463" s="18"/>
      <c r="AG1463" s="18"/>
      <c r="AH1463" s="18"/>
      <c r="AI1463" s="18"/>
      <c r="AK1463" s="18"/>
      <c r="AL1463" s="18"/>
      <c r="AM1463" s="18"/>
      <c r="AN1463" s="18"/>
      <c r="AO1463" s="6"/>
      <c r="AP1463" s="32"/>
      <c r="AQ1463" s="32"/>
      <c r="AR1463" s="32"/>
      <c r="AS1463" s="32"/>
      <c r="AT1463" s="32"/>
      <c r="AU1463" s="32"/>
      <c r="AV1463" s="32"/>
      <c r="AW1463" s="32"/>
      <c r="AX1463" s="32"/>
      <c r="AY1463" s="32"/>
      <c r="AZ1463" s="32"/>
      <c r="BA1463" s="32"/>
      <c r="BB1463" s="32"/>
      <c r="BC1463" s="32"/>
      <c r="BD1463" s="32"/>
      <c r="BE1463" s="32"/>
      <c r="BF1463" s="32"/>
      <c r="BG1463" s="32"/>
      <c r="BH1463" s="32"/>
      <c r="BI1463" s="32"/>
      <c r="BJ1463" s="6"/>
      <c r="BK1463" s="6"/>
      <c r="BL1463" s="6"/>
      <c r="BO1463" s="15"/>
    </row>
    <row r="1464" spans="1:67">
      <c r="A1464" s="16" t="s">
        <v>130</v>
      </c>
      <c r="B1464" s="16"/>
      <c r="C1464" s="17">
        <v>31034</v>
      </c>
      <c r="D1464" s="18">
        <v>11.507432602256802</v>
      </c>
      <c r="E1464" s="6"/>
      <c r="F1464" s="6"/>
      <c r="G1464" s="22"/>
      <c r="H1464" s="22"/>
      <c r="I1464" s="22"/>
      <c r="J1464" s="22"/>
      <c r="K1464" s="22"/>
      <c r="L1464" s="22"/>
      <c r="M1464" s="22"/>
      <c r="N1464" s="18"/>
      <c r="O1464" s="18"/>
      <c r="P1464" s="22"/>
      <c r="Q1464" s="22"/>
      <c r="R1464" s="22"/>
      <c r="S1464" s="22"/>
      <c r="T1464" s="22"/>
      <c r="U1464" s="22"/>
      <c r="V1464" s="6"/>
      <c r="W1464" s="6"/>
      <c r="X1464" s="19"/>
      <c r="Y1464" s="6"/>
      <c r="Z1464" s="6"/>
      <c r="AA1464" s="6"/>
      <c r="AB1464" s="6">
        <v>156.3513514</v>
      </c>
      <c r="AC1464" s="6"/>
      <c r="AD1464" s="6"/>
      <c r="AE1464" s="6"/>
      <c r="AF1464" s="18"/>
      <c r="AG1464" s="18"/>
      <c r="AH1464" s="18"/>
      <c r="AI1464" s="18"/>
      <c r="AK1464" s="18"/>
      <c r="AL1464" s="18"/>
      <c r="AM1464" s="18"/>
      <c r="AN1464" s="18"/>
      <c r="AO1464" s="6"/>
      <c r="AP1464" s="32"/>
      <c r="AQ1464" s="32"/>
      <c r="AR1464" s="32"/>
      <c r="AS1464" s="32"/>
      <c r="AT1464" s="32"/>
      <c r="AU1464" s="32"/>
      <c r="AV1464" s="32"/>
      <c r="AW1464" s="32"/>
      <c r="AX1464" s="32"/>
      <c r="AY1464" s="32"/>
      <c r="AZ1464" s="32"/>
      <c r="BA1464" s="32"/>
      <c r="BB1464" s="32"/>
      <c r="BC1464" s="32"/>
      <c r="BD1464" s="32"/>
      <c r="BE1464" s="32"/>
      <c r="BF1464" s="32"/>
      <c r="BG1464" s="32"/>
      <c r="BH1464" s="32"/>
      <c r="BI1464" s="32"/>
      <c r="BJ1464" s="6"/>
      <c r="BK1464" s="6"/>
      <c r="BL1464" s="6"/>
      <c r="BO1464" s="15"/>
    </row>
    <row r="1465" spans="1:67">
      <c r="A1465" s="16" t="s">
        <v>130</v>
      </c>
      <c r="B1465" s="16"/>
      <c r="C1465" s="17">
        <v>31048</v>
      </c>
      <c r="D1465" s="18">
        <v>11.545763331838435</v>
      </c>
      <c r="E1465" s="6"/>
      <c r="F1465" s="6"/>
      <c r="G1465" s="22"/>
      <c r="H1465" s="22"/>
      <c r="I1465" s="22"/>
      <c r="J1465" s="22"/>
      <c r="K1465" s="22"/>
      <c r="L1465" s="22"/>
      <c r="M1465" s="22"/>
      <c r="N1465" s="18"/>
      <c r="O1465" s="18"/>
      <c r="P1465" s="22"/>
      <c r="Q1465" s="22"/>
      <c r="R1465" s="22"/>
      <c r="S1465" s="22"/>
      <c r="T1465" s="22"/>
      <c r="U1465" s="22"/>
      <c r="V1465" s="6"/>
      <c r="W1465" s="6"/>
      <c r="X1465" s="19"/>
      <c r="Y1465" s="6"/>
      <c r="Z1465" s="6"/>
      <c r="AA1465" s="6"/>
      <c r="AB1465" s="6">
        <v>143.78378380000001</v>
      </c>
      <c r="AC1465" s="6"/>
      <c r="AD1465" s="6"/>
      <c r="AE1465" s="6"/>
      <c r="AF1465" s="18"/>
      <c r="AG1465" s="18"/>
      <c r="AH1465" s="18"/>
      <c r="AI1465" s="18"/>
      <c r="AK1465" s="18"/>
      <c r="AL1465" s="18"/>
      <c r="AM1465" s="18"/>
      <c r="AN1465" s="18"/>
      <c r="AO1465" s="6"/>
      <c r="AP1465" s="32"/>
      <c r="AQ1465" s="32"/>
      <c r="AR1465" s="32"/>
      <c r="AS1465" s="32"/>
      <c r="AT1465" s="32"/>
      <c r="AU1465" s="32"/>
      <c r="AV1465" s="32"/>
      <c r="AW1465" s="32"/>
      <c r="AX1465" s="32"/>
      <c r="AY1465" s="32"/>
      <c r="AZ1465" s="32"/>
      <c r="BA1465" s="32"/>
      <c r="BB1465" s="32"/>
      <c r="BC1465" s="32"/>
      <c r="BD1465" s="32"/>
      <c r="BE1465" s="32"/>
      <c r="BF1465" s="32"/>
      <c r="BG1465" s="32"/>
      <c r="BH1465" s="32"/>
      <c r="BI1465" s="32"/>
      <c r="BJ1465" s="6"/>
      <c r="BK1465" s="6"/>
      <c r="BL1465" s="6"/>
      <c r="BO1465" s="15"/>
    </row>
    <row r="1466" spans="1:67">
      <c r="A1466" s="16" t="s">
        <v>130</v>
      </c>
      <c r="B1466" s="16"/>
      <c r="C1466" s="17">
        <v>31068</v>
      </c>
      <c r="D1466" s="18">
        <v>11.60052151695505</v>
      </c>
      <c r="E1466" s="6"/>
      <c r="F1466" s="6"/>
      <c r="G1466" s="22"/>
      <c r="H1466" s="22"/>
      <c r="I1466" s="22"/>
      <c r="J1466" s="22"/>
      <c r="K1466" s="22"/>
      <c r="L1466" s="22"/>
      <c r="M1466" s="22"/>
      <c r="N1466" s="18"/>
      <c r="O1466" s="18"/>
      <c r="P1466" s="22"/>
      <c r="Q1466" s="22"/>
      <c r="R1466" s="22"/>
      <c r="S1466" s="22"/>
      <c r="T1466" s="22"/>
      <c r="U1466" s="22"/>
      <c r="V1466" s="6"/>
      <c r="W1466" s="6"/>
      <c r="X1466" s="19"/>
      <c r="Y1466" s="6"/>
      <c r="Z1466" s="6"/>
      <c r="AA1466" s="6"/>
      <c r="AB1466" s="6">
        <v>133.6486486</v>
      </c>
      <c r="AC1466" s="6"/>
      <c r="AD1466" s="6"/>
      <c r="AE1466" s="6"/>
      <c r="AF1466" s="18"/>
      <c r="AG1466" s="18"/>
      <c r="AH1466" s="18"/>
      <c r="AI1466" s="18"/>
      <c r="AK1466" s="18"/>
      <c r="AL1466" s="18"/>
      <c r="AM1466" s="18"/>
      <c r="AN1466" s="18"/>
      <c r="AO1466" s="6"/>
      <c r="AP1466" s="32"/>
      <c r="AQ1466" s="32"/>
      <c r="AR1466" s="32"/>
      <c r="AS1466" s="32"/>
      <c r="AT1466" s="32"/>
      <c r="AU1466" s="32"/>
      <c r="AV1466" s="32"/>
      <c r="AW1466" s="32"/>
      <c r="AX1466" s="32"/>
      <c r="AY1466" s="32"/>
      <c r="AZ1466" s="32"/>
      <c r="BA1466" s="32"/>
      <c r="BB1466" s="32"/>
      <c r="BC1466" s="32"/>
      <c r="BD1466" s="32"/>
      <c r="BE1466" s="32"/>
      <c r="BF1466" s="32"/>
      <c r="BG1466" s="32"/>
      <c r="BH1466" s="32"/>
      <c r="BI1466" s="32"/>
      <c r="BJ1466" s="6"/>
      <c r="BK1466" s="6"/>
      <c r="BL1466" s="6"/>
      <c r="BO1466" s="15"/>
    </row>
    <row r="1467" spans="1:67">
      <c r="A1467" s="16" t="s">
        <v>130</v>
      </c>
      <c r="B1467" s="16"/>
      <c r="C1467" s="17">
        <v>31088</v>
      </c>
      <c r="D1467" s="18">
        <v>11.655279702071665</v>
      </c>
      <c r="E1467" s="6"/>
      <c r="F1467" s="6"/>
      <c r="G1467" s="22"/>
      <c r="H1467" s="22"/>
      <c r="I1467" s="22"/>
      <c r="J1467" s="22"/>
      <c r="K1467" s="22"/>
      <c r="L1467" s="22"/>
      <c r="M1467" s="22"/>
      <c r="N1467" s="18"/>
      <c r="O1467" s="18"/>
      <c r="P1467" s="22"/>
      <c r="Q1467" s="22"/>
      <c r="R1467" s="22"/>
      <c r="S1467" s="22"/>
      <c r="T1467" s="22"/>
      <c r="U1467" s="22"/>
      <c r="V1467" s="6"/>
      <c r="W1467" s="6"/>
      <c r="X1467" s="19"/>
      <c r="Y1467" s="6"/>
      <c r="Z1467" s="6"/>
      <c r="AA1467" s="6"/>
      <c r="AB1467" s="6">
        <v>120.6756757</v>
      </c>
      <c r="AC1467" s="6"/>
      <c r="AD1467" s="6"/>
      <c r="AE1467" s="6"/>
      <c r="AF1467" s="18"/>
      <c r="AG1467" s="18"/>
      <c r="AH1467" s="18"/>
      <c r="AI1467" s="18"/>
      <c r="AK1467" s="18"/>
      <c r="AL1467" s="18"/>
      <c r="AM1467" s="18"/>
      <c r="AN1467" s="18"/>
      <c r="AO1467" s="6"/>
      <c r="AP1467" s="32"/>
      <c r="AQ1467" s="32"/>
      <c r="AR1467" s="32"/>
      <c r="AS1467" s="32"/>
      <c r="AT1467" s="32"/>
      <c r="AU1467" s="32"/>
      <c r="AV1467" s="32"/>
      <c r="AW1467" s="32"/>
      <c r="AX1467" s="32"/>
      <c r="AY1467" s="32"/>
      <c r="AZ1467" s="32"/>
      <c r="BA1467" s="32"/>
      <c r="BB1467" s="32"/>
      <c r="BC1467" s="32"/>
      <c r="BD1467" s="32"/>
      <c r="BE1467" s="32"/>
      <c r="BF1467" s="32"/>
      <c r="BG1467" s="32"/>
      <c r="BH1467" s="32"/>
      <c r="BI1467" s="32"/>
      <c r="BJ1467" s="6"/>
      <c r="BK1467" s="6"/>
      <c r="BL1467" s="6"/>
      <c r="BO1467" s="15"/>
    </row>
    <row r="1468" spans="1:67">
      <c r="A1468" s="16" t="s">
        <v>130</v>
      </c>
      <c r="B1468" s="16"/>
      <c r="C1468" s="17">
        <v>31104</v>
      </c>
      <c r="D1468" s="18">
        <v>11.699086250164958</v>
      </c>
      <c r="E1468" s="6"/>
      <c r="F1468" s="6"/>
      <c r="G1468" s="22"/>
      <c r="H1468" s="22"/>
      <c r="I1468" s="22"/>
      <c r="J1468" s="22"/>
      <c r="K1468" s="22"/>
      <c r="L1468" s="22"/>
      <c r="M1468" s="22"/>
      <c r="N1468" s="18"/>
      <c r="O1468" s="18"/>
      <c r="P1468" s="22"/>
      <c r="Q1468" s="22"/>
      <c r="R1468" s="22"/>
      <c r="S1468" s="22"/>
      <c r="T1468" s="22"/>
      <c r="U1468" s="22"/>
      <c r="V1468" s="6"/>
      <c r="W1468" s="6"/>
      <c r="X1468" s="19"/>
      <c r="Y1468" s="6"/>
      <c r="Z1468" s="6"/>
      <c r="AA1468" s="6"/>
      <c r="AB1468" s="6">
        <v>119.8648649</v>
      </c>
      <c r="AC1468" s="6"/>
      <c r="AD1468" s="6"/>
      <c r="AE1468" s="6"/>
      <c r="AF1468" s="18"/>
      <c r="AG1468" s="18"/>
      <c r="AH1468" s="18"/>
      <c r="AI1468" s="18"/>
      <c r="AK1468" s="18"/>
      <c r="AL1468" s="18"/>
      <c r="AM1468" s="18"/>
      <c r="AN1468" s="18"/>
      <c r="AO1468" s="6"/>
      <c r="AP1468" s="32"/>
      <c r="AQ1468" s="32"/>
      <c r="AR1468" s="32"/>
      <c r="AS1468" s="32"/>
      <c r="AT1468" s="32"/>
      <c r="AU1468" s="32"/>
      <c r="AV1468" s="32"/>
      <c r="AW1468" s="32"/>
      <c r="AX1468" s="32"/>
      <c r="AY1468" s="32"/>
      <c r="AZ1468" s="32"/>
      <c r="BA1468" s="32"/>
      <c r="BB1468" s="32"/>
      <c r="BC1468" s="32"/>
      <c r="BD1468" s="32"/>
      <c r="BE1468" s="32"/>
      <c r="BF1468" s="32"/>
      <c r="BG1468" s="32"/>
      <c r="BH1468" s="32"/>
      <c r="BI1468" s="32"/>
      <c r="BJ1468" s="6"/>
      <c r="BK1468" s="6"/>
      <c r="BL1468" s="6"/>
      <c r="BO1468" s="15"/>
    </row>
    <row r="1469" spans="1:67">
      <c r="A1469" s="16" t="s">
        <v>130</v>
      </c>
      <c r="B1469" s="16"/>
      <c r="C1469" s="17">
        <v>31120</v>
      </c>
      <c r="D1469" s="18">
        <v>11.74289279825825</v>
      </c>
      <c r="E1469" s="6"/>
      <c r="F1469" s="6"/>
      <c r="G1469" s="22"/>
      <c r="H1469" s="22"/>
      <c r="I1469" s="22"/>
      <c r="J1469" s="22"/>
      <c r="K1469" s="22"/>
      <c r="L1469" s="22"/>
      <c r="M1469" s="22"/>
      <c r="N1469" s="18"/>
      <c r="O1469" s="18"/>
      <c r="P1469" s="22"/>
      <c r="Q1469" s="22"/>
      <c r="R1469" s="22"/>
      <c r="S1469" s="22"/>
      <c r="T1469" s="22"/>
      <c r="U1469" s="22"/>
      <c r="V1469" s="6"/>
      <c r="W1469" s="6"/>
      <c r="X1469" s="19"/>
      <c r="Y1469" s="6"/>
      <c r="Z1469" s="6"/>
      <c r="AA1469" s="6"/>
      <c r="AB1469" s="6">
        <v>119.45945949999999</v>
      </c>
      <c r="AC1469" s="6"/>
      <c r="AD1469" s="6"/>
      <c r="AE1469" s="6"/>
      <c r="AF1469" s="18"/>
      <c r="AG1469" s="18"/>
      <c r="AH1469" s="18"/>
      <c r="AI1469" s="18"/>
      <c r="AK1469" s="18"/>
      <c r="AL1469" s="18"/>
      <c r="AM1469" s="18"/>
      <c r="AN1469" s="18"/>
      <c r="AO1469" s="6"/>
      <c r="AP1469" s="32"/>
      <c r="AQ1469" s="32"/>
      <c r="AR1469" s="32"/>
      <c r="AS1469" s="32"/>
      <c r="AT1469" s="32"/>
      <c r="AU1469" s="32"/>
      <c r="AV1469" s="32"/>
      <c r="AW1469" s="32"/>
      <c r="AX1469" s="32"/>
      <c r="AY1469" s="32"/>
      <c r="AZ1469" s="32"/>
      <c r="BA1469" s="32"/>
      <c r="BB1469" s="32"/>
      <c r="BC1469" s="32"/>
      <c r="BD1469" s="32"/>
      <c r="BE1469" s="32"/>
      <c r="BF1469" s="32"/>
      <c r="BG1469" s="32"/>
      <c r="BH1469" s="32"/>
      <c r="BI1469" s="32"/>
      <c r="BJ1469" s="6"/>
      <c r="BK1469" s="6"/>
      <c r="BL1469" s="6"/>
      <c r="BO1469" s="15"/>
    </row>
    <row r="1470" spans="1:67">
      <c r="A1470" s="16" t="s">
        <v>130</v>
      </c>
      <c r="B1470" s="16"/>
      <c r="C1470" s="17">
        <v>31132</v>
      </c>
      <c r="D1470" s="18">
        <v>11.77574770932822</v>
      </c>
      <c r="E1470" s="6"/>
      <c r="F1470" s="6"/>
      <c r="G1470" s="22"/>
      <c r="H1470" s="22"/>
      <c r="I1470" s="22"/>
      <c r="J1470" s="22"/>
      <c r="K1470" s="22"/>
      <c r="L1470" s="22"/>
      <c r="M1470" s="22"/>
      <c r="N1470" s="18"/>
      <c r="O1470" s="18"/>
      <c r="P1470" s="22"/>
      <c r="Q1470" s="22"/>
      <c r="R1470" s="22"/>
      <c r="S1470" s="22"/>
      <c r="T1470" s="22"/>
      <c r="U1470" s="22"/>
      <c r="V1470" s="6"/>
      <c r="W1470" s="6"/>
      <c r="X1470" s="19"/>
      <c r="Y1470" s="6"/>
      <c r="Z1470" s="6"/>
      <c r="AA1470" s="6"/>
      <c r="AB1470" s="6">
        <v>307.56756760000002</v>
      </c>
      <c r="AC1470" s="6"/>
      <c r="AD1470" s="6"/>
      <c r="AE1470" s="6"/>
      <c r="AF1470" s="18"/>
      <c r="AG1470" s="18"/>
      <c r="AH1470" s="18"/>
      <c r="AI1470" s="18"/>
      <c r="AK1470" s="18"/>
      <c r="AL1470" s="18"/>
      <c r="AM1470" s="18"/>
      <c r="AN1470" s="18"/>
      <c r="AO1470" s="6"/>
      <c r="AP1470" s="32"/>
      <c r="AQ1470" s="32"/>
      <c r="AR1470" s="32"/>
      <c r="AS1470" s="32"/>
      <c r="AT1470" s="32"/>
      <c r="AU1470" s="32"/>
      <c r="AV1470" s="32"/>
      <c r="AW1470" s="32"/>
      <c r="AX1470" s="32"/>
      <c r="AY1470" s="32"/>
      <c r="AZ1470" s="32"/>
      <c r="BA1470" s="32"/>
      <c r="BB1470" s="32"/>
      <c r="BC1470" s="32"/>
      <c r="BD1470" s="32"/>
      <c r="BE1470" s="32"/>
      <c r="BF1470" s="32"/>
      <c r="BG1470" s="32"/>
      <c r="BH1470" s="32"/>
      <c r="BI1470" s="32"/>
      <c r="BJ1470" s="6"/>
      <c r="BK1470" s="6"/>
      <c r="BL1470" s="6"/>
      <c r="BO1470" s="15"/>
    </row>
    <row r="1471" spans="1:67">
      <c r="A1471" s="16" t="s">
        <v>130</v>
      </c>
      <c r="B1471" s="16"/>
      <c r="C1471" s="17">
        <v>31139</v>
      </c>
      <c r="D1471" s="18">
        <v>11.794913074119036</v>
      </c>
      <c r="E1471" s="6"/>
      <c r="F1471" s="6"/>
      <c r="G1471" s="22"/>
      <c r="H1471" s="22"/>
      <c r="I1471" s="22"/>
      <c r="J1471" s="22"/>
      <c r="K1471" s="22"/>
      <c r="L1471" s="22"/>
      <c r="M1471" s="22"/>
      <c r="N1471" s="18"/>
      <c r="O1471" s="18"/>
      <c r="P1471" s="22"/>
      <c r="Q1471" s="22"/>
      <c r="R1471" s="22"/>
      <c r="S1471" s="22"/>
      <c r="T1471" s="22"/>
      <c r="U1471" s="22"/>
      <c r="V1471" s="6"/>
      <c r="W1471" s="6"/>
      <c r="X1471" s="19"/>
      <c r="Y1471" s="6"/>
      <c r="Z1471" s="6"/>
      <c r="AA1471" s="6"/>
      <c r="AB1471" s="6">
        <v>294.59459459999999</v>
      </c>
      <c r="AC1471" s="6"/>
      <c r="AD1471" s="6"/>
      <c r="AE1471" s="6"/>
      <c r="AF1471" s="18"/>
      <c r="AG1471" s="18"/>
      <c r="AH1471" s="18"/>
      <c r="AI1471" s="18"/>
      <c r="AK1471" s="18"/>
      <c r="AL1471" s="18"/>
      <c r="AM1471" s="18"/>
      <c r="AN1471" s="18"/>
      <c r="AO1471" s="6"/>
      <c r="AP1471" s="32"/>
      <c r="AQ1471" s="32"/>
      <c r="AR1471" s="32"/>
      <c r="AS1471" s="32"/>
      <c r="AT1471" s="32"/>
      <c r="AU1471" s="32"/>
      <c r="AV1471" s="32"/>
      <c r="AW1471" s="32"/>
      <c r="AX1471" s="32"/>
      <c r="AY1471" s="32"/>
      <c r="AZ1471" s="32"/>
      <c r="BA1471" s="32"/>
      <c r="BB1471" s="32"/>
      <c r="BC1471" s="32"/>
      <c r="BD1471" s="32"/>
      <c r="BE1471" s="32"/>
      <c r="BF1471" s="32"/>
      <c r="BG1471" s="32"/>
      <c r="BH1471" s="32"/>
      <c r="BI1471" s="32"/>
      <c r="BJ1471" s="6"/>
      <c r="BK1471" s="6"/>
      <c r="BL1471" s="6"/>
      <c r="BO1471" s="15"/>
    </row>
    <row r="1472" spans="1:67">
      <c r="A1472" s="16" t="s">
        <v>130</v>
      </c>
      <c r="B1472" s="16"/>
      <c r="C1472" s="17">
        <v>31162</v>
      </c>
      <c r="D1472" s="18">
        <v>11.857884987003144</v>
      </c>
      <c r="E1472" s="6"/>
      <c r="F1472" s="6"/>
      <c r="G1472" s="22"/>
      <c r="H1472" s="22"/>
      <c r="I1472" s="22"/>
      <c r="J1472" s="22"/>
      <c r="K1472" s="22"/>
      <c r="L1472" s="22"/>
      <c r="M1472" s="22"/>
      <c r="N1472" s="18"/>
      <c r="O1472" s="18"/>
      <c r="P1472" s="22"/>
      <c r="Q1472" s="22"/>
      <c r="R1472" s="22"/>
      <c r="S1472" s="22"/>
      <c r="T1472" s="22"/>
      <c r="U1472" s="22"/>
      <c r="V1472" s="6"/>
      <c r="W1472" s="6"/>
      <c r="X1472" s="19"/>
      <c r="Y1472" s="6"/>
      <c r="Z1472" s="6"/>
      <c r="AA1472" s="6"/>
      <c r="AB1472" s="6">
        <v>260.13513510000001</v>
      </c>
      <c r="AC1472" s="6"/>
      <c r="AD1472" s="6"/>
      <c r="AE1472" s="6"/>
      <c r="AF1472" s="18"/>
      <c r="AG1472" s="18"/>
      <c r="AH1472" s="18"/>
      <c r="AI1472" s="18"/>
      <c r="AK1472" s="18"/>
      <c r="AL1472" s="18"/>
      <c r="AM1472" s="18"/>
      <c r="AN1472" s="18"/>
      <c r="AO1472" s="6"/>
      <c r="AP1472" s="32"/>
      <c r="AQ1472" s="32"/>
      <c r="AR1472" s="32"/>
      <c r="AS1472" s="32"/>
      <c r="AT1472" s="32"/>
      <c r="AU1472" s="32"/>
      <c r="AV1472" s="32"/>
      <c r="AW1472" s="32"/>
      <c r="AX1472" s="32"/>
      <c r="AY1472" s="32"/>
      <c r="AZ1472" s="32"/>
      <c r="BA1472" s="32"/>
      <c r="BB1472" s="32"/>
      <c r="BC1472" s="32"/>
      <c r="BD1472" s="32"/>
      <c r="BE1472" s="32"/>
      <c r="BF1472" s="32"/>
      <c r="BG1472" s="32"/>
      <c r="BH1472" s="32"/>
      <c r="BI1472" s="32"/>
      <c r="BJ1472" s="6"/>
      <c r="BK1472" s="6"/>
      <c r="BL1472" s="6"/>
      <c r="BO1472" s="15"/>
    </row>
    <row r="1473" spans="1:67">
      <c r="A1473" s="16" t="s">
        <v>130</v>
      </c>
      <c r="B1473" s="16"/>
      <c r="C1473" s="17">
        <v>31167</v>
      </c>
      <c r="D1473" s="18">
        <v>11.871574533282297</v>
      </c>
      <c r="E1473" s="6"/>
      <c r="F1473" s="6"/>
      <c r="G1473" s="22"/>
      <c r="H1473" s="22"/>
      <c r="I1473" s="22"/>
      <c r="J1473" s="22"/>
      <c r="K1473" s="22"/>
      <c r="L1473" s="22"/>
      <c r="M1473" s="22"/>
      <c r="N1473" s="18"/>
      <c r="O1473" s="18"/>
      <c r="P1473" s="22"/>
      <c r="Q1473" s="22"/>
      <c r="R1473" s="22"/>
      <c r="S1473" s="22"/>
      <c r="T1473" s="22"/>
      <c r="U1473" s="22"/>
      <c r="V1473" s="6"/>
      <c r="W1473" s="6"/>
      <c r="X1473" s="19"/>
      <c r="Y1473" s="6"/>
      <c r="Z1473" s="6"/>
      <c r="AA1473" s="6"/>
      <c r="AB1473" s="6">
        <v>238.6486486</v>
      </c>
      <c r="AC1473" s="6"/>
      <c r="AD1473" s="6"/>
      <c r="AE1473" s="6"/>
      <c r="AF1473" s="18"/>
      <c r="AG1473" s="18"/>
      <c r="AH1473" s="18"/>
      <c r="AI1473" s="18"/>
      <c r="AK1473" s="18"/>
      <c r="AL1473" s="18"/>
      <c r="AM1473" s="18"/>
      <c r="AN1473" s="18"/>
      <c r="AO1473" s="6"/>
      <c r="AP1473" s="32"/>
      <c r="AQ1473" s="32"/>
      <c r="AR1473" s="32"/>
      <c r="AS1473" s="32"/>
      <c r="AT1473" s="32"/>
      <c r="AU1473" s="32"/>
      <c r="AV1473" s="32"/>
      <c r="AW1473" s="32"/>
      <c r="AX1473" s="32"/>
      <c r="AY1473" s="32"/>
      <c r="AZ1473" s="32"/>
      <c r="BA1473" s="32"/>
      <c r="BB1473" s="32"/>
      <c r="BC1473" s="32"/>
      <c r="BD1473" s="32"/>
      <c r="BE1473" s="32"/>
      <c r="BF1473" s="32"/>
      <c r="BG1473" s="32"/>
      <c r="BH1473" s="32"/>
      <c r="BI1473" s="32"/>
      <c r="BJ1473" s="6"/>
      <c r="BK1473" s="6"/>
      <c r="BL1473" s="6"/>
      <c r="BO1473" s="15"/>
    </row>
    <row r="1474" spans="1:67">
      <c r="A1474" s="16" t="s">
        <v>130</v>
      </c>
      <c r="B1474" s="16"/>
      <c r="C1474" s="17">
        <v>31183</v>
      </c>
      <c r="D1474" s="18">
        <v>11.915381081375591</v>
      </c>
      <c r="E1474" s="6"/>
      <c r="F1474" s="6"/>
      <c r="G1474" s="22"/>
      <c r="H1474" s="22"/>
      <c r="I1474" s="22"/>
      <c r="J1474" s="22"/>
      <c r="K1474" s="22"/>
      <c r="L1474" s="22"/>
      <c r="M1474" s="22"/>
      <c r="N1474" s="18"/>
      <c r="O1474" s="18"/>
      <c r="P1474" s="22"/>
      <c r="Q1474" s="22"/>
      <c r="R1474" s="22"/>
      <c r="S1474" s="22"/>
      <c r="T1474" s="22"/>
      <c r="U1474" s="22"/>
      <c r="V1474" s="6"/>
      <c r="W1474" s="6"/>
      <c r="X1474" s="19"/>
      <c r="Y1474" s="6"/>
      <c r="Z1474" s="6"/>
      <c r="AA1474" s="6"/>
      <c r="AB1474" s="6">
        <v>225.6756757</v>
      </c>
      <c r="AC1474" s="6"/>
      <c r="AD1474" s="6"/>
      <c r="AE1474" s="6"/>
      <c r="AF1474" s="18"/>
      <c r="AG1474" s="18"/>
      <c r="AH1474" s="18"/>
      <c r="AI1474" s="18"/>
      <c r="AK1474" s="18"/>
      <c r="AL1474" s="18"/>
      <c r="AM1474" s="18"/>
      <c r="AN1474" s="18"/>
      <c r="AO1474" s="6"/>
      <c r="AP1474" s="32"/>
      <c r="AQ1474" s="32"/>
      <c r="AR1474" s="32"/>
      <c r="AS1474" s="32"/>
      <c r="AT1474" s="32"/>
      <c r="AU1474" s="32"/>
      <c r="AV1474" s="32"/>
      <c r="AW1474" s="32"/>
      <c r="AX1474" s="32"/>
      <c r="AY1474" s="32"/>
      <c r="AZ1474" s="32"/>
      <c r="BA1474" s="32"/>
      <c r="BB1474" s="32"/>
      <c r="BC1474" s="32"/>
      <c r="BD1474" s="32"/>
      <c r="BE1474" s="32"/>
      <c r="BF1474" s="32"/>
      <c r="BG1474" s="32"/>
      <c r="BH1474" s="32"/>
      <c r="BI1474" s="32"/>
      <c r="BJ1474" s="6"/>
      <c r="BK1474" s="6"/>
      <c r="BL1474" s="6"/>
      <c r="BO1474" s="15"/>
    </row>
    <row r="1475" spans="1:67">
      <c r="A1475" s="16" t="s">
        <v>130</v>
      </c>
      <c r="B1475" s="16"/>
      <c r="C1475" s="17">
        <v>31196</v>
      </c>
      <c r="D1475" s="18">
        <v>11.95097390170139</v>
      </c>
      <c r="E1475" s="6"/>
      <c r="F1475" s="6"/>
      <c r="G1475" s="22"/>
      <c r="H1475" s="22"/>
      <c r="I1475" s="22"/>
      <c r="J1475" s="22"/>
      <c r="K1475" s="22"/>
      <c r="L1475" s="22"/>
      <c r="M1475" s="22"/>
      <c r="N1475" s="18"/>
      <c r="O1475" s="18"/>
      <c r="P1475" s="22"/>
      <c r="Q1475" s="22"/>
      <c r="R1475" s="22"/>
      <c r="S1475" s="22"/>
      <c r="T1475" s="22"/>
      <c r="U1475" s="22"/>
      <c r="V1475" s="6"/>
      <c r="W1475" s="6"/>
      <c r="X1475" s="19"/>
      <c r="Y1475" s="6"/>
      <c r="Z1475" s="6"/>
      <c r="AA1475" s="6"/>
      <c r="AB1475" s="6">
        <v>220.81081080000001</v>
      </c>
      <c r="AC1475" s="6"/>
      <c r="AD1475" s="6"/>
      <c r="AE1475" s="6"/>
      <c r="AF1475" s="18"/>
      <c r="AG1475" s="18"/>
      <c r="AH1475" s="18"/>
      <c r="AI1475" s="18"/>
      <c r="AK1475" s="18"/>
      <c r="AL1475" s="18"/>
      <c r="AM1475" s="18"/>
      <c r="AN1475" s="18"/>
      <c r="AO1475" s="6"/>
      <c r="AP1475" s="32"/>
      <c r="AQ1475" s="32"/>
      <c r="AR1475" s="32"/>
      <c r="AS1475" s="32"/>
      <c r="AT1475" s="32"/>
      <c r="AU1475" s="32"/>
      <c r="AV1475" s="32"/>
      <c r="AW1475" s="32"/>
      <c r="AX1475" s="32"/>
      <c r="AY1475" s="32"/>
      <c r="AZ1475" s="32"/>
      <c r="BA1475" s="32"/>
      <c r="BB1475" s="32"/>
      <c r="BC1475" s="32"/>
      <c r="BD1475" s="32"/>
      <c r="BE1475" s="32"/>
      <c r="BF1475" s="32"/>
      <c r="BG1475" s="32"/>
      <c r="BH1475" s="32"/>
      <c r="BI1475" s="32"/>
      <c r="BJ1475" s="6"/>
      <c r="BK1475" s="6"/>
      <c r="BL1475" s="6"/>
      <c r="BO1475" s="15"/>
    </row>
    <row r="1476" spans="1:67">
      <c r="A1476" s="16" t="s">
        <v>130</v>
      </c>
      <c r="B1476" s="16"/>
      <c r="C1476" s="17">
        <v>31211</v>
      </c>
      <c r="D1476" s="18">
        <v>11.992042540538852</v>
      </c>
      <c r="E1476" s="6"/>
      <c r="F1476" s="6"/>
      <c r="G1476" s="22"/>
      <c r="H1476" s="22"/>
      <c r="I1476" s="22"/>
      <c r="J1476" s="22"/>
      <c r="K1476" s="22"/>
      <c r="L1476" s="22"/>
      <c r="M1476" s="22"/>
      <c r="N1476" s="18"/>
      <c r="O1476" s="18"/>
      <c r="P1476" s="22"/>
      <c r="Q1476" s="22"/>
      <c r="R1476" s="22"/>
      <c r="S1476" s="22"/>
      <c r="T1476" s="22"/>
      <c r="U1476" s="22"/>
      <c r="V1476" s="6"/>
      <c r="W1476" s="6"/>
      <c r="X1476" s="19"/>
      <c r="Y1476" s="6"/>
      <c r="Z1476" s="6"/>
      <c r="AA1476" s="6"/>
      <c r="AB1476" s="6">
        <v>218.3783784</v>
      </c>
      <c r="AC1476" s="6"/>
      <c r="AD1476" s="6"/>
      <c r="AE1476" s="6"/>
      <c r="AF1476" s="18"/>
      <c r="AG1476" s="18"/>
      <c r="AH1476" s="18"/>
      <c r="AI1476" s="18"/>
      <c r="AK1476" s="18"/>
      <c r="AL1476" s="18"/>
      <c r="AM1476" s="18"/>
      <c r="AN1476" s="18"/>
      <c r="AO1476" s="6"/>
      <c r="AP1476" s="32"/>
      <c r="AQ1476" s="32"/>
      <c r="AR1476" s="32"/>
      <c r="AS1476" s="32"/>
      <c r="AT1476" s="32"/>
      <c r="AU1476" s="32"/>
      <c r="AV1476" s="32"/>
      <c r="AW1476" s="32"/>
      <c r="AX1476" s="32"/>
      <c r="AY1476" s="32"/>
      <c r="AZ1476" s="32"/>
      <c r="BA1476" s="32"/>
      <c r="BB1476" s="32"/>
      <c r="BC1476" s="32"/>
      <c r="BD1476" s="32"/>
      <c r="BE1476" s="32"/>
      <c r="BF1476" s="32"/>
      <c r="BG1476" s="32"/>
      <c r="BH1476" s="32"/>
      <c r="BI1476" s="32"/>
      <c r="BJ1476" s="6"/>
      <c r="BK1476" s="6"/>
      <c r="BL1476" s="6"/>
      <c r="BO1476" s="15"/>
    </row>
    <row r="1477" spans="1:67">
      <c r="A1477" s="16" t="s">
        <v>130</v>
      </c>
      <c r="B1477" s="16"/>
      <c r="C1477" s="17">
        <v>31225</v>
      </c>
      <c r="D1477" s="18">
        <v>12.030373270120483</v>
      </c>
      <c r="E1477" s="6"/>
      <c r="F1477" s="6"/>
      <c r="G1477" s="22"/>
      <c r="H1477" s="22"/>
      <c r="I1477" s="22"/>
      <c r="J1477" s="22"/>
      <c r="K1477" s="22"/>
      <c r="L1477" s="22"/>
      <c r="M1477" s="22"/>
      <c r="N1477" s="18"/>
      <c r="O1477" s="18"/>
      <c r="P1477" s="22"/>
      <c r="Q1477" s="22"/>
      <c r="R1477" s="22"/>
      <c r="S1477" s="22"/>
      <c r="T1477" s="22"/>
      <c r="U1477" s="22"/>
      <c r="V1477" s="6"/>
      <c r="W1477" s="6"/>
      <c r="X1477" s="19"/>
      <c r="Y1477" s="6"/>
      <c r="Z1477" s="6"/>
      <c r="AA1477" s="6"/>
      <c r="AB1477" s="6">
        <v>215.54054049999999</v>
      </c>
      <c r="AC1477" s="6"/>
      <c r="AD1477" s="6"/>
      <c r="AE1477" s="6"/>
      <c r="AF1477" s="18"/>
      <c r="AG1477" s="18"/>
      <c r="AH1477" s="18"/>
      <c r="AI1477" s="18"/>
      <c r="AK1477" s="18"/>
      <c r="AL1477" s="18"/>
      <c r="AM1477" s="18"/>
      <c r="AN1477" s="18"/>
      <c r="AO1477" s="6"/>
      <c r="AP1477" s="32"/>
      <c r="AQ1477" s="32"/>
      <c r="AR1477" s="32"/>
      <c r="AS1477" s="32"/>
      <c r="AT1477" s="32"/>
      <c r="AU1477" s="32"/>
      <c r="AV1477" s="32"/>
      <c r="AW1477" s="32"/>
      <c r="AX1477" s="32"/>
      <c r="AY1477" s="32"/>
      <c r="AZ1477" s="32"/>
      <c r="BA1477" s="32"/>
      <c r="BB1477" s="32"/>
      <c r="BC1477" s="32"/>
      <c r="BD1477" s="32"/>
      <c r="BE1477" s="32"/>
      <c r="BF1477" s="32"/>
      <c r="BG1477" s="32"/>
      <c r="BH1477" s="32"/>
      <c r="BI1477" s="32"/>
      <c r="BJ1477" s="6"/>
      <c r="BK1477" s="6"/>
      <c r="BL1477" s="6"/>
      <c r="BO1477" s="15"/>
    </row>
    <row r="1478" spans="1:67">
      <c r="A1478" s="16" t="s">
        <v>130</v>
      </c>
      <c r="B1478" s="16"/>
      <c r="C1478" s="17">
        <v>31239</v>
      </c>
      <c r="D1478" s="18">
        <v>12.068703999702114</v>
      </c>
      <c r="E1478" s="6"/>
      <c r="F1478" s="6"/>
      <c r="G1478" s="22"/>
      <c r="H1478" s="22"/>
      <c r="I1478" s="22"/>
      <c r="J1478" s="22"/>
      <c r="K1478" s="22"/>
      <c r="L1478" s="22"/>
      <c r="M1478" s="22"/>
      <c r="N1478" s="18"/>
      <c r="O1478" s="18"/>
      <c r="P1478" s="22"/>
      <c r="Q1478" s="22"/>
      <c r="R1478" s="22"/>
      <c r="S1478" s="22"/>
      <c r="T1478" s="22"/>
      <c r="U1478" s="22"/>
      <c r="V1478" s="6"/>
      <c r="W1478" s="6"/>
      <c r="X1478" s="19"/>
      <c r="Y1478" s="6"/>
      <c r="Z1478" s="6"/>
      <c r="AA1478" s="6"/>
      <c r="AB1478" s="6">
        <v>210.27027029999999</v>
      </c>
      <c r="AC1478" s="6"/>
      <c r="AD1478" s="6"/>
      <c r="AE1478" s="6"/>
      <c r="AF1478" s="18"/>
      <c r="AG1478" s="18"/>
      <c r="AH1478" s="18"/>
      <c r="AI1478" s="18"/>
      <c r="AK1478" s="18"/>
      <c r="AL1478" s="18"/>
      <c r="AM1478" s="18"/>
      <c r="AN1478" s="18"/>
      <c r="AO1478" s="6"/>
      <c r="AP1478" s="32"/>
      <c r="AQ1478" s="32"/>
      <c r="AR1478" s="32"/>
      <c r="AS1478" s="32"/>
      <c r="AT1478" s="32"/>
      <c r="AU1478" s="32"/>
      <c r="AV1478" s="32"/>
      <c r="AW1478" s="32"/>
      <c r="AX1478" s="32"/>
      <c r="AY1478" s="32"/>
      <c r="AZ1478" s="32"/>
      <c r="BA1478" s="32"/>
      <c r="BB1478" s="32"/>
      <c r="BC1478" s="32"/>
      <c r="BD1478" s="32"/>
      <c r="BE1478" s="32"/>
      <c r="BF1478" s="32"/>
      <c r="BG1478" s="32"/>
      <c r="BH1478" s="32"/>
      <c r="BI1478" s="32"/>
      <c r="BJ1478" s="6"/>
      <c r="BK1478" s="6"/>
      <c r="BL1478" s="6"/>
      <c r="BO1478" s="15"/>
    </row>
    <row r="1479" spans="1:67">
      <c r="A1479" s="16" t="s">
        <v>130</v>
      </c>
      <c r="B1479" s="16"/>
      <c r="C1479" s="17">
        <v>31256</v>
      </c>
      <c r="D1479" s="18">
        <v>12.115248457051239</v>
      </c>
      <c r="E1479" s="6"/>
      <c r="F1479" s="6"/>
      <c r="G1479" s="22"/>
      <c r="H1479" s="22"/>
      <c r="I1479" s="22"/>
      <c r="J1479" s="22"/>
      <c r="K1479" s="22"/>
      <c r="L1479" s="22"/>
      <c r="M1479" s="22"/>
      <c r="N1479" s="18"/>
      <c r="O1479" s="18"/>
      <c r="P1479" s="22"/>
      <c r="Q1479" s="22"/>
      <c r="R1479" s="22"/>
      <c r="S1479" s="22"/>
      <c r="T1479" s="22"/>
      <c r="U1479" s="22"/>
      <c r="V1479" s="6"/>
      <c r="W1479" s="6"/>
      <c r="X1479" s="19"/>
      <c r="Y1479" s="6"/>
      <c r="Z1479" s="6"/>
      <c r="AA1479" s="6"/>
      <c r="AB1479" s="6">
        <v>220.81081080000001</v>
      </c>
      <c r="AC1479" s="6"/>
      <c r="AD1479" s="6"/>
      <c r="AE1479" s="6"/>
      <c r="AF1479" s="18"/>
      <c r="AG1479" s="18"/>
      <c r="AH1479" s="18"/>
      <c r="AI1479" s="18"/>
      <c r="AK1479" s="18"/>
      <c r="AL1479" s="18"/>
      <c r="AM1479" s="18"/>
      <c r="AN1479" s="18"/>
      <c r="AO1479" s="6"/>
      <c r="AP1479" s="32"/>
      <c r="AQ1479" s="32"/>
      <c r="AR1479" s="32"/>
      <c r="AS1479" s="32"/>
      <c r="AT1479" s="32"/>
      <c r="AU1479" s="32"/>
      <c r="AV1479" s="32"/>
      <c r="AW1479" s="32"/>
      <c r="AX1479" s="32"/>
      <c r="AY1479" s="32"/>
      <c r="AZ1479" s="32"/>
      <c r="BA1479" s="32"/>
      <c r="BB1479" s="32"/>
      <c r="BC1479" s="32"/>
      <c r="BD1479" s="32"/>
      <c r="BE1479" s="32"/>
      <c r="BF1479" s="32"/>
      <c r="BG1479" s="32"/>
      <c r="BH1479" s="32"/>
      <c r="BI1479" s="32"/>
      <c r="BJ1479" s="6"/>
      <c r="BK1479" s="6"/>
      <c r="BL1479" s="6"/>
      <c r="BO1479" s="15"/>
    </row>
    <row r="1480" spans="1:67">
      <c r="A1480" s="16" t="s">
        <v>130</v>
      </c>
      <c r="B1480" s="16"/>
      <c r="C1480" s="17">
        <v>31269</v>
      </c>
      <c r="D1480" s="18">
        <v>12.150841277377038</v>
      </c>
      <c r="E1480" s="6"/>
      <c r="F1480" s="6"/>
      <c r="G1480" s="22"/>
      <c r="H1480" s="22"/>
      <c r="I1480" s="22"/>
      <c r="J1480" s="22"/>
      <c r="K1480" s="22"/>
      <c r="L1480" s="22"/>
      <c r="M1480" s="22"/>
      <c r="N1480" s="18"/>
      <c r="O1480" s="18"/>
      <c r="P1480" s="22"/>
      <c r="Q1480" s="22"/>
      <c r="R1480" s="22"/>
      <c r="S1480" s="22"/>
      <c r="T1480" s="22"/>
      <c r="U1480" s="22"/>
      <c r="V1480" s="6"/>
      <c r="W1480" s="6"/>
      <c r="X1480" s="19"/>
      <c r="Y1480" s="6"/>
      <c r="Z1480" s="6"/>
      <c r="AA1480" s="6"/>
      <c r="AB1480" s="6">
        <v>207.43243240000001</v>
      </c>
      <c r="AC1480" s="6"/>
      <c r="AD1480" s="6"/>
      <c r="AE1480" s="6"/>
      <c r="AF1480" s="18"/>
      <c r="AG1480" s="18"/>
      <c r="AH1480" s="18"/>
      <c r="AI1480" s="18"/>
      <c r="AK1480" s="18"/>
      <c r="AL1480" s="18"/>
      <c r="AM1480" s="18"/>
      <c r="AN1480" s="18"/>
      <c r="AO1480" s="6"/>
      <c r="AP1480" s="32"/>
      <c r="AQ1480" s="32"/>
      <c r="AR1480" s="32"/>
      <c r="AS1480" s="32"/>
      <c r="AT1480" s="32"/>
      <c r="AU1480" s="32"/>
      <c r="AV1480" s="32"/>
      <c r="AW1480" s="32"/>
      <c r="AX1480" s="32"/>
      <c r="AY1480" s="32"/>
      <c r="AZ1480" s="32"/>
      <c r="BA1480" s="32"/>
      <c r="BB1480" s="32"/>
      <c r="BC1480" s="32"/>
      <c r="BD1480" s="32"/>
      <c r="BE1480" s="32"/>
      <c r="BF1480" s="32"/>
      <c r="BG1480" s="32"/>
      <c r="BH1480" s="32"/>
      <c r="BI1480" s="32"/>
      <c r="BJ1480" s="6"/>
      <c r="BK1480" s="6"/>
      <c r="BL1480" s="6"/>
      <c r="BO1480" s="15"/>
    </row>
    <row r="1481" spans="1:67">
      <c r="A1481" s="16" t="s">
        <v>130</v>
      </c>
      <c r="B1481" s="16"/>
      <c r="C1481" s="17">
        <v>31295</v>
      </c>
      <c r="D1481" s="18">
        <v>12.222026918028639</v>
      </c>
      <c r="E1481" s="6"/>
      <c r="F1481" s="6"/>
      <c r="G1481" s="22"/>
      <c r="H1481" s="22"/>
      <c r="I1481" s="22"/>
      <c r="J1481" s="22"/>
      <c r="K1481" s="22"/>
      <c r="L1481" s="22"/>
      <c r="M1481" s="22"/>
      <c r="N1481" s="18"/>
      <c r="O1481" s="18"/>
      <c r="P1481" s="22"/>
      <c r="Q1481" s="22"/>
      <c r="R1481" s="22"/>
      <c r="S1481" s="22"/>
      <c r="T1481" s="22"/>
      <c r="U1481" s="22"/>
      <c r="V1481" s="6"/>
      <c r="W1481" s="6"/>
      <c r="X1481" s="19"/>
      <c r="Y1481" s="6"/>
      <c r="Z1481" s="6"/>
      <c r="AA1481" s="6"/>
      <c r="AB1481" s="6">
        <v>300.27027029999999</v>
      </c>
      <c r="AC1481" s="6"/>
      <c r="AD1481" s="6"/>
      <c r="AE1481" s="6"/>
      <c r="AF1481" s="18"/>
      <c r="AG1481" s="18"/>
      <c r="AH1481" s="18"/>
      <c r="AI1481" s="18"/>
      <c r="AK1481" s="18"/>
      <c r="AL1481" s="18"/>
      <c r="AM1481" s="18"/>
      <c r="AN1481" s="18"/>
      <c r="AO1481" s="6"/>
      <c r="AP1481" s="32"/>
      <c r="AQ1481" s="32"/>
      <c r="AR1481" s="32"/>
      <c r="AS1481" s="32"/>
      <c r="AT1481" s="32"/>
      <c r="AU1481" s="32"/>
      <c r="AV1481" s="32"/>
      <c r="AW1481" s="32"/>
      <c r="AX1481" s="32"/>
      <c r="AY1481" s="32"/>
      <c r="AZ1481" s="32"/>
      <c r="BA1481" s="32"/>
      <c r="BB1481" s="32"/>
      <c r="BC1481" s="32"/>
      <c r="BD1481" s="32"/>
      <c r="BE1481" s="32"/>
      <c r="BF1481" s="32"/>
      <c r="BG1481" s="32"/>
      <c r="BH1481" s="32"/>
      <c r="BI1481" s="32"/>
      <c r="BJ1481" s="6"/>
      <c r="BK1481" s="6"/>
      <c r="BL1481" s="6"/>
      <c r="BO1481" s="15"/>
    </row>
    <row r="1482" spans="1:67">
      <c r="A1482" s="16" t="s">
        <v>130</v>
      </c>
      <c r="B1482" s="16"/>
      <c r="C1482" s="17">
        <v>31325</v>
      </c>
      <c r="D1482" s="18">
        <v>12.304164195703562</v>
      </c>
      <c r="E1482" s="6"/>
      <c r="F1482" s="6"/>
      <c r="G1482" s="22"/>
      <c r="H1482" s="22"/>
      <c r="I1482" s="22"/>
      <c r="J1482" s="22"/>
      <c r="K1482" s="22"/>
      <c r="L1482" s="22"/>
      <c r="M1482" s="22"/>
      <c r="N1482" s="18"/>
      <c r="O1482" s="18"/>
      <c r="P1482" s="22"/>
      <c r="Q1482" s="22"/>
      <c r="R1482" s="22"/>
      <c r="S1482" s="22"/>
      <c r="T1482" s="22"/>
      <c r="U1482" s="22"/>
      <c r="V1482" s="6"/>
      <c r="W1482" s="6"/>
      <c r="X1482" s="19"/>
      <c r="Y1482" s="6"/>
      <c r="Z1482" s="6"/>
      <c r="AA1482" s="6"/>
      <c r="AB1482" s="6">
        <v>338.37837839999997</v>
      </c>
      <c r="AC1482" s="6"/>
      <c r="AD1482" s="6"/>
      <c r="AE1482" s="6"/>
      <c r="AF1482" s="18"/>
      <c r="AG1482" s="18"/>
      <c r="AH1482" s="18"/>
      <c r="AI1482" s="18"/>
      <c r="AK1482" s="18"/>
      <c r="AL1482" s="18"/>
      <c r="AM1482" s="18"/>
      <c r="AN1482" s="18"/>
      <c r="AO1482" s="6"/>
      <c r="AP1482" s="32"/>
      <c r="AQ1482" s="32"/>
      <c r="AR1482" s="32"/>
      <c r="AS1482" s="32"/>
      <c r="AT1482" s="32"/>
      <c r="AU1482" s="32"/>
      <c r="AV1482" s="32"/>
      <c r="AW1482" s="32"/>
      <c r="AX1482" s="32"/>
      <c r="AY1482" s="32"/>
      <c r="AZ1482" s="32"/>
      <c r="BA1482" s="32"/>
      <c r="BB1482" s="32"/>
      <c r="BC1482" s="32"/>
      <c r="BD1482" s="32"/>
      <c r="BE1482" s="32"/>
      <c r="BF1482" s="32"/>
      <c r="BG1482" s="32"/>
      <c r="BH1482" s="32"/>
      <c r="BI1482" s="32"/>
      <c r="BJ1482" s="6"/>
      <c r="BK1482" s="6"/>
      <c r="BL1482" s="6"/>
      <c r="BO1482" s="15"/>
    </row>
    <row r="1483" spans="1:67">
      <c r="A1483" s="16" t="s">
        <v>130</v>
      </c>
      <c r="B1483" s="16"/>
      <c r="C1483" s="17">
        <v>31309</v>
      </c>
      <c r="D1483" s="18">
        <v>12.26035764761027</v>
      </c>
      <c r="E1483" s="6"/>
      <c r="F1483" s="6"/>
      <c r="G1483" s="22"/>
      <c r="H1483" s="22"/>
      <c r="I1483" s="22"/>
      <c r="J1483" s="22"/>
      <c r="K1483" s="22"/>
      <c r="L1483" s="22"/>
      <c r="M1483" s="22"/>
      <c r="N1483" s="18"/>
      <c r="O1483" s="18"/>
      <c r="P1483" s="22"/>
      <c r="Q1483" s="22"/>
      <c r="R1483" s="22"/>
      <c r="S1483" s="22"/>
      <c r="T1483" s="22"/>
      <c r="U1483" s="22"/>
      <c r="V1483" s="6"/>
      <c r="W1483" s="6"/>
      <c r="X1483" s="19"/>
      <c r="Y1483" s="6"/>
      <c r="Z1483" s="6"/>
      <c r="AA1483" s="6"/>
      <c r="AB1483" s="6">
        <v>295.81081080000001</v>
      </c>
      <c r="AC1483" s="6"/>
      <c r="AD1483" s="6"/>
      <c r="AE1483" s="6"/>
      <c r="AF1483" s="18"/>
      <c r="AG1483" s="18"/>
      <c r="AH1483" s="18"/>
      <c r="AI1483" s="18"/>
      <c r="AK1483" s="18"/>
      <c r="AL1483" s="18"/>
      <c r="AM1483" s="18"/>
      <c r="AN1483" s="18"/>
      <c r="AO1483" s="6"/>
      <c r="AP1483" s="32"/>
      <c r="AQ1483" s="32"/>
      <c r="AR1483" s="32"/>
      <c r="AS1483" s="32"/>
      <c r="AT1483" s="32"/>
      <c r="AU1483" s="32"/>
      <c r="AV1483" s="32"/>
      <c r="AW1483" s="32"/>
      <c r="AX1483" s="32"/>
      <c r="AY1483" s="32"/>
      <c r="AZ1483" s="32"/>
      <c r="BA1483" s="32"/>
      <c r="BB1483" s="32"/>
      <c r="BC1483" s="32"/>
      <c r="BD1483" s="32"/>
      <c r="BE1483" s="32"/>
      <c r="BF1483" s="32"/>
      <c r="BG1483" s="32"/>
      <c r="BH1483" s="32"/>
      <c r="BI1483" s="32"/>
      <c r="BJ1483" s="6"/>
      <c r="BK1483" s="6"/>
      <c r="BL1483" s="6"/>
      <c r="BO1483" s="15"/>
    </row>
    <row r="1484" spans="1:67">
      <c r="A1484" s="16" t="s">
        <v>130</v>
      </c>
      <c r="B1484" s="16"/>
      <c r="C1484" s="17">
        <v>31344</v>
      </c>
      <c r="D1484" s="18">
        <v>12.356184471564347</v>
      </c>
      <c r="E1484" s="6"/>
      <c r="F1484" s="6"/>
      <c r="G1484" s="22"/>
      <c r="H1484" s="22"/>
      <c r="I1484" s="22"/>
      <c r="J1484" s="22"/>
      <c r="K1484" s="22"/>
      <c r="L1484" s="22"/>
      <c r="M1484" s="22"/>
      <c r="N1484" s="18"/>
      <c r="O1484" s="18"/>
      <c r="P1484" s="22"/>
      <c r="Q1484" s="22"/>
      <c r="R1484" s="22"/>
      <c r="S1484" s="22"/>
      <c r="T1484" s="22"/>
      <c r="U1484" s="22"/>
      <c r="V1484" s="6"/>
      <c r="W1484" s="6"/>
      <c r="X1484" s="19"/>
      <c r="Y1484" s="6"/>
      <c r="Z1484" s="6"/>
      <c r="AA1484" s="6"/>
      <c r="AB1484" s="6">
        <v>290.94594590000003</v>
      </c>
      <c r="AC1484" s="6"/>
      <c r="AD1484" s="6"/>
      <c r="AE1484" s="6"/>
      <c r="AF1484" s="18"/>
      <c r="AG1484" s="18"/>
      <c r="AH1484" s="18"/>
      <c r="AI1484" s="18"/>
      <c r="AK1484" s="18"/>
      <c r="AL1484" s="18"/>
      <c r="AM1484" s="18"/>
      <c r="AN1484" s="18"/>
      <c r="AO1484" s="6"/>
      <c r="AP1484" s="32"/>
      <c r="AQ1484" s="32"/>
      <c r="AR1484" s="32"/>
      <c r="AS1484" s="32"/>
      <c r="AT1484" s="32"/>
      <c r="AU1484" s="32"/>
      <c r="AV1484" s="32"/>
      <c r="AW1484" s="32"/>
      <c r="AX1484" s="32"/>
      <c r="AY1484" s="32"/>
      <c r="AZ1484" s="32"/>
      <c r="BA1484" s="32"/>
      <c r="BB1484" s="32"/>
      <c r="BC1484" s="32"/>
      <c r="BD1484" s="32"/>
      <c r="BE1484" s="32"/>
      <c r="BF1484" s="32"/>
      <c r="BG1484" s="32"/>
      <c r="BH1484" s="32"/>
      <c r="BI1484" s="32"/>
      <c r="BJ1484" s="6"/>
      <c r="BK1484" s="6"/>
      <c r="BL1484" s="6"/>
      <c r="BO1484" s="15"/>
    </row>
    <row r="1485" spans="1:67">
      <c r="A1485" s="16" t="s">
        <v>130</v>
      </c>
      <c r="B1485" s="16"/>
      <c r="C1485" s="17">
        <v>31365</v>
      </c>
      <c r="D1485" s="18">
        <v>12.413680565936794</v>
      </c>
      <c r="E1485" s="6"/>
      <c r="F1485" s="6"/>
      <c r="G1485" s="22"/>
      <c r="H1485" s="22"/>
      <c r="I1485" s="22"/>
      <c r="J1485" s="22"/>
      <c r="K1485" s="22"/>
      <c r="L1485" s="22"/>
      <c r="M1485" s="22"/>
      <c r="N1485" s="18"/>
      <c r="O1485" s="18"/>
      <c r="P1485" s="22"/>
      <c r="Q1485" s="22"/>
      <c r="R1485" s="22"/>
      <c r="S1485" s="22"/>
      <c r="T1485" s="22"/>
      <c r="U1485" s="22"/>
      <c r="V1485" s="6"/>
      <c r="W1485" s="6"/>
      <c r="X1485" s="19"/>
      <c r="Y1485" s="6"/>
      <c r="Z1485" s="6"/>
      <c r="AA1485" s="6"/>
      <c r="AB1485" s="6">
        <v>252.83783779999999</v>
      </c>
      <c r="AC1485" s="6"/>
      <c r="AD1485" s="6"/>
      <c r="AE1485" s="6"/>
      <c r="AF1485" s="18"/>
      <c r="AG1485" s="18"/>
      <c r="AH1485" s="18"/>
      <c r="AI1485" s="18"/>
      <c r="AK1485" s="18"/>
      <c r="AL1485" s="18"/>
      <c r="AM1485" s="18"/>
      <c r="AN1485" s="18"/>
      <c r="AO1485" s="6"/>
      <c r="AP1485" s="32"/>
      <c r="AQ1485" s="32"/>
      <c r="AR1485" s="32"/>
      <c r="AS1485" s="32"/>
      <c r="AT1485" s="32"/>
      <c r="AU1485" s="32"/>
      <c r="AV1485" s="32"/>
      <c r="AW1485" s="32"/>
      <c r="AX1485" s="32"/>
      <c r="AY1485" s="32"/>
      <c r="AZ1485" s="32"/>
      <c r="BA1485" s="32"/>
      <c r="BB1485" s="32"/>
      <c r="BC1485" s="32"/>
      <c r="BD1485" s="32"/>
      <c r="BE1485" s="32"/>
      <c r="BF1485" s="32"/>
      <c r="BG1485" s="32"/>
      <c r="BH1485" s="32"/>
      <c r="BI1485" s="32"/>
      <c r="BJ1485" s="6"/>
      <c r="BK1485" s="6"/>
      <c r="BL1485" s="6"/>
      <c r="BO1485" s="15"/>
    </row>
    <row r="1486" spans="1:67">
      <c r="A1486" s="16" t="s">
        <v>130</v>
      </c>
      <c r="B1486" s="16"/>
      <c r="C1486" s="17">
        <v>31379</v>
      </c>
      <c r="D1486" s="18">
        <v>12.452011295518425</v>
      </c>
      <c r="E1486" s="6"/>
      <c r="F1486" s="6"/>
      <c r="G1486" s="22"/>
      <c r="H1486" s="22"/>
      <c r="I1486" s="22"/>
      <c r="J1486" s="22"/>
      <c r="K1486" s="22"/>
      <c r="L1486" s="22"/>
      <c r="M1486" s="22"/>
      <c r="N1486" s="18"/>
      <c r="O1486" s="18"/>
      <c r="P1486" s="22"/>
      <c r="Q1486" s="22"/>
      <c r="R1486" s="22"/>
      <c r="S1486" s="22"/>
      <c r="T1486" s="22"/>
      <c r="U1486" s="22"/>
      <c r="V1486" s="6"/>
      <c r="W1486" s="6"/>
      <c r="X1486" s="19"/>
      <c r="Y1486" s="6"/>
      <c r="Z1486" s="6"/>
      <c r="AA1486" s="6"/>
      <c r="AB1486" s="6">
        <v>231.75675680000001</v>
      </c>
      <c r="AC1486" s="6"/>
      <c r="AD1486" s="6"/>
      <c r="AE1486" s="6"/>
      <c r="AF1486" s="18"/>
      <c r="AG1486" s="18"/>
      <c r="AH1486" s="18"/>
      <c r="AI1486" s="18"/>
      <c r="AK1486" s="18"/>
      <c r="AL1486" s="18"/>
      <c r="AM1486" s="18"/>
      <c r="AN1486" s="18"/>
      <c r="AO1486" s="6"/>
      <c r="AP1486" s="32"/>
      <c r="AQ1486" s="32"/>
      <c r="AR1486" s="32"/>
      <c r="AS1486" s="32"/>
      <c r="AT1486" s="32"/>
      <c r="AU1486" s="32"/>
      <c r="AV1486" s="32"/>
      <c r="AW1486" s="32"/>
      <c r="AX1486" s="32"/>
      <c r="AY1486" s="32"/>
      <c r="AZ1486" s="32"/>
      <c r="BA1486" s="32"/>
      <c r="BB1486" s="32"/>
      <c r="BC1486" s="32"/>
      <c r="BD1486" s="32"/>
      <c r="BE1486" s="32"/>
      <c r="BF1486" s="32"/>
      <c r="BG1486" s="32"/>
      <c r="BH1486" s="32"/>
      <c r="BI1486" s="32"/>
      <c r="BJ1486" s="6"/>
      <c r="BK1486" s="6"/>
      <c r="BL1486" s="6"/>
      <c r="BO1486" s="15"/>
    </row>
    <row r="1487" spans="1:67">
      <c r="A1487" s="16" t="s">
        <v>130</v>
      </c>
      <c r="B1487" s="16"/>
      <c r="C1487" s="17">
        <v>31398</v>
      </c>
      <c r="D1487" s="18">
        <v>12.50403157137921</v>
      </c>
      <c r="E1487" s="6"/>
      <c r="F1487" s="6"/>
      <c r="G1487" s="22"/>
      <c r="H1487" s="22"/>
      <c r="I1487" s="22"/>
      <c r="J1487" s="22"/>
      <c r="K1487" s="22"/>
      <c r="L1487" s="22"/>
      <c r="M1487" s="22"/>
      <c r="N1487" s="18"/>
      <c r="O1487" s="18"/>
      <c r="P1487" s="22"/>
      <c r="Q1487" s="22"/>
      <c r="R1487" s="22"/>
      <c r="S1487" s="22"/>
      <c r="T1487" s="22"/>
      <c r="U1487" s="22"/>
      <c r="V1487" s="6"/>
      <c r="W1487" s="6"/>
      <c r="X1487" s="19"/>
      <c r="Y1487" s="6"/>
      <c r="Z1487" s="6"/>
      <c r="AA1487" s="6"/>
      <c r="AB1487" s="6">
        <v>219.59459459999999</v>
      </c>
      <c r="AC1487" s="6"/>
      <c r="AD1487" s="6"/>
      <c r="AE1487" s="6"/>
      <c r="AF1487" s="18"/>
      <c r="AG1487" s="18"/>
      <c r="AH1487" s="18"/>
      <c r="AI1487" s="18"/>
      <c r="AK1487" s="18"/>
      <c r="AL1487" s="18"/>
      <c r="AM1487" s="18"/>
      <c r="AN1487" s="18"/>
      <c r="AO1487" s="6"/>
      <c r="AP1487" s="32"/>
      <c r="AQ1487" s="32"/>
      <c r="AR1487" s="32"/>
      <c r="AS1487" s="32"/>
      <c r="AT1487" s="32"/>
      <c r="AU1487" s="32"/>
      <c r="AV1487" s="32"/>
      <c r="AW1487" s="32"/>
      <c r="AX1487" s="32"/>
      <c r="AY1487" s="32"/>
      <c r="AZ1487" s="32"/>
      <c r="BA1487" s="32"/>
      <c r="BB1487" s="32"/>
      <c r="BC1487" s="32"/>
      <c r="BD1487" s="32"/>
      <c r="BE1487" s="32"/>
      <c r="BF1487" s="32"/>
      <c r="BG1487" s="32"/>
      <c r="BH1487" s="32"/>
      <c r="BI1487" s="32"/>
      <c r="BJ1487" s="6"/>
      <c r="BK1487" s="6"/>
      <c r="BL1487" s="6"/>
      <c r="BO1487" s="15"/>
    </row>
    <row r="1488" spans="1:67">
      <c r="A1488" s="16" t="s">
        <v>130</v>
      </c>
      <c r="B1488" s="16"/>
      <c r="C1488" s="17">
        <v>31414</v>
      </c>
      <c r="D1488" s="18">
        <v>12.547838119472502</v>
      </c>
      <c r="E1488" s="6"/>
      <c r="F1488" s="6"/>
      <c r="G1488" s="22"/>
      <c r="H1488" s="22"/>
      <c r="I1488" s="22"/>
      <c r="J1488" s="22"/>
      <c r="K1488" s="22"/>
      <c r="L1488" s="22"/>
      <c r="M1488" s="22"/>
      <c r="N1488" s="18"/>
      <c r="O1488" s="18"/>
      <c r="P1488" s="22"/>
      <c r="Q1488" s="22"/>
      <c r="R1488" s="22"/>
      <c r="S1488" s="22"/>
      <c r="T1488" s="22"/>
      <c r="U1488" s="22"/>
      <c r="V1488" s="6"/>
      <c r="W1488" s="6"/>
      <c r="X1488" s="19"/>
      <c r="Y1488" s="6"/>
      <c r="Z1488" s="6"/>
      <c r="AA1488" s="6"/>
      <c r="AB1488" s="6">
        <v>174.18918919999999</v>
      </c>
      <c r="AC1488" s="6"/>
      <c r="AD1488" s="6"/>
      <c r="AE1488" s="6"/>
      <c r="AF1488" s="18"/>
      <c r="AG1488" s="18"/>
      <c r="AH1488" s="18"/>
      <c r="AI1488" s="18"/>
      <c r="AK1488" s="18"/>
      <c r="AL1488" s="18"/>
      <c r="AM1488" s="18"/>
      <c r="AN1488" s="18"/>
      <c r="AO1488" s="6"/>
      <c r="AP1488" s="32"/>
      <c r="AQ1488" s="32"/>
      <c r="AR1488" s="32"/>
      <c r="AS1488" s="32"/>
      <c r="AT1488" s="32"/>
      <c r="AU1488" s="32"/>
      <c r="AV1488" s="32"/>
      <c r="AW1488" s="32"/>
      <c r="AX1488" s="32"/>
      <c r="AY1488" s="32"/>
      <c r="AZ1488" s="32"/>
      <c r="BA1488" s="32"/>
      <c r="BB1488" s="32"/>
      <c r="BC1488" s="32"/>
      <c r="BD1488" s="32"/>
      <c r="BE1488" s="32"/>
      <c r="BF1488" s="32"/>
      <c r="BG1488" s="32"/>
      <c r="BH1488" s="32"/>
      <c r="BI1488" s="32"/>
      <c r="BJ1488" s="6"/>
      <c r="BK1488" s="6"/>
      <c r="BL1488" s="6"/>
      <c r="BO1488" s="15"/>
    </row>
    <row r="1489" spans="1:67">
      <c r="A1489" s="16" t="s">
        <v>130</v>
      </c>
      <c r="B1489" s="16"/>
      <c r="C1489" s="17">
        <v>31433</v>
      </c>
      <c r="D1489" s="18">
        <v>12.599858395333287</v>
      </c>
      <c r="E1489" s="6"/>
      <c r="F1489" s="6"/>
      <c r="G1489" s="22"/>
      <c r="H1489" s="22"/>
      <c r="I1489" s="22"/>
      <c r="J1489" s="22"/>
      <c r="K1489" s="22"/>
      <c r="L1489" s="22"/>
      <c r="M1489" s="22"/>
      <c r="N1489" s="18"/>
      <c r="O1489" s="18"/>
      <c r="P1489" s="22"/>
      <c r="Q1489" s="22"/>
      <c r="R1489" s="22"/>
      <c r="S1489" s="22"/>
      <c r="T1489" s="22"/>
      <c r="U1489" s="22"/>
      <c r="V1489" s="6"/>
      <c r="W1489" s="6"/>
      <c r="X1489" s="19"/>
      <c r="Y1489" s="6"/>
      <c r="Z1489" s="6"/>
      <c r="AA1489" s="6"/>
      <c r="AB1489" s="6">
        <v>162.83783779999999</v>
      </c>
      <c r="AC1489" s="6"/>
      <c r="AD1489" s="6"/>
      <c r="AE1489" s="6"/>
      <c r="AF1489" s="18"/>
      <c r="AG1489" s="18"/>
      <c r="AH1489" s="18"/>
      <c r="AI1489" s="18"/>
      <c r="AK1489" s="18"/>
      <c r="AL1489" s="18"/>
      <c r="AM1489" s="18"/>
      <c r="AN1489" s="18"/>
      <c r="AO1489" s="6"/>
      <c r="AP1489" s="32"/>
      <c r="AQ1489" s="32"/>
      <c r="AR1489" s="32"/>
      <c r="AS1489" s="32"/>
      <c r="AT1489" s="32"/>
      <c r="AU1489" s="32"/>
      <c r="AV1489" s="32"/>
      <c r="AW1489" s="32"/>
      <c r="AX1489" s="32"/>
      <c r="AY1489" s="32"/>
      <c r="AZ1489" s="32"/>
      <c r="BA1489" s="32"/>
      <c r="BB1489" s="32"/>
      <c r="BC1489" s="32"/>
      <c r="BD1489" s="32"/>
      <c r="BE1489" s="32"/>
      <c r="BF1489" s="32"/>
      <c r="BG1489" s="32"/>
      <c r="BH1489" s="32"/>
      <c r="BI1489" s="32"/>
      <c r="BJ1489" s="6"/>
      <c r="BK1489" s="6"/>
      <c r="BL1489" s="6"/>
      <c r="BO1489" s="15"/>
    </row>
    <row r="1490" spans="1:67">
      <c r="A1490" s="16" t="s">
        <v>130</v>
      </c>
      <c r="B1490" s="16"/>
      <c r="C1490" s="17">
        <v>31454</v>
      </c>
      <c r="D1490" s="18">
        <v>12.657354489705734</v>
      </c>
      <c r="E1490" s="6"/>
      <c r="F1490" s="6"/>
      <c r="G1490" s="22"/>
      <c r="H1490" s="22"/>
      <c r="I1490" s="22"/>
      <c r="J1490" s="22"/>
      <c r="K1490" s="22"/>
      <c r="L1490" s="22"/>
      <c r="M1490" s="22"/>
      <c r="N1490" s="18"/>
      <c r="O1490" s="18"/>
      <c r="P1490" s="22"/>
      <c r="Q1490" s="22"/>
      <c r="R1490" s="22"/>
      <c r="S1490" s="22"/>
      <c r="T1490" s="22"/>
      <c r="U1490" s="22"/>
      <c r="V1490" s="6"/>
      <c r="W1490" s="6"/>
      <c r="X1490" s="19"/>
      <c r="Y1490" s="6"/>
      <c r="Z1490" s="6"/>
      <c r="AA1490" s="6"/>
      <c r="AB1490" s="6">
        <v>170.13513510000001</v>
      </c>
      <c r="AC1490" s="6"/>
      <c r="AD1490" s="6"/>
      <c r="AE1490" s="6"/>
      <c r="AF1490" s="18"/>
      <c r="AG1490" s="18"/>
      <c r="AH1490" s="18"/>
      <c r="AI1490" s="18"/>
      <c r="AK1490" s="18"/>
      <c r="AL1490" s="18"/>
      <c r="AM1490" s="18"/>
      <c r="AN1490" s="18"/>
      <c r="AO1490" s="6"/>
      <c r="AP1490" s="32"/>
      <c r="AQ1490" s="32"/>
      <c r="AR1490" s="32"/>
      <c r="AS1490" s="32"/>
      <c r="AT1490" s="32"/>
      <c r="AU1490" s="32"/>
      <c r="AV1490" s="32"/>
      <c r="AW1490" s="32"/>
      <c r="AX1490" s="32"/>
      <c r="AY1490" s="32"/>
      <c r="AZ1490" s="32"/>
      <c r="BA1490" s="32"/>
      <c r="BB1490" s="32"/>
      <c r="BC1490" s="32"/>
      <c r="BD1490" s="32"/>
      <c r="BE1490" s="32"/>
      <c r="BF1490" s="32"/>
      <c r="BG1490" s="32"/>
      <c r="BH1490" s="32"/>
      <c r="BI1490" s="32"/>
      <c r="BJ1490" s="6"/>
      <c r="BK1490" s="6"/>
      <c r="BL1490" s="6"/>
      <c r="BO1490" s="15"/>
    </row>
    <row r="1491" spans="1:67">
      <c r="A1491" s="16" t="s">
        <v>130</v>
      </c>
      <c r="B1491" s="16"/>
      <c r="C1491" s="17">
        <v>31466</v>
      </c>
      <c r="D1491" s="18">
        <v>12.690209400775704</v>
      </c>
      <c r="E1491" s="6"/>
      <c r="F1491" s="6"/>
      <c r="G1491" s="22"/>
      <c r="H1491" s="22"/>
      <c r="I1491" s="22"/>
      <c r="J1491" s="22"/>
      <c r="K1491" s="22"/>
      <c r="L1491" s="22"/>
      <c r="M1491" s="22"/>
      <c r="N1491" s="18"/>
      <c r="O1491" s="18"/>
      <c r="P1491" s="22"/>
      <c r="Q1491" s="22"/>
      <c r="R1491" s="22"/>
      <c r="S1491" s="22"/>
      <c r="T1491" s="22"/>
      <c r="U1491" s="22"/>
      <c r="V1491" s="6"/>
      <c r="W1491" s="6"/>
      <c r="X1491" s="19"/>
      <c r="Y1491" s="6"/>
      <c r="Z1491" s="6"/>
      <c r="AA1491" s="6"/>
      <c r="AB1491" s="6">
        <v>151.48648650000001</v>
      </c>
      <c r="AC1491" s="6"/>
      <c r="AD1491" s="6"/>
      <c r="AE1491" s="6"/>
      <c r="AF1491" s="18"/>
      <c r="AG1491" s="18"/>
      <c r="AH1491" s="18"/>
      <c r="AI1491" s="18"/>
      <c r="AK1491" s="18"/>
      <c r="AL1491" s="18"/>
      <c r="AM1491" s="18"/>
      <c r="AN1491" s="18"/>
      <c r="AO1491" s="6"/>
      <c r="AP1491" s="32"/>
      <c r="AQ1491" s="32"/>
      <c r="AR1491" s="32"/>
      <c r="AS1491" s="32"/>
      <c r="AT1491" s="32"/>
      <c r="AU1491" s="32"/>
      <c r="AV1491" s="32"/>
      <c r="AW1491" s="32"/>
      <c r="AX1491" s="32"/>
      <c r="AY1491" s="32"/>
      <c r="AZ1491" s="32"/>
      <c r="BA1491" s="32"/>
      <c r="BB1491" s="32"/>
      <c r="BC1491" s="32"/>
      <c r="BD1491" s="32"/>
      <c r="BE1491" s="32"/>
      <c r="BF1491" s="32"/>
      <c r="BG1491" s="32"/>
      <c r="BH1491" s="32"/>
      <c r="BI1491" s="32"/>
      <c r="BJ1491" s="6"/>
      <c r="BK1491" s="6"/>
      <c r="BL1491" s="6"/>
      <c r="BO1491" s="15"/>
    </row>
    <row r="1492" spans="1:67">
      <c r="A1492" s="16" t="s">
        <v>130</v>
      </c>
      <c r="B1492" s="16"/>
      <c r="C1492" s="17">
        <v>31478</v>
      </c>
      <c r="D1492" s="18">
        <v>12.723064311845674</v>
      </c>
      <c r="E1492" s="6"/>
      <c r="F1492" s="6"/>
      <c r="G1492" s="22"/>
      <c r="H1492" s="22"/>
      <c r="I1492" s="22"/>
      <c r="J1492" s="22"/>
      <c r="K1492" s="22"/>
      <c r="L1492" s="22"/>
      <c r="M1492" s="22"/>
      <c r="N1492" s="18"/>
      <c r="O1492" s="18"/>
      <c r="P1492" s="22"/>
      <c r="Q1492" s="22"/>
      <c r="R1492" s="22"/>
      <c r="S1492" s="22"/>
      <c r="T1492" s="22"/>
      <c r="U1492" s="22"/>
      <c r="V1492" s="6"/>
      <c r="W1492" s="6"/>
      <c r="X1492" s="19"/>
      <c r="Y1492" s="6"/>
      <c r="Z1492" s="6"/>
      <c r="AA1492" s="6"/>
      <c r="AB1492" s="6">
        <v>148.6486486</v>
      </c>
      <c r="AC1492" s="6"/>
      <c r="AD1492" s="6"/>
      <c r="AE1492" s="6"/>
      <c r="AF1492" s="18"/>
      <c r="AG1492" s="18"/>
      <c r="AH1492" s="18"/>
      <c r="AI1492" s="18"/>
      <c r="AK1492" s="18"/>
      <c r="AL1492" s="18"/>
      <c r="AM1492" s="18"/>
      <c r="AN1492" s="18"/>
      <c r="AO1492" s="6"/>
      <c r="AP1492" s="32"/>
      <c r="AQ1492" s="32"/>
      <c r="AR1492" s="32"/>
      <c r="AS1492" s="32"/>
      <c r="AT1492" s="32"/>
      <c r="AU1492" s="32"/>
      <c r="AV1492" s="32"/>
      <c r="AW1492" s="32"/>
      <c r="AX1492" s="32"/>
      <c r="AY1492" s="32"/>
      <c r="AZ1492" s="32"/>
      <c r="BA1492" s="32"/>
      <c r="BB1492" s="32"/>
      <c r="BC1492" s="32"/>
      <c r="BD1492" s="32"/>
      <c r="BE1492" s="32"/>
      <c r="BF1492" s="32"/>
      <c r="BG1492" s="32"/>
      <c r="BH1492" s="32"/>
      <c r="BI1492" s="32"/>
      <c r="BJ1492" s="6"/>
      <c r="BK1492" s="6"/>
      <c r="BL1492" s="6"/>
      <c r="BO1492" s="15"/>
    </row>
    <row r="1493" spans="1:67">
      <c r="A1493" s="16" t="s">
        <v>130</v>
      </c>
      <c r="B1493" s="16"/>
      <c r="C1493" s="17">
        <v>31488</v>
      </c>
      <c r="D1493" s="18">
        <v>12.750443404403981</v>
      </c>
      <c r="E1493" s="6"/>
      <c r="F1493" s="6"/>
      <c r="G1493" s="22"/>
      <c r="H1493" s="22"/>
      <c r="I1493" s="22"/>
      <c r="J1493" s="22"/>
      <c r="K1493" s="22"/>
      <c r="L1493" s="22"/>
      <c r="M1493" s="22"/>
      <c r="N1493" s="18"/>
      <c r="O1493" s="18"/>
      <c r="P1493" s="22"/>
      <c r="Q1493" s="22"/>
      <c r="R1493" s="22"/>
      <c r="S1493" s="22"/>
      <c r="T1493" s="22"/>
      <c r="U1493" s="22"/>
      <c r="V1493" s="6"/>
      <c r="W1493" s="6"/>
      <c r="X1493" s="19"/>
      <c r="Y1493" s="6"/>
      <c r="Z1493" s="6"/>
      <c r="AA1493" s="6"/>
      <c r="AB1493" s="6">
        <v>142.972973</v>
      </c>
      <c r="AC1493" s="6"/>
      <c r="AD1493" s="6"/>
      <c r="AE1493" s="6"/>
      <c r="AF1493" s="18"/>
      <c r="AG1493" s="18"/>
      <c r="AH1493" s="18"/>
      <c r="AI1493" s="18"/>
      <c r="AK1493" s="18"/>
      <c r="AL1493" s="18"/>
      <c r="AM1493" s="18"/>
      <c r="AN1493" s="18"/>
      <c r="AO1493" s="6"/>
      <c r="AP1493" s="32"/>
      <c r="AQ1493" s="32"/>
      <c r="AR1493" s="32"/>
      <c r="AS1493" s="32"/>
      <c r="AT1493" s="32"/>
      <c r="AU1493" s="32"/>
      <c r="AV1493" s="32"/>
      <c r="AW1493" s="32"/>
      <c r="AX1493" s="32"/>
      <c r="AY1493" s="32"/>
      <c r="AZ1493" s="32"/>
      <c r="BA1493" s="32"/>
      <c r="BB1493" s="32"/>
      <c r="BC1493" s="32"/>
      <c r="BD1493" s="32"/>
      <c r="BE1493" s="32"/>
      <c r="BF1493" s="32"/>
      <c r="BG1493" s="32"/>
      <c r="BH1493" s="32"/>
      <c r="BI1493" s="32"/>
      <c r="BJ1493" s="6"/>
      <c r="BK1493" s="6"/>
      <c r="BL1493" s="6"/>
      <c r="BO1493" s="15"/>
    </row>
    <row r="1494" spans="1:67">
      <c r="A1494" s="16" t="s">
        <v>130</v>
      </c>
      <c r="B1494" s="16"/>
      <c r="C1494" s="17">
        <v>31551</v>
      </c>
      <c r="D1494" s="18">
        <v>12.92293168752132</v>
      </c>
      <c r="E1494" s="6"/>
      <c r="F1494" s="6"/>
      <c r="G1494" s="22"/>
      <c r="H1494" s="22"/>
      <c r="I1494" s="22"/>
      <c r="J1494" s="22"/>
      <c r="K1494" s="22"/>
      <c r="L1494" s="22"/>
      <c r="M1494" s="22"/>
      <c r="N1494" s="18"/>
      <c r="O1494" s="18"/>
      <c r="P1494" s="22"/>
      <c r="Q1494" s="22"/>
      <c r="R1494" s="22"/>
      <c r="S1494" s="22"/>
      <c r="T1494" s="22"/>
      <c r="U1494" s="22"/>
      <c r="V1494" s="6"/>
      <c r="W1494" s="6"/>
      <c r="X1494" s="19"/>
      <c r="Y1494" s="6"/>
      <c r="Z1494" s="6"/>
      <c r="AA1494" s="6"/>
      <c r="AB1494" s="6">
        <v>167.7027027</v>
      </c>
      <c r="AC1494" s="6"/>
      <c r="AD1494" s="6"/>
      <c r="AE1494" s="6"/>
      <c r="AF1494" s="18"/>
      <c r="AG1494" s="18"/>
      <c r="AH1494" s="18"/>
      <c r="AI1494" s="18"/>
      <c r="AK1494" s="18"/>
      <c r="AL1494" s="18"/>
      <c r="AM1494" s="18"/>
      <c r="AN1494" s="18"/>
      <c r="AO1494" s="6"/>
      <c r="AP1494" s="32"/>
      <c r="AQ1494" s="32"/>
      <c r="AR1494" s="32"/>
      <c r="AS1494" s="32"/>
      <c r="AT1494" s="32"/>
      <c r="AU1494" s="32"/>
      <c r="AV1494" s="32"/>
      <c r="AW1494" s="32"/>
      <c r="AX1494" s="32"/>
      <c r="AY1494" s="32"/>
      <c r="AZ1494" s="32"/>
      <c r="BA1494" s="32"/>
      <c r="BB1494" s="32"/>
      <c r="BC1494" s="32"/>
      <c r="BD1494" s="32"/>
      <c r="BE1494" s="32"/>
      <c r="BF1494" s="32"/>
      <c r="BG1494" s="32"/>
      <c r="BH1494" s="32"/>
      <c r="BI1494" s="32"/>
      <c r="BJ1494" s="6"/>
      <c r="BK1494" s="6"/>
      <c r="BL1494" s="6"/>
      <c r="BO1494" s="15"/>
    </row>
    <row r="1495" spans="1:67">
      <c r="A1495" s="16" t="s">
        <v>130</v>
      </c>
      <c r="B1495" s="16"/>
      <c r="C1495" s="17">
        <v>31563</v>
      </c>
      <c r="D1495" s="18">
        <v>12.95578659859129</v>
      </c>
      <c r="E1495" s="6"/>
      <c r="F1495" s="6"/>
      <c r="G1495" s="22"/>
      <c r="H1495" s="22"/>
      <c r="I1495" s="22"/>
      <c r="J1495" s="22"/>
      <c r="K1495" s="22"/>
      <c r="L1495" s="22"/>
      <c r="M1495" s="22"/>
      <c r="N1495" s="18"/>
      <c r="O1495" s="18"/>
      <c r="P1495" s="22"/>
      <c r="Q1495" s="22"/>
      <c r="R1495" s="22"/>
      <c r="S1495" s="22"/>
      <c r="T1495" s="22"/>
      <c r="U1495" s="22"/>
      <c r="V1495" s="6"/>
      <c r="W1495" s="6"/>
      <c r="X1495" s="19"/>
      <c r="Y1495" s="6"/>
      <c r="Z1495" s="6"/>
      <c r="AA1495" s="6"/>
      <c r="AB1495" s="6">
        <v>190.81081080000001</v>
      </c>
      <c r="AC1495" s="6"/>
      <c r="AD1495" s="6"/>
      <c r="AE1495" s="6"/>
      <c r="AF1495" s="18"/>
      <c r="AG1495" s="18"/>
      <c r="AH1495" s="18"/>
      <c r="AI1495" s="18"/>
      <c r="AK1495" s="18"/>
      <c r="AL1495" s="18"/>
      <c r="AM1495" s="18"/>
      <c r="AN1495" s="18"/>
      <c r="AO1495" s="6"/>
      <c r="AP1495" s="32"/>
      <c r="AQ1495" s="32"/>
      <c r="AR1495" s="32"/>
      <c r="AS1495" s="32"/>
      <c r="AT1495" s="32"/>
      <c r="AU1495" s="32"/>
      <c r="AV1495" s="32"/>
      <c r="AW1495" s="32"/>
      <c r="AX1495" s="32"/>
      <c r="AY1495" s="32"/>
      <c r="AZ1495" s="32"/>
      <c r="BA1495" s="32"/>
      <c r="BB1495" s="32"/>
      <c r="BC1495" s="32"/>
      <c r="BD1495" s="32"/>
      <c r="BE1495" s="32"/>
      <c r="BF1495" s="32"/>
      <c r="BG1495" s="32"/>
      <c r="BH1495" s="32"/>
      <c r="BI1495" s="32"/>
      <c r="BJ1495" s="6"/>
      <c r="BK1495" s="6"/>
      <c r="BL1495" s="6"/>
      <c r="BO1495" s="15"/>
    </row>
    <row r="1496" spans="1:67">
      <c r="A1496" s="16" t="s">
        <v>130</v>
      </c>
      <c r="B1496" s="16"/>
      <c r="C1496" s="17">
        <v>31574</v>
      </c>
      <c r="D1496" s="18">
        <v>12.985903600405429</v>
      </c>
      <c r="E1496" s="6"/>
      <c r="F1496" s="6"/>
      <c r="G1496" s="22"/>
      <c r="H1496" s="22"/>
      <c r="I1496" s="22"/>
      <c r="J1496" s="22"/>
      <c r="K1496" s="22"/>
      <c r="L1496" s="22"/>
      <c r="M1496" s="22"/>
      <c r="N1496" s="18"/>
      <c r="O1496" s="18"/>
      <c r="P1496" s="22"/>
      <c r="Q1496" s="22"/>
      <c r="R1496" s="22"/>
      <c r="S1496" s="22"/>
      <c r="T1496" s="22"/>
      <c r="U1496" s="22"/>
      <c r="V1496" s="6"/>
      <c r="W1496" s="6"/>
      <c r="X1496" s="19"/>
      <c r="Y1496" s="6"/>
      <c r="Z1496" s="6"/>
      <c r="AA1496" s="6"/>
      <c r="AB1496" s="6">
        <v>208.6486486</v>
      </c>
      <c r="AC1496" s="6"/>
      <c r="AD1496" s="6"/>
      <c r="AE1496" s="6"/>
      <c r="AF1496" s="18"/>
      <c r="AG1496" s="18"/>
      <c r="AH1496" s="18"/>
      <c r="AI1496" s="18"/>
      <c r="AK1496" s="18"/>
      <c r="AL1496" s="18"/>
      <c r="AM1496" s="18"/>
      <c r="AN1496" s="18"/>
      <c r="AO1496" s="6"/>
      <c r="AP1496" s="32"/>
      <c r="AQ1496" s="32"/>
      <c r="AR1496" s="32"/>
      <c r="AS1496" s="32"/>
      <c r="AT1496" s="32"/>
      <c r="AU1496" s="32"/>
      <c r="AV1496" s="32"/>
      <c r="AW1496" s="32"/>
      <c r="AX1496" s="32"/>
      <c r="AY1496" s="32"/>
      <c r="AZ1496" s="32"/>
      <c r="BA1496" s="32"/>
      <c r="BB1496" s="32"/>
      <c r="BC1496" s="32"/>
      <c r="BD1496" s="32"/>
      <c r="BE1496" s="32"/>
      <c r="BF1496" s="32"/>
      <c r="BG1496" s="32"/>
      <c r="BH1496" s="32"/>
      <c r="BI1496" s="32"/>
      <c r="BJ1496" s="6"/>
      <c r="BK1496" s="6"/>
      <c r="BL1496" s="6"/>
      <c r="BO1496" s="15"/>
    </row>
    <row r="1497" spans="1:67">
      <c r="A1497" s="16" t="s">
        <v>130</v>
      </c>
      <c r="B1497" s="16"/>
      <c r="C1497" s="17">
        <v>31585</v>
      </c>
      <c r="D1497" s="18">
        <v>13.016020602219568</v>
      </c>
      <c r="E1497" s="6"/>
      <c r="F1497" s="6"/>
      <c r="G1497" s="22"/>
      <c r="H1497" s="22"/>
      <c r="I1497" s="22"/>
      <c r="J1497" s="22"/>
      <c r="K1497" s="22"/>
      <c r="L1497" s="22"/>
      <c r="M1497" s="22"/>
      <c r="N1497" s="18"/>
      <c r="O1497" s="18"/>
      <c r="P1497" s="22"/>
      <c r="Q1497" s="22"/>
      <c r="R1497" s="22"/>
      <c r="S1497" s="22"/>
      <c r="T1497" s="22"/>
      <c r="U1497" s="22"/>
      <c r="V1497" s="6"/>
      <c r="W1497" s="6"/>
      <c r="X1497" s="19"/>
      <c r="Y1497" s="6"/>
      <c r="Z1497" s="6"/>
      <c r="AA1497" s="6"/>
      <c r="AB1497" s="6">
        <v>195.27027029999999</v>
      </c>
      <c r="AC1497" s="6"/>
      <c r="AD1497" s="6"/>
      <c r="AE1497" s="6"/>
      <c r="AF1497" s="18"/>
      <c r="AG1497" s="18"/>
      <c r="AH1497" s="18"/>
      <c r="AI1497" s="18"/>
      <c r="AK1497" s="18"/>
      <c r="AL1497" s="18"/>
      <c r="AM1497" s="18"/>
      <c r="AN1497" s="18"/>
      <c r="AO1497" s="6"/>
      <c r="AP1497" s="32"/>
      <c r="AQ1497" s="32"/>
      <c r="AR1497" s="32"/>
      <c r="AS1497" s="32"/>
      <c r="AT1497" s="32"/>
      <c r="AU1497" s="32"/>
      <c r="AV1497" s="32"/>
      <c r="AW1497" s="32"/>
      <c r="AX1497" s="32"/>
      <c r="AY1497" s="32"/>
      <c r="AZ1497" s="32"/>
      <c r="BA1497" s="32"/>
      <c r="BB1497" s="32"/>
      <c r="BC1497" s="32"/>
      <c r="BD1497" s="32"/>
      <c r="BE1497" s="32"/>
      <c r="BF1497" s="32"/>
      <c r="BG1497" s="32"/>
      <c r="BH1497" s="32"/>
      <c r="BI1497" s="32"/>
      <c r="BJ1497" s="6"/>
      <c r="BK1497" s="6"/>
      <c r="BL1497" s="6"/>
      <c r="BO1497" s="15"/>
    </row>
    <row r="1498" spans="1:67">
      <c r="A1498" s="16" t="s">
        <v>130</v>
      </c>
      <c r="B1498" s="16"/>
      <c r="C1498" s="17">
        <v>31611</v>
      </c>
      <c r="D1498" s="18">
        <v>13.087206242871169</v>
      </c>
      <c r="E1498" s="6"/>
      <c r="F1498" s="6"/>
      <c r="G1498" s="22"/>
      <c r="H1498" s="22"/>
      <c r="I1498" s="22"/>
      <c r="J1498" s="22"/>
      <c r="K1498" s="22"/>
      <c r="L1498" s="22"/>
      <c r="M1498" s="22"/>
      <c r="N1498" s="18"/>
      <c r="O1498" s="18"/>
      <c r="P1498" s="22"/>
      <c r="Q1498" s="22"/>
      <c r="R1498" s="22"/>
      <c r="S1498" s="22"/>
      <c r="T1498" s="22"/>
      <c r="U1498" s="22"/>
      <c r="V1498" s="6"/>
      <c r="W1498" s="6"/>
      <c r="X1498" s="19"/>
      <c r="Y1498" s="6"/>
      <c r="Z1498" s="6"/>
      <c r="AA1498" s="6"/>
      <c r="AB1498" s="6">
        <v>181.89189189999999</v>
      </c>
      <c r="AC1498" s="6"/>
      <c r="AD1498" s="6"/>
      <c r="AE1498" s="6"/>
      <c r="AF1498" s="18"/>
      <c r="AG1498" s="18"/>
      <c r="AH1498" s="18"/>
      <c r="AI1498" s="18"/>
      <c r="AK1498" s="18"/>
      <c r="AL1498" s="18"/>
      <c r="AM1498" s="18"/>
      <c r="AN1498" s="18"/>
      <c r="AO1498" s="6"/>
      <c r="AP1498" s="32"/>
      <c r="AQ1498" s="32"/>
      <c r="AR1498" s="32"/>
      <c r="AS1498" s="32"/>
      <c r="AT1498" s="32"/>
      <c r="AU1498" s="32"/>
      <c r="AV1498" s="32"/>
      <c r="AW1498" s="32"/>
      <c r="AX1498" s="32"/>
      <c r="AY1498" s="32"/>
      <c r="AZ1498" s="32"/>
      <c r="BA1498" s="32"/>
      <c r="BB1498" s="32"/>
      <c r="BC1498" s="32"/>
      <c r="BD1498" s="32"/>
      <c r="BE1498" s="32"/>
      <c r="BF1498" s="32"/>
      <c r="BG1498" s="32"/>
      <c r="BH1498" s="32"/>
      <c r="BI1498" s="32"/>
      <c r="BJ1498" s="6"/>
      <c r="BK1498" s="6"/>
      <c r="BL1498" s="6"/>
      <c r="BO1498" s="15"/>
    </row>
    <row r="1499" spans="1:67">
      <c r="A1499" s="16" t="s">
        <v>130</v>
      </c>
      <c r="B1499" s="16"/>
      <c r="C1499" s="17">
        <v>31639</v>
      </c>
      <c r="D1499" s="18">
        <v>13.16386770203443</v>
      </c>
      <c r="E1499" s="6"/>
      <c r="F1499" s="6"/>
      <c r="G1499" s="22"/>
      <c r="H1499" s="22"/>
      <c r="I1499" s="22"/>
      <c r="J1499" s="22"/>
      <c r="K1499" s="22"/>
      <c r="L1499" s="22"/>
      <c r="M1499" s="22"/>
      <c r="N1499" s="18"/>
      <c r="O1499" s="18"/>
      <c r="P1499" s="22"/>
      <c r="Q1499" s="22"/>
      <c r="R1499" s="22"/>
      <c r="S1499" s="22"/>
      <c r="T1499" s="22"/>
      <c r="U1499" s="22"/>
      <c r="V1499" s="6"/>
      <c r="W1499" s="6"/>
      <c r="X1499" s="19"/>
      <c r="Y1499" s="6"/>
      <c r="Z1499" s="6"/>
      <c r="AA1499" s="6"/>
      <c r="AB1499" s="6">
        <v>269.45945949999998</v>
      </c>
      <c r="AC1499" s="6"/>
      <c r="AD1499" s="6"/>
      <c r="AE1499" s="6"/>
      <c r="AF1499" s="18"/>
      <c r="AG1499" s="18"/>
      <c r="AH1499" s="18"/>
      <c r="AI1499" s="18"/>
      <c r="AK1499" s="18"/>
      <c r="AL1499" s="18"/>
      <c r="AM1499" s="18"/>
      <c r="AN1499" s="18"/>
      <c r="AO1499" s="6"/>
      <c r="AP1499" s="32"/>
      <c r="AQ1499" s="32"/>
      <c r="AR1499" s="32"/>
      <c r="AS1499" s="32"/>
      <c r="AT1499" s="32"/>
      <c r="AU1499" s="32"/>
      <c r="AV1499" s="32"/>
      <c r="AW1499" s="32"/>
      <c r="AX1499" s="32"/>
      <c r="AY1499" s="32"/>
      <c r="AZ1499" s="32"/>
      <c r="BA1499" s="32"/>
      <c r="BB1499" s="32"/>
      <c r="BC1499" s="32"/>
      <c r="BD1499" s="32"/>
      <c r="BE1499" s="32"/>
      <c r="BF1499" s="32"/>
      <c r="BG1499" s="32"/>
      <c r="BH1499" s="32"/>
      <c r="BI1499" s="32"/>
      <c r="BJ1499" s="6"/>
      <c r="BK1499" s="6"/>
      <c r="BL1499" s="6"/>
      <c r="BO1499" s="15"/>
    </row>
    <row r="1500" spans="1:67">
      <c r="A1500" s="16" t="s">
        <v>130</v>
      </c>
      <c r="B1500" s="16"/>
      <c r="C1500" s="17">
        <v>31655</v>
      </c>
      <c r="D1500" s="18">
        <v>13.207674250127722</v>
      </c>
      <c r="E1500" s="6"/>
      <c r="F1500" s="6"/>
      <c r="G1500" s="22"/>
      <c r="H1500" s="22"/>
      <c r="I1500" s="22"/>
      <c r="J1500" s="22"/>
      <c r="K1500" s="22"/>
      <c r="L1500" s="22"/>
      <c r="M1500" s="22"/>
      <c r="N1500" s="18"/>
      <c r="O1500" s="18"/>
      <c r="P1500" s="22"/>
      <c r="Q1500" s="22"/>
      <c r="R1500" s="22"/>
      <c r="S1500" s="22"/>
      <c r="T1500" s="22"/>
      <c r="U1500" s="22"/>
      <c r="V1500" s="6"/>
      <c r="W1500" s="6"/>
      <c r="X1500" s="19"/>
      <c r="Y1500" s="6"/>
      <c r="Z1500" s="6"/>
      <c r="AA1500" s="6"/>
      <c r="AB1500" s="6">
        <v>257.29729730000003</v>
      </c>
      <c r="AC1500" s="6"/>
      <c r="AD1500" s="6"/>
      <c r="AE1500" s="6"/>
      <c r="AF1500" s="18"/>
      <c r="AG1500" s="18"/>
      <c r="AH1500" s="18"/>
      <c r="AI1500" s="18"/>
      <c r="AK1500" s="18"/>
      <c r="AL1500" s="18"/>
      <c r="AM1500" s="18"/>
      <c r="AN1500" s="18"/>
      <c r="AO1500" s="6"/>
      <c r="AP1500" s="32"/>
      <c r="AQ1500" s="32"/>
      <c r="AR1500" s="32"/>
      <c r="AS1500" s="32"/>
      <c r="AT1500" s="32"/>
      <c r="AU1500" s="32"/>
      <c r="AV1500" s="32"/>
      <c r="AW1500" s="32"/>
      <c r="AX1500" s="32"/>
      <c r="AY1500" s="32"/>
      <c r="AZ1500" s="32"/>
      <c r="BA1500" s="32"/>
      <c r="BB1500" s="32"/>
      <c r="BC1500" s="32"/>
      <c r="BD1500" s="32"/>
      <c r="BE1500" s="32"/>
      <c r="BF1500" s="32"/>
      <c r="BG1500" s="32"/>
      <c r="BH1500" s="32"/>
      <c r="BI1500" s="32"/>
      <c r="BJ1500" s="6"/>
      <c r="BK1500" s="6"/>
      <c r="BL1500" s="6"/>
      <c r="BO1500" s="15"/>
    </row>
    <row r="1501" spans="1:67">
      <c r="A1501" s="16" t="s">
        <v>130</v>
      </c>
      <c r="B1501" s="16"/>
      <c r="C1501" s="17">
        <v>31665</v>
      </c>
      <c r="D1501" s="18">
        <v>13.235053342686031</v>
      </c>
      <c r="E1501" s="6"/>
      <c r="F1501" s="6"/>
      <c r="G1501" s="22"/>
      <c r="H1501" s="22"/>
      <c r="I1501" s="22"/>
      <c r="J1501" s="22"/>
      <c r="K1501" s="22"/>
      <c r="L1501" s="22"/>
      <c r="M1501" s="22"/>
      <c r="N1501" s="18"/>
      <c r="O1501" s="18"/>
      <c r="P1501" s="22"/>
      <c r="Q1501" s="22"/>
      <c r="R1501" s="22"/>
      <c r="S1501" s="22"/>
      <c r="T1501" s="22"/>
      <c r="U1501" s="22"/>
      <c r="V1501" s="6"/>
      <c r="W1501" s="6"/>
      <c r="X1501" s="19"/>
      <c r="Y1501" s="6"/>
      <c r="Z1501" s="6"/>
      <c r="AA1501" s="6"/>
      <c r="AB1501" s="6">
        <v>277.56756760000002</v>
      </c>
      <c r="AC1501" s="6"/>
      <c r="AD1501" s="6"/>
      <c r="AE1501" s="6"/>
      <c r="AF1501" s="18"/>
      <c r="AG1501" s="18"/>
      <c r="AH1501" s="18"/>
      <c r="AI1501" s="18"/>
      <c r="AK1501" s="18"/>
      <c r="AL1501" s="18"/>
      <c r="AM1501" s="18"/>
      <c r="AN1501" s="18"/>
      <c r="AO1501" s="6"/>
      <c r="AP1501" s="32"/>
      <c r="AQ1501" s="32"/>
      <c r="AR1501" s="32"/>
      <c r="AS1501" s="32"/>
      <c r="AT1501" s="32"/>
      <c r="AU1501" s="32"/>
      <c r="AV1501" s="32"/>
      <c r="AW1501" s="32"/>
      <c r="AX1501" s="32"/>
      <c r="AY1501" s="32"/>
      <c r="AZ1501" s="32"/>
      <c r="BA1501" s="32"/>
      <c r="BB1501" s="32"/>
      <c r="BC1501" s="32"/>
      <c r="BD1501" s="32"/>
      <c r="BE1501" s="32"/>
      <c r="BF1501" s="32"/>
      <c r="BG1501" s="32"/>
      <c r="BH1501" s="32"/>
      <c r="BI1501" s="32"/>
      <c r="BJ1501" s="6"/>
      <c r="BK1501" s="6"/>
      <c r="BL1501" s="6"/>
      <c r="BO1501" s="15"/>
    </row>
    <row r="1502" spans="1:67">
      <c r="A1502" s="16" t="s">
        <v>130</v>
      </c>
      <c r="B1502" s="16"/>
      <c r="C1502" s="17">
        <v>31682</v>
      </c>
      <c r="D1502" s="18">
        <v>13.281597800035154</v>
      </c>
      <c r="E1502" s="6"/>
      <c r="F1502" s="6"/>
      <c r="G1502" s="22"/>
      <c r="H1502" s="22"/>
      <c r="I1502" s="22"/>
      <c r="J1502" s="22"/>
      <c r="K1502" s="22"/>
      <c r="L1502" s="22"/>
      <c r="M1502" s="22"/>
      <c r="N1502" s="18"/>
      <c r="O1502" s="18"/>
      <c r="P1502" s="22"/>
      <c r="Q1502" s="22"/>
      <c r="R1502" s="22"/>
      <c r="S1502" s="22"/>
      <c r="T1502" s="22"/>
      <c r="U1502" s="22"/>
      <c r="V1502" s="6"/>
      <c r="W1502" s="6"/>
      <c r="X1502" s="19"/>
      <c r="Y1502" s="6"/>
      <c r="Z1502" s="6"/>
      <c r="AA1502" s="6"/>
      <c r="AB1502" s="6">
        <v>254.45945950000001</v>
      </c>
      <c r="AC1502" s="6"/>
      <c r="AD1502" s="6"/>
      <c r="AE1502" s="6"/>
      <c r="AF1502" s="18"/>
      <c r="AG1502" s="18"/>
      <c r="AH1502" s="18"/>
      <c r="AI1502" s="18"/>
      <c r="AK1502" s="18"/>
      <c r="AL1502" s="18"/>
      <c r="AM1502" s="18"/>
      <c r="AN1502" s="18"/>
      <c r="AO1502" s="6"/>
      <c r="AP1502" s="32"/>
      <c r="AQ1502" s="32"/>
      <c r="AR1502" s="32"/>
      <c r="AS1502" s="32"/>
      <c r="AT1502" s="32"/>
      <c r="AU1502" s="32"/>
      <c r="AV1502" s="32"/>
      <c r="AW1502" s="32"/>
      <c r="AX1502" s="32"/>
      <c r="AY1502" s="32"/>
      <c r="AZ1502" s="32"/>
      <c r="BA1502" s="32"/>
      <c r="BB1502" s="32"/>
      <c r="BC1502" s="32"/>
      <c r="BD1502" s="32"/>
      <c r="BE1502" s="32"/>
      <c r="BF1502" s="32"/>
      <c r="BG1502" s="32"/>
      <c r="BH1502" s="32"/>
      <c r="BI1502" s="32"/>
      <c r="BJ1502" s="6"/>
      <c r="BK1502" s="6"/>
      <c r="BL1502" s="6"/>
      <c r="BO1502" s="15"/>
    </row>
    <row r="1503" spans="1:67">
      <c r="A1503" s="16" t="s">
        <v>130</v>
      </c>
      <c r="B1503" s="16"/>
      <c r="C1503" s="17">
        <v>31707</v>
      </c>
      <c r="D1503" s="18">
        <v>13.350045531430924</v>
      </c>
      <c r="E1503" s="6"/>
      <c r="F1503" s="6"/>
      <c r="G1503" s="22"/>
      <c r="H1503" s="22"/>
      <c r="I1503" s="22"/>
      <c r="J1503" s="22"/>
      <c r="K1503" s="22"/>
      <c r="L1503" s="22"/>
      <c r="M1503" s="22"/>
      <c r="N1503" s="18"/>
      <c r="O1503" s="18"/>
      <c r="P1503" s="22"/>
      <c r="Q1503" s="22"/>
      <c r="R1503" s="22"/>
      <c r="S1503" s="22"/>
      <c r="T1503" s="22"/>
      <c r="U1503" s="22"/>
      <c r="V1503" s="6"/>
      <c r="W1503" s="6"/>
      <c r="X1503" s="19"/>
      <c r="Y1503" s="6"/>
      <c r="Z1503" s="6"/>
      <c r="AA1503" s="6"/>
      <c r="AB1503" s="6">
        <v>236.21621619999999</v>
      </c>
      <c r="AC1503" s="6"/>
      <c r="AD1503" s="6"/>
      <c r="AE1503" s="6"/>
      <c r="AF1503" s="18"/>
      <c r="AG1503" s="18"/>
      <c r="AH1503" s="18"/>
      <c r="AI1503" s="18"/>
      <c r="AK1503" s="18"/>
      <c r="AL1503" s="18"/>
      <c r="AM1503" s="18"/>
      <c r="AN1503" s="18"/>
      <c r="AO1503" s="6"/>
      <c r="AP1503" s="32"/>
      <c r="AQ1503" s="32"/>
      <c r="AR1503" s="32"/>
      <c r="AS1503" s="32"/>
      <c r="AT1503" s="32"/>
      <c r="AU1503" s="32"/>
      <c r="AV1503" s="32"/>
      <c r="AW1503" s="32"/>
      <c r="AX1503" s="32"/>
      <c r="AY1503" s="32"/>
      <c r="AZ1503" s="32"/>
      <c r="BA1503" s="32"/>
      <c r="BB1503" s="32"/>
      <c r="BC1503" s="32"/>
      <c r="BD1503" s="32"/>
      <c r="BE1503" s="32"/>
      <c r="BF1503" s="32"/>
      <c r="BG1503" s="32"/>
      <c r="BH1503" s="32"/>
      <c r="BI1503" s="32"/>
      <c r="BJ1503" s="6"/>
      <c r="BK1503" s="6"/>
      <c r="BL1503" s="6"/>
      <c r="BO1503" s="15"/>
    </row>
    <row r="1504" spans="1:67">
      <c r="A1504" s="16" t="s">
        <v>130</v>
      </c>
      <c r="B1504" s="16"/>
      <c r="C1504" s="17">
        <v>31727</v>
      </c>
      <c r="D1504" s="18">
        <v>13.404803716547539</v>
      </c>
      <c r="E1504" s="6"/>
      <c r="F1504" s="6"/>
      <c r="G1504" s="22"/>
      <c r="H1504" s="22"/>
      <c r="I1504" s="22"/>
      <c r="J1504" s="22"/>
      <c r="K1504" s="22"/>
      <c r="L1504" s="22"/>
      <c r="M1504" s="22"/>
      <c r="N1504" s="18"/>
      <c r="O1504" s="18"/>
      <c r="P1504" s="22"/>
      <c r="Q1504" s="22"/>
      <c r="R1504" s="22"/>
      <c r="S1504" s="22"/>
      <c r="T1504" s="22"/>
      <c r="U1504" s="22"/>
      <c r="V1504" s="6"/>
      <c r="W1504" s="6"/>
      <c r="X1504" s="19"/>
      <c r="Y1504" s="6"/>
      <c r="Z1504" s="6"/>
      <c r="AA1504" s="6"/>
      <c r="AB1504" s="6">
        <v>248.78378380000001</v>
      </c>
      <c r="AC1504" s="6"/>
      <c r="AD1504" s="6"/>
      <c r="AE1504" s="6"/>
      <c r="AF1504" s="18"/>
      <c r="AG1504" s="18"/>
      <c r="AH1504" s="18"/>
      <c r="AI1504" s="18"/>
      <c r="AK1504" s="18"/>
      <c r="AL1504" s="18"/>
      <c r="AM1504" s="18"/>
      <c r="AN1504" s="18"/>
      <c r="AO1504" s="6"/>
      <c r="AP1504" s="32"/>
      <c r="AQ1504" s="32"/>
      <c r="AR1504" s="32"/>
      <c r="AS1504" s="32"/>
      <c r="AT1504" s="32"/>
      <c r="AU1504" s="32"/>
      <c r="AV1504" s="32"/>
      <c r="AW1504" s="32"/>
      <c r="AX1504" s="32"/>
      <c r="AY1504" s="32"/>
      <c r="AZ1504" s="32"/>
      <c r="BA1504" s="32"/>
      <c r="BB1504" s="32"/>
      <c r="BC1504" s="32"/>
      <c r="BD1504" s="32"/>
      <c r="BE1504" s="32"/>
      <c r="BF1504" s="32"/>
      <c r="BG1504" s="32"/>
      <c r="BH1504" s="32"/>
      <c r="BI1504" s="32"/>
      <c r="BJ1504" s="6"/>
      <c r="BK1504" s="6"/>
      <c r="BL1504" s="6"/>
      <c r="BO1504" s="15"/>
    </row>
    <row r="1505" spans="1:67">
      <c r="A1505" s="16" t="s">
        <v>130</v>
      </c>
      <c r="B1505" s="16"/>
      <c r="C1505" s="17">
        <v>31739</v>
      </c>
      <c r="D1505" s="18">
        <v>13.437658627617509</v>
      </c>
      <c r="E1505" s="6"/>
      <c r="F1505" s="6"/>
      <c r="G1505" s="22"/>
      <c r="H1505" s="22"/>
      <c r="I1505" s="22"/>
      <c r="J1505" s="22"/>
      <c r="K1505" s="22"/>
      <c r="L1505" s="22"/>
      <c r="M1505" s="22"/>
      <c r="N1505" s="18"/>
      <c r="O1505" s="18"/>
      <c r="P1505" s="22"/>
      <c r="Q1505" s="22"/>
      <c r="R1505" s="22"/>
      <c r="S1505" s="22"/>
      <c r="T1505" s="22"/>
      <c r="U1505" s="22"/>
      <c r="V1505" s="6"/>
      <c r="W1505" s="6"/>
      <c r="X1505" s="19"/>
      <c r="Y1505" s="6"/>
      <c r="Z1505" s="6"/>
      <c r="AA1505" s="6"/>
      <c r="AB1505" s="6">
        <v>223.6486486</v>
      </c>
      <c r="AC1505" s="6"/>
      <c r="AD1505" s="6"/>
      <c r="AE1505" s="6"/>
      <c r="AF1505" s="18"/>
      <c r="AG1505" s="18"/>
      <c r="AH1505" s="18"/>
      <c r="AI1505" s="18"/>
      <c r="AK1505" s="18"/>
      <c r="AL1505" s="18"/>
      <c r="AM1505" s="18"/>
      <c r="AN1505" s="18"/>
      <c r="AO1505" s="6"/>
      <c r="AP1505" s="32"/>
      <c r="AQ1505" s="32"/>
      <c r="AR1505" s="32"/>
      <c r="AS1505" s="32"/>
      <c r="AT1505" s="32"/>
      <c r="AU1505" s="32"/>
      <c r="AV1505" s="32"/>
      <c r="AW1505" s="32"/>
      <c r="AX1505" s="32"/>
      <c r="AY1505" s="32"/>
      <c r="AZ1505" s="32"/>
      <c r="BA1505" s="32"/>
      <c r="BB1505" s="32"/>
      <c r="BC1505" s="32"/>
      <c r="BD1505" s="32"/>
      <c r="BE1505" s="32"/>
      <c r="BF1505" s="32"/>
      <c r="BG1505" s="32"/>
      <c r="BH1505" s="32"/>
      <c r="BI1505" s="32"/>
      <c r="BJ1505" s="6"/>
      <c r="BK1505" s="6"/>
      <c r="BL1505" s="6"/>
      <c r="BO1505" s="15"/>
    </row>
    <row r="1506" spans="1:67">
      <c r="A1506" s="16" t="s">
        <v>130</v>
      </c>
      <c r="B1506" s="16"/>
      <c r="C1506" s="17">
        <v>31759</v>
      </c>
      <c r="D1506" s="18">
        <v>13.492416812734124</v>
      </c>
      <c r="E1506" s="6"/>
      <c r="F1506" s="6"/>
      <c r="G1506" s="22"/>
      <c r="H1506" s="22"/>
      <c r="I1506" s="22"/>
      <c r="J1506" s="22"/>
      <c r="K1506" s="22"/>
      <c r="L1506" s="22"/>
      <c r="M1506" s="22"/>
      <c r="N1506" s="18"/>
      <c r="O1506" s="18"/>
      <c r="P1506" s="22"/>
      <c r="Q1506" s="22"/>
      <c r="R1506" s="22"/>
      <c r="S1506" s="22"/>
      <c r="T1506" s="22"/>
      <c r="U1506" s="22"/>
      <c r="V1506" s="6"/>
      <c r="W1506" s="6"/>
      <c r="X1506" s="19"/>
      <c r="Y1506" s="6"/>
      <c r="Z1506" s="6"/>
      <c r="AA1506" s="6"/>
      <c r="AB1506" s="6">
        <v>244.3243243</v>
      </c>
      <c r="AC1506" s="6"/>
      <c r="AD1506" s="6"/>
      <c r="AE1506" s="6"/>
      <c r="AF1506" s="18"/>
      <c r="AG1506" s="18"/>
      <c r="AH1506" s="18"/>
      <c r="AI1506" s="18"/>
      <c r="AK1506" s="18"/>
      <c r="AL1506" s="18"/>
      <c r="AM1506" s="18"/>
      <c r="AN1506" s="18"/>
      <c r="AO1506" s="6"/>
      <c r="AP1506" s="32"/>
      <c r="AQ1506" s="32"/>
      <c r="AR1506" s="32"/>
      <c r="AS1506" s="32"/>
      <c r="AT1506" s="32"/>
      <c r="AU1506" s="32"/>
      <c r="AV1506" s="32"/>
      <c r="AW1506" s="32"/>
      <c r="AX1506" s="32"/>
      <c r="AY1506" s="32"/>
      <c r="AZ1506" s="32"/>
      <c r="BA1506" s="32"/>
      <c r="BB1506" s="32"/>
      <c r="BC1506" s="32"/>
      <c r="BD1506" s="32"/>
      <c r="BE1506" s="32"/>
      <c r="BF1506" s="32"/>
      <c r="BG1506" s="32"/>
      <c r="BH1506" s="32"/>
      <c r="BI1506" s="32"/>
      <c r="BJ1506" s="6"/>
      <c r="BK1506" s="6"/>
      <c r="BL1506" s="6"/>
      <c r="BO1506" s="15"/>
    </row>
    <row r="1507" spans="1:67">
      <c r="A1507" s="16" t="s">
        <v>130</v>
      </c>
      <c r="B1507" s="16"/>
      <c r="C1507" s="17">
        <v>31782</v>
      </c>
      <c r="D1507" s="18">
        <v>13.555388725618233</v>
      </c>
      <c r="E1507" s="6"/>
      <c r="F1507" s="6"/>
      <c r="G1507" s="22"/>
      <c r="H1507" s="22"/>
      <c r="I1507" s="22"/>
      <c r="J1507" s="22"/>
      <c r="K1507" s="22"/>
      <c r="L1507" s="22"/>
      <c r="M1507" s="22"/>
      <c r="N1507" s="18"/>
      <c r="O1507" s="18"/>
      <c r="P1507" s="22"/>
      <c r="Q1507" s="22"/>
      <c r="R1507" s="22"/>
      <c r="S1507" s="22"/>
      <c r="T1507" s="22"/>
      <c r="U1507" s="22"/>
      <c r="V1507" s="6"/>
      <c r="W1507" s="6"/>
      <c r="X1507" s="19"/>
      <c r="Y1507" s="6"/>
      <c r="Z1507" s="6"/>
      <c r="AA1507" s="6"/>
      <c r="AB1507" s="6">
        <v>204.59459459999999</v>
      </c>
      <c r="AC1507" s="6"/>
      <c r="AD1507" s="6"/>
      <c r="AE1507" s="6"/>
      <c r="AF1507" s="18"/>
      <c r="AG1507" s="18"/>
      <c r="AH1507" s="18"/>
      <c r="AI1507" s="18"/>
      <c r="AK1507" s="18"/>
      <c r="AL1507" s="18"/>
      <c r="AM1507" s="18"/>
      <c r="AN1507" s="18"/>
      <c r="AO1507" s="6"/>
      <c r="AP1507" s="32"/>
      <c r="AQ1507" s="32"/>
      <c r="AR1507" s="32"/>
      <c r="AS1507" s="32"/>
      <c r="AT1507" s="32"/>
      <c r="AU1507" s="32"/>
      <c r="AV1507" s="32"/>
      <c r="AW1507" s="32"/>
      <c r="AX1507" s="32"/>
      <c r="AY1507" s="32"/>
      <c r="AZ1507" s="32"/>
      <c r="BA1507" s="32"/>
      <c r="BB1507" s="32"/>
      <c r="BC1507" s="32"/>
      <c r="BD1507" s="32"/>
      <c r="BE1507" s="32"/>
      <c r="BF1507" s="32"/>
      <c r="BG1507" s="32"/>
      <c r="BH1507" s="32"/>
      <c r="BI1507" s="32"/>
      <c r="BJ1507" s="6"/>
      <c r="BK1507" s="6"/>
      <c r="BL1507" s="6"/>
      <c r="BO1507" s="15"/>
    </row>
    <row r="1508" spans="1:67">
      <c r="A1508" s="16" t="s">
        <v>130</v>
      </c>
      <c r="B1508" s="16"/>
      <c r="C1508" s="17">
        <v>31784</v>
      </c>
      <c r="D1508" s="18">
        <v>13.560864544129894</v>
      </c>
      <c r="E1508" s="6"/>
      <c r="F1508" s="6"/>
      <c r="G1508" s="22"/>
      <c r="H1508" s="22"/>
      <c r="I1508" s="22"/>
      <c r="J1508" s="22"/>
      <c r="K1508" s="22"/>
      <c r="L1508" s="22"/>
      <c r="M1508" s="22"/>
      <c r="N1508" s="18"/>
      <c r="O1508" s="18"/>
      <c r="P1508" s="22"/>
      <c r="Q1508" s="22"/>
      <c r="R1508" s="22"/>
      <c r="S1508" s="22"/>
      <c r="T1508" s="22"/>
      <c r="U1508" s="22"/>
      <c r="V1508" s="6"/>
      <c r="W1508" s="6"/>
      <c r="X1508" s="19"/>
      <c r="Y1508" s="6"/>
      <c r="Z1508" s="6"/>
      <c r="AA1508" s="6"/>
      <c r="AB1508" s="6">
        <v>187.16216220000001</v>
      </c>
      <c r="AC1508" s="6"/>
      <c r="AD1508" s="6"/>
      <c r="AE1508" s="6"/>
      <c r="AF1508" s="18"/>
      <c r="AG1508" s="18"/>
      <c r="AH1508" s="18"/>
      <c r="AI1508" s="18"/>
      <c r="AK1508" s="18"/>
      <c r="AL1508" s="18"/>
      <c r="AM1508" s="18"/>
      <c r="AN1508" s="18"/>
      <c r="AO1508" s="6"/>
      <c r="AP1508" s="32"/>
      <c r="AQ1508" s="32"/>
      <c r="AR1508" s="32"/>
      <c r="AS1508" s="32"/>
      <c r="AT1508" s="32"/>
      <c r="AU1508" s="32"/>
      <c r="AV1508" s="32"/>
      <c r="AW1508" s="32"/>
      <c r="AX1508" s="32"/>
      <c r="AY1508" s="32"/>
      <c r="AZ1508" s="32"/>
      <c r="BA1508" s="32"/>
      <c r="BB1508" s="32"/>
      <c r="BC1508" s="32"/>
      <c r="BD1508" s="32"/>
      <c r="BE1508" s="32"/>
      <c r="BF1508" s="32"/>
      <c r="BG1508" s="32"/>
      <c r="BH1508" s="32"/>
      <c r="BI1508" s="32"/>
      <c r="BJ1508" s="6"/>
      <c r="BK1508" s="6"/>
      <c r="BL1508" s="6"/>
      <c r="BO1508" s="15"/>
    </row>
    <row r="1509" spans="1:67">
      <c r="A1509" s="16" t="s">
        <v>130</v>
      </c>
      <c r="B1509" s="16"/>
      <c r="C1509" s="17">
        <v>31796</v>
      </c>
      <c r="D1509" s="18">
        <v>13.593719455199864</v>
      </c>
      <c r="E1509" s="6"/>
      <c r="F1509" s="6"/>
      <c r="G1509" s="22"/>
      <c r="H1509" s="22"/>
      <c r="I1509" s="22"/>
      <c r="J1509" s="22"/>
      <c r="K1509" s="22"/>
      <c r="L1509" s="22"/>
      <c r="M1509" s="22"/>
      <c r="N1509" s="18"/>
      <c r="O1509" s="18"/>
      <c r="P1509" s="22"/>
      <c r="Q1509" s="22"/>
      <c r="R1509" s="22"/>
      <c r="S1509" s="22"/>
      <c r="T1509" s="22"/>
      <c r="U1509" s="22"/>
      <c r="V1509" s="6"/>
      <c r="W1509" s="6"/>
      <c r="X1509" s="19"/>
      <c r="Y1509" s="6"/>
      <c r="Z1509" s="6"/>
      <c r="AA1509" s="6"/>
      <c r="AB1509" s="6">
        <v>162.83783779999999</v>
      </c>
      <c r="AC1509" s="6"/>
      <c r="AD1509" s="6"/>
      <c r="AE1509" s="6"/>
      <c r="AF1509" s="18"/>
      <c r="AG1509" s="18"/>
      <c r="AH1509" s="18"/>
      <c r="AI1509" s="18"/>
      <c r="AK1509" s="18"/>
      <c r="AL1509" s="18"/>
      <c r="AM1509" s="18"/>
      <c r="AN1509" s="18"/>
      <c r="AO1509" s="6"/>
      <c r="AP1509" s="32"/>
      <c r="AQ1509" s="32"/>
      <c r="AR1509" s="32"/>
      <c r="AS1509" s="32"/>
      <c r="AT1509" s="32"/>
      <c r="AU1509" s="32"/>
      <c r="AV1509" s="32"/>
      <c r="AW1509" s="32"/>
      <c r="AX1509" s="32"/>
      <c r="AY1509" s="32"/>
      <c r="AZ1509" s="32"/>
      <c r="BA1509" s="32"/>
      <c r="BB1509" s="32"/>
      <c r="BC1509" s="32"/>
      <c r="BD1509" s="32"/>
      <c r="BE1509" s="32"/>
      <c r="BF1509" s="32"/>
      <c r="BG1509" s="32"/>
      <c r="BH1509" s="32"/>
      <c r="BI1509" s="32"/>
      <c r="BJ1509" s="6"/>
      <c r="BK1509" s="6"/>
      <c r="BL1509" s="6"/>
      <c r="BO1509" s="15"/>
    </row>
    <row r="1510" spans="1:67">
      <c r="A1510" s="16" t="s">
        <v>130</v>
      </c>
      <c r="B1510" s="16"/>
      <c r="C1510" s="17">
        <v>31806</v>
      </c>
      <c r="D1510" s="18">
        <v>13.621098547758171</v>
      </c>
      <c r="E1510" s="6"/>
      <c r="F1510" s="6"/>
      <c r="G1510" s="22"/>
      <c r="H1510" s="22"/>
      <c r="I1510" s="22"/>
      <c r="J1510" s="22"/>
      <c r="K1510" s="22"/>
      <c r="L1510" s="22"/>
      <c r="M1510" s="22"/>
      <c r="N1510" s="18"/>
      <c r="O1510" s="18"/>
      <c r="P1510" s="22"/>
      <c r="Q1510" s="22"/>
      <c r="R1510" s="22"/>
      <c r="S1510" s="22"/>
      <c r="T1510" s="22"/>
      <c r="U1510" s="22"/>
      <c r="V1510" s="6"/>
      <c r="W1510" s="6"/>
      <c r="X1510" s="19"/>
      <c r="Y1510" s="6"/>
      <c r="Z1510" s="6"/>
      <c r="AA1510" s="6"/>
      <c r="AB1510" s="6">
        <v>148.24324319999999</v>
      </c>
      <c r="AC1510" s="6"/>
      <c r="AD1510" s="6"/>
      <c r="AE1510" s="6"/>
      <c r="AF1510" s="18"/>
      <c r="AG1510" s="18"/>
      <c r="AH1510" s="18"/>
      <c r="AI1510" s="18"/>
      <c r="AK1510" s="18"/>
      <c r="AL1510" s="18"/>
      <c r="AM1510" s="18"/>
      <c r="AN1510" s="18"/>
      <c r="AO1510" s="6"/>
      <c r="AP1510" s="32"/>
      <c r="AQ1510" s="32"/>
      <c r="AR1510" s="32"/>
      <c r="AS1510" s="32"/>
      <c r="AT1510" s="32"/>
      <c r="AU1510" s="32"/>
      <c r="AV1510" s="32"/>
      <c r="AW1510" s="32"/>
      <c r="AX1510" s="32"/>
      <c r="AY1510" s="32"/>
      <c r="AZ1510" s="32"/>
      <c r="BA1510" s="32"/>
      <c r="BB1510" s="32"/>
      <c r="BC1510" s="32"/>
      <c r="BD1510" s="32"/>
      <c r="BE1510" s="32"/>
      <c r="BF1510" s="32"/>
      <c r="BG1510" s="32"/>
      <c r="BH1510" s="32"/>
      <c r="BI1510" s="32"/>
      <c r="BJ1510" s="6"/>
      <c r="BK1510" s="6"/>
      <c r="BL1510" s="6"/>
      <c r="BO1510" s="15"/>
    </row>
    <row r="1511" spans="1:67">
      <c r="A1511" s="16" t="s">
        <v>130</v>
      </c>
      <c r="B1511" s="16"/>
      <c r="C1511" s="17">
        <v>31822</v>
      </c>
      <c r="D1511" s="18">
        <v>13.664905095851465</v>
      </c>
      <c r="E1511" s="6"/>
      <c r="F1511" s="6"/>
      <c r="G1511" s="22"/>
      <c r="H1511" s="22"/>
      <c r="I1511" s="22"/>
      <c r="J1511" s="22"/>
      <c r="K1511" s="22"/>
      <c r="L1511" s="22"/>
      <c r="M1511" s="22"/>
      <c r="N1511" s="18"/>
      <c r="O1511" s="18"/>
      <c r="P1511" s="22"/>
      <c r="Q1511" s="22"/>
      <c r="R1511" s="22"/>
      <c r="S1511" s="22"/>
      <c r="T1511" s="22"/>
      <c r="U1511" s="22"/>
      <c r="V1511" s="6"/>
      <c r="W1511" s="6"/>
      <c r="X1511" s="19"/>
      <c r="Y1511" s="6"/>
      <c r="Z1511" s="6"/>
      <c r="AA1511" s="6"/>
      <c r="AB1511" s="6">
        <v>136.89189189999999</v>
      </c>
      <c r="AC1511" s="6"/>
      <c r="AD1511" s="6"/>
      <c r="AE1511" s="6"/>
      <c r="AF1511" s="18"/>
      <c r="AG1511" s="18"/>
      <c r="AH1511" s="18"/>
      <c r="AI1511" s="18"/>
      <c r="AK1511" s="18"/>
      <c r="AL1511" s="18"/>
      <c r="AM1511" s="18"/>
      <c r="AN1511" s="18"/>
      <c r="AO1511" s="6"/>
      <c r="AP1511" s="32"/>
      <c r="AQ1511" s="32"/>
      <c r="AR1511" s="32"/>
      <c r="AS1511" s="32"/>
      <c r="AT1511" s="32"/>
      <c r="AU1511" s="32"/>
      <c r="AV1511" s="32"/>
      <c r="AW1511" s="32"/>
      <c r="AX1511" s="32"/>
      <c r="AY1511" s="32"/>
      <c r="AZ1511" s="32"/>
      <c r="BA1511" s="32"/>
      <c r="BB1511" s="32"/>
      <c r="BC1511" s="32"/>
      <c r="BD1511" s="32"/>
      <c r="BE1511" s="32"/>
      <c r="BF1511" s="32"/>
      <c r="BG1511" s="32"/>
      <c r="BH1511" s="32"/>
      <c r="BI1511" s="32"/>
      <c r="BJ1511" s="6"/>
      <c r="BK1511" s="6"/>
      <c r="BL1511" s="6"/>
      <c r="BO1511" s="15"/>
    </row>
    <row r="1512" spans="1:67">
      <c r="A1512" s="16" t="s">
        <v>130</v>
      </c>
      <c r="B1512" s="16"/>
      <c r="C1512" s="17">
        <v>31849</v>
      </c>
      <c r="D1512" s="18">
        <v>13.738828645758895</v>
      </c>
      <c r="E1512" s="6"/>
      <c r="F1512" s="6"/>
      <c r="G1512" s="22"/>
      <c r="H1512" s="22"/>
      <c r="I1512" s="22"/>
      <c r="J1512" s="22"/>
      <c r="K1512" s="22"/>
      <c r="L1512" s="22"/>
      <c r="M1512" s="22"/>
      <c r="N1512" s="18"/>
      <c r="O1512" s="18"/>
      <c r="P1512" s="22"/>
      <c r="Q1512" s="22"/>
      <c r="R1512" s="22"/>
      <c r="S1512" s="22"/>
      <c r="T1512" s="22"/>
      <c r="U1512" s="22"/>
      <c r="V1512" s="6"/>
      <c r="W1512" s="6"/>
      <c r="X1512" s="19"/>
      <c r="Y1512" s="6"/>
      <c r="Z1512" s="6"/>
      <c r="AA1512" s="6"/>
      <c r="AB1512" s="6">
        <v>169.3243243</v>
      </c>
      <c r="AC1512" s="6"/>
      <c r="AD1512" s="6"/>
      <c r="AE1512" s="6"/>
      <c r="AF1512" s="18"/>
      <c r="AG1512" s="18"/>
      <c r="AH1512" s="18"/>
      <c r="AI1512" s="18"/>
      <c r="AK1512" s="18"/>
      <c r="AL1512" s="18"/>
      <c r="AM1512" s="18"/>
      <c r="AN1512" s="18"/>
      <c r="AO1512" s="6"/>
      <c r="AP1512" s="32"/>
      <c r="AQ1512" s="32"/>
      <c r="AR1512" s="32"/>
      <c r="AS1512" s="32"/>
      <c r="AT1512" s="32"/>
      <c r="AU1512" s="32"/>
      <c r="AV1512" s="32"/>
      <c r="AW1512" s="32"/>
      <c r="AX1512" s="32"/>
      <c r="AY1512" s="32"/>
      <c r="AZ1512" s="32"/>
      <c r="BA1512" s="32"/>
      <c r="BB1512" s="32"/>
      <c r="BC1512" s="32"/>
      <c r="BD1512" s="32"/>
      <c r="BE1512" s="32"/>
      <c r="BF1512" s="32"/>
      <c r="BG1512" s="32"/>
      <c r="BH1512" s="32"/>
      <c r="BI1512" s="32"/>
      <c r="BJ1512" s="6"/>
      <c r="BK1512" s="6"/>
      <c r="BL1512" s="6"/>
      <c r="BO1512" s="15"/>
    </row>
    <row r="1513" spans="1:67">
      <c r="A1513" s="16" t="s">
        <v>130</v>
      </c>
      <c r="B1513" s="16"/>
      <c r="C1513" s="17">
        <v>31905</v>
      </c>
      <c r="D1513" s="18">
        <v>13.89215156408542</v>
      </c>
      <c r="E1513" s="6"/>
      <c r="F1513" s="6"/>
      <c r="G1513" s="22"/>
      <c r="H1513" s="22"/>
      <c r="I1513" s="22"/>
      <c r="J1513" s="22"/>
      <c r="K1513" s="22"/>
      <c r="L1513" s="22"/>
      <c r="M1513" s="22"/>
      <c r="N1513" s="18"/>
      <c r="O1513" s="18"/>
      <c r="P1513" s="22"/>
      <c r="Q1513" s="22"/>
      <c r="R1513" s="22"/>
      <c r="S1513" s="22"/>
      <c r="T1513" s="22"/>
      <c r="U1513" s="22"/>
      <c r="V1513" s="6"/>
      <c r="W1513" s="6"/>
      <c r="X1513" s="19"/>
      <c r="Y1513" s="6"/>
      <c r="Z1513" s="6"/>
      <c r="AA1513" s="6"/>
      <c r="AB1513" s="6">
        <v>134.0540541</v>
      </c>
      <c r="AC1513" s="6"/>
      <c r="AD1513" s="6"/>
      <c r="AE1513" s="6"/>
      <c r="AF1513" s="18"/>
      <c r="AG1513" s="18"/>
      <c r="AH1513" s="18"/>
      <c r="AI1513" s="18"/>
      <c r="AK1513" s="18"/>
      <c r="AL1513" s="18"/>
      <c r="AM1513" s="18"/>
      <c r="AN1513" s="18"/>
      <c r="AO1513" s="6"/>
      <c r="AP1513" s="32"/>
      <c r="AQ1513" s="32"/>
      <c r="AR1513" s="32"/>
      <c r="AS1513" s="32"/>
      <c r="AT1513" s="32"/>
      <c r="AU1513" s="32"/>
      <c r="AV1513" s="32"/>
      <c r="AW1513" s="32"/>
      <c r="AX1513" s="32"/>
      <c r="AY1513" s="32"/>
      <c r="AZ1513" s="32"/>
      <c r="BA1513" s="32"/>
      <c r="BB1513" s="32"/>
      <c r="BC1513" s="32"/>
      <c r="BD1513" s="32"/>
      <c r="BE1513" s="32"/>
      <c r="BF1513" s="32"/>
      <c r="BG1513" s="32"/>
      <c r="BH1513" s="32"/>
      <c r="BI1513" s="32"/>
      <c r="BJ1513" s="6"/>
      <c r="BK1513" s="6"/>
      <c r="BL1513" s="6"/>
      <c r="BO1513" s="15"/>
    </row>
    <row r="1514" spans="1:67">
      <c r="A1514" s="16" t="s">
        <v>130</v>
      </c>
      <c r="B1514" s="16"/>
      <c r="C1514" s="17">
        <v>31880</v>
      </c>
      <c r="D1514" s="18">
        <v>13.823703832689651</v>
      </c>
      <c r="E1514" s="6"/>
      <c r="F1514" s="6"/>
      <c r="G1514" s="22"/>
      <c r="H1514" s="22"/>
      <c r="I1514" s="22"/>
      <c r="J1514" s="22"/>
      <c r="K1514" s="22"/>
      <c r="L1514" s="22"/>
      <c r="M1514" s="22"/>
      <c r="N1514" s="18"/>
      <c r="O1514" s="18"/>
      <c r="P1514" s="22"/>
      <c r="Q1514" s="22"/>
      <c r="R1514" s="22"/>
      <c r="S1514" s="22"/>
      <c r="T1514" s="22"/>
      <c r="U1514" s="22"/>
      <c r="V1514" s="6"/>
      <c r="W1514" s="6"/>
      <c r="X1514" s="19"/>
      <c r="Y1514" s="6"/>
      <c r="Z1514" s="6"/>
      <c r="AA1514" s="6"/>
      <c r="AB1514" s="6">
        <v>146.6216216</v>
      </c>
      <c r="AC1514" s="6"/>
      <c r="AD1514" s="6"/>
      <c r="AE1514" s="6"/>
      <c r="AF1514" s="18"/>
      <c r="AG1514" s="18"/>
      <c r="AH1514" s="18"/>
      <c r="AI1514" s="18"/>
      <c r="AK1514" s="18"/>
      <c r="AL1514" s="18"/>
      <c r="AM1514" s="18"/>
      <c r="AN1514" s="18"/>
      <c r="AO1514" s="6"/>
      <c r="AP1514" s="32"/>
      <c r="AQ1514" s="32"/>
      <c r="AR1514" s="32"/>
      <c r="AS1514" s="32"/>
      <c r="AT1514" s="32"/>
      <c r="AU1514" s="32"/>
      <c r="AV1514" s="32"/>
      <c r="AW1514" s="32"/>
      <c r="AX1514" s="32"/>
      <c r="AY1514" s="32"/>
      <c r="AZ1514" s="32"/>
      <c r="BA1514" s="32"/>
      <c r="BB1514" s="32"/>
      <c r="BC1514" s="32"/>
      <c r="BD1514" s="32"/>
      <c r="BE1514" s="32"/>
      <c r="BF1514" s="32"/>
      <c r="BG1514" s="32"/>
      <c r="BH1514" s="32"/>
      <c r="BI1514" s="32"/>
      <c r="BJ1514" s="6"/>
      <c r="BK1514" s="6"/>
      <c r="BL1514" s="6"/>
      <c r="BO1514" s="15"/>
    </row>
    <row r="1515" spans="1:67">
      <c r="A1515" s="16" t="s">
        <v>130</v>
      </c>
      <c r="B1515" s="16"/>
      <c r="C1515" s="17">
        <v>31924</v>
      </c>
      <c r="D1515" s="18">
        <v>13.944171839946204</v>
      </c>
      <c r="E1515" s="6"/>
      <c r="F1515" s="6"/>
      <c r="G1515" s="22"/>
      <c r="H1515" s="22"/>
      <c r="I1515" s="22"/>
      <c r="J1515" s="22"/>
      <c r="K1515" s="22"/>
      <c r="L1515" s="22"/>
      <c r="M1515" s="22"/>
      <c r="N1515" s="18"/>
      <c r="O1515" s="18"/>
      <c r="P1515" s="22"/>
      <c r="Q1515" s="22"/>
      <c r="R1515" s="22"/>
      <c r="S1515" s="22"/>
      <c r="T1515" s="22"/>
      <c r="U1515" s="22"/>
      <c r="V1515" s="6"/>
      <c r="W1515" s="6"/>
      <c r="X1515" s="19"/>
      <c r="Y1515" s="6"/>
      <c r="Z1515" s="6"/>
      <c r="AA1515" s="6"/>
      <c r="AB1515" s="6">
        <v>131.21621619999999</v>
      </c>
      <c r="AC1515" s="6"/>
      <c r="AD1515" s="6"/>
      <c r="AE1515" s="6"/>
      <c r="AF1515" s="18"/>
      <c r="AG1515" s="18"/>
      <c r="AH1515" s="18"/>
      <c r="AI1515" s="18"/>
      <c r="AK1515" s="18"/>
      <c r="AL1515" s="18"/>
      <c r="AM1515" s="18"/>
      <c r="AN1515" s="18"/>
      <c r="AO1515" s="6"/>
      <c r="AP1515" s="32"/>
      <c r="AQ1515" s="32"/>
      <c r="AR1515" s="32"/>
      <c r="AS1515" s="32"/>
      <c r="AT1515" s="32"/>
      <c r="AU1515" s="32"/>
      <c r="AV1515" s="32"/>
      <c r="AW1515" s="32"/>
      <c r="AX1515" s="32"/>
      <c r="AY1515" s="32"/>
      <c r="AZ1515" s="32"/>
      <c r="BA1515" s="32"/>
      <c r="BB1515" s="32"/>
      <c r="BC1515" s="32"/>
      <c r="BD1515" s="32"/>
      <c r="BE1515" s="32"/>
      <c r="BF1515" s="32"/>
      <c r="BG1515" s="32"/>
      <c r="BH1515" s="32"/>
      <c r="BI1515" s="32"/>
      <c r="BJ1515" s="6"/>
      <c r="BK1515" s="6"/>
      <c r="BL1515" s="6"/>
      <c r="BO1515" s="15"/>
    </row>
    <row r="1516" spans="1:67">
      <c r="A1516" s="16" t="s">
        <v>130</v>
      </c>
      <c r="B1516" s="16"/>
      <c r="C1516" s="17">
        <v>31937</v>
      </c>
      <c r="D1516" s="18">
        <v>13.979764660272005</v>
      </c>
      <c r="E1516" s="6"/>
      <c r="F1516" s="6"/>
      <c r="G1516" s="22"/>
      <c r="H1516" s="22"/>
      <c r="I1516" s="22"/>
      <c r="J1516" s="22"/>
      <c r="K1516" s="22"/>
      <c r="L1516" s="22"/>
      <c r="M1516" s="22"/>
      <c r="N1516" s="18"/>
      <c r="O1516" s="18"/>
      <c r="P1516" s="22"/>
      <c r="Q1516" s="22"/>
      <c r="R1516" s="22"/>
      <c r="S1516" s="22"/>
      <c r="T1516" s="22"/>
      <c r="U1516" s="22"/>
      <c r="V1516" s="6"/>
      <c r="W1516" s="6"/>
      <c r="X1516" s="19"/>
      <c r="Y1516" s="6"/>
      <c r="Z1516" s="6"/>
      <c r="AA1516" s="6"/>
      <c r="AB1516" s="6">
        <v>143.78378380000001</v>
      </c>
      <c r="AC1516" s="6"/>
      <c r="AD1516" s="6"/>
      <c r="AE1516" s="6"/>
      <c r="AF1516" s="18"/>
      <c r="AG1516" s="18"/>
      <c r="AH1516" s="18"/>
      <c r="AI1516" s="18"/>
      <c r="AK1516" s="18"/>
      <c r="AL1516" s="18"/>
      <c r="AM1516" s="18"/>
      <c r="AN1516" s="18"/>
      <c r="AO1516" s="6"/>
      <c r="AP1516" s="32"/>
      <c r="AQ1516" s="32"/>
      <c r="AR1516" s="32"/>
      <c r="AS1516" s="32"/>
      <c r="AT1516" s="32"/>
      <c r="AU1516" s="32"/>
      <c r="AV1516" s="32"/>
      <c r="AW1516" s="32"/>
      <c r="AX1516" s="32"/>
      <c r="AY1516" s="32"/>
      <c r="AZ1516" s="32"/>
      <c r="BA1516" s="32"/>
      <c r="BB1516" s="32"/>
      <c r="BC1516" s="32"/>
      <c r="BD1516" s="32"/>
      <c r="BE1516" s="32"/>
      <c r="BF1516" s="32"/>
      <c r="BG1516" s="32"/>
      <c r="BH1516" s="32"/>
      <c r="BI1516" s="32"/>
      <c r="BJ1516" s="6"/>
      <c r="BK1516" s="6"/>
      <c r="BL1516" s="6"/>
      <c r="BO1516" s="15"/>
    </row>
    <row r="1517" spans="1:67">
      <c r="A1517" s="16" t="s">
        <v>130</v>
      </c>
      <c r="B1517" s="16"/>
      <c r="C1517" s="17">
        <v>31977</v>
      </c>
      <c r="D1517" s="18">
        <v>14.089281030505237</v>
      </c>
      <c r="E1517" s="6"/>
      <c r="F1517" s="6"/>
      <c r="G1517" s="22"/>
      <c r="H1517" s="22"/>
      <c r="I1517" s="22"/>
      <c r="J1517" s="22"/>
      <c r="K1517" s="22"/>
      <c r="L1517" s="22"/>
      <c r="M1517" s="22"/>
      <c r="N1517" s="18"/>
      <c r="O1517" s="18"/>
      <c r="P1517" s="22"/>
      <c r="Q1517" s="22"/>
      <c r="R1517" s="22"/>
      <c r="S1517" s="22"/>
      <c r="T1517" s="22"/>
      <c r="U1517" s="22"/>
      <c r="V1517" s="6"/>
      <c r="W1517" s="6"/>
      <c r="X1517" s="19"/>
      <c r="Y1517" s="6"/>
      <c r="Z1517" s="6"/>
      <c r="AA1517" s="6"/>
      <c r="AB1517" s="6">
        <v>166.89189189999999</v>
      </c>
      <c r="AC1517" s="6"/>
      <c r="AD1517" s="6"/>
      <c r="AE1517" s="6"/>
      <c r="AF1517" s="18"/>
      <c r="AG1517" s="18"/>
      <c r="AH1517" s="18"/>
      <c r="AI1517" s="18"/>
      <c r="AK1517" s="18"/>
      <c r="AL1517" s="18"/>
      <c r="AM1517" s="18"/>
      <c r="AN1517" s="18"/>
      <c r="AO1517" s="6"/>
      <c r="AP1517" s="32"/>
      <c r="AQ1517" s="32"/>
      <c r="AR1517" s="32"/>
      <c r="AS1517" s="32"/>
      <c r="AT1517" s="32"/>
      <c r="AU1517" s="32"/>
      <c r="AV1517" s="32"/>
      <c r="AW1517" s="32"/>
      <c r="AX1517" s="32"/>
      <c r="AY1517" s="32"/>
      <c r="AZ1517" s="32"/>
      <c r="BA1517" s="32"/>
      <c r="BB1517" s="32"/>
      <c r="BC1517" s="32"/>
      <c r="BD1517" s="32"/>
      <c r="BE1517" s="32"/>
      <c r="BF1517" s="32"/>
      <c r="BG1517" s="32"/>
      <c r="BH1517" s="32"/>
      <c r="BI1517" s="32"/>
      <c r="BJ1517" s="6"/>
      <c r="BK1517" s="6"/>
      <c r="BL1517" s="6"/>
      <c r="BO1517" s="15"/>
    </row>
    <row r="1518" spans="1:67">
      <c r="A1518" s="16" t="s">
        <v>130</v>
      </c>
      <c r="B1518" s="16"/>
      <c r="C1518" s="17">
        <v>31977</v>
      </c>
      <c r="D1518" s="18">
        <v>14.089281030505237</v>
      </c>
      <c r="E1518" s="6"/>
      <c r="F1518" s="6"/>
      <c r="G1518" s="22"/>
      <c r="H1518" s="22"/>
      <c r="I1518" s="22"/>
      <c r="J1518" s="22"/>
      <c r="K1518" s="22"/>
      <c r="L1518" s="22"/>
      <c r="M1518" s="22"/>
      <c r="N1518" s="18"/>
      <c r="O1518" s="18"/>
      <c r="P1518" s="22"/>
      <c r="Q1518" s="22"/>
      <c r="R1518" s="22"/>
      <c r="S1518" s="22"/>
      <c r="T1518" s="22"/>
      <c r="U1518" s="22"/>
      <c r="V1518" s="6"/>
      <c r="W1518" s="6"/>
      <c r="X1518" s="19"/>
      <c r="Y1518" s="6"/>
      <c r="Z1518" s="6"/>
      <c r="AA1518" s="6"/>
      <c r="AB1518" s="6">
        <v>166.89189189999999</v>
      </c>
      <c r="AC1518" s="6"/>
      <c r="AD1518" s="6"/>
      <c r="AE1518" s="6"/>
      <c r="AF1518" s="18"/>
      <c r="AG1518" s="18"/>
      <c r="AH1518" s="18"/>
      <c r="AI1518" s="18"/>
      <c r="AK1518" s="18"/>
      <c r="AL1518" s="18"/>
      <c r="AM1518" s="18"/>
      <c r="AN1518" s="18"/>
      <c r="AO1518" s="6"/>
      <c r="AP1518" s="32"/>
      <c r="AQ1518" s="32"/>
      <c r="AR1518" s="32"/>
      <c r="AS1518" s="32"/>
      <c r="AT1518" s="32"/>
      <c r="AU1518" s="32"/>
      <c r="AV1518" s="32"/>
      <c r="AW1518" s="32"/>
      <c r="AX1518" s="32"/>
      <c r="AY1518" s="32"/>
      <c r="AZ1518" s="32"/>
      <c r="BA1518" s="32"/>
      <c r="BB1518" s="32"/>
      <c r="BC1518" s="32"/>
      <c r="BD1518" s="32"/>
      <c r="BE1518" s="32"/>
      <c r="BF1518" s="32"/>
      <c r="BG1518" s="32"/>
      <c r="BH1518" s="32"/>
      <c r="BI1518" s="32"/>
      <c r="BJ1518" s="6"/>
      <c r="BK1518" s="6"/>
      <c r="BL1518" s="6"/>
      <c r="BO1518" s="15"/>
    </row>
    <row r="1519" spans="1:67">
      <c r="A1519" s="16" t="s">
        <v>130</v>
      </c>
      <c r="B1519" s="16"/>
      <c r="C1519" s="17">
        <v>31993</v>
      </c>
      <c r="D1519" s="18">
        <v>14.133087578598529</v>
      </c>
      <c r="E1519" s="6"/>
      <c r="F1519" s="6"/>
      <c r="G1519" s="22"/>
      <c r="H1519" s="22"/>
      <c r="I1519" s="22"/>
      <c r="J1519" s="22"/>
      <c r="K1519" s="22"/>
      <c r="L1519" s="22"/>
      <c r="M1519" s="22"/>
      <c r="N1519" s="18"/>
      <c r="O1519" s="18"/>
      <c r="P1519" s="22"/>
      <c r="Q1519" s="22"/>
      <c r="R1519" s="22"/>
      <c r="S1519" s="22"/>
      <c r="T1519" s="22"/>
      <c r="U1519" s="22"/>
      <c r="V1519" s="6"/>
      <c r="W1519" s="6"/>
      <c r="X1519" s="19"/>
      <c r="Y1519" s="6"/>
      <c r="Z1519" s="6"/>
      <c r="AA1519" s="6"/>
      <c r="AB1519" s="6">
        <v>163.24324319999999</v>
      </c>
      <c r="AC1519" s="6"/>
      <c r="AD1519" s="6"/>
      <c r="AE1519" s="6"/>
      <c r="AF1519" s="18"/>
      <c r="AG1519" s="18"/>
      <c r="AH1519" s="18"/>
      <c r="AI1519" s="18"/>
      <c r="AK1519" s="18"/>
      <c r="AL1519" s="18"/>
      <c r="AM1519" s="18"/>
      <c r="AN1519" s="18"/>
      <c r="AO1519" s="6"/>
      <c r="AP1519" s="32"/>
      <c r="AQ1519" s="32"/>
      <c r="AR1519" s="32"/>
      <c r="AS1519" s="32"/>
      <c r="AT1519" s="32"/>
      <c r="AU1519" s="32"/>
      <c r="AV1519" s="32"/>
      <c r="AW1519" s="32"/>
      <c r="AX1519" s="32"/>
      <c r="AY1519" s="32"/>
      <c r="AZ1519" s="32"/>
      <c r="BA1519" s="32"/>
      <c r="BB1519" s="32"/>
      <c r="BC1519" s="32"/>
      <c r="BD1519" s="32"/>
      <c r="BE1519" s="32"/>
      <c r="BF1519" s="32"/>
      <c r="BG1519" s="32"/>
      <c r="BH1519" s="32"/>
      <c r="BI1519" s="32"/>
      <c r="BJ1519" s="6"/>
      <c r="BK1519" s="6"/>
      <c r="BL1519" s="6"/>
      <c r="BO1519" s="15"/>
    </row>
    <row r="1520" spans="1:67">
      <c r="A1520" s="16" t="s">
        <v>130</v>
      </c>
      <c r="B1520" s="16"/>
      <c r="C1520" s="17">
        <v>32012</v>
      </c>
      <c r="D1520" s="18">
        <v>14.185107854459314</v>
      </c>
      <c r="E1520" s="6"/>
      <c r="F1520" s="6"/>
      <c r="G1520" s="22"/>
      <c r="H1520" s="22"/>
      <c r="I1520" s="22"/>
      <c r="J1520" s="22"/>
      <c r="K1520" s="22"/>
      <c r="L1520" s="22"/>
      <c r="M1520" s="22"/>
      <c r="N1520" s="18"/>
      <c r="O1520" s="18"/>
      <c r="P1520" s="22"/>
      <c r="Q1520" s="22"/>
      <c r="R1520" s="22"/>
      <c r="S1520" s="22"/>
      <c r="T1520" s="22"/>
      <c r="U1520" s="22"/>
      <c r="V1520" s="6"/>
      <c r="W1520" s="6"/>
      <c r="X1520" s="19"/>
      <c r="Y1520" s="6"/>
      <c r="Z1520" s="6"/>
      <c r="AA1520" s="6"/>
      <c r="AB1520" s="6">
        <v>184.3243243</v>
      </c>
      <c r="AC1520" s="6"/>
      <c r="AD1520" s="6"/>
      <c r="AE1520" s="6"/>
      <c r="AF1520" s="18"/>
      <c r="AG1520" s="18"/>
      <c r="AH1520" s="18"/>
      <c r="AI1520" s="18"/>
      <c r="AK1520" s="18"/>
      <c r="AL1520" s="18"/>
      <c r="AM1520" s="18"/>
      <c r="AN1520" s="18"/>
      <c r="AO1520" s="6"/>
      <c r="AP1520" s="32"/>
      <c r="AQ1520" s="32"/>
      <c r="AR1520" s="32"/>
      <c r="AS1520" s="32"/>
      <c r="AT1520" s="32"/>
      <c r="AU1520" s="32"/>
      <c r="AV1520" s="32"/>
      <c r="AW1520" s="32"/>
      <c r="AX1520" s="32"/>
      <c r="AY1520" s="32"/>
      <c r="AZ1520" s="32"/>
      <c r="BA1520" s="32"/>
      <c r="BB1520" s="32"/>
      <c r="BC1520" s="32"/>
      <c r="BD1520" s="32"/>
      <c r="BE1520" s="32"/>
      <c r="BF1520" s="32"/>
      <c r="BG1520" s="32"/>
      <c r="BH1520" s="32"/>
      <c r="BI1520" s="32"/>
      <c r="BJ1520" s="6"/>
      <c r="BK1520" s="6"/>
      <c r="BL1520" s="6"/>
      <c r="BO1520" s="15"/>
    </row>
    <row r="1521" spans="1:67">
      <c r="A1521" s="16" t="s">
        <v>130</v>
      </c>
      <c r="B1521" s="16"/>
      <c r="C1521" s="17">
        <v>32030</v>
      </c>
      <c r="D1521" s="18">
        <v>14.234390221064269</v>
      </c>
      <c r="E1521" s="6"/>
      <c r="F1521" s="6"/>
      <c r="G1521" s="22"/>
      <c r="H1521" s="22"/>
      <c r="I1521" s="22"/>
      <c r="J1521" s="22"/>
      <c r="K1521" s="22"/>
      <c r="L1521" s="22"/>
      <c r="M1521" s="22"/>
      <c r="N1521" s="18"/>
      <c r="O1521" s="18"/>
      <c r="P1521" s="22"/>
      <c r="Q1521" s="22"/>
      <c r="R1521" s="22"/>
      <c r="S1521" s="22"/>
      <c r="T1521" s="22"/>
      <c r="U1521" s="22"/>
      <c r="V1521" s="6"/>
      <c r="W1521" s="6"/>
      <c r="X1521" s="19"/>
      <c r="Y1521" s="6"/>
      <c r="Z1521" s="6"/>
      <c r="AA1521" s="6"/>
      <c r="AB1521" s="6">
        <v>190.81081080000001</v>
      </c>
      <c r="AC1521" s="6"/>
      <c r="AD1521" s="6"/>
      <c r="AE1521" s="6"/>
      <c r="AF1521" s="18"/>
      <c r="AG1521" s="18"/>
      <c r="AH1521" s="18"/>
      <c r="AI1521" s="18"/>
      <c r="AK1521" s="18"/>
      <c r="AL1521" s="18"/>
      <c r="AM1521" s="18"/>
      <c r="AN1521" s="18"/>
      <c r="AO1521" s="6"/>
      <c r="AP1521" s="32"/>
      <c r="AQ1521" s="32"/>
      <c r="AR1521" s="32"/>
      <c r="AS1521" s="32"/>
      <c r="AT1521" s="32"/>
      <c r="AU1521" s="32"/>
      <c r="AV1521" s="32"/>
      <c r="AW1521" s="32"/>
      <c r="AX1521" s="32"/>
      <c r="AY1521" s="32"/>
      <c r="AZ1521" s="32"/>
      <c r="BA1521" s="32"/>
      <c r="BB1521" s="32"/>
      <c r="BC1521" s="32"/>
      <c r="BD1521" s="32"/>
      <c r="BE1521" s="32"/>
      <c r="BF1521" s="32"/>
      <c r="BG1521" s="32"/>
      <c r="BH1521" s="32"/>
      <c r="BI1521" s="32"/>
      <c r="BJ1521" s="6"/>
      <c r="BK1521" s="6"/>
      <c r="BL1521" s="6"/>
      <c r="BO1521" s="15"/>
    </row>
    <row r="1522" spans="1:67">
      <c r="A1522" s="16" t="s">
        <v>130</v>
      </c>
      <c r="B1522" s="16"/>
      <c r="C1522" s="17">
        <v>32085</v>
      </c>
      <c r="D1522" s="18">
        <v>14.384975230134961</v>
      </c>
      <c r="E1522" s="6"/>
      <c r="F1522" s="6"/>
      <c r="G1522" s="22"/>
      <c r="H1522" s="22"/>
      <c r="I1522" s="22"/>
      <c r="J1522" s="22"/>
      <c r="K1522" s="22"/>
      <c r="L1522" s="22"/>
      <c r="M1522" s="22"/>
      <c r="N1522" s="18"/>
      <c r="O1522" s="18"/>
      <c r="P1522" s="22"/>
      <c r="Q1522" s="22"/>
      <c r="R1522" s="22"/>
      <c r="S1522" s="22"/>
      <c r="T1522" s="22"/>
      <c r="U1522" s="22"/>
      <c r="V1522" s="6"/>
      <c r="W1522" s="6"/>
      <c r="X1522" s="19"/>
      <c r="Y1522" s="6"/>
      <c r="Z1522" s="6"/>
      <c r="AA1522" s="6"/>
      <c r="AB1522" s="6">
        <v>155.54054049999999</v>
      </c>
      <c r="AC1522" s="6"/>
      <c r="AD1522" s="6"/>
      <c r="AE1522" s="6"/>
      <c r="AF1522" s="18"/>
      <c r="AG1522" s="18"/>
      <c r="AH1522" s="18"/>
      <c r="AI1522" s="18"/>
      <c r="AK1522" s="18"/>
      <c r="AL1522" s="18"/>
      <c r="AM1522" s="18"/>
      <c r="AN1522" s="18"/>
      <c r="AO1522" s="6"/>
      <c r="AP1522" s="32"/>
      <c r="AQ1522" s="32"/>
      <c r="AR1522" s="32"/>
      <c r="AS1522" s="32"/>
      <c r="AT1522" s="32"/>
      <c r="AU1522" s="32"/>
      <c r="AV1522" s="32"/>
      <c r="AW1522" s="32"/>
      <c r="AX1522" s="32"/>
      <c r="AY1522" s="32"/>
      <c r="AZ1522" s="32"/>
      <c r="BA1522" s="32"/>
      <c r="BB1522" s="32"/>
      <c r="BC1522" s="32"/>
      <c r="BD1522" s="32"/>
      <c r="BE1522" s="32"/>
      <c r="BF1522" s="32"/>
      <c r="BG1522" s="32"/>
      <c r="BH1522" s="32"/>
      <c r="BI1522" s="32"/>
      <c r="BJ1522" s="6"/>
      <c r="BK1522" s="6"/>
      <c r="BL1522" s="6"/>
      <c r="BO1522" s="15"/>
    </row>
    <row r="1523" spans="1:67">
      <c r="A1523" s="16" t="s">
        <v>130</v>
      </c>
      <c r="B1523" s="16"/>
      <c r="C1523" s="17">
        <v>32123</v>
      </c>
      <c r="D1523" s="18">
        <v>14.489015781856532</v>
      </c>
      <c r="E1523" s="6"/>
      <c r="F1523" s="6"/>
      <c r="G1523" s="22"/>
      <c r="H1523" s="22"/>
      <c r="I1523" s="22"/>
      <c r="J1523" s="22"/>
      <c r="K1523" s="22"/>
      <c r="L1523" s="22"/>
      <c r="M1523" s="22"/>
      <c r="N1523" s="18"/>
      <c r="O1523" s="18"/>
      <c r="P1523" s="22"/>
      <c r="Q1523" s="22"/>
      <c r="R1523" s="22"/>
      <c r="S1523" s="22"/>
      <c r="T1523" s="22"/>
      <c r="U1523" s="22"/>
      <c r="V1523" s="6"/>
      <c r="W1523" s="6"/>
      <c r="X1523" s="19"/>
      <c r="Y1523" s="6"/>
      <c r="Z1523" s="6"/>
      <c r="AA1523" s="6"/>
      <c r="AB1523" s="6">
        <v>155.13513510000001</v>
      </c>
      <c r="AC1523" s="6"/>
      <c r="AD1523" s="6"/>
      <c r="AE1523" s="6"/>
      <c r="AF1523" s="18"/>
      <c r="AG1523" s="18"/>
      <c r="AH1523" s="18"/>
      <c r="AI1523" s="18"/>
      <c r="AK1523" s="18"/>
      <c r="AL1523" s="18"/>
      <c r="AM1523" s="18"/>
      <c r="AN1523" s="18"/>
      <c r="AO1523" s="6"/>
      <c r="AP1523" s="32"/>
      <c r="AQ1523" s="32"/>
      <c r="AR1523" s="32"/>
      <c r="AS1523" s="32"/>
      <c r="AT1523" s="32"/>
      <c r="AU1523" s="32"/>
      <c r="AV1523" s="32"/>
      <c r="AW1523" s="32"/>
      <c r="AX1523" s="32"/>
      <c r="AY1523" s="32"/>
      <c r="AZ1523" s="32"/>
      <c r="BA1523" s="32"/>
      <c r="BB1523" s="32"/>
      <c r="BC1523" s="32"/>
      <c r="BD1523" s="32"/>
      <c r="BE1523" s="32"/>
      <c r="BF1523" s="32"/>
      <c r="BG1523" s="32"/>
      <c r="BH1523" s="32"/>
      <c r="BI1523" s="32"/>
      <c r="BJ1523" s="6"/>
      <c r="BK1523" s="6"/>
      <c r="BL1523" s="6"/>
      <c r="BO1523" s="15"/>
    </row>
    <row r="1524" spans="1:67">
      <c r="A1524" s="16" t="s">
        <v>130</v>
      </c>
      <c r="B1524" s="16"/>
      <c r="C1524" s="17">
        <v>32155</v>
      </c>
      <c r="D1524" s="18">
        <v>14.576628878043117</v>
      </c>
      <c r="E1524" s="6"/>
      <c r="F1524" s="6"/>
      <c r="G1524" s="22"/>
      <c r="H1524" s="22"/>
      <c r="I1524" s="22"/>
      <c r="J1524" s="22"/>
      <c r="K1524" s="22"/>
      <c r="L1524" s="22"/>
      <c r="M1524" s="22"/>
      <c r="N1524" s="18"/>
      <c r="O1524" s="18"/>
      <c r="P1524" s="22"/>
      <c r="Q1524" s="22"/>
      <c r="R1524" s="22"/>
      <c r="S1524" s="22"/>
      <c r="T1524" s="22"/>
      <c r="U1524" s="22"/>
      <c r="V1524" s="6"/>
      <c r="W1524" s="6"/>
      <c r="X1524" s="19"/>
      <c r="Y1524" s="6"/>
      <c r="Z1524" s="6"/>
      <c r="AA1524" s="6"/>
      <c r="AB1524" s="6">
        <v>147.43243240000001</v>
      </c>
      <c r="AC1524" s="6"/>
      <c r="AD1524" s="6"/>
      <c r="AE1524" s="6"/>
      <c r="AF1524" s="18"/>
      <c r="AG1524" s="18"/>
      <c r="AH1524" s="18"/>
      <c r="AI1524" s="18"/>
      <c r="AK1524" s="18"/>
      <c r="AL1524" s="18"/>
      <c r="AM1524" s="18"/>
      <c r="AN1524" s="18"/>
      <c r="AO1524" s="6"/>
      <c r="AP1524" s="32"/>
      <c r="AQ1524" s="32"/>
      <c r="AR1524" s="32"/>
      <c r="AS1524" s="32"/>
      <c r="AT1524" s="32"/>
      <c r="AU1524" s="32"/>
      <c r="AV1524" s="32"/>
      <c r="AW1524" s="32"/>
      <c r="AX1524" s="32"/>
      <c r="AY1524" s="32"/>
      <c r="AZ1524" s="32"/>
      <c r="BA1524" s="32"/>
      <c r="BB1524" s="32"/>
      <c r="BC1524" s="32"/>
      <c r="BD1524" s="32"/>
      <c r="BE1524" s="32"/>
      <c r="BF1524" s="32"/>
      <c r="BG1524" s="32"/>
      <c r="BH1524" s="32"/>
      <c r="BI1524" s="32"/>
      <c r="BJ1524" s="6"/>
      <c r="BK1524" s="6"/>
      <c r="BL1524" s="6"/>
      <c r="BO1524" s="15"/>
    </row>
    <row r="1525" spans="1:67">
      <c r="A1525" s="16" t="s">
        <v>130</v>
      </c>
      <c r="B1525" s="16"/>
      <c r="C1525" s="17">
        <v>32160</v>
      </c>
      <c r="D1525" s="18">
        <v>14.590318424322271</v>
      </c>
      <c r="E1525" s="6"/>
      <c r="F1525" s="6"/>
      <c r="G1525" s="22"/>
      <c r="H1525" s="22"/>
      <c r="I1525" s="22"/>
      <c r="J1525" s="22"/>
      <c r="K1525" s="22"/>
      <c r="L1525" s="22"/>
      <c r="M1525" s="22"/>
      <c r="N1525" s="18"/>
      <c r="O1525" s="18"/>
      <c r="P1525" s="22"/>
      <c r="Q1525" s="22"/>
      <c r="R1525" s="22"/>
      <c r="S1525" s="22"/>
      <c r="T1525" s="22"/>
      <c r="U1525" s="22"/>
      <c r="V1525" s="6"/>
      <c r="W1525" s="6"/>
      <c r="X1525" s="19"/>
      <c r="Y1525" s="6"/>
      <c r="Z1525" s="6"/>
      <c r="AA1525" s="6"/>
      <c r="AB1525" s="6">
        <v>142.16216220000001</v>
      </c>
      <c r="AC1525" s="6"/>
      <c r="AD1525" s="6"/>
      <c r="AE1525" s="6"/>
      <c r="AF1525" s="18"/>
      <c r="AG1525" s="18"/>
      <c r="AH1525" s="18"/>
      <c r="AI1525" s="18"/>
      <c r="AK1525" s="18"/>
      <c r="AL1525" s="18"/>
      <c r="AM1525" s="18"/>
      <c r="AN1525" s="18"/>
      <c r="AO1525" s="6"/>
      <c r="AP1525" s="32"/>
      <c r="AQ1525" s="32"/>
      <c r="AR1525" s="32"/>
      <c r="AS1525" s="32"/>
      <c r="AT1525" s="32"/>
      <c r="AU1525" s="32"/>
      <c r="AV1525" s="32"/>
      <c r="AW1525" s="32"/>
      <c r="AX1525" s="32"/>
      <c r="AY1525" s="32"/>
      <c r="AZ1525" s="32"/>
      <c r="BA1525" s="32"/>
      <c r="BB1525" s="32"/>
      <c r="BC1525" s="32"/>
      <c r="BD1525" s="32"/>
      <c r="BE1525" s="32"/>
      <c r="BF1525" s="32"/>
      <c r="BG1525" s="32"/>
      <c r="BH1525" s="32"/>
      <c r="BI1525" s="32"/>
      <c r="BJ1525" s="6"/>
      <c r="BK1525" s="6"/>
      <c r="BL1525" s="6"/>
      <c r="BO1525" s="15"/>
    </row>
    <row r="1526" spans="1:67">
      <c r="A1526" s="16" t="s">
        <v>130</v>
      </c>
      <c r="B1526" s="16"/>
      <c r="C1526" s="17">
        <v>32179</v>
      </c>
      <c r="D1526" s="18">
        <v>14.642338700183055</v>
      </c>
      <c r="E1526" s="6"/>
      <c r="F1526" s="6"/>
      <c r="G1526" s="22"/>
      <c r="H1526" s="22"/>
      <c r="I1526" s="22"/>
      <c r="J1526" s="22"/>
      <c r="K1526" s="22"/>
      <c r="L1526" s="22"/>
      <c r="M1526" s="22"/>
      <c r="N1526" s="18"/>
      <c r="O1526" s="18"/>
      <c r="P1526" s="22"/>
      <c r="Q1526" s="22"/>
      <c r="R1526" s="22"/>
      <c r="S1526" s="22"/>
      <c r="T1526" s="22"/>
      <c r="U1526" s="22"/>
      <c r="V1526" s="6"/>
      <c r="W1526" s="6"/>
      <c r="X1526" s="19"/>
      <c r="Y1526" s="6"/>
      <c r="Z1526" s="6"/>
      <c r="AA1526" s="6"/>
      <c r="AB1526" s="6">
        <v>135.27027029999999</v>
      </c>
      <c r="AC1526" s="6"/>
      <c r="AD1526" s="6"/>
      <c r="AE1526" s="6"/>
      <c r="AF1526" s="18"/>
      <c r="AG1526" s="18"/>
      <c r="AH1526" s="18"/>
      <c r="AI1526" s="18"/>
      <c r="AK1526" s="18"/>
      <c r="AL1526" s="18"/>
      <c r="AM1526" s="18"/>
      <c r="AN1526" s="18"/>
      <c r="AO1526" s="6"/>
      <c r="AP1526" s="32"/>
      <c r="AQ1526" s="32"/>
      <c r="AR1526" s="32"/>
      <c r="AS1526" s="32"/>
      <c r="AT1526" s="32"/>
      <c r="AU1526" s="32"/>
      <c r="AV1526" s="32"/>
      <c r="AW1526" s="32"/>
      <c r="AX1526" s="32"/>
      <c r="AY1526" s="32"/>
      <c r="AZ1526" s="32"/>
      <c r="BA1526" s="32"/>
      <c r="BB1526" s="32"/>
      <c r="BC1526" s="32"/>
      <c r="BD1526" s="32"/>
      <c r="BE1526" s="32"/>
      <c r="BF1526" s="32"/>
      <c r="BG1526" s="32"/>
      <c r="BH1526" s="32"/>
      <c r="BI1526" s="32"/>
      <c r="BJ1526" s="6"/>
      <c r="BK1526" s="6"/>
      <c r="BL1526" s="6"/>
      <c r="BO1526" s="15"/>
    </row>
    <row r="1527" spans="1:67">
      <c r="A1527" s="16" t="s">
        <v>130</v>
      </c>
      <c r="B1527" s="16"/>
      <c r="C1527" s="17">
        <v>32198</v>
      </c>
      <c r="D1527" s="18">
        <v>14.694358976043841</v>
      </c>
      <c r="E1527" s="6"/>
      <c r="F1527" s="6"/>
      <c r="G1527" s="22"/>
      <c r="H1527" s="22"/>
      <c r="I1527" s="22"/>
      <c r="J1527" s="22"/>
      <c r="K1527" s="22"/>
      <c r="L1527" s="22"/>
      <c r="M1527" s="22"/>
      <c r="N1527" s="18"/>
      <c r="O1527" s="18"/>
      <c r="P1527" s="22"/>
      <c r="Q1527" s="22"/>
      <c r="R1527" s="22"/>
      <c r="S1527" s="22"/>
      <c r="T1527" s="22"/>
      <c r="U1527" s="22"/>
      <c r="V1527" s="6"/>
      <c r="W1527" s="6"/>
      <c r="X1527" s="19"/>
      <c r="Y1527" s="6"/>
      <c r="Z1527" s="6"/>
      <c r="AA1527" s="6"/>
      <c r="AB1527" s="6">
        <v>137.7027027</v>
      </c>
      <c r="AC1527" s="6"/>
      <c r="AD1527" s="6"/>
      <c r="AE1527" s="6"/>
      <c r="AF1527" s="18"/>
      <c r="AG1527" s="18"/>
      <c r="AH1527" s="18"/>
      <c r="AI1527" s="18"/>
      <c r="AK1527" s="18"/>
      <c r="AL1527" s="18"/>
      <c r="AM1527" s="18"/>
      <c r="AN1527" s="18"/>
      <c r="AO1527" s="6"/>
      <c r="AP1527" s="32"/>
      <c r="AQ1527" s="32"/>
      <c r="AR1527" s="32"/>
      <c r="AS1527" s="32"/>
      <c r="AT1527" s="32"/>
      <c r="AU1527" s="32"/>
      <c r="AV1527" s="32"/>
      <c r="AW1527" s="32"/>
      <c r="AX1527" s="32"/>
      <c r="AY1527" s="32"/>
      <c r="AZ1527" s="32"/>
      <c r="BA1527" s="32"/>
      <c r="BB1527" s="32"/>
      <c r="BC1527" s="32"/>
      <c r="BD1527" s="32"/>
      <c r="BE1527" s="32"/>
      <c r="BF1527" s="32"/>
      <c r="BG1527" s="32"/>
      <c r="BH1527" s="32"/>
      <c r="BI1527" s="32"/>
      <c r="BJ1527" s="6"/>
      <c r="BK1527" s="6"/>
      <c r="BL1527" s="6"/>
      <c r="BO1527" s="15"/>
    </row>
    <row r="1528" spans="1:67">
      <c r="A1528" s="16" t="s">
        <v>130</v>
      </c>
      <c r="B1528" s="16"/>
      <c r="C1528" s="17">
        <v>32066</v>
      </c>
      <c r="D1528" s="18">
        <v>14.332954954274177</v>
      </c>
      <c r="E1528" s="6"/>
      <c r="F1528" s="6"/>
      <c r="G1528" s="22"/>
      <c r="H1528" s="22"/>
      <c r="I1528" s="22"/>
      <c r="J1528" s="22"/>
      <c r="K1528" s="22"/>
      <c r="L1528" s="22"/>
      <c r="M1528" s="22"/>
      <c r="N1528" s="18"/>
      <c r="O1528" s="18"/>
      <c r="P1528" s="22"/>
      <c r="Q1528" s="22"/>
      <c r="R1528" s="22"/>
      <c r="S1528" s="22"/>
      <c r="T1528" s="22"/>
      <c r="U1528" s="22"/>
      <c r="V1528" s="6"/>
      <c r="W1528" s="6"/>
      <c r="X1528" s="19"/>
      <c r="Y1528" s="6"/>
      <c r="Z1528" s="6"/>
      <c r="AA1528" s="6"/>
      <c r="AB1528" s="6">
        <v>181.08108110000001</v>
      </c>
      <c r="AC1528" s="6"/>
      <c r="AD1528" s="6"/>
      <c r="AE1528" s="6"/>
      <c r="AF1528" s="18"/>
      <c r="AG1528" s="18"/>
      <c r="AH1528" s="18"/>
      <c r="AI1528" s="18"/>
      <c r="AK1528" s="18"/>
      <c r="AL1528" s="18"/>
      <c r="AM1528" s="18"/>
      <c r="AN1528" s="18"/>
      <c r="AO1528" s="6"/>
      <c r="AP1528" s="32"/>
      <c r="AQ1528" s="32"/>
      <c r="AR1528" s="32"/>
      <c r="AS1528" s="32"/>
      <c r="AT1528" s="32"/>
      <c r="AU1528" s="32"/>
      <c r="AV1528" s="32"/>
      <c r="AW1528" s="32"/>
      <c r="AX1528" s="32"/>
      <c r="AY1528" s="32"/>
      <c r="AZ1528" s="32"/>
      <c r="BA1528" s="32"/>
      <c r="BB1528" s="32"/>
      <c r="BC1528" s="32"/>
      <c r="BD1528" s="32"/>
      <c r="BE1528" s="32"/>
      <c r="BF1528" s="32"/>
      <c r="BG1528" s="32"/>
      <c r="BH1528" s="32"/>
      <c r="BI1528" s="32"/>
      <c r="BJ1528" s="6"/>
      <c r="BK1528" s="6"/>
      <c r="BL1528" s="6"/>
      <c r="BO1528" s="15"/>
    </row>
    <row r="1529" spans="1:67">
      <c r="A1529" s="16" t="s">
        <v>130</v>
      </c>
      <c r="B1529" s="16"/>
      <c r="C1529" s="17">
        <v>32214</v>
      </c>
      <c r="D1529" s="18">
        <v>14.738165524137132</v>
      </c>
      <c r="E1529" s="6"/>
      <c r="F1529" s="6"/>
      <c r="G1529" s="22"/>
      <c r="H1529" s="22"/>
      <c r="I1529" s="22"/>
      <c r="J1529" s="22"/>
      <c r="K1529" s="22"/>
      <c r="L1529" s="22"/>
      <c r="M1529" s="22"/>
      <c r="N1529" s="18"/>
      <c r="O1529" s="18"/>
      <c r="P1529" s="22"/>
      <c r="Q1529" s="22"/>
      <c r="R1529" s="22"/>
      <c r="S1529" s="22"/>
      <c r="T1529" s="22"/>
      <c r="U1529" s="22"/>
      <c r="V1529" s="6"/>
      <c r="W1529" s="6"/>
      <c r="X1529" s="19"/>
      <c r="Y1529" s="6"/>
      <c r="Z1529" s="6"/>
      <c r="AA1529" s="6"/>
      <c r="AB1529" s="6">
        <v>149.86486489999999</v>
      </c>
      <c r="AC1529" s="6"/>
      <c r="AD1529" s="6"/>
      <c r="AE1529" s="6"/>
      <c r="AF1529" s="18"/>
      <c r="AG1529" s="18"/>
      <c r="AH1529" s="18"/>
      <c r="AI1529" s="18"/>
      <c r="AK1529" s="18"/>
      <c r="AL1529" s="18"/>
      <c r="AM1529" s="18"/>
      <c r="AN1529" s="18"/>
      <c r="AO1529" s="6"/>
      <c r="AP1529" s="32"/>
      <c r="AQ1529" s="32"/>
      <c r="AR1529" s="32"/>
      <c r="AS1529" s="32"/>
      <c r="AT1529" s="32"/>
      <c r="AU1529" s="32"/>
      <c r="AV1529" s="32"/>
      <c r="AW1529" s="32"/>
      <c r="AX1529" s="32"/>
      <c r="AY1529" s="32"/>
      <c r="AZ1529" s="32"/>
      <c r="BA1529" s="32"/>
      <c r="BB1529" s="32"/>
      <c r="BC1529" s="32"/>
      <c r="BD1529" s="32"/>
      <c r="BE1529" s="32"/>
      <c r="BF1529" s="32"/>
      <c r="BG1529" s="32"/>
      <c r="BH1529" s="32"/>
      <c r="BI1529" s="32"/>
      <c r="BJ1529" s="6"/>
      <c r="BK1529" s="6"/>
      <c r="BL1529" s="6"/>
      <c r="BO1529" s="15"/>
    </row>
    <row r="1530" spans="1:67">
      <c r="A1530" s="16" t="s">
        <v>130</v>
      </c>
      <c r="B1530" s="16"/>
      <c r="C1530" s="17">
        <v>32228</v>
      </c>
      <c r="D1530" s="18">
        <v>14.776496253718765</v>
      </c>
      <c r="E1530" s="6"/>
      <c r="F1530" s="6"/>
      <c r="G1530" s="22"/>
      <c r="H1530" s="22"/>
      <c r="I1530" s="22"/>
      <c r="J1530" s="22"/>
      <c r="K1530" s="22"/>
      <c r="L1530" s="22"/>
      <c r="M1530" s="22"/>
      <c r="N1530" s="18"/>
      <c r="O1530" s="18"/>
      <c r="P1530" s="22"/>
      <c r="Q1530" s="22"/>
      <c r="R1530" s="22"/>
      <c r="S1530" s="22"/>
      <c r="T1530" s="22"/>
      <c r="U1530" s="22"/>
      <c r="V1530" s="6"/>
      <c r="W1530" s="6"/>
      <c r="X1530" s="19"/>
      <c r="Y1530" s="6"/>
      <c r="Z1530" s="6"/>
      <c r="AA1530" s="6"/>
      <c r="AB1530" s="6">
        <v>133.6486486</v>
      </c>
      <c r="AC1530" s="6"/>
      <c r="AD1530" s="6"/>
      <c r="AE1530" s="6"/>
      <c r="AF1530" s="18"/>
      <c r="AG1530" s="18"/>
      <c r="AH1530" s="18"/>
      <c r="AI1530" s="18"/>
      <c r="AK1530" s="18"/>
      <c r="AL1530" s="18"/>
      <c r="AM1530" s="18"/>
      <c r="AN1530" s="18"/>
      <c r="AO1530" s="6"/>
      <c r="AP1530" s="32"/>
      <c r="AQ1530" s="32"/>
      <c r="AR1530" s="32"/>
      <c r="AS1530" s="32"/>
      <c r="AT1530" s="32"/>
      <c r="AU1530" s="32"/>
      <c r="AV1530" s="32"/>
      <c r="AW1530" s="32"/>
      <c r="AX1530" s="32"/>
      <c r="AY1530" s="32"/>
      <c r="AZ1530" s="32"/>
      <c r="BA1530" s="32"/>
      <c r="BB1530" s="32"/>
      <c r="BC1530" s="32"/>
      <c r="BD1530" s="32"/>
      <c r="BE1530" s="32"/>
      <c r="BF1530" s="32"/>
      <c r="BG1530" s="32"/>
      <c r="BH1530" s="32"/>
      <c r="BI1530" s="32"/>
      <c r="BJ1530" s="6"/>
      <c r="BK1530" s="6"/>
      <c r="BL1530" s="6"/>
      <c r="BO1530" s="15"/>
    </row>
    <row r="1531" spans="1:67">
      <c r="A1531" s="16" t="s">
        <v>130</v>
      </c>
      <c r="B1531" s="16"/>
      <c r="C1531" s="17">
        <v>32240</v>
      </c>
      <c r="D1531" s="18">
        <v>14.809351164788733</v>
      </c>
      <c r="E1531" s="6"/>
      <c r="F1531" s="6"/>
      <c r="G1531" s="22"/>
      <c r="H1531" s="22"/>
      <c r="I1531" s="22"/>
      <c r="J1531" s="22"/>
      <c r="K1531" s="22"/>
      <c r="L1531" s="22"/>
      <c r="M1531" s="22"/>
      <c r="N1531" s="18"/>
      <c r="O1531" s="18"/>
      <c r="P1531" s="22"/>
      <c r="Q1531" s="22"/>
      <c r="R1531" s="22"/>
      <c r="S1531" s="22"/>
      <c r="T1531" s="22"/>
      <c r="U1531" s="22"/>
      <c r="V1531" s="6"/>
      <c r="W1531" s="6"/>
      <c r="X1531" s="19"/>
      <c r="Y1531" s="6"/>
      <c r="Z1531" s="6"/>
      <c r="AA1531" s="6"/>
      <c r="AB1531" s="6">
        <v>130</v>
      </c>
      <c r="AC1531" s="6"/>
      <c r="AD1531" s="6"/>
      <c r="AE1531" s="6"/>
      <c r="AF1531" s="18"/>
      <c r="AG1531" s="18"/>
      <c r="AH1531" s="18"/>
      <c r="AI1531" s="18"/>
      <c r="AK1531" s="18"/>
      <c r="AL1531" s="18"/>
      <c r="AM1531" s="18"/>
      <c r="AN1531" s="18"/>
      <c r="AO1531" s="6"/>
      <c r="AP1531" s="32"/>
      <c r="AQ1531" s="32"/>
      <c r="AR1531" s="32"/>
      <c r="AS1531" s="32"/>
      <c r="AT1531" s="32"/>
      <c r="AU1531" s="32"/>
      <c r="AV1531" s="32"/>
      <c r="AW1531" s="32"/>
      <c r="AX1531" s="32"/>
      <c r="AY1531" s="32"/>
      <c r="AZ1531" s="32"/>
      <c r="BA1531" s="32"/>
      <c r="BB1531" s="32"/>
      <c r="BC1531" s="32"/>
      <c r="BD1531" s="32"/>
      <c r="BE1531" s="32"/>
      <c r="BF1531" s="32"/>
      <c r="BG1531" s="32"/>
      <c r="BH1531" s="32"/>
      <c r="BI1531" s="32"/>
      <c r="BJ1531" s="6"/>
      <c r="BK1531" s="6"/>
      <c r="BL1531" s="6"/>
      <c r="BO1531" s="15"/>
    </row>
    <row r="1532" spans="1:67">
      <c r="A1532" s="16" t="s">
        <v>130</v>
      </c>
      <c r="B1532" s="16"/>
      <c r="C1532" s="17">
        <v>32269</v>
      </c>
      <c r="D1532" s="18">
        <v>14.888750533207826</v>
      </c>
      <c r="E1532" s="6"/>
      <c r="F1532" s="6"/>
      <c r="G1532" s="22"/>
      <c r="H1532" s="22"/>
      <c r="I1532" s="22"/>
      <c r="J1532" s="22"/>
      <c r="K1532" s="22"/>
      <c r="L1532" s="22"/>
      <c r="M1532" s="22"/>
      <c r="N1532" s="18"/>
      <c r="O1532" s="18"/>
      <c r="P1532" s="22"/>
      <c r="Q1532" s="22"/>
      <c r="R1532" s="22"/>
      <c r="S1532" s="22"/>
      <c r="T1532" s="22"/>
      <c r="U1532" s="22"/>
      <c r="V1532" s="6"/>
      <c r="W1532" s="6"/>
      <c r="X1532" s="19"/>
      <c r="Y1532" s="6"/>
      <c r="Z1532" s="6"/>
      <c r="AA1532" s="6"/>
      <c r="AB1532" s="6">
        <v>129.59459459999999</v>
      </c>
      <c r="AC1532" s="6"/>
      <c r="AD1532" s="6"/>
      <c r="AE1532" s="6"/>
      <c r="AF1532" s="18"/>
      <c r="AG1532" s="18"/>
      <c r="AH1532" s="18"/>
      <c r="AI1532" s="18"/>
      <c r="AK1532" s="18"/>
      <c r="AL1532" s="18"/>
      <c r="AM1532" s="18"/>
      <c r="AN1532" s="18"/>
      <c r="AO1532" s="6"/>
      <c r="AP1532" s="32"/>
      <c r="AQ1532" s="32"/>
      <c r="AR1532" s="32"/>
      <c r="AS1532" s="32"/>
      <c r="AT1532" s="32"/>
      <c r="AU1532" s="32"/>
      <c r="AV1532" s="32"/>
      <c r="AW1532" s="32"/>
      <c r="AX1532" s="32"/>
      <c r="AY1532" s="32"/>
      <c r="AZ1532" s="32"/>
      <c r="BA1532" s="32"/>
      <c r="BB1532" s="32"/>
      <c r="BC1532" s="32"/>
      <c r="BD1532" s="32"/>
      <c r="BE1532" s="32"/>
      <c r="BF1532" s="32"/>
      <c r="BG1532" s="32"/>
      <c r="BH1532" s="32"/>
      <c r="BI1532" s="32"/>
      <c r="BJ1532" s="6"/>
      <c r="BK1532" s="6"/>
      <c r="BL1532" s="6"/>
      <c r="BO1532" s="15"/>
    </row>
    <row r="1533" spans="1:67">
      <c r="A1533" s="16" t="s">
        <v>130</v>
      </c>
      <c r="B1533" s="16"/>
      <c r="C1533" s="17">
        <v>32285</v>
      </c>
      <c r="D1533" s="18">
        <v>14.93255708130112</v>
      </c>
      <c r="E1533" s="6"/>
      <c r="F1533" s="6"/>
      <c r="G1533" s="22"/>
      <c r="H1533" s="22"/>
      <c r="I1533" s="22"/>
      <c r="J1533" s="22"/>
      <c r="K1533" s="22"/>
      <c r="L1533" s="22"/>
      <c r="M1533" s="22"/>
      <c r="N1533" s="18"/>
      <c r="O1533" s="18"/>
      <c r="P1533" s="22"/>
      <c r="Q1533" s="22"/>
      <c r="R1533" s="22"/>
      <c r="S1533" s="22"/>
      <c r="T1533" s="22"/>
      <c r="U1533" s="22"/>
      <c r="V1533" s="6"/>
      <c r="W1533" s="6"/>
      <c r="X1533" s="19"/>
      <c r="Y1533" s="6"/>
      <c r="Z1533" s="6"/>
      <c r="AA1533" s="6"/>
      <c r="AB1533" s="6">
        <v>142.16216220000001</v>
      </c>
      <c r="AC1533" s="6"/>
      <c r="AD1533" s="6"/>
      <c r="AE1533" s="6"/>
      <c r="AF1533" s="18"/>
      <c r="AG1533" s="18"/>
      <c r="AH1533" s="18"/>
      <c r="AI1533" s="18"/>
      <c r="AK1533" s="18"/>
      <c r="AL1533" s="18"/>
      <c r="AM1533" s="18"/>
      <c r="AN1533" s="18"/>
      <c r="AO1533" s="6"/>
      <c r="AP1533" s="32"/>
      <c r="AQ1533" s="32"/>
      <c r="AR1533" s="32"/>
      <c r="AS1533" s="32"/>
      <c r="AT1533" s="32"/>
      <c r="AU1533" s="32"/>
      <c r="AV1533" s="32"/>
      <c r="AW1533" s="32"/>
      <c r="AX1533" s="32"/>
      <c r="AY1533" s="32"/>
      <c r="AZ1533" s="32"/>
      <c r="BA1533" s="32"/>
      <c r="BB1533" s="32"/>
      <c r="BC1533" s="32"/>
      <c r="BD1533" s="32"/>
      <c r="BE1533" s="32"/>
      <c r="BF1533" s="32"/>
      <c r="BG1533" s="32"/>
      <c r="BH1533" s="32"/>
      <c r="BI1533" s="32"/>
      <c r="BJ1533" s="6"/>
      <c r="BK1533" s="6"/>
      <c r="BL1533" s="6"/>
      <c r="BO1533" s="15"/>
    </row>
    <row r="1534" spans="1:67">
      <c r="A1534" s="16" t="s">
        <v>130</v>
      </c>
      <c r="B1534" s="16"/>
      <c r="C1534" s="17">
        <v>32297</v>
      </c>
      <c r="D1534" s="18">
        <v>14.965411992371088</v>
      </c>
      <c r="E1534" s="6"/>
      <c r="F1534" s="6"/>
      <c r="G1534" s="22"/>
      <c r="H1534" s="22"/>
      <c r="I1534" s="22"/>
      <c r="J1534" s="22"/>
      <c r="K1534" s="22"/>
      <c r="L1534" s="22"/>
      <c r="M1534" s="22"/>
      <c r="N1534" s="18"/>
      <c r="O1534" s="18"/>
      <c r="P1534" s="22"/>
      <c r="Q1534" s="22"/>
      <c r="R1534" s="22"/>
      <c r="S1534" s="22"/>
      <c r="T1534" s="22"/>
      <c r="U1534" s="22"/>
      <c r="V1534" s="6"/>
      <c r="W1534" s="6"/>
      <c r="X1534" s="19"/>
      <c r="Y1534" s="6"/>
      <c r="Z1534" s="6"/>
      <c r="AA1534" s="6"/>
      <c r="AB1534" s="6">
        <v>189.18918919999999</v>
      </c>
      <c r="AC1534" s="6"/>
      <c r="AD1534" s="6"/>
      <c r="AE1534" s="6"/>
      <c r="AF1534" s="18"/>
      <c r="AG1534" s="18"/>
      <c r="AH1534" s="18"/>
      <c r="AI1534" s="18"/>
      <c r="AK1534" s="18"/>
      <c r="AL1534" s="18"/>
      <c r="AM1534" s="18"/>
      <c r="AN1534" s="18"/>
      <c r="AO1534" s="6"/>
      <c r="AP1534" s="32"/>
      <c r="AQ1534" s="32"/>
      <c r="AR1534" s="32"/>
      <c r="AS1534" s="32"/>
      <c r="AT1534" s="32"/>
      <c r="AU1534" s="32"/>
      <c r="AV1534" s="32"/>
      <c r="AW1534" s="32"/>
      <c r="AX1534" s="32"/>
      <c r="AY1534" s="32"/>
      <c r="AZ1534" s="32"/>
      <c r="BA1534" s="32"/>
      <c r="BB1534" s="32"/>
      <c r="BC1534" s="32"/>
      <c r="BD1534" s="32"/>
      <c r="BE1534" s="32"/>
      <c r="BF1534" s="32"/>
      <c r="BG1534" s="32"/>
      <c r="BH1534" s="32"/>
      <c r="BI1534" s="32"/>
      <c r="BJ1534" s="6"/>
      <c r="BK1534" s="6"/>
      <c r="BL1534" s="6"/>
      <c r="BO1534" s="15"/>
    </row>
    <row r="1535" spans="1:67">
      <c r="A1535" s="16" t="s">
        <v>130</v>
      </c>
      <c r="B1535" s="16"/>
      <c r="C1535" s="17">
        <v>32304</v>
      </c>
      <c r="D1535" s="18">
        <v>14.984577357161903</v>
      </c>
      <c r="E1535" s="6"/>
      <c r="F1535" s="6"/>
      <c r="G1535" s="22"/>
      <c r="H1535" s="22"/>
      <c r="I1535" s="22"/>
      <c r="J1535" s="22"/>
      <c r="K1535" s="22"/>
      <c r="L1535" s="22"/>
      <c r="M1535" s="22"/>
      <c r="N1535" s="18"/>
      <c r="O1535" s="18"/>
      <c r="P1535" s="22"/>
      <c r="Q1535" s="22"/>
      <c r="R1535" s="22"/>
      <c r="S1535" s="22"/>
      <c r="T1535" s="22"/>
      <c r="U1535" s="22"/>
      <c r="V1535" s="6"/>
      <c r="W1535" s="6"/>
      <c r="X1535" s="19"/>
      <c r="Y1535" s="6"/>
      <c r="Z1535" s="6"/>
      <c r="AA1535" s="6"/>
      <c r="AB1535" s="6">
        <v>219.18918919999999</v>
      </c>
      <c r="AC1535" s="6"/>
      <c r="AD1535" s="6"/>
      <c r="AE1535" s="6"/>
      <c r="AF1535" s="18"/>
      <c r="AG1535" s="18"/>
      <c r="AH1535" s="18"/>
      <c r="AI1535" s="18"/>
      <c r="AK1535" s="18"/>
      <c r="AL1535" s="18"/>
      <c r="AM1535" s="18"/>
      <c r="AN1535" s="18"/>
      <c r="AO1535" s="6"/>
      <c r="AP1535" s="32"/>
      <c r="AQ1535" s="32"/>
      <c r="AR1535" s="32"/>
      <c r="AS1535" s="32"/>
      <c r="AT1535" s="32"/>
      <c r="AU1535" s="32"/>
      <c r="AV1535" s="32"/>
      <c r="AW1535" s="32"/>
      <c r="AX1535" s="32"/>
      <c r="AY1535" s="32"/>
      <c r="AZ1535" s="32"/>
      <c r="BA1535" s="32"/>
      <c r="BB1535" s="32"/>
      <c r="BC1535" s="32"/>
      <c r="BD1535" s="32"/>
      <c r="BE1535" s="32"/>
      <c r="BF1535" s="32"/>
      <c r="BG1535" s="32"/>
      <c r="BH1535" s="32"/>
      <c r="BI1535" s="32"/>
      <c r="BJ1535" s="6"/>
      <c r="BK1535" s="6"/>
      <c r="BL1535" s="6"/>
      <c r="BO1535" s="15"/>
    </row>
    <row r="1536" spans="1:67">
      <c r="A1536" s="16" t="s">
        <v>130</v>
      </c>
      <c r="B1536" s="16"/>
      <c r="C1536" s="17">
        <v>32335</v>
      </c>
      <c r="D1536" s="18">
        <v>15.069452544092659</v>
      </c>
      <c r="E1536" s="6"/>
      <c r="F1536" s="6"/>
      <c r="G1536" s="22"/>
      <c r="H1536" s="22"/>
      <c r="I1536" s="22"/>
      <c r="J1536" s="22"/>
      <c r="K1536" s="22"/>
      <c r="L1536" s="22"/>
      <c r="M1536" s="22"/>
      <c r="N1536" s="18"/>
      <c r="O1536" s="18"/>
      <c r="P1536" s="22"/>
      <c r="Q1536" s="22"/>
      <c r="R1536" s="22"/>
      <c r="S1536" s="22"/>
      <c r="T1536" s="22"/>
      <c r="U1536" s="22"/>
      <c r="V1536" s="6"/>
      <c r="W1536" s="6"/>
      <c r="X1536" s="19"/>
      <c r="Y1536" s="6"/>
      <c r="Z1536" s="6"/>
      <c r="AA1536" s="6"/>
      <c r="AB1536" s="6">
        <v>237.027027</v>
      </c>
      <c r="AC1536" s="6"/>
      <c r="AD1536" s="6"/>
      <c r="AE1536" s="6"/>
      <c r="AF1536" s="18"/>
      <c r="AG1536" s="18"/>
      <c r="AH1536" s="18"/>
      <c r="AI1536" s="18"/>
      <c r="AK1536" s="18"/>
      <c r="AL1536" s="18"/>
      <c r="AM1536" s="18"/>
      <c r="AN1536" s="18"/>
      <c r="AO1536" s="6"/>
      <c r="AP1536" s="32"/>
      <c r="AQ1536" s="32"/>
      <c r="AR1536" s="32"/>
      <c r="AS1536" s="32"/>
      <c r="AT1536" s="32"/>
      <c r="AU1536" s="32"/>
      <c r="AV1536" s="32"/>
      <c r="AW1536" s="32"/>
      <c r="AX1536" s="32"/>
      <c r="AY1536" s="32"/>
      <c r="AZ1536" s="32"/>
      <c r="BA1536" s="32"/>
      <c r="BB1536" s="32"/>
      <c r="BC1536" s="32"/>
      <c r="BD1536" s="32"/>
      <c r="BE1536" s="32"/>
      <c r="BF1536" s="32"/>
      <c r="BG1536" s="32"/>
      <c r="BH1536" s="32"/>
      <c r="BI1536" s="32"/>
      <c r="BJ1536" s="6"/>
      <c r="BK1536" s="6"/>
      <c r="BL1536" s="6"/>
      <c r="BO1536" s="15"/>
    </row>
    <row r="1537" spans="1:67">
      <c r="A1537" s="16" t="s">
        <v>103</v>
      </c>
      <c r="B1537" s="16"/>
      <c r="C1537" s="17">
        <v>20621</v>
      </c>
      <c r="D1537" s="6">
        <v>0</v>
      </c>
      <c r="E1537" s="18">
        <v>100</v>
      </c>
      <c r="F1537" s="6">
        <v>1684</v>
      </c>
      <c r="G1537" s="22"/>
      <c r="H1537" s="22"/>
      <c r="I1537" s="22"/>
      <c r="J1537" s="22"/>
      <c r="K1537" s="22"/>
      <c r="L1537" s="22"/>
      <c r="M1537" s="22"/>
      <c r="N1537" s="18"/>
      <c r="O1537" s="18"/>
      <c r="P1537" s="22"/>
      <c r="Q1537" s="22"/>
      <c r="R1537" s="22"/>
      <c r="S1537" s="22"/>
      <c r="T1537" s="22"/>
      <c r="U1537" s="22"/>
      <c r="V1537" s="6"/>
      <c r="W1537" s="6"/>
      <c r="X1537" s="19"/>
      <c r="Y1537" s="6"/>
      <c r="Z1537" s="6"/>
      <c r="AA1537" s="6"/>
      <c r="AB1537" s="6"/>
      <c r="AC1537" s="6"/>
      <c r="AD1537" s="6"/>
      <c r="AE1537" s="6"/>
      <c r="AF1537" s="18"/>
      <c r="AG1537" s="18"/>
      <c r="AH1537" s="18"/>
      <c r="AI1537" s="18"/>
      <c r="AK1537" s="18"/>
      <c r="AL1537" s="18"/>
      <c r="AM1537" s="18"/>
      <c r="AN1537" s="18"/>
      <c r="AO1537" s="6"/>
      <c r="AP1537" s="32"/>
      <c r="AQ1537" s="32"/>
      <c r="AR1537" s="32"/>
      <c r="AS1537" s="32"/>
      <c r="AT1537" s="32"/>
      <c r="AU1537" s="32"/>
      <c r="AV1537" s="32"/>
      <c r="AW1537" s="32"/>
      <c r="AX1537" s="32"/>
      <c r="AY1537" s="32"/>
      <c r="AZ1537" s="32"/>
      <c r="BA1537" s="32"/>
      <c r="BB1537" s="32"/>
      <c r="BC1537" s="32"/>
      <c r="BD1537" s="32"/>
      <c r="BE1537" s="32"/>
      <c r="BF1537" s="32"/>
      <c r="BG1537" s="32"/>
      <c r="BH1537" s="32"/>
      <c r="BI1537" s="32"/>
      <c r="BJ1537" s="6"/>
      <c r="BK1537" s="6"/>
      <c r="BL1537" s="6" t="s">
        <v>104</v>
      </c>
      <c r="BO1537" s="15"/>
    </row>
    <row r="1538" spans="1:67">
      <c r="A1538" s="16" t="s">
        <v>103</v>
      </c>
      <c r="B1538" s="16"/>
      <c r="C1538" s="17">
        <v>28686</v>
      </c>
      <c r="D1538" s="18">
        <v>22.081238148275308</v>
      </c>
      <c r="E1538" s="18">
        <v>36.223277909738719</v>
      </c>
      <c r="F1538" s="6">
        <v>610</v>
      </c>
      <c r="G1538" s="22"/>
      <c r="H1538" s="22"/>
      <c r="I1538" s="22"/>
      <c r="J1538" s="22"/>
      <c r="K1538" s="22"/>
      <c r="L1538" s="22"/>
      <c r="M1538" s="22"/>
      <c r="N1538" s="18"/>
      <c r="O1538" s="18"/>
      <c r="P1538" s="22"/>
      <c r="Q1538" s="22"/>
      <c r="R1538" s="22"/>
      <c r="S1538" s="22"/>
      <c r="T1538" s="22"/>
      <c r="U1538" s="22"/>
      <c r="V1538" s="6"/>
      <c r="W1538" s="6"/>
      <c r="X1538" s="19"/>
      <c r="Y1538" s="6"/>
      <c r="Z1538" s="6"/>
      <c r="AA1538" s="6"/>
      <c r="AB1538" s="6"/>
      <c r="AC1538" s="6"/>
      <c r="AD1538" s="6"/>
      <c r="AE1538" s="6"/>
      <c r="AF1538" s="18">
        <v>31.7</v>
      </c>
      <c r="AG1538" s="18"/>
      <c r="AH1538" s="18"/>
      <c r="AI1538" s="18">
        <v>41.8</v>
      </c>
      <c r="AK1538" s="18"/>
      <c r="AL1538" s="18"/>
      <c r="AM1538" s="18"/>
      <c r="AN1538" s="18"/>
      <c r="AO1538" s="6"/>
      <c r="AP1538" s="32"/>
      <c r="AQ1538" s="32"/>
      <c r="AR1538" s="32"/>
      <c r="AS1538" s="32"/>
      <c r="AT1538" s="32"/>
      <c r="AU1538" s="32"/>
      <c r="AV1538" s="32"/>
      <c r="AW1538" s="32"/>
      <c r="AX1538" s="32"/>
      <c r="AY1538" s="32"/>
      <c r="AZ1538" s="32"/>
      <c r="BA1538" s="32"/>
      <c r="BB1538" s="32"/>
      <c r="BC1538" s="32"/>
      <c r="BD1538" s="32"/>
      <c r="BE1538" s="32"/>
      <c r="BF1538" s="32"/>
      <c r="BG1538" s="32"/>
      <c r="BH1538" s="32"/>
      <c r="BI1538" s="32"/>
      <c r="BJ1538" s="6"/>
      <c r="BK1538" s="6"/>
      <c r="BL1538" s="6" t="s">
        <v>104</v>
      </c>
      <c r="BO1538" s="15"/>
    </row>
    <row r="1539" spans="1:67">
      <c r="A1539" s="16" t="s">
        <v>103</v>
      </c>
      <c r="B1539" s="16"/>
      <c r="C1539" s="17">
        <v>29417</v>
      </c>
      <c r="D1539" s="18">
        <v>24.082649814287613</v>
      </c>
      <c r="E1539" s="18">
        <v>36.223277909738719</v>
      </c>
      <c r="F1539" s="6">
        <v>610</v>
      </c>
      <c r="G1539" s="22"/>
      <c r="H1539" s="22">
        <v>1200</v>
      </c>
      <c r="I1539" s="22"/>
      <c r="J1539" s="22">
        <v>3200</v>
      </c>
      <c r="K1539" s="22"/>
      <c r="L1539" s="22">
        <v>2240</v>
      </c>
      <c r="M1539" s="22">
        <v>21200</v>
      </c>
      <c r="N1539" s="18"/>
      <c r="O1539" s="18"/>
      <c r="P1539" s="22">
        <v>23440</v>
      </c>
      <c r="Q1539" s="22"/>
      <c r="R1539" s="22"/>
      <c r="S1539" s="22"/>
      <c r="T1539" s="22">
        <v>27800</v>
      </c>
      <c r="U1539" s="22"/>
      <c r="V1539" s="6"/>
      <c r="W1539" s="6"/>
      <c r="X1539" s="19"/>
      <c r="Y1539" s="6"/>
      <c r="Z1539" s="6"/>
      <c r="AA1539" s="6"/>
      <c r="AB1539" s="6"/>
      <c r="AC1539" s="6"/>
      <c r="AD1539" s="6"/>
      <c r="AE1539" s="6"/>
      <c r="AF1539" s="18">
        <v>32</v>
      </c>
      <c r="AG1539" s="18"/>
      <c r="AH1539" s="18">
        <v>29.5</v>
      </c>
      <c r="AI1539" s="18">
        <v>45.4</v>
      </c>
      <c r="AK1539" s="18"/>
      <c r="AL1539" s="18"/>
      <c r="AM1539" s="18"/>
      <c r="AN1539" s="18"/>
      <c r="AO1539" s="6"/>
      <c r="AP1539" s="32"/>
      <c r="AQ1539" s="32">
        <v>1.1333333333333332E-2</v>
      </c>
      <c r="AR1539" s="32">
        <v>2.1782608695652171E-3</v>
      </c>
      <c r="AS1539" s="32"/>
      <c r="AT1539" s="32"/>
      <c r="AU1539" s="32">
        <v>4.5733788395904441E-4</v>
      </c>
      <c r="AV1539" s="32"/>
      <c r="AW1539" s="32"/>
      <c r="AX1539" s="32">
        <v>30.1</v>
      </c>
      <c r="AY1539" s="32"/>
      <c r="AZ1539" s="32"/>
      <c r="BA1539" s="32">
        <v>13.6</v>
      </c>
      <c r="BB1539" s="32">
        <v>5.01</v>
      </c>
      <c r="BC1539" s="32">
        <v>0.08</v>
      </c>
      <c r="BD1539" s="32">
        <v>5.86</v>
      </c>
      <c r="BE1539" s="32">
        <v>4.8600000000000003</v>
      </c>
      <c r="BF1539" s="32">
        <v>10.72</v>
      </c>
      <c r="BG1539" s="32"/>
      <c r="BH1539" s="32"/>
      <c r="BI1539" s="32"/>
      <c r="BJ1539" s="6"/>
      <c r="BK1539" s="6"/>
      <c r="BL1539" s="6" t="s">
        <v>104</v>
      </c>
      <c r="BO1539" s="15"/>
    </row>
    <row r="1540" spans="1:67">
      <c r="A1540" s="16" t="s">
        <v>105</v>
      </c>
      <c r="B1540" s="16"/>
      <c r="C1540" s="17">
        <v>22082</v>
      </c>
      <c r="D1540" s="6">
        <v>0</v>
      </c>
      <c r="E1540" s="18">
        <v>100</v>
      </c>
      <c r="F1540" s="6">
        <v>1684</v>
      </c>
      <c r="G1540" s="22"/>
      <c r="H1540" s="22"/>
      <c r="I1540" s="22"/>
      <c r="J1540" s="22"/>
      <c r="K1540" s="22"/>
      <c r="L1540" s="22"/>
      <c r="M1540" s="22"/>
      <c r="N1540" s="18"/>
      <c r="O1540" s="18"/>
      <c r="P1540" s="22"/>
      <c r="Q1540" s="22"/>
      <c r="R1540" s="22"/>
      <c r="S1540" s="22"/>
      <c r="T1540" s="22"/>
      <c r="U1540" s="22"/>
      <c r="V1540" s="6"/>
      <c r="W1540" s="6"/>
      <c r="X1540" s="19"/>
      <c r="Y1540" s="6"/>
      <c r="Z1540" s="6"/>
      <c r="AA1540" s="6"/>
      <c r="AB1540" s="6"/>
      <c r="AC1540" s="6"/>
      <c r="AD1540" s="6"/>
      <c r="AE1540" s="6"/>
      <c r="AF1540" s="18"/>
      <c r="AG1540" s="18"/>
      <c r="AH1540" s="18"/>
      <c r="AI1540" s="18"/>
      <c r="AK1540" s="18"/>
      <c r="AL1540" s="18"/>
      <c r="AM1540" s="18"/>
      <c r="AN1540" s="18"/>
      <c r="AO1540" s="6"/>
      <c r="AP1540" s="32"/>
      <c r="AQ1540" s="32"/>
      <c r="AR1540" s="32"/>
      <c r="AS1540" s="32"/>
      <c r="AT1540" s="32"/>
      <c r="AU1540" s="32"/>
      <c r="AV1540" s="32"/>
      <c r="AW1540" s="32"/>
      <c r="AX1540" s="32"/>
      <c r="AY1540" s="32"/>
      <c r="AZ1540" s="32"/>
      <c r="BA1540" s="32"/>
      <c r="BB1540" s="32"/>
      <c r="BC1540" s="32"/>
      <c r="BD1540" s="32"/>
      <c r="BE1540" s="32"/>
      <c r="BF1540" s="32"/>
      <c r="BG1540" s="32"/>
      <c r="BH1540" s="32"/>
      <c r="BI1540" s="32"/>
      <c r="BJ1540" s="6"/>
      <c r="BK1540" s="6"/>
      <c r="BL1540" s="6" t="s">
        <v>104</v>
      </c>
      <c r="BO1540" s="15"/>
    </row>
    <row r="1541" spans="1:67">
      <c r="A1541" s="16" t="s">
        <v>105</v>
      </c>
      <c r="B1541" s="16"/>
      <c r="C1541" s="17">
        <v>28686</v>
      </c>
      <c r="D1541" s="18">
        <v>18.081152725506527</v>
      </c>
      <c r="E1541" s="18">
        <v>83.135391923990497</v>
      </c>
      <c r="F1541" s="6">
        <v>1400</v>
      </c>
      <c r="G1541" s="22"/>
      <c r="H1541" s="22"/>
      <c r="I1541" s="22"/>
      <c r="J1541" s="22"/>
      <c r="K1541" s="22"/>
      <c r="L1541" s="22"/>
      <c r="M1541" s="22"/>
      <c r="N1541" s="18"/>
      <c r="O1541" s="18"/>
      <c r="P1541" s="22"/>
      <c r="Q1541" s="22"/>
      <c r="R1541" s="22"/>
      <c r="S1541" s="22"/>
      <c r="T1541" s="22"/>
      <c r="U1541" s="22"/>
      <c r="V1541" s="6"/>
      <c r="W1541" s="6"/>
      <c r="X1541" s="19"/>
      <c r="Y1541" s="6"/>
      <c r="Z1541" s="6"/>
      <c r="AA1541" s="6"/>
      <c r="AB1541" s="6"/>
      <c r="AC1541" s="6"/>
      <c r="AD1541" s="6"/>
      <c r="AE1541" s="6"/>
      <c r="AF1541" s="18">
        <v>25.5</v>
      </c>
      <c r="AG1541" s="18"/>
      <c r="AH1541" s="18"/>
      <c r="AI1541" s="18">
        <v>43.6</v>
      </c>
      <c r="AK1541" s="18"/>
      <c r="AL1541" s="18"/>
      <c r="AM1541" s="18"/>
      <c r="AN1541" s="18"/>
      <c r="AO1541" s="6"/>
      <c r="AP1541" s="32"/>
      <c r="AQ1541" s="32"/>
      <c r="AR1541" s="32"/>
      <c r="AS1541" s="32"/>
      <c r="AT1541" s="32"/>
      <c r="AU1541" s="32"/>
      <c r="AV1541" s="32"/>
      <c r="AW1541" s="32"/>
      <c r="AX1541" s="32"/>
      <c r="AY1541" s="32"/>
      <c r="AZ1541" s="32"/>
      <c r="BA1541" s="32"/>
      <c r="BB1541" s="32"/>
      <c r="BC1541" s="32"/>
      <c r="BD1541" s="32"/>
      <c r="BE1541" s="32"/>
      <c r="BF1541" s="32"/>
      <c r="BG1541" s="32"/>
      <c r="BH1541" s="32"/>
      <c r="BI1541" s="32"/>
      <c r="BJ1541" s="6"/>
      <c r="BK1541" s="6"/>
      <c r="BL1541" s="6" t="s">
        <v>104</v>
      </c>
      <c r="BO1541" s="15"/>
    </row>
    <row r="1542" spans="1:67">
      <c r="A1542" s="16" t="s">
        <v>105</v>
      </c>
      <c r="B1542" s="16"/>
      <c r="C1542" s="17">
        <v>29417</v>
      </c>
      <c r="D1542" s="18">
        <v>20.082564391518833</v>
      </c>
      <c r="E1542" s="18">
        <v>78.978622327790973</v>
      </c>
      <c r="F1542" s="6">
        <v>1330</v>
      </c>
      <c r="G1542" s="22"/>
      <c r="H1542" s="22">
        <v>1490</v>
      </c>
      <c r="I1542" s="22"/>
      <c r="J1542" s="22">
        <v>3610</v>
      </c>
      <c r="K1542" s="22"/>
      <c r="L1542" s="22">
        <v>2080</v>
      </c>
      <c r="M1542" s="22">
        <v>19100</v>
      </c>
      <c r="N1542" s="18"/>
      <c r="O1542" s="18"/>
      <c r="P1542" s="22">
        <v>21180</v>
      </c>
      <c r="Q1542" s="22"/>
      <c r="R1542" s="22"/>
      <c r="S1542" s="22"/>
      <c r="T1542" s="22">
        <v>26200</v>
      </c>
      <c r="U1542" s="22"/>
      <c r="V1542" s="6"/>
      <c r="W1542" s="6"/>
      <c r="X1542" s="19"/>
      <c r="Y1542" s="6"/>
      <c r="Z1542" s="6"/>
      <c r="AA1542" s="6"/>
      <c r="AB1542" s="6"/>
      <c r="AC1542" s="6"/>
      <c r="AD1542" s="6"/>
      <c r="AE1542" s="6"/>
      <c r="AF1542" s="18">
        <v>26</v>
      </c>
      <c r="AG1542" s="18"/>
      <c r="AH1542" s="18">
        <v>19.899999999999999</v>
      </c>
      <c r="AI1542" s="18">
        <v>48.6</v>
      </c>
      <c r="AK1542" s="18"/>
      <c r="AL1542" s="18"/>
      <c r="AM1542" s="18"/>
      <c r="AN1542" s="18"/>
      <c r="AO1542" s="6"/>
      <c r="AP1542" s="32"/>
      <c r="AQ1542" s="32">
        <v>1.2483221476510068E-2</v>
      </c>
      <c r="AR1542" s="32">
        <v>2.5944881889763778E-3</v>
      </c>
      <c r="AS1542" s="32"/>
      <c r="AT1542" s="32"/>
      <c r="AU1542" s="32">
        <v>5.6090651558073654E-4</v>
      </c>
      <c r="AV1542" s="32"/>
      <c r="AW1542" s="32"/>
      <c r="AX1542" s="32">
        <v>38.1</v>
      </c>
      <c r="AY1542" s="32"/>
      <c r="AZ1542" s="32"/>
      <c r="BA1542" s="32">
        <v>18.600000000000001</v>
      </c>
      <c r="BB1542" s="32">
        <v>6.59</v>
      </c>
      <c r="BC1542" s="32">
        <v>1.04</v>
      </c>
      <c r="BD1542" s="32">
        <v>5.83</v>
      </c>
      <c r="BE1542" s="32">
        <v>6.05</v>
      </c>
      <c r="BF1542" s="32">
        <v>11.879999999999999</v>
      </c>
      <c r="BG1542" s="32"/>
      <c r="BH1542" s="32"/>
      <c r="BI1542" s="32"/>
      <c r="BJ1542" s="6"/>
      <c r="BK1542" s="6"/>
      <c r="BL1542" s="6" t="s">
        <v>104</v>
      </c>
      <c r="BO1542" s="15"/>
    </row>
    <row r="1543" spans="1:67">
      <c r="A1543" s="16" t="s">
        <v>133</v>
      </c>
      <c r="B1543" s="16"/>
      <c r="C1543" s="17">
        <v>30560</v>
      </c>
      <c r="D1543" s="6">
        <v>10.209445585215606</v>
      </c>
      <c r="E1543" s="6"/>
      <c r="F1543" s="6"/>
      <c r="G1543" s="22"/>
      <c r="H1543" s="22"/>
      <c r="I1543" s="22"/>
      <c r="J1543" s="22"/>
      <c r="K1543" s="22"/>
      <c r="L1543" s="22"/>
      <c r="M1543" s="22"/>
      <c r="N1543" s="18"/>
      <c r="O1543" s="18"/>
      <c r="P1543" s="22"/>
      <c r="Q1543" s="22"/>
      <c r="R1543" s="22"/>
      <c r="S1543" s="22"/>
      <c r="T1543" s="22"/>
      <c r="U1543" s="22"/>
      <c r="V1543" s="6"/>
      <c r="W1543" s="6"/>
      <c r="X1543" s="19"/>
      <c r="Y1543" s="6"/>
      <c r="Z1543" s="6"/>
      <c r="AA1543" s="6"/>
      <c r="AB1543" s="6"/>
      <c r="AC1543" s="6"/>
      <c r="AD1543" s="6"/>
      <c r="AE1543" s="6"/>
      <c r="AF1543" s="18"/>
      <c r="AG1543" s="18"/>
      <c r="AH1543" s="18"/>
      <c r="AI1543" s="18"/>
      <c r="AK1543" s="18"/>
      <c r="AL1543" s="18"/>
      <c r="AM1543" s="18"/>
      <c r="AN1543" s="18"/>
      <c r="AO1543" s="6"/>
      <c r="AP1543" s="32"/>
      <c r="AQ1543" s="32"/>
      <c r="AR1543" s="32"/>
      <c r="AS1543" s="32"/>
      <c r="AT1543" s="32"/>
      <c r="AU1543" s="32"/>
      <c r="AV1543" s="32"/>
      <c r="AW1543" s="32"/>
      <c r="AX1543" s="32"/>
      <c r="AY1543" s="32"/>
      <c r="AZ1543" s="32"/>
      <c r="BA1543" s="32"/>
      <c r="BB1543" s="32"/>
      <c r="BC1543" s="32"/>
      <c r="BD1543" s="32"/>
      <c r="BE1543" s="32"/>
      <c r="BF1543" s="32"/>
      <c r="BG1543" s="32"/>
      <c r="BH1543" s="32"/>
      <c r="BI1543" s="32"/>
      <c r="BJ1543" s="6"/>
      <c r="BK1543" s="6">
        <v>10.784079551696777</v>
      </c>
      <c r="BL1543" s="6"/>
      <c r="BO1543" s="15"/>
    </row>
    <row r="1544" spans="1:67">
      <c r="A1544" s="16" t="s">
        <v>133</v>
      </c>
      <c r="B1544" s="16"/>
      <c r="C1544" s="17">
        <v>30926</v>
      </c>
      <c r="D1544" s="6">
        <v>11.211498973305956</v>
      </c>
      <c r="E1544" s="6"/>
      <c r="F1544" s="6"/>
      <c r="G1544" s="22"/>
      <c r="H1544" s="22"/>
      <c r="I1544" s="22"/>
      <c r="J1544" s="22"/>
      <c r="K1544" s="22"/>
      <c r="L1544" s="22"/>
      <c r="M1544" s="22"/>
      <c r="N1544" s="18"/>
      <c r="O1544" s="18"/>
      <c r="P1544" s="22"/>
      <c r="Q1544" s="22"/>
      <c r="R1544" s="22"/>
      <c r="S1544" s="22"/>
      <c r="T1544" s="22"/>
      <c r="U1544" s="22"/>
      <c r="V1544" s="6"/>
      <c r="W1544" s="6"/>
      <c r="X1544" s="19"/>
      <c r="Y1544" s="6"/>
      <c r="Z1544" s="6"/>
      <c r="AA1544" s="6"/>
      <c r="AB1544" s="6"/>
      <c r="AC1544" s="6"/>
      <c r="AD1544" s="6"/>
      <c r="AE1544" s="6"/>
      <c r="AF1544" s="18"/>
      <c r="AG1544" s="18"/>
      <c r="AH1544" s="18"/>
      <c r="AI1544" s="18"/>
      <c r="AK1544" s="18"/>
      <c r="AL1544" s="18"/>
      <c r="AM1544" s="18"/>
      <c r="AN1544" s="18"/>
      <c r="AO1544" s="6"/>
      <c r="AP1544" s="32"/>
      <c r="AQ1544" s="32"/>
      <c r="AR1544" s="32"/>
      <c r="AS1544" s="32"/>
      <c r="AT1544" s="32"/>
      <c r="AU1544" s="32"/>
      <c r="AV1544" s="32"/>
      <c r="AW1544" s="32"/>
      <c r="AX1544" s="32"/>
      <c r="AY1544" s="32"/>
      <c r="AZ1544" s="32"/>
      <c r="BA1544" s="32"/>
      <c r="BB1544" s="32"/>
      <c r="BC1544" s="32"/>
      <c r="BD1544" s="32"/>
      <c r="BE1544" s="32"/>
      <c r="BF1544" s="32"/>
      <c r="BG1544" s="32"/>
      <c r="BH1544" s="32"/>
      <c r="BI1544" s="32"/>
      <c r="BJ1544" s="6"/>
      <c r="BK1544" s="6">
        <v>11.766753196716309</v>
      </c>
      <c r="BL1544" s="6"/>
      <c r="BO1544" s="15"/>
    </row>
    <row r="1545" spans="1:67">
      <c r="A1545" s="16" t="s">
        <v>133</v>
      </c>
      <c r="B1545" s="16"/>
      <c r="C1545" s="17">
        <v>31291</v>
      </c>
      <c r="D1545" s="6">
        <v>12.210814510609172</v>
      </c>
      <c r="E1545" s="6"/>
      <c r="F1545" s="6"/>
      <c r="G1545" s="22"/>
      <c r="H1545" s="22"/>
      <c r="I1545" s="22"/>
      <c r="J1545" s="22"/>
      <c r="K1545" s="22"/>
      <c r="L1545" s="22"/>
      <c r="M1545" s="22"/>
      <c r="N1545" s="18"/>
      <c r="O1545" s="18"/>
      <c r="P1545" s="22"/>
      <c r="Q1545" s="22"/>
      <c r="R1545" s="22"/>
      <c r="S1545" s="22"/>
      <c r="T1545" s="22"/>
      <c r="U1545" s="22"/>
      <c r="V1545" s="6"/>
      <c r="W1545" s="6"/>
      <c r="X1545" s="19"/>
      <c r="Y1545" s="6"/>
      <c r="Z1545" s="6"/>
      <c r="AA1545" s="6"/>
      <c r="AB1545" s="6"/>
      <c r="AC1545" s="6"/>
      <c r="AD1545" s="6"/>
      <c r="AE1545" s="6"/>
      <c r="AF1545" s="18"/>
      <c r="AG1545" s="18"/>
      <c r="AH1545" s="18"/>
      <c r="AI1545" s="18"/>
      <c r="AK1545" s="18"/>
      <c r="AL1545" s="18"/>
      <c r="AM1545" s="18"/>
      <c r="AN1545" s="18"/>
      <c r="AO1545" s="6"/>
      <c r="AP1545" s="32"/>
      <c r="AQ1545" s="32"/>
      <c r="AR1545" s="32"/>
      <c r="AS1545" s="32"/>
      <c r="AT1545" s="32"/>
      <c r="AU1545" s="32"/>
      <c r="AV1545" s="32"/>
      <c r="AW1545" s="32"/>
      <c r="AX1545" s="32"/>
      <c r="AY1545" s="32"/>
      <c r="AZ1545" s="32"/>
      <c r="BA1545" s="32"/>
      <c r="BB1545" s="32"/>
      <c r="BC1545" s="32"/>
      <c r="BD1545" s="32"/>
      <c r="BE1545" s="32"/>
      <c r="BF1545" s="32"/>
      <c r="BG1545" s="32"/>
      <c r="BH1545" s="32"/>
      <c r="BI1545" s="32"/>
      <c r="BJ1545" s="6"/>
      <c r="BK1545" s="6">
        <v>15.27013111114502</v>
      </c>
      <c r="BL1545" s="6"/>
      <c r="BO1545" s="15"/>
    </row>
    <row r="1546" spans="1:67">
      <c r="A1546" s="16" t="s">
        <v>133</v>
      </c>
      <c r="B1546" s="16"/>
      <c r="C1546" s="17">
        <v>31656</v>
      </c>
      <c r="D1546" s="6">
        <v>13.210130047912388</v>
      </c>
      <c r="E1546" s="6"/>
      <c r="F1546" s="6"/>
      <c r="G1546" s="22"/>
      <c r="H1546" s="22"/>
      <c r="I1546" s="22"/>
      <c r="J1546" s="22"/>
      <c r="K1546" s="22"/>
      <c r="L1546" s="22"/>
      <c r="M1546" s="22"/>
      <c r="N1546" s="18"/>
      <c r="O1546" s="18"/>
      <c r="P1546" s="22"/>
      <c r="Q1546" s="22"/>
      <c r="R1546" s="22"/>
      <c r="S1546" s="22"/>
      <c r="T1546" s="22"/>
      <c r="U1546" s="22"/>
      <c r="V1546" s="6"/>
      <c r="W1546" s="6"/>
      <c r="X1546" s="19"/>
      <c r="Y1546" s="6"/>
      <c r="Z1546" s="6"/>
      <c r="AA1546" s="6"/>
      <c r="AB1546" s="6"/>
      <c r="AC1546" s="6"/>
      <c r="AD1546" s="6"/>
      <c r="AE1546" s="6"/>
      <c r="AF1546" s="18"/>
      <c r="AG1546" s="18"/>
      <c r="AH1546" s="18"/>
      <c r="AI1546" s="18"/>
      <c r="AK1546" s="18"/>
      <c r="AL1546" s="18"/>
      <c r="AM1546" s="18"/>
      <c r="AN1546" s="18"/>
      <c r="AO1546" s="6"/>
      <c r="AP1546" s="32"/>
      <c r="AQ1546" s="32"/>
      <c r="AR1546" s="32"/>
      <c r="AS1546" s="32"/>
      <c r="AT1546" s="32"/>
      <c r="AU1546" s="32"/>
      <c r="AV1546" s="32"/>
      <c r="AW1546" s="32"/>
      <c r="AX1546" s="32"/>
      <c r="AY1546" s="32"/>
      <c r="AZ1546" s="32"/>
      <c r="BA1546" s="32"/>
      <c r="BB1546" s="32"/>
      <c r="BC1546" s="32"/>
      <c r="BD1546" s="32"/>
      <c r="BE1546" s="32"/>
      <c r="BF1546" s="32"/>
      <c r="BG1546" s="32"/>
      <c r="BH1546" s="32"/>
      <c r="BI1546" s="32"/>
      <c r="BJ1546" s="6"/>
      <c r="BK1546" s="6">
        <v>14.5810546875</v>
      </c>
      <c r="BL1546" s="6"/>
      <c r="BO1546" s="15"/>
    </row>
    <row r="1547" spans="1:67">
      <c r="A1547" s="16" t="s">
        <v>133</v>
      </c>
      <c r="B1547" s="16"/>
      <c r="C1547" s="17">
        <v>32021</v>
      </c>
      <c r="D1547" s="6">
        <v>14.209445585215606</v>
      </c>
      <c r="E1547" s="6"/>
      <c r="F1547" s="6"/>
      <c r="G1547" s="22"/>
      <c r="H1547" s="22"/>
      <c r="I1547" s="22"/>
      <c r="J1547" s="22"/>
      <c r="K1547" s="22"/>
      <c r="L1547" s="22"/>
      <c r="M1547" s="22"/>
      <c r="N1547" s="18"/>
      <c r="O1547" s="18"/>
      <c r="P1547" s="22"/>
      <c r="Q1547" s="22"/>
      <c r="R1547" s="22"/>
      <c r="S1547" s="22"/>
      <c r="T1547" s="22"/>
      <c r="U1547" s="22"/>
      <c r="V1547" s="6"/>
      <c r="W1547" s="6"/>
      <c r="X1547" s="19"/>
      <c r="Y1547" s="6"/>
      <c r="Z1547" s="6"/>
      <c r="AA1547" s="6"/>
      <c r="AB1547" s="6"/>
      <c r="AC1547" s="6"/>
      <c r="AD1547" s="6"/>
      <c r="AE1547" s="6"/>
      <c r="AF1547" s="18"/>
      <c r="AG1547" s="18"/>
      <c r="AH1547" s="18"/>
      <c r="AI1547" s="18"/>
      <c r="AK1547" s="18"/>
      <c r="AL1547" s="18"/>
      <c r="AM1547" s="18"/>
      <c r="AN1547" s="18"/>
      <c r="AO1547" s="6"/>
      <c r="AP1547" s="32"/>
      <c r="AQ1547" s="32"/>
      <c r="AR1547" s="32"/>
      <c r="AS1547" s="32"/>
      <c r="AT1547" s="32"/>
      <c r="AU1547" s="32"/>
      <c r="AV1547" s="32"/>
      <c r="AW1547" s="32"/>
      <c r="AX1547" s="32"/>
      <c r="AY1547" s="32"/>
      <c r="AZ1547" s="32"/>
      <c r="BA1547" s="32"/>
      <c r="BB1547" s="32"/>
      <c r="BC1547" s="32"/>
      <c r="BD1547" s="32"/>
      <c r="BE1547" s="32"/>
      <c r="BF1547" s="32"/>
      <c r="BG1547" s="32"/>
      <c r="BH1547" s="32"/>
      <c r="BI1547" s="32"/>
      <c r="BJ1547" s="6"/>
      <c r="BK1547" s="6">
        <v>13.966860771179199</v>
      </c>
      <c r="BL1547" s="6"/>
      <c r="BO1547" s="15"/>
    </row>
    <row r="1548" spans="1:67">
      <c r="A1548" s="16" t="s">
        <v>132</v>
      </c>
      <c r="B1548" s="16"/>
      <c r="C1548" s="17">
        <v>30560</v>
      </c>
      <c r="D1548" s="6">
        <v>10.209445585215606</v>
      </c>
      <c r="E1548" s="6"/>
      <c r="F1548" s="6"/>
      <c r="G1548" s="22"/>
      <c r="H1548" s="22"/>
      <c r="I1548" s="22"/>
      <c r="J1548" s="22"/>
      <c r="K1548" s="22"/>
      <c r="L1548" s="22"/>
      <c r="M1548" s="22"/>
      <c r="N1548" s="18"/>
      <c r="O1548" s="18"/>
      <c r="P1548" s="22"/>
      <c r="Q1548" s="22"/>
      <c r="R1548" s="22"/>
      <c r="S1548" s="22"/>
      <c r="T1548" s="22"/>
      <c r="U1548" s="22"/>
      <c r="V1548" s="6"/>
      <c r="W1548" s="6"/>
      <c r="X1548" s="19"/>
      <c r="Y1548" s="6"/>
      <c r="Z1548" s="6"/>
      <c r="AA1548" s="6"/>
      <c r="AB1548" s="6"/>
      <c r="AC1548" s="6"/>
      <c r="AD1548" s="6"/>
      <c r="AE1548" s="6"/>
      <c r="AF1548" s="18"/>
      <c r="AG1548" s="18"/>
      <c r="AH1548" s="18"/>
      <c r="AI1548" s="18"/>
      <c r="AK1548" s="18"/>
      <c r="AL1548" s="18"/>
      <c r="AM1548" s="18"/>
      <c r="AN1548" s="18"/>
      <c r="AO1548" s="6"/>
      <c r="AP1548" s="32"/>
      <c r="AQ1548" s="32"/>
      <c r="AR1548" s="32"/>
      <c r="AS1548" s="32"/>
      <c r="AT1548" s="32"/>
      <c r="AU1548" s="32"/>
      <c r="AV1548" s="32"/>
      <c r="AW1548" s="32"/>
      <c r="AX1548" s="32"/>
      <c r="AY1548" s="32"/>
      <c r="AZ1548" s="32"/>
      <c r="BA1548" s="32"/>
      <c r="BB1548" s="32"/>
      <c r="BC1548" s="32"/>
      <c r="BD1548" s="32"/>
      <c r="BE1548" s="32"/>
      <c r="BF1548" s="32"/>
      <c r="BG1548" s="32"/>
      <c r="BH1548" s="32"/>
      <c r="BI1548" s="32"/>
      <c r="BJ1548" s="6"/>
      <c r="BK1548" s="6">
        <v>12.256301879882812</v>
      </c>
      <c r="BL1548" s="6"/>
      <c r="BO1548" s="15"/>
    </row>
    <row r="1549" spans="1:67">
      <c r="A1549" s="16" t="s">
        <v>132</v>
      </c>
      <c r="B1549" s="16"/>
      <c r="C1549" s="17">
        <v>30926</v>
      </c>
      <c r="D1549" s="6">
        <v>11.211498973305956</v>
      </c>
      <c r="E1549" s="6"/>
      <c r="F1549" s="6"/>
      <c r="G1549" s="22"/>
      <c r="H1549" s="22"/>
      <c r="I1549" s="22"/>
      <c r="J1549" s="22"/>
      <c r="K1549" s="22"/>
      <c r="L1549" s="22"/>
      <c r="M1549" s="22"/>
      <c r="N1549" s="18"/>
      <c r="O1549" s="18"/>
      <c r="P1549" s="22"/>
      <c r="Q1549" s="22"/>
      <c r="R1549" s="22"/>
      <c r="S1549" s="22"/>
      <c r="T1549" s="22"/>
      <c r="U1549" s="22"/>
      <c r="V1549" s="6"/>
      <c r="W1549" s="6"/>
      <c r="X1549" s="19"/>
      <c r="Y1549" s="6"/>
      <c r="Z1549" s="6"/>
      <c r="AA1549" s="6"/>
      <c r="AB1549" s="6"/>
      <c r="AC1549" s="6"/>
      <c r="AD1549" s="6"/>
      <c r="AE1549" s="6"/>
      <c r="AF1549" s="18"/>
      <c r="AG1549" s="18"/>
      <c r="AH1549" s="18"/>
      <c r="AI1549" s="18"/>
      <c r="AK1549" s="18"/>
      <c r="AL1549" s="18"/>
      <c r="AM1549" s="18"/>
      <c r="AN1549" s="18"/>
      <c r="AO1549" s="6"/>
      <c r="AP1549" s="32"/>
      <c r="AQ1549" s="32"/>
      <c r="AR1549" s="32"/>
      <c r="AS1549" s="32"/>
      <c r="AT1549" s="32"/>
      <c r="AU1549" s="32"/>
      <c r="AV1549" s="32"/>
      <c r="AW1549" s="32"/>
      <c r="AX1549" s="32"/>
      <c r="AY1549" s="32"/>
      <c r="AZ1549" s="32"/>
      <c r="BA1549" s="32"/>
      <c r="BB1549" s="32"/>
      <c r="BC1549" s="32"/>
      <c r="BD1549" s="32"/>
      <c r="BE1549" s="32"/>
      <c r="BF1549" s="32"/>
      <c r="BG1549" s="32"/>
      <c r="BH1549" s="32"/>
      <c r="BI1549" s="32"/>
      <c r="BJ1549" s="6"/>
      <c r="BK1549" s="6">
        <v>17.856012344360352</v>
      </c>
      <c r="BL1549" s="6"/>
      <c r="BO1549" s="15"/>
    </row>
    <row r="1550" spans="1:67">
      <c r="A1550" s="16" t="s">
        <v>132</v>
      </c>
      <c r="B1550" s="16"/>
      <c r="C1550" s="17">
        <v>31291</v>
      </c>
      <c r="D1550" s="6">
        <v>12.210814510609172</v>
      </c>
      <c r="E1550" s="6"/>
      <c r="F1550" s="6"/>
      <c r="G1550" s="22"/>
      <c r="H1550" s="22"/>
      <c r="I1550" s="22"/>
      <c r="J1550" s="22"/>
      <c r="K1550" s="22"/>
      <c r="L1550" s="22"/>
      <c r="M1550" s="22"/>
      <c r="N1550" s="18"/>
      <c r="O1550" s="18"/>
      <c r="P1550" s="22"/>
      <c r="Q1550" s="22"/>
      <c r="R1550" s="22"/>
      <c r="S1550" s="22"/>
      <c r="T1550" s="22"/>
      <c r="U1550" s="22"/>
      <c r="V1550" s="6"/>
      <c r="W1550" s="6"/>
      <c r="X1550" s="19"/>
      <c r="Y1550" s="6"/>
      <c r="Z1550" s="6"/>
      <c r="AA1550" s="6"/>
      <c r="AB1550" s="6"/>
      <c r="AC1550" s="6"/>
      <c r="AD1550" s="6"/>
      <c r="AE1550" s="6"/>
      <c r="AF1550" s="18"/>
      <c r="AG1550" s="18"/>
      <c r="AH1550" s="18"/>
      <c r="AI1550" s="18"/>
      <c r="AK1550" s="18"/>
      <c r="AL1550" s="18"/>
      <c r="AM1550" s="18"/>
      <c r="AN1550" s="18"/>
      <c r="AO1550" s="6"/>
      <c r="AP1550" s="32"/>
      <c r="AQ1550" s="32"/>
      <c r="AR1550" s="32"/>
      <c r="AS1550" s="32"/>
      <c r="AT1550" s="32"/>
      <c r="AU1550" s="32"/>
      <c r="AV1550" s="32"/>
      <c r="AW1550" s="32"/>
      <c r="AX1550" s="32"/>
      <c r="AY1550" s="32"/>
      <c r="AZ1550" s="32"/>
      <c r="BA1550" s="32"/>
      <c r="BB1550" s="32"/>
      <c r="BC1550" s="32"/>
      <c r="BD1550" s="32"/>
      <c r="BE1550" s="32"/>
      <c r="BF1550" s="32"/>
      <c r="BG1550" s="32"/>
      <c r="BH1550" s="32"/>
      <c r="BI1550" s="32"/>
      <c r="BJ1550" s="6"/>
      <c r="BK1550" s="6">
        <v>13.698080062866211</v>
      </c>
      <c r="BL1550" s="6"/>
      <c r="BO1550" s="15"/>
    </row>
    <row r="1551" spans="1:67">
      <c r="A1551" s="16" t="s">
        <v>132</v>
      </c>
      <c r="B1551" s="16"/>
      <c r="C1551" s="17">
        <v>31656</v>
      </c>
      <c r="D1551" s="6">
        <v>13.210130047912388</v>
      </c>
      <c r="E1551" s="6"/>
      <c r="F1551" s="6"/>
      <c r="G1551" s="22"/>
      <c r="H1551" s="22"/>
      <c r="I1551" s="22"/>
      <c r="J1551" s="22"/>
      <c r="K1551" s="22"/>
      <c r="L1551" s="22"/>
      <c r="M1551" s="22"/>
      <c r="N1551" s="18"/>
      <c r="O1551" s="18"/>
      <c r="P1551" s="22"/>
      <c r="Q1551" s="22"/>
      <c r="R1551" s="22"/>
      <c r="S1551" s="22"/>
      <c r="T1551" s="22"/>
      <c r="U1551" s="22"/>
      <c r="V1551" s="6"/>
      <c r="W1551" s="6"/>
      <c r="X1551" s="19"/>
      <c r="Y1551" s="6"/>
      <c r="Z1551" s="6"/>
      <c r="AA1551" s="6"/>
      <c r="AB1551" s="6"/>
      <c r="AC1551" s="6"/>
      <c r="AD1551" s="6"/>
      <c r="AE1551" s="6"/>
      <c r="AF1551" s="18"/>
      <c r="AG1551" s="18"/>
      <c r="AH1551" s="18"/>
      <c r="AI1551" s="18"/>
      <c r="AK1551" s="18"/>
      <c r="AL1551" s="18"/>
      <c r="AM1551" s="18"/>
      <c r="AN1551" s="18"/>
      <c r="AO1551" s="6"/>
      <c r="AP1551" s="32"/>
      <c r="AQ1551" s="32"/>
      <c r="AR1551" s="32"/>
      <c r="AS1551" s="32"/>
      <c r="AT1551" s="32"/>
      <c r="AU1551" s="32"/>
      <c r="AV1551" s="32"/>
      <c r="AW1551" s="32"/>
      <c r="AX1551" s="32"/>
      <c r="AY1551" s="32"/>
      <c r="AZ1551" s="32"/>
      <c r="BA1551" s="32"/>
      <c r="BB1551" s="32"/>
      <c r="BC1551" s="32"/>
      <c r="BD1551" s="32"/>
      <c r="BE1551" s="32"/>
      <c r="BF1551" s="32"/>
      <c r="BG1551" s="32"/>
      <c r="BH1551" s="32"/>
      <c r="BI1551" s="32"/>
      <c r="BJ1551" s="6"/>
      <c r="BK1551" s="6">
        <v>10.962712287902832</v>
      </c>
      <c r="BL1551" s="6"/>
      <c r="BO1551" s="15"/>
    </row>
    <row r="1552" spans="1:67">
      <c r="A1552" s="16" t="s">
        <v>132</v>
      </c>
      <c r="B1552" s="16"/>
      <c r="C1552" s="17">
        <v>32021</v>
      </c>
      <c r="D1552" s="6">
        <v>14.209445585215606</v>
      </c>
      <c r="E1552" s="6"/>
      <c r="F1552" s="6"/>
      <c r="G1552" s="22"/>
      <c r="H1552" s="22"/>
      <c r="I1552" s="22"/>
      <c r="J1552" s="22"/>
      <c r="K1552" s="22"/>
      <c r="L1552" s="22"/>
      <c r="M1552" s="22"/>
      <c r="N1552" s="18"/>
      <c r="O1552" s="18"/>
      <c r="P1552" s="22"/>
      <c r="Q1552" s="22"/>
      <c r="R1552" s="22"/>
      <c r="S1552" s="22"/>
      <c r="T1552" s="22"/>
      <c r="U1552" s="22"/>
      <c r="V1552" s="6"/>
      <c r="W1552" s="6"/>
      <c r="X1552" s="19"/>
      <c r="Y1552" s="6"/>
      <c r="Z1552" s="6"/>
      <c r="AA1552" s="6"/>
      <c r="AB1552" s="6"/>
      <c r="AC1552" s="6"/>
      <c r="AD1552" s="6"/>
      <c r="AE1552" s="6"/>
      <c r="AF1552" s="18"/>
      <c r="AG1552" s="18"/>
      <c r="AH1552" s="18"/>
      <c r="AI1552" s="18"/>
      <c r="AK1552" s="18"/>
      <c r="AL1552" s="18"/>
      <c r="AM1552" s="18"/>
      <c r="AN1552" s="18"/>
      <c r="AO1552" s="6"/>
      <c r="AP1552" s="32"/>
      <c r="AQ1552" s="32"/>
      <c r="AR1552" s="32"/>
      <c r="AS1552" s="32"/>
      <c r="AT1552" s="32"/>
      <c r="AU1552" s="32"/>
      <c r="AV1552" s="32"/>
      <c r="AW1552" s="32"/>
      <c r="AX1552" s="32"/>
      <c r="AY1552" s="32"/>
      <c r="AZ1552" s="32"/>
      <c r="BA1552" s="32"/>
      <c r="BB1552" s="32"/>
      <c r="BC1552" s="32"/>
      <c r="BD1552" s="32"/>
      <c r="BE1552" s="32"/>
      <c r="BF1552" s="32"/>
      <c r="BG1552" s="32"/>
      <c r="BH1552" s="32"/>
      <c r="BI1552" s="32"/>
      <c r="BJ1552" s="6"/>
      <c r="BK1552" s="6">
        <v>9.9991397857666016</v>
      </c>
      <c r="BL1552" s="6"/>
      <c r="BO1552" s="15"/>
    </row>
    <row r="1553" spans="1:67">
      <c r="A1553" s="16" t="s">
        <v>106</v>
      </c>
      <c r="B1553" s="16"/>
      <c r="C1553" s="17">
        <v>30560</v>
      </c>
      <c r="D1553" s="6">
        <v>10.209445585215606</v>
      </c>
      <c r="E1553" s="6"/>
      <c r="F1553" s="6"/>
      <c r="G1553" s="22"/>
      <c r="H1553" s="22"/>
      <c r="I1553" s="22"/>
      <c r="J1553" s="22"/>
      <c r="K1553" s="22"/>
      <c r="L1553" s="22"/>
      <c r="M1553" s="22"/>
      <c r="N1553" s="18"/>
      <c r="O1553" s="18"/>
      <c r="P1553" s="22"/>
      <c r="Q1553" s="22"/>
      <c r="R1553" s="22"/>
      <c r="S1553" s="22"/>
      <c r="T1553" s="22"/>
      <c r="U1553" s="22"/>
      <c r="V1553" s="6"/>
      <c r="W1553" s="6"/>
      <c r="X1553" s="19"/>
      <c r="Y1553" s="6"/>
      <c r="Z1553" s="6"/>
      <c r="AA1553" s="6"/>
      <c r="AB1553" s="6"/>
      <c r="AC1553" s="6"/>
      <c r="AD1553" s="6"/>
      <c r="AE1553" s="6"/>
      <c r="AF1553" s="18"/>
      <c r="AG1553" s="18"/>
      <c r="AH1553" s="18"/>
      <c r="AI1553" s="18"/>
      <c r="AK1553" s="18"/>
      <c r="AL1553" s="18"/>
      <c r="AM1553" s="18"/>
      <c r="AN1553" s="18"/>
      <c r="AO1553" s="6"/>
      <c r="AP1553" s="32"/>
      <c r="AQ1553" s="32"/>
      <c r="AR1553" s="32"/>
      <c r="AS1553" s="32"/>
      <c r="AT1553" s="32"/>
      <c r="AU1553" s="32"/>
      <c r="AV1553" s="32"/>
      <c r="AW1553" s="32"/>
      <c r="AX1553" s="32"/>
      <c r="AY1553" s="32"/>
      <c r="AZ1553" s="32"/>
      <c r="BA1553" s="32"/>
      <c r="BB1553" s="32"/>
      <c r="BC1553" s="32"/>
      <c r="BD1553" s="32"/>
      <c r="BE1553" s="32"/>
      <c r="BF1553" s="32"/>
      <c r="BG1553" s="32"/>
      <c r="BH1553" s="32"/>
      <c r="BI1553" s="32"/>
      <c r="BJ1553" s="6"/>
      <c r="BK1553" s="6">
        <v>10.734169006347656</v>
      </c>
      <c r="BL1553" s="6"/>
      <c r="BO1553" s="15"/>
    </row>
    <row r="1554" spans="1:67">
      <c r="A1554" s="16" t="s">
        <v>106</v>
      </c>
      <c r="B1554" s="16"/>
      <c r="C1554" s="17">
        <v>30926</v>
      </c>
      <c r="D1554" s="6">
        <v>11.211498973305956</v>
      </c>
      <c r="E1554" s="6"/>
      <c r="F1554" s="6"/>
      <c r="G1554" s="22"/>
      <c r="H1554" s="22"/>
      <c r="I1554" s="22"/>
      <c r="J1554" s="22"/>
      <c r="K1554" s="22"/>
      <c r="L1554" s="22"/>
      <c r="M1554" s="22"/>
      <c r="N1554" s="18"/>
      <c r="O1554" s="18"/>
      <c r="P1554" s="22"/>
      <c r="Q1554" s="22"/>
      <c r="R1554" s="22"/>
      <c r="S1554" s="22"/>
      <c r="T1554" s="22"/>
      <c r="U1554" s="22"/>
      <c r="V1554" s="6"/>
      <c r="W1554" s="6"/>
      <c r="X1554" s="19"/>
      <c r="Y1554" s="6"/>
      <c r="Z1554" s="6"/>
      <c r="AA1554" s="6"/>
      <c r="AB1554" s="6"/>
      <c r="AC1554" s="6"/>
      <c r="AD1554" s="6"/>
      <c r="AE1554" s="6"/>
      <c r="AF1554" s="18"/>
      <c r="AG1554" s="18"/>
      <c r="AH1554" s="18"/>
      <c r="AI1554" s="18"/>
      <c r="AK1554" s="18"/>
      <c r="AL1554" s="18"/>
      <c r="AM1554" s="18"/>
      <c r="AN1554" s="18"/>
      <c r="AO1554" s="6"/>
      <c r="AP1554" s="32"/>
      <c r="AQ1554" s="32"/>
      <c r="AR1554" s="32"/>
      <c r="AS1554" s="32"/>
      <c r="AT1554" s="32"/>
      <c r="AU1554" s="32"/>
      <c r="AV1554" s="32"/>
      <c r="AW1554" s="32"/>
      <c r="AX1554" s="32"/>
      <c r="AY1554" s="32"/>
      <c r="AZ1554" s="32"/>
      <c r="BA1554" s="32"/>
      <c r="BB1554" s="32"/>
      <c r="BC1554" s="32"/>
      <c r="BD1554" s="32"/>
      <c r="BE1554" s="32"/>
      <c r="BF1554" s="32"/>
      <c r="BG1554" s="32"/>
      <c r="BH1554" s="32"/>
      <c r="BI1554" s="32"/>
      <c r="BJ1554" s="6"/>
      <c r="BK1554" s="6">
        <v>10.169754981994629</v>
      </c>
      <c r="BL1554" s="6"/>
      <c r="BO1554" s="15"/>
    </row>
    <row r="1555" spans="1:67">
      <c r="A1555" s="16" t="s">
        <v>106</v>
      </c>
      <c r="B1555" s="16"/>
      <c r="C1555" s="17">
        <v>31291</v>
      </c>
      <c r="D1555" s="6">
        <v>12.210814510609172</v>
      </c>
      <c r="E1555" s="6"/>
      <c r="F1555" s="6"/>
      <c r="G1555" s="22"/>
      <c r="H1555" s="22"/>
      <c r="I1555" s="22"/>
      <c r="J1555" s="22"/>
      <c r="K1555" s="22"/>
      <c r="L1555" s="22"/>
      <c r="M1555" s="22"/>
      <c r="N1555" s="18"/>
      <c r="O1555" s="18"/>
      <c r="P1555" s="22"/>
      <c r="Q1555" s="22"/>
      <c r="R1555" s="22"/>
      <c r="S1555" s="22"/>
      <c r="T1555" s="22"/>
      <c r="U1555" s="22"/>
      <c r="V1555" s="6"/>
      <c r="W1555" s="6"/>
      <c r="X1555" s="19"/>
      <c r="Y1555" s="6"/>
      <c r="Z1555" s="6"/>
      <c r="AA1555" s="6"/>
      <c r="AB1555" s="6"/>
      <c r="AC1555" s="6"/>
      <c r="AD1555" s="6"/>
      <c r="AE1555" s="6"/>
      <c r="AF1555" s="18"/>
      <c r="AG1555" s="18"/>
      <c r="AH1555" s="18"/>
      <c r="AI1555" s="18"/>
      <c r="AK1555" s="18"/>
      <c r="AL1555" s="18"/>
      <c r="AM1555" s="18"/>
      <c r="AN1555" s="18"/>
      <c r="AO1555" s="6"/>
      <c r="AP1555" s="32"/>
      <c r="AQ1555" s="32"/>
      <c r="AR1555" s="32"/>
      <c r="AS1555" s="32"/>
      <c r="AT1555" s="32"/>
      <c r="AU1555" s="32"/>
      <c r="AV1555" s="32"/>
      <c r="AW1555" s="32"/>
      <c r="AX1555" s="32"/>
      <c r="AY1555" s="32"/>
      <c r="AZ1555" s="32"/>
      <c r="BA1555" s="32"/>
      <c r="BB1555" s="32"/>
      <c r="BC1555" s="32"/>
      <c r="BD1555" s="32"/>
      <c r="BE1555" s="32"/>
      <c r="BF1555" s="32"/>
      <c r="BG1555" s="32"/>
      <c r="BH1555" s="32"/>
      <c r="BI1555" s="32"/>
      <c r="BJ1555" s="6"/>
      <c r="BK1555" s="6">
        <v>9.0063009262084961</v>
      </c>
      <c r="BL1555" s="6"/>
      <c r="BO1555" s="15"/>
    </row>
    <row r="1556" spans="1:67">
      <c r="A1556" s="16" t="s">
        <v>106</v>
      </c>
      <c r="B1556" s="16"/>
      <c r="C1556" s="17">
        <v>31656</v>
      </c>
      <c r="D1556" s="6">
        <v>13.210130047912388</v>
      </c>
      <c r="E1556" s="6"/>
      <c r="F1556" s="6"/>
      <c r="G1556" s="22"/>
      <c r="H1556" s="22"/>
      <c r="I1556" s="22"/>
      <c r="J1556" s="22"/>
      <c r="K1556" s="22"/>
      <c r="L1556" s="22"/>
      <c r="M1556" s="22"/>
      <c r="N1556" s="18"/>
      <c r="O1556" s="18"/>
      <c r="P1556" s="22"/>
      <c r="Q1556" s="22"/>
      <c r="R1556" s="22"/>
      <c r="S1556" s="22"/>
      <c r="T1556" s="22"/>
      <c r="U1556" s="22"/>
      <c r="V1556" s="6"/>
      <c r="W1556" s="6"/>
      <c r="X1556" s="19"/>
      <c r="Y1556" s="6"/>
      <c r="Z1556" s="6"/>
      <c r="AA1556" s="6"/>
      <c r="AB1556" s="6"/>
      <c r="AC1556" s="6"/>
      <c r="AD1556" s="6"/>
      <c r="AE1556" s="6"/>
      <c r="AF1556" s="18"/>
      <c r="AG1556" s="18"/>
      <c r="AH1556" s="18"/>
      <c r="AI1556" s="18"/>
      <c r="AK1556" s="18"/>
      <c r="AL1556" s="18"/>
      <c r="AM1556" s="18"/>
      <c r="AN1556" s="18"/>
      <c r="AO1556" s="6"/>
      <c r="AP1556" s="32"/>
      <c r="AQ1556" s="32"/>
      <c r="AR1556" s="32"/>
      <c r="AS1556" s="32"/>
      <c r="AT1556" s="32"/>
      <c r="AU1556" s="32"/>
      <c r="AV1556" s="32"/>
      <c r="AW1556" s="32"/>
      <c r="AX1556" s="32"/>
      <c r="AY1556" s="32"/>
      <c r="AZ1556" s="32"/>
      <c r="BA1556" s="32"/>
      <c r="BB1556" s="32"/>
      <c r="BC1556" s="32"/>
      <c r="BD1556" s="32"/>
      <c r="BE1556" s="32"/>
      <c r="BF1556" s="32"/>
      <c r="BG1556" s="32"/>
      <c r="BH1556" s="32"/>
      <c r="BI1556" s="32"/>
      <c r="BJ1556" s="6"/>
      <c r="BK1556" s="6">
        <v>8.1442193984985352</v>
      </c>
      <c r="BL1556" s="6"/>
      <c r="BO1556" s="15"/>
    </row>
    <row r="1557" spans="1:67">
      <c r="A1557" s="16" t="s">
        <v>106</v>
      </c>
      <c r="B1557" s="16"/>
      <c r="C1557" s="17">
        <v>32021</v>
      </c>
      <c r="D1557" s="6">
        <v>14.209445585215606</v>
      </c>
      <c r="E1557" s="6"/>
      <c r="F1557" s="6"/>
      <c r="G1557" s="22"/>
      <c r="H1557" s="22"/>
      <c r="I1557" s="22"/>
      <c r="J1557" s="22"/>
      <c r="K1557" s="22"/>
      <c r="L1557" s="22"/>
      <c r="M1557" s="22"/>
      <c r="N1557" s="18"/>
      <c r="O1557" s="18"/>
      <c r="P1557" s="22"/>
      <c r="Q1557" s="22"/>
      <c r="R1557" s="22"/>
      <c r="S1557" s="22"/>
      <c r="T1557" s="22"/>
      <c r="U1557" s="22"/>
      <c r="V1557" s="6"/>
      <c r="W1557" s="6"/>
      <c r="X1557" s="19"/>
      <c r="Y1557" s="6"/>
      <c r="Z1557" s="6"/>
      <c r="AA1557" s="6"/>
      <c r="AB1557" s="6"/>
      <c r="AC1557" s="6"/>
      <c r="AD1557" s="6"/>
      <c r="AE1557" s="6"/>
      <c r="AF1557" s="18"/>
      <c r="AG1557" s="18"/>
      <c r="AH1557" s="18"/>
      <c r="AI1557" s="18"/>
      <c r="AK1557" s="18"/>
      <c r="AL1557" s="18"/>
      <c r="AM1557" s="18"/>
      <c r="AN1557" s="18"/>
      <c r="AO1557" s="6"/>
      <c r="AP1557" s="32"/>
      <c r="AQ1557" s="32"/>
      <c r="AR1557" s="32"/>
      <c r="AS1557" s="32"/>
      <c r="AT1557" s="32"/>
      <c r="AU1557" s="32"/>
      <c r="AV1557" s="32"/>
      <c r="AW1557" s="32"/>
      <c r="AX1557" s="32"/>
      <c r="AY1557" s="32"/>
      <c r="AZ1557" s="32"/>
      <c r="BA1557" s="32"/>
      <c r="BB1557" s="32"/>
      <c r="BC1557" s="32"/>
      <c r="BD1557" s="32"/>
      <c r="BE1557" s="32"/>
      <c r="BF1557" s="32"/>
      <c r="BG1557" s="32"/>
      <c r="BH1557" s="32"/>
      <c r="BI1557" s="32"/>
      <c r="BJ1557" s="6"/>
      <c r="BK1557" s="6">
        <v>7.1558132171630859</v>
      </c>
      <c r="BL1557" s="6"/>
      <c r="BO1557" s="15"/>
    </row>
    <row r="1558" spans="1:67">
      <c r="A1558" s="16" t="s">
        <v>129</v>
      </c>
      <c r="B1558" s="16"/>
      <c r="C1558" s="17">
        <v>30560</v>
      </c>
      <c r="D1558" s="6">
        <v>10.209445585215606</v>
      </c>
      <c r="E1558" s="6"/>
      <c r="F1558" s="6"/>
      <c r="G1558" s="22"/>
      <c r="H1558" s="22"/>
      <c r="I1558" s="22"/>
      <c r="J1558" s="22"/>
      <c r="K1558" s="22"/>
      <c r="L1558" s="22"/>
      <c r="M1558" s="22"/>
      <c r="N1558" s="18"/>
      <c r="O1558" s="18"/>
      <c r="P1558" s="22"/>
      <c r="Q1558" s="22"/>
      <c r="R1558" s="22"/>
      <c r="S1558" s="22"/>
      <c r="T1558" s="22"/>
      <c r="U1558" s="22"/>
      <c r="V1558" s="6"/>
      <c r="W1558" s="6"/>
      <c r="X1558" s="19"/>
      <c r="Y1558" s="6"/>
      <c r="Z1558" s="6"/>
      <c r="AA1558" s="6"/>
      <c r="AB1558" s="6"/>
      <c r="AC1558" s="6"/>
      <c r="AD1558" s="6"/>
      <c r="AE1558" s="6"/>
      <c r="AF1558" s="18"/>
      <c r="AG1558" s="18"/>
      <c r="AH1558" s="18"/>
      <c r="AI1558" s="18"/>
      <c r="AK1558" s="18"/>
      <c r="AL1558" s="18"/>
      <c r="AM1558" s="18"/>
      <c r="AN1558" s="18"/>
      <c r="AO1558" s="6"/>
      <c r="AP1558" s="32"/>
      <c r="AQ1558" s="32"/>
      <c r="AR1558" s="32"/>
      <c r="AS1558" s="32"/>
      <c r="AT1558" s="32"/>
      <c r="AU1558" s="32"/>
      <c r="AV1558" s="32"/>
      <c r="AW1558" s="32"/>
      <c r="AX1558" s="32"/>
      <c r="AY1558" s="32"/>
      <c r="AZ1558" s="32"/>
      <c r="BA1558" s="32"/>
      <c r="BB1558" s="32"/>
      <c r="BC1558" s="32"/>
      <c r="BD1558" s="32"/>
      <c r="BE1558" s="32"/>
      <c r="BF1558" s="32"/>
      <c r="BG1558" s="32"/>
      <c r="BH1558" s="32"/>
      <c r="BI1558" s="32"/>
      <c r="BJ1558" s="6"/>
      <c r="BK1558" s="6">
        <v>10.760665893554688</v>
      </c>
      <c r="BL1558" s="6"/>
      <c r="BO1558" s="15"/>
    </row>
    <row r="1559" spans="1:67">
      <c r="A1559" s="16" t="s">
        <v>129</v>
      </c>
      <c r="B1559" s="16"/>
      <c r="C1559" s="17">
        <v>30926</v>
      </c>
      <c r="D1559" s="6">
        <v>11.211498973305956</v>
      </c>
      <c r="E1559" s="6"/>
      <c r="F1559" s="6"/>
      <c r="G1559" s="22"/>
      <c r="H1559" s="22"/>
      <c r="I1559" s="22"/>
      <c r="J1559" s="22"/>
      <c r="K1559" s="22"/>
      <c r="L1559" s="22"/>
      <c r="M1559" s="22"/>
      <c r="N1559" s="18"/>
      <c r="O1559" s="18"/>
      <c r="P1559" s="22"/>
      <c r="Q1559" s="22"/>
      <c r="R1559" s="22"/>
      <c r="S1559" s="22"/>
      <c r="T1559" s="22"/>
      <c r="U1559" s="22"/>
      <c r="V1559" s="6"/>
      <c r="W1559" s="6"/>
      <c r="X1559" s="19"/>
      <c r="Y1559" s="6"/>
      <c r="Z1559" s="6"/>
      <c r="AA1559" s="6"/>
      <c r="AB1559" s="6"/>
      <c r="AC1559" s="6"/>
      <c r="AD1559" s="6"/>
      <c r="AE1559" s="6"/>
      <c r="AF1559" s="18"/>
      <c r="AG1559" s="18"/>
      <c r="AH1559" s="18"/>
      <c r="AI1559" s="18"/>
      <c r="AK1559" s="18"/>
      <c r="AL1559" s="18"/>
      <c r="AM1559" s="18"/>
      <c r="AN1559" s="18"/>
      <c r="AO1559" s="6"/>
      <c r="AP1559" s="32"/>
      <c r="AQ1559" s="32"/>
      <c r="AR1559" s="32"/>
      <c r="AS1559" s="32"/>
      <c r="AT1559" s="32"/>
      <c r="AU1559" s="32"/>
      <c r="AV1559" s="32"/>
      <c r="AW1559" s="32"/>
      <c r="AX1559" s="32"/>
      <c r="AY1559" s="32"/>
      <c r="AZ1559" s="32"/>
      <c r="BA1559" s="32"/>
      <c r="BB1559" s="32"/>
      <c r="BC1559" s="32"/>
      <c r="BD1559" s="32"/>
      <c r="BE1559" s="32"/>
      <c r="BF1559" s="32"/>
      <c r="BG1559" s="32"/>
      <c r="BH1559" s="32"/>
      <c r="BI1559" s="32"/>
      <c r="BJ1559" s="6"/>
      <c r="BK1559" s="6">
        <v>10.818706512451172</v>
      </c>
      <c r="BL1559" s="6"/>
      <c r="BO1559" s="15"/>
    </row>
    <row r="1560" spans="1:67">
      <c r="A1560" s="16" t="s">
        <v>129</v>
      </c>
      <c r="B1560" s="16"/>
      <c r="C1560" s="17">
        <v>31291</v>
      </c>
      <c r="D1560" s="6">
        <v>12.210814510609172</v>
      </c>
      <c r="E1560" s="6"/>
      <c r="F1560" s="6"/>
      <c r="G1560" s="22"/>
      <c r="H1560" s="22"/>
      <c r="I1560" s="22"/>
      <c r="J1560" s="22"/>
      <c r="K1560" s="22"/>
      <c r="L1560" s="22"/>
      <c r="M1560" s="22"/>
      <c r="N1560" s="18"/>
      <c r="O1560" s="18"/>
      <c r="P1560" s="22"/>
      <c r="Q1560" s="22"/>
      <c r="R1560" s="22"/>
      <c r="S1560" s="22"/>
      <c r="T1560" s="22"/>
      <c r="U1560" s="22"/>
      <c r="V1560" s="6"/>
      <c r="W1560" s="6"/>
      <c r="X1560" s="19"/>
      <c r="Y1560" s="6"/>
      <c r="Z1560" s="6"/>
      <c r="AA1560" s="6"/>
      <c r="AB1560" s="6"/>
      <c r="AC1560" s="6"/>
      <c r="AD1560" s="6"/>
      <c r="AE1560" s="6"/>
      <c r="AF1560" s="18"/>
      <c r="AG1560" s="18"/>
      <c r="AH1560" s="18"/>
      <c r="AI1560" s="18"/>
      <c r="AK1560" s="18"/>
      <c r="AL1560" s="18"/>
      <c r="AM1560" s="18"/>
      <c r="AN1560" s="18"/>
      <c r="AO1560" s="6"/>
      <c r="AP1560" s="32"/>
      <c r="AQ1560" s="32"/>
      <c r="AR1560" s="32"/>
      <c r="AS1560" s="32"/>
      <c r="AT1560" s="32"/>
      <c r="AU1560" s="32"/>
      <c r="AV1560" s="32"/>
      <c r="AW1560" s="32"/>
      <c r="AX1560" s="32"/>
      <c r="AY1560" s="32"/>
      <c r="AZ1560" s="32"/>
      <c r="BA1560" s="32"/>
      <c r="BB1560" s="32"/>
      <c r="BC1560" s="32"/>
      <c r="BD1560" s="32"/>
      <c r="BE1560" s="32"/>
      <c r="BF1560" s="32"/>
      <c r="BG1560" s="32"/>
      <c r="BH1560" s="32"/>
      <c r="BI1560" s="32"/>
      <c r="BJ1560" s="6"/>
      <c r="BK1560" s="6">
        <v>10.603549003601074</v>
      </c>
      <c r="BL1560" s="6"/>
      <c r="BO1560" s="15"/>
    </row>
    <row r="1561" spans="1:67">
      <c r="A1561" s="16" t="s">
        <v>129</v>
      </c>
      <c r="B1561" s="16"/>
      <c r="C1561" s="17">
        <v>31656</v>
      </c>
      <c r="D1561" s="6">
        <v>13.210130047912388</v>
      </c>
      <c r="E1561" s="6"/>
      <c r="F1561" s="6"/>
      <c r="G1561" s="22"/>
      <c r="H1561" s="22"/>
      <c r="I1561" s="22"/>
      <c r="J1561" s="22"/>
      <c r="K1561" s="22"/>
      <c r="L1561" s="22"/>
      <c r="M1561" s="22"/>
      <c r="N1561" s="18"/>
      <c r="O1561" s="18"/>
      <c r="P1561" s="22"/>
      <c r="Q1561" s="22"/>
      <c r="R1561" s="22"/>
      <c r="S1561" s="22"/>
      <c r="T1561" s="22"/>
      <c r="U1561" s="22"/>
      <c r="V1561" s="6"/>
      <c r="W1561" s="6"/>
      <c r="X1561" s="19"/>
      <c r="Y1561" s="6"/>
      <c r="Z1561" s="6"/>
      <c r="AA1561" s="6"/>
      <c r="AB1561" s="6"/>
      <c r="AC1561" s="6"/>
      <c r="AD1561" s="6"/>
      <c r="AE1561" s="6"/>
      <c r="AF1561" s="18"/>
      <c r="AG1561" s="18"/>
      <c r="AH1561" s="18"/>
      <c r="AI1561" s="18"/>
      <c r="AK1561" s="18"/>
      <c r="AL1561" s="18"/>
      <c r="AM1561" s="18"/>
      <c r="AN1561" s="18"/>
      <c r="AO1561" s="6"/>
      <c r="AP1561" s="32"/>
      <c r="AQ1561" s="32"/>
      <c r="AR1561" s="32"/>
      <c r="AS1561" s="32"/>
      <c r="AT1561" s="32"/>
      <c r="AU1561" s="32"/>
      <c r="AV1561" s="32"/>
      <c r="AW1561" s="32"/>
      <c r="AX1561" s="32"/>
      <c r="AY1561" s="32"/>
      <c r="AZ1561" s="32"/>
      <c r="BA1561" s="32"/>
      <c r="BB1561" s="32"/>
      <c r="BC1561" s="32"/>
      <c r="BD1561" s="32"/>
      <c r="BE1561" s="32"/>
      <c r="BF1561" s="32"/>
      <c r="BG1561" s="32"/>
      <c r="BH1561" s="32"/>
      <c r="BI1561" s="32"/>
      <c r="BJ1561" s="6"/>
      <c r="BK1561" s="6">
        <v>10.440191268920898</v>
      </c>
      <c r="BL1561" s="6"/>
      <c r="BO1561" s="15"/>
    </row>
    <row r="1562" spans="1:67">
      <c r="A1562" s="16" t="s">
        <v>129</v>
      </c>
      <c r="B1562" s="16"/>
      <c r="C1562" s="17">
        <v>32021</v>
      </c>
      <c r="D1562" s="6">
        <v>14.209445585215606</v>
      </c>
      <c r="E1562" s="6"/>
      <c r="F1562" s="6"/>
      <c r="G1562" s="22"/>
      <c r="H1562" s="22"/>
      <c r="I1562" s="22"/>
      <c r="J1562" s="22"/>
      <c r="K1562" s="22"/>
      <c r="L1562" s="22"/>
      <c r="M1562" s="22"/>
      <c r="N1562" s="18"/>
      <c r="O1562" s="18"/>
      <c r="P1562" s="22"/>
      <c r="Q1562" s="22"/>
      <c r="R1562" s="22"/>
      <c r="S1562" s="22"/>
      <c r="T1562" s="22"/>
      <c r="U1562" s="22"/>
      <c r="V1562" s="6"/>
      <c r="W1562" s="6"/>
      <c r="X1562" s="19"/>
      <c r="Y1562" s="6"/>
      <c r="Z1562" s="6"/>
      <c r="AA1562" s="6"/>
      <c r="AB1562" s="6"/>
      <c r="AC1562" s="6"/>
      <c r="AD1562" s="6"/>
      <c r="AE1562" s="6"/>
      <c r="AF1562" s="18"/>
      <c r="AG1562" s="18"/>
      <c r="AH1562" s="18"/>
      <c r="AI1562" s="18"/>
      <c r="AK1562" s="18"/>
      <c r="AL1562" s="18"/>
      <c r="AM1562" s="18"/>
      <c r="AN1562" s="18"/>
      <c r="AO1562" s="6"/>
      <c r="AP1562" s="32"/>
      <c r="AQ1562" s="32"/>
      <c r="AR1562" s="32"/>
      <c r="AS1562" s="32"/>
      <c r="AT1562" s="32"/>
      <c r="AU1562" s="32"/>
      <c r="AV1562" s="32"/>
      <c r="AW1562" s="32"/>
      <c r="AX1562" s="32"/>
      <c r="AY1562" s="32"/>
      <c r="AZ1562" s="32"/>
      <c r="BA1562" s="32"/>
      <c r="BB1562" s="32"/>
      <c r="BC1562" s="32"/>
      <c r="BD1562" s="32"/>
      <c r="BE1562" s="32"/>
      <c r="BF1562" s="32"/>
      <c r="BG1562" s="32"/>
      <c r="BH1562" s="32"/>
      <c r="BI1562" s="32"/>
      <c r="BJ1562" s="6"/>
      <c r="BK1562" s="6">
        <v>9.9987754821777344</v>
      </c>
      <c r="BL1562" s="6"/>
      <c r="BO1562" s="15"/>
    </row>
    <row r="1563" spans="1:67">
      <c r="A1563" s="16" t="s">
        <v>130</v>
      </c>
      <c r="B1563" s="16"/>
      <c r="C1563" s="17">
        <v>30560</v>
      </c>
      <c r="D1563" s="6">
        <v>10.209445585215606</v>
      </c>
      <c r="E1563" s="6"/>
      <c r="F1563" s="6"/>
      <c r="G1563" s="22"/>
      <c r="H1563" s="22"/>
      <c r="I1563" s="22"/>
      <c r="J1563" s="22"/>
      <c r="K1563" s="22"/>
      <c r="L1563" s="22"/>
      <c r="M1563" s="22"/>
      <c r="N1563" s="18"/>
      <c r="O1563" s="18"/>
      <c r="P1563" s="22"/>
      <c r="Q1563" s="22"/>
      <c r="R1563" s="22"/>
      <c r="S1563" s="22"/>
      <c r="T1563" s="22"/>
      <c r="U1563" s="22"/>
      <c r="V1563" s="6"/>
      <c r="W1563" s="6"/>
      <c r="X1563" s="19"/>
      <c r="Y1563" s="6"/>
      <c r="Z1563" s="6"/>
      <c r="AA1563" s="6"/>
      <c r="AB1563" s="6"/>
      <c r="AC1563" s="6"/>
      <c r="AD1563" s="6"/>
      <c r="AE1563" s="6"/>
      <c r="AF1563" s="18"/>
      <c r="AG1563" s="18"/>
      <c r="AH1563" s="18"/>
      <c r="AI1563" s="18"/>
      <c r="AK1563" s="18"/>
      <c r="AL1563" s="18"/>
      <c r="AM1563" s="18"/>
      <c r="AN1563" s="18"/>
      <c r="AO1563" s="6"/>
      <c r="AP1563" s="32"/>
      <c r="AQ1563" s="32"/>
      <c r="AR1563" s="32"/>
      <c r="AS1563" s="32"/>
      <c r="AT1563" s="32"/>
      <c r="AU1563" s="32"/>
      <c r="AV1563" s="32"/>
      <c r="AW1563" s="32"/>
      <c r="AX1563" s="32"/>
      <c r="AY1563" s="32"/>
      <c r="AZ1563" s="32"/>
      <c r="BA1563" s="32"/>
      <c r="BB1563" s="32"/>
      <c r="BC1563" s="32"/>
      <c r="BD1563" s="32"/>
      <c r="BE1563" s="32"/>
      <c r="BF1563" s="32"/>
      <c r="BG1563" s="32"/>
      <c r="BH1563" s="32"/>
      <c r="BI1563" s="32"/>
      <c r="BJ1563" s="6"/>
      <c r="BK1563" s="6">
        <v>11.529126167297363</v>
      </c>
      <c r="BL1563" s="6"/>
      <c r="BO1563" s="15"/>
    </row>
    <row r="1564" spans="1:67">
      <c r="A1564" s="6" t="s">
        <v>130</v>
      </c>
      <c r="B1564" s="6"/>
      <c r="C1564" s="17">
        <v>30926</v>
      </c>
      <c r="D1564" s="6">
        <v>11.211498973305956</v>
      </c>
      <c r="E1564" s="6"/>
      <c r="F1564" s="6"/>
      <c r="G1564" s="22"/>
      <c r="H1564" s="22"/>
      <c r="I1564" s="22"/>
      <c r="J1564" s="22"/>
      <c r="K1564" s="22"/>
      <c r="L1564" s="22"/>
      <c r="M1564" s="22"/>
      <c r="N1564" s="18"/>
      <c r="O1564" s="18"/>
      <c r="P1564" s="22"/>
      <c r="Q1564" s="22"/>
      <c r="R1564" s="22"/>
      <c r="S1564" s="22"/>
      <c r="T1564" s="22"/>
      <c r="U1564" s="22"/>
      <c r="V1564" s="6"/>
      <c r="W1564" s="6"/>
      <c r="X1564" s="19"/>
      <c r="Y1564" s="6"/>
      <c r="Z1564" s="6"/>
      <c r="AA1564" s="6"/>
      <c r="AB1564" s="6"/>
      <c r="AC1564" s="6"/>
      <c r="AD1564" s="6"/>
      <c r="AE1564" s="6"/>
      <c r="AF1564" s="18"/>
      <c r="AG1564" s="18"/>
      <c r="AH1564" s="18"/>
      <c r="AI1564" s="18"/>
      <c r="AK1564" s="18"/>
      <c r="AL1564" s="18"/>
      <c r="AM1564" s="18"/>
      <c r="AN1564" s="18"/>
      <c r="AO1564" s="6"/>
      <c r="AP1564" s="32"/>
      <c r="AQ1564" s="32"/>
      <c r="AR1564" s="32"/>
      <c r="AS1564" s="32"/>
      <c r="AT1564" s="32"/>
      <c r="AU1564" s="32"/>
      <c r="AV1564" s="32"/>
      <c r="AW1564" s="32"/>
      <c r="AX1564" s="32"/>
      <c r="AY1564" s="32"/>
      <c r="AZ1564" s="32"/>
      <c r="BA1564" s="32"/>
      <c r="BB1564" s="32"/>
      <c r="BC1564" s="32"/>
      <c r="BD1564" s="32"/>
      <c r="BE1564" s="32"/>
      <c r="BF1564" s="32"/>
      <c r="BG1564" s="32"/>
      <c r="BH1564" s="32"/>
      <c r="BI1564" s="32"/>
      <c r="BJ1564" s="6"/>
      <c r="BK1564" s="6">
        <v>15.251029968261719</v>
      </c>
      <c r="BL1564" s="6"/>
      <c r="BO1564" s="15"/>
    </row>
    <row r="1565" spans="1:67">
      <c r="A1565" s="6" t="s">
        <v>130</v>
      </c>
      <c r="B1565" s="6"/>
      <c r="C1565" s="17">
        <v>31291</v>
      </c>
      <c r="D1565" s="6">
        <v>12.210814510609172</v>
      </c>
      <c r="E1565" s="6"/>
      <c r="F1565" s="6"/>
      <c r="G1565" s="22"/>
      <c r="H1565" s="22"/>
      <c r="I1565" s="22"/>
      <c r="J1565" s="22"/>
      <c r="K1565" s="22"/>
      <c r="L1565" s="22"/>
      <c r="M1565" s="22"/>
      <c r="N1565" s="18"/>
      <c r="O1565" s="18"/>
      <c r="P1565" s="22"/>
      <c r="Q1565" s="22"/>
      <c r="R1565" s="22"/>
      <c r="S1565" s="22"/>
      <c r="T1565" s="22"/>
      <c r="U1565" s="22"/>
      <c r="V1565" s="6"/>
      <c r="W1565" s="6"/>
      <c r="X1565" s="19"/>
      <c r="Y1565" s="6"/>
      <c r="Z1565" s="6"/>
      <c r="AA1565" s="6"/>
      <c r="AB1565" s="6"/>
      <c r="AC1565" s="6"/>
      <c r="AD1565" s="6"/>
      <c r="AE1565" s="6"/>
      <c r="AF1565" s="18"/>
      <c r="AG1565" s="18"/>
      <c r="AH1565" s="18"/>
      <c r="AI1565" s="18"/>
      <c r="AK1565" s="18"/>
      <c r="AL1565" s="18"/>
      <c r="AM1565" s="18"/>
      <c r="AN1565" s="18"/>
      <c r="AO1565" s="6"/>
      <c r="AP1565" s="32"/>
      <c r="AQ1565" s="32"/>
      <c r="AR1565" s="32"/>
      <c r="AS1565" s="32"/>
      <c r="AT1565" s="32"/>
      <c r="AU1565" s="32"/>
      <c r="AV1565" s="32"/>
      <c r="AW1565" s="32"/>
      <c r="AX1565" s="32"/>
      <c r="AY1565" s="32"/>
      <c r="AZ1565" s="32"/>
      <c r="BA1565" s="32"/>
      <c r="BB1565" s="32"/>
      <c r="BC1565" s="32"/>
      <c r="BD1565" s="32"/>
      <c r="BE1565" s="32"/>
      <c r="BF1565" s="32"/>
      <c r="BG1565" s="32"/>
      <c r="BH1565" s="32"/>
      <c r="BI1565" s="32"/>
      <c r="BJ1565" s="6"/>
      <c r="BK1565" s="6">
        <v>13.011731147766113</v>
      </c>
      <c r="BL1565" s="6"/>
      <c r="BO1565" s="15"/>
    </row>
    <row r="1566" spans="1:67">
      <c r="A1566" s="6" t="s">
        <v>130</v>
      </c>
      <c r="B1566" s="6"/>
      <c r="C1566" s="17">
        <v>31656</v>
      </c>
      <c r="D1566" s="6">
        <v>13.210130047912388</v>
      </c>
      <c r="E1566" s="6"/>
      <c r="F1566" s="6"/>
      <c r="G1566" s="22"/>
      <c r="H1566" s="22"/>
      <c r="I1566" s="22"/>
      <c r="J1566" s="22"/>
      <c r="K1566" s="22"/>
      <c r="L1566" s="22"/>
      <c r="M1566" s="22"/>
      <c r="N1566" s="18"/>
      <c r="O1566" s="18"/>
      <c r="P1566" s="22"/>
      <c r="Q1566" s="22"/>
      <c r="R1566" s="22"/>
      <c r="S1566" s="22"/>
      <c r="T1566" s="22"/>
      <c r="U1566" s="22"/>
      <c r="V1566" s="6"/>
      <c r="W1566" s="6"/>
      <c r="X1566" s="19"/>
      <c r="Y1566" s="6"/>
      <c r="Z1566" s="6"/>
      <c r="AA1566" s="6"/>
      <c r="AB1566" s="6"/>
      <c r="AC1566" s="6"/>
      <c r="AD1566" s="6"/>
      <c r="AE1566" s="6"/>
      <c r="AF1566" s="18"/>
      <c r="AG1566" s="18"/>
      <c r="AH1566" s="18"/>
      <c r="AI1566" s="18"/>
      <c r="AK1566" s="18"/>
      <c r="AL1566" s="18"/>
      <c r="AM1566" s="18"/>
      <c r="AN1566" s="18"/>
      <c r="AO1566" s="6"/>
      <c r="AP1566" s="32"/>
      <c r="AQ1566" s="32"/>
      <c r="AR1566" s="32"/>
      <c r="AS1566" s="32"/>
      <c r="AT1566" s="32"/>
      <c r="AU1566" s="32"/>
      <c r="AV1566" s="32"/>
      <c r="AW1566" s="32"/>
      <c r="AX1566" s="32"/>
      <c r="AY1566" s="32"/>
      <c r="AZ1566" s="32"/>
      <c r="BA1566" s="32"/>
      <c r="BB1566" s="32"/>
      <c r="BC1566" s="32"/>
      <c r="BD1566" s="32"/>
      <c r="BE1566" s="32"/>
      <c r="BF1566" s="32"/>
      <c r="BG1566" s="32"/>
      <c r="BH1566" s="32"/>
      <c r="BI1566" s="32"/>
      <c r="BJ1566" s="6"/>
      <c r="BK1566" s="6">
        <v>10.797548294067383</v>
      </c>
      <c r="BL1566" s="6"/>
      <c r="BO1566" s="15"/>
    </row>
    <row r="1567" spans="1:67">
      <c r="A1567" s="6" t="s">
        <v>130</v>
      </c>
      <c r="B1567" s="6"/>
      <c r="C1567" s="17">
        <v>32021</v>
      </c>
      <c r="D1567" s="6">
        <v>14.209445585215606</v>
      </c>
      <c r="E1567" s="6"/>
      <c r="F1567" s="6"/>
      <c r="G1567" s="22"/>
      <c r="H1567" s="22"/>
      <c r="I1567" s="22"/>
      <c r="J1567" s="22"/>
      <c r="K1567" s="22"/>
      <c r="L1567" s="22"/>
      <c r="M1567" s="22"/>
      <c r="N1567" s="18"/>
      <c r="O1567" s="18"/>
      <c r="P1567" s="22"/>
      <c r="Q1567" s="22"/>
      <c r="R1567" s="22"/>
      <c r="S1567" s="22"/>
      <c r="T1567" s="22"/>
      <c r="U1567" s="22"/>
      <c r="V1567" s="6"/>
      <c r="W1567" s="6"/>
      <c r="X1567" s="19"/>
      <c r="Y1567" s="6"/>
      <c r="Z1567" s="6"/>
      <c r="AA1567" s="6"/>
      <c r="AB1567" s="6"/>
      <c r="AC1567" s="6"/>
      <c r="AD1567" s="6"/>
      <c r="AE1567" s="6"/>
      <c r="AF1567" s="18"/>
      <c r="AG1567" s="18"/>
      <c r="AH1567" s="18"/>
      <c r="AI1567" s="18"/>
      <c r="AK1567" s="18"/>
      <c r="AL1567" s="18"/>
      <c r="AM1567" s="18"/>
      <c r="AN1567" s="18"/>
      <c r="AO1567" s="6"/>
      <c r="AP1567" s="32"/>
      <c r="AQ1567" s="32"/>
      <c r="AR1567" s="32"/>
      <c r="AS1567" s="32"/>
      <c r="AT1567" s="32"/>
      <c r="AU1567" s="32"/>
      <c r="AV1567" s="32"/>
      <c r="AW1567" s="32"/>
      <c r="AX1567" s="32"/>
      <c r="AY1567" s="32"/>
      <c r="AZ1567" s="32"/>
      <c r="BA1567" s="32"/>
      <c r="BB1567" s="32"/>
      <c r="BC1567" s="32"/>
      <c r="BD1567" s="32"/>
      <c r="BE1567" s="32"/>
      <c r="BF1567" s="32"/>
      <c r="BG1567" s="32"/>
      <c r="BH1567" s="32"/>
      <c r="BI1567" s="32"/>
      <c r="BJ1567" s="6"/>
      <c r="BK1567" s="6">
        <v>10.01115894317627</v>
      </c>
      <c r="BL1567" s="6"/>
      <c r="BO1567" s="15"/>
    </row>
    <row r="1568" spans="1:67">
      <c r="A1568" s="6" t="s">
        <v>133</v>
      </c>
      <c r="B1568" s="6"/>
      <c r="C1568" s="17">
        <v>30390</v>
      </c>
      <c r="D1568" s="6">
        <v>9.7440109514031477</v>
      </c>
      <c r="E1568" s="6"/>
      <c r="F1568" s="6"/>
      <c r="G1568" s="22"/>
      <c r="H1568" s="22"/>
      <c r="I1568" s="22"/>
      <c r="J1568" s="22"/>
      <c r="K1568" s="22"/>
      <c r="L1568" s="22"/>
      <c r="M1568" s="22"/>
      <c r="N1568" s="18"/>
      <c r="O1568" s="18"/>
      <c r="P1568" s="22"/>
      <c r="Q1568" s="22"/>
      <c r="R1568" s="22"/>
      <c r="S1568" s="22"/>
      <c r="T1568" s="22"/>
      <c r="U1568" s="22"/>
      <c r="V1568" s="6"/>
      <c r="W1568" s="6"/>
      <c r="X1568" s="19"/>
      <c r="Y1568" s="6"/>
      <c r="Z1568" s="6"/>
      <c r="AA1568" s="6"/>
      <c r="AB1568" s="6"/>
      <c r="AC1568" s="6"/>
      <c r="AD1568" s="6"/>
      <c r="AE1568" s="6"/>
      <c r="AF1568" s="18"/>
      <c r="AG1568" s="18"/>
      <c r="AH1568" s="18"/>
      <c r="AI1568" s="18"/>
      <c r="AK1568" s="18"/>
      <c r="AL1568" s="18"/>
      <c r="AM1568" s="18"/>
      <c r="AN1568" s="18"/>
      <c r="AO1568" s="6"/>
      <c r="AP1568" s="32"/>
      <c r="AQ1568" s="32"/>
      <c r="AR1568" s="32"/>
      <c r="AS1568" s="32"/>
      <c r="AT1568" s="32"/>
      <c r="AU1568" s="32"/>
      <c r="AV1568" s="32"/>
      <c r="AW1568" s="32"/>
      <c r="AX1568" s="32"/>
      <c r="AY1568" s="32"/>
      <c r="AZ1568" s="32"/>
      <c r="BA1568" s="32"/>
      <c r="BB1568" s="32"/>
      <c r="BC1568" s="32"/>
      <c r="BD1568" s="32"/>
      <c r="BE1568" s="32"/>
      <c r="BF1568" s="32"/>
      <c r="BG1568" s="32"/>
      <c r="BH1568" s="32"/>
      <c r="BI1568" s="32">
        <f t="shared" ref="BI1568:BI1592" si="2">BJ1568/10</f>
        <v>6.2944879531860352</v>
      </c>
      <c r="BJ1568" s="6">
        <v>62.944879531860352</v>
      </c>
      <c r="BK1568" s="6"/>
      <c r="BL1568" s="6"/>
      <c r="BO1568" s="15"/>
    </row>
    <row r="1569" spans="1:67">
      <c r="A1569" s="6" t="s">
        <v>133</v>
      </c>
      <c r="B1569" s="6"/>
      <c r="C1569" s="17">
        <v>30756</v>
      </c>
      <c r="D1569" s="6">
        <v>10.746064339493497</v>
      </c>
      <c r="E1569" s="6"/>
      <c r="F1569" s="6"/>
      <c r="G1569" s="22"/>
      <c r="H1569" s="22"/>
      <c r="I1569" s="22"/>
      <c r="J1569" s="22"/>
      <c r="K1569" s="22"/>
      <c r="L1569" s="22"/>
      <c r="M1569" s="22"/>
      <c r="N1569" s="18"/>
      <c r="O1569" s="18"/>
      <c r="P1569" s="22"/>
      <c r="Q1569" s="22"/>
      <c r="R1569" s="22"/>
      <c r="S1569" s="22"/>
      <c r="T1569" s="22"/>
      <c r="U1569" s="22"/>
      <c r="V1569" s="6"/>
      <c r="W1569" s="6"/>
      <c r="X1569" s="19"/>
      <c r="Y1569" s="6"/>
      <c r="Z1569" s="6"/>
      <c r="AA1569" s="6"/>
      <c r="AB1569" s="6"/>
      <c r="AC1569" s="6"/>
      <c r="AD1569" s="6"/>
      <c r="AE1569" s="6"/>
      <c r="AF1569" s="18"/>
      <c r="AG1569" s="18"/>
      <c r="AH1569" s="18"/>
      <c r="AI1569" s="18"/>
      <c r="AK1569" s="18"/>
      <c r="AL1569" s="18"/>
      <c r="AM1569" s="18"/>
      <c r="AN1569" s="18"/>
      <c r="AO1569" s="6"/>
      <c r="AP1569" s="32"/>
      <c r="AQ1569" s="32"/>
      <c r="AR1569" s="32"/>
      <c r="AS1569" s="32"/>
      <c r="AT1569" s="32"/>
      <c r="AU1569" s="32"/>
      <c r="AV1569" s="32"/>
      <c r="AW1569" s="32"/>
      <c r="AX1569" s="32"/>
      <c r="AY1569" s="32"/>
      <c r="AZ1569" s="32"/>
      <c r="BA1569" s="32"/>
      <c r="BB1569" s="32"/>
      <c r="BC1569" s="32"/>
      <c r="BD1569" s="32"/>
      <c r="BE1569" s="32"/>
      <c r="BF1569" s="32"/>
      <c r="BG1569" s="32"/>
      <c r="BH1569" s="32"/>
      <c r="BI1569" s="32">
        <f t="shared" si="2"/>
        <v>8.9424242019653324</v>
      </c>
      <c r="BJ1569" s="6">
        <v>89.42424201965332</v>
      </c>
      <c r="BK1569" s="6"/>
      <c r="BL1569" s="6"/>
      <c r="BO1569" s="15"/>
    </row>
    <row r="1570" spans="1:67">
      <c r="A1570" s="6" t="s">
        <v>133</v>
      </c>
      <c r="B1570" s="6"/>
      <c r="C1570" s="17">
        <v>31121</v>
      </c>
      <c r="D1570" s="6">
        <v>11.745379876796715</v>
      </c>
      <c r="E1570" s="6"/>
      <c r="F1570" s="6"/>
      <c r="G1570" s="22"/>
      <c r="H1570" s="22"/>
      <c r="I1570" s="22"/>
      <c r="J1570" s="22"/>
      <c r="K1570" s="22"/>
      <c r="L1570" s="22"/>
      <c r="M1570" s="22"/>
      <c r="N1570" s="18"/>
      <c r="O1570" s="18"/>
      <c r="P1570" s="22"/>
      <c r="Q1570" s="22"/>
      <c r="R1570" s="22"/>
      <c r="S1570" s="22"/>
      <c r="T1570" s="22"/>
      <c r="U1570" s="22"/>
      <c r="V1570" s="6"/>
      <c r="W1570" s="6"/>
      <c r="X1570" s="19"/>
      <c r="Y1570" s="6"/>
      <c r="Z1570" s="6"/>
      <c r="AA1570" s="6"/>
      <c r="AB1570" s="6"/>
      <c r="AC1570" s="6"/>
      <c r="AD1570" s="6"/>
      <c r="AE1570" s="6"/>
      <c r="AF1570" s="18"/>
      <c r="AG1570" s="18"/>
      <c r="AH1570" s="18"/>
      <c r="AI1570" s="18"/>
      <c r="AK1570" s="18"/>
      <c r="AL1570" s="18"/>
      <c r="AM1570" s="18"/>
      <c r="AN1570" s="18"/>
      <c r="AO1570" s="6"/>
      <c r="AP1570" s="32"/>
      <c r="AQ1570" s="32"/>
      <c r="AR1570" s="32"/>
      <c r="AS1570" s="32"/>
      <c r="AT1570" s="32"/>
      <c r="AU1570" s="32"/>
      <c r="AV1570" s="32"/>
      <c r="AW1570" s="32"/>
      <c r="AX1570" s="32"/>
      <c r="AY1570" s="32"/>
      <c r="AZ1570" s="32"/>
      <c r="BA1570" s="32"/>
      <c r="BB1570" s="32"/>
      <c r="BC1570" s="32"/>
      <c r="BD1570" s="32"/>
      <c r="BE1570" s="32"/>
      <c r="BF1570" s="32"/>
      <c r="BG1570" s="32"/>
      <c r="BH1570" s="32"/>
      <c r="BI1570" s="32">
        <f t="shared" si="2"/>
        <v>19.49153823852539</v>
      </c>
      <c r="BJ1570" s="6">
        <v>194.91538238525391</v>
      </c>
      <c r="BK1570" s="6"/>
      <c r="BL1570" s="6"/>
      <c r="BO1570" s="15"/>
    </row>
    <row r="1571" spans="1:67">
      <c r="A1571" s="6" t="s">
        <v>133</v>
      </c>
      <c r="B1571" s="6"/>
      <c r="C1571" s="17">
        <v>31486</v>
      </c>
      <c r="D1571" s="6">
        <v>12.744695414099931</v>
      </c>
      <c r="E1571" s="6"/>
      <c r="F1571" s="6"/>
      <c r="G1571" s="22"/>
      <c r="H1571" s="22"/>
      <c r="I1571" s="22"/>
      <c r="J1571" s="22"/>
      <c r="K1571" s="22"/>
      <c r="L1571" s="22"/>
      <c r="M1571" s="22"/>
      <c r="N1571" s="18"/>
      <c r="O1571" s="18"/>
      <c r="P1571" s="22"/>
      <c r="Q1571" s="22"/>
      <c r="R1571" s="22"/>
      <c r="S1571" s="22"/>
      <c r="T1571" s="22"/>
      <c r="U1571" s="22"/>
      <c r="V1571" s="6"/>
      <c r="W1571" s="6"/>
      <c r="X1571" s="19"/>
      <c r="Y1571" s="6"/>
      <c r="Z1571" s="6"/>
      <c r="AA1571" s="6"/>
      <c r="AB1571" s="6"/>
      <c r="AC1571" s="6"/>
      <c r="AD1571" s="6"/>
      <c r="AE1571" s="6"/>
      <c r="AF1571" s="18"/>
      <c r="AG1571" s="18"/>
      <c r="AH1571" s="18"/>
      <c r="AI1571" s="18"/>
      <c r="AK1571" s="18"/>
      <c r="AL1571" s="18"/>
      <c r="AM1571" s="18"/>
      <c r="AN1571" s="18"/>
      <c r="AO1571" s="6"/>
      <c r="AP1571" s="32"/>
      <c r="AQ1571" s="32"/>
      <c r="AR1571" s="32"/>
      <c r="AS1571" s="32"/>
      <c r="AT1571" s="32"/>
      <c r="AU1571" s="32"/>
      <c r="AV1571" s="32"/>
      <c r="AW1571" s="32"/>
      <c r="AX1571" s="32"/>
      <c r="AY1571" s="32"/>
      <c r="AZ1571" s="32"/>
      <c r="BA1571" s="32"/>
      <c r="BB1571" s="32"/>
      <c r="BC1571" s="32"/>
      <c r="BD1571" s="32"/>
      <c r="BE1571" s="32"/>
      <c r="BF1571" s="32"/>
      <c r="BG1571" s="32"/>
      <c r="BH1571" s="32"/>
      <c r="BI1571" s="32">
        <f t="shared" si="2"/>
        <v>23.935794067382812</v>
      </c>
      <c r="BJ1571" s="6">
        <v>239.35794067382812</v>
      </c>
      <c r="BK1571" s="6"/>
      <c r="BL1571" s="6"/>
      <c r="BO1571" s="15"/>
    </row>
    <row r="1572" spans="1:67">
      <c r="A1572" s="6" t="s">
        <v>133</v>
      </c>
      <c r="B1572" s="6"/>
      <c r="C1572" s="17">
        <v>31851</v>
      </c>
      <c r="D1572" s="6">
        <v>13.744010951403148</v>
      </c>
      <c r="E1572" s="6"/>
      <c r="F1572" s="6"/>
      <c r="G1572" s="22"/>
      <c r="H1572" s="22"/>
      <c r="I1572" s="22"/>
      <c r="J1572" s="22"/>
      <c r="K1572" s="22"/>
      <c r="L1572" s="22"/>
      <c r="M1572" s="22"/>
      <c r="N1572" s="18"/>
      <c r="O1572" s="18"/>
      <c r="P1572" s="22"/>
      <c r="Q1572" s="22"/>
      <c r="R1572" s="22"/>
      <c r="S1572" s="22"/>
      <c r="T1572" s="22"/>
      <c r="U1572" s="22"/>
      <c r="V1572" s="6"/>
      <c r="W1572" s="6"/>
      <c r="X1572" s="19"/>
      <c r="Y1572" s="6"/>
      <c r="Z1572" s="6"/>
      <c r="AA1572" s="6"/>
      <c r="AB1572" s="6"/>
      <c r="AC1572" s="6"/>
      <c r="AD1572" s="6"/>
      <c r="AE1572" s="6"/>
      <c r="AF1572" s="18"/>
      <c r="AG1572" s="18"/>
      <c r="AH1572" s="18"/>
      <c r="AI1572" s="18"/>
      <c r="AK1572" s="18"/>
      <c r="AL1572" s="18"/>
      <c r="AM1572" s="18"/>
      <c r="AN1572" s="18"/>
      <c r="AO1572" s="6"/>
      <c r="AP1572" s="32"/>
      <c r="AQ1572" s="32"/>
      <c r="AR1572" s="32"/>
      <c r="AS1572" s="32"/>
      <c r="AT1572" s="32"/>
      <c r="AU1572" s="32"/>
      <c r="AV1572" s="32"/>
      <c r="AW1572" s="32"/>
      <c r="AX1572" s="32"/>
      <c r="AY1572" s="32"/>
      <c r="AZ1572" s="32"/>
      <c r="BA1572" s="32"/>
      <c r="BB1572" s="32"/>
      <c r="BC1572" s="32"/>
      <c r="BD1572" s="32"/>
      <c r="BE1572" s="32"/>
      <c r="BF1572" s="32"/>
      <c r="BG1572" s="32"/>
      <c r="BH1572" s="32"/>
      <c r="BI1572" s="32">
        <f t="shared" si="2"/>
        <v>25.805081176757813</v>
      </c>
      <c r="BJ1572" s="6">
        <v>258.05081176757812</v>
      </c>
      <c r="BK1572" s="6"/>
      <c r="BL1572" s="6"/>
      <c r="BO1572" s="15"/>
    </row>
    <row r="1573" spans="1:67">
      <c r="A1573" s="6" t="s">
        <v>132</v>
      </c>
      <c r="B1573" s="6"/>
      <c r="C1573" s="17">
        <v>30390</v>
      </c>
      <c r="D1573" s="6">
        <v>9.7440109514031477</v>
      </c>
      <c r="E1573" s="6"/>
      <c r="F1573" s="6"/>
      <c r="G1573" s="22"/>
      <c r="H1573" s="22"/>
      <c r="I1573" s="22"/>
      <c r="J1573" s="22"/>
      <c r="K1573" s="22"/>
      <c r="L1573" s="22"/>
      <c r="M1573" s="22"/>
      <c r="N1573" s="18"/>
      <c r="O1573" s="18"/>
      <c r="P1573" s="22"/>
      <c r="Q1573" s="22"/>
      <c r="R1573" s="22"/>
      <c r="S1573" s="22"/>
      <c r="T1573" s="22"/>
      <c r="U1573" s="22"/>
      <c r="V1573" s="6"/>
      <c r="W1573" s="6"/>
      <c r="X1573" s="19"/>
      <c r="Y1573" s="6"/>
      <c r="Z1573" s="6"/>
      <c r="AA1573" s="6"/>
      <c r="AB1573" s="6"/>
      <c r="AC1573" s="6"/>
      <c r="AD1573" s="6"/>
      <c r="AE1573" s="6"/>
      <c r="AF1573" s="18"/>
      <c r="AG1573" s="18"/>
      <c r="AH1573" s="18"/>
      <c r="AI1573" s="18"/>
      <c r="AK1573" s="18"/>
      <c r="AL1573" s="18"/>
      <c r="AM1573" s="18"/>
      <c r="AN1573" s="18"/>
      <c r="AO1573" s="6"/>
      <c r="AP1573" s="32"/>
      <c r="AQ1573" s="32"/>
      <c r="AR1573" s="32"/>
      <c r="AS1573" s="32"/>
      <c r="AT1573" s="32"/>
      <c r="AU1573" s="32"/>
      <c r="AV1573" s="32"/>
      <c r="AW1573" s="32"/>
      <c r="AX1573" s="32"/>
      <c r="AY1573" s="32"/>
      <c r="AZ1573" s="32"/>
      <c r="BA1573" s="32"/>
      <c r="BB1573" s="32"/>
      <c r="BC1573" s="32"/>
      <c r="BD1573" s="32"/>
      <c r="BE1573" s="32"/>
      <c r="BF1573" s="32"/>
      <c r="BG1573" s="32"/>
      <c r="BH1573" s="32"/>
      <c r="BI1573" s="32">
        <f t="shared" si="2"/>
        <v>6.3504867553710938</v>
      </c>
      <c r="BJ1573" s="6">
        <v>63.504867553710938</v>
      </c>
      <c r="BK1573" s="6"/>
      <c r="BL1573" s="6"/>
      <c r="BO1573" s="15"/>
    </row>
    <row r="1574" spans="1:67">
      <c r="A1574" s="6" t="s">
        <v>132</v>
      </c>
      <c r="B1574" s="6"/>
      <c r="C1574" s="17">
        <v>30756</v>
      </c>
      <c r="D1574" s="6">
        <v>10.746064339493497</v>
      </c>
      <c r="E1574" s="6"/>
      <c r="F1574" s="6"/>
      <c r="G1574" s="22"/>
      <c r="H1574" s="22"/>
      <c r="I1574" s="22"/>
      <c r="J1574" s="22"/>
      <c r="K1574" s="22"/>
      <c r="L1574" s="22"/>
      <c r="M1574" s="22"/>
      <c r="N1574" s="18"/>
      <c r="O1574" s="18"/>
      <c r="P1574" s="22"/>
      <c r="Q1574" s="22"/>
      <c r="R1574" s="22"/>
      <c r="S1574" s="22"/>
      <c r="T1574" s="22"/>
      <c r="U1574" s="22"/>
      <c r="V1574" s="6"/>
      <c r="W1574" s="6"/>
      <c r="X1574" s="19"/>
      <c r="Y1574" s="6"/>
      <c r="Z1574" s="6"/>
      <c r="AA1574" s="6"/>
      <c r="AB1574" s="6"/>
      <c r="AC1574" s="6"/>
      <c r="AD1574" s="6"/>
      <c r="AE1574" s="6"/>
      <c r="AF1574" s="18"/>
      <c r="AG1574" s="18"/>
      <c r="AH1574" s="18"/>
      <c r="AI1574" s="18"/>
      <c r="AK1574" s="18"/>
      <c r="AL1574" s="18"/>
      <c r="AM1574" s="18"/>
      <c r="AN1574" s="18"/>
      <c r="AO1574" s="6"/>
      <c r="AP1574" s="32"/>
      <c r="AQ1574" s="32"/>
      <c r="AR1574" s="32"/>
      <c r="AS1574" s="32"/>
      <c r="AT1574" s="32"/>
      <c r="AU1574" s="32"/>
      <c r="AV1574" s="32"/>
      <c r="AW1574" s="32"/>
      <c r="AX1574" s="32"/>
      <c r="AY1574" s="32"/>
      <c r="AZ1574" s="32"/>
      <c r="BA1574" s="32"/>
      <c r="BB1574" s="32"/>
      <c r="BC1574" s="32"/>
      <c r="BD1574" s="32"/>
      <c r="BE1574" s="32"/>
      <c r="BF1574" s="32"/>
      <c r="BG1574" s="32"/>
      <c r="BH1574" s="32"/>
      <c r="BI1574" s="32">
        <f t="shared" si="2"/>
        <v>18.640333557128905</v>
      </c>
      <c r="BJ1574" s="6">
        <v>186.40333557128906</v>
      </c>
      <c r="BK1574" s="6"/>
      <c r="BL1574" s="6"/>
      <c r="BO1574" s="15"/>
    </row>
    <row r="1575" spans="1:67">
      <c r="A1575" s="6" t="s">
        <v>132</v>
      </c>
      <c r="B1575" s="6"/>
      <c r="C1575" s="17">
        <v>31121</v>
      </c>
      <c r="D1575" s="6">
        <v>11.745379876796715</v>
      </c>
      <c r="E1575" s="6"/>
      <c r="F1575" s="6"/>
      <c r="G1575" s="22"/>
      <c r="H1575" s="22"/>
      <c r="I1575" s="22"/>
      <c r="J1575" s="22"/>
      <c r="K1575" s="22"/>
      <c r="L1575" s="22"/>
      <c r="M1575" s="22"/>
      <c r="N1575" s="18"/>
      <c r="O1575" s="18"/>
      <c r="P1575" s="22"/>
      <c r="Q1575" s="22"/>
      <c r="R1575" s="22"/>
      <c r="S1575" s="22"/>
      <c r="T1575" s="22"/>
      <c r="U1575" s="22"/>
      <c r="V1575" s="6"/>
      <c r="W1575" s="6"/>
      <c r="X1575" s="19"/>
      <c r="Y1575" s="6"/>
      <c r="Z1575" s="6"/>
      <c r="AA1575" s="6"/>
      <c r="AB1575" s="6"/>
      <c r="AC1575" s="6"/>
      <c r="AD1575" s="6"/>
      <c r="AE1575" s="6"/>
      <c r="AF1575" s="18"/>
      <c r="AG1575" s="18"/>
      <c r="AH1575" s="18"/>
      <c r="AI1575" s="18"/>
      <c r="AK1575" s="18"/>
      <c r="AL1575" s="18"/>
      <c r="AM1575" s="18"/>
      <c r="AN1575" s="18"/>
      <c r="AO1575" s="6"/>
      <c r="AP1575" s="32"/>
      <c r="AQ1575" s="32"/>
      <c r="AR1575" s="32"/>
      <c r="AS1575" s="32"/>
      <c r="AT1575" s="32"/>
      <c r="AU1575" s="32"/>
      <c r="AV1575" s="32"/>
      <c r="AW1575" s="32"/>
      <c r="AX1575" s="32"/>
      <c r="AY1575" s="32"/>
      <c r="AZ1575" s="32"/>
      <c r="BA1575" s="32"/>
      <c r="BB1575" s="32"/>
      <c r="BC1575" s="32"/>
      <c r="BD1575" s="32"/>
      <c r="BE1575" s="32"/>
      <c r="BF1575" s="32"/>
      <c r="BG1575" s="32"/>
      <c r="BH1575" s="32"/>
      <c r="BI1575" s="32">
        <f t="shared" si="2"/>
        <v>23.204365539550782</v>
      </c>
      <c r="BJ1575" s="6">
        <v>232.04365539550781</v>
      </c>
      <c r="BK1575" s="6"/>
      <c r="BL1575" s="6"/>
      <c r="BO1575" s="15"/>
    </row>
    <row r="1576" spans="1:67">
      <c r="A1576" s="6" t="s">
        <v>132</v>
      </c>
      <c r="B1576" s="6"/>
      <c r="C1576" s="17">
        <v>31486</v>
      </c>
      <c r="D1576" s="6">
        <v>12.744695414099931</v>
      </c>
      <c r="E1576" s="6"/>
      <c r="F1576" s="6"/>
      <c r="G1576" s="22"/>
      <c r="H1576" s="22"/>
      <c r="I1576" s="22"/>
      <c r="J1576" s="22"/>
      <c r="K1576" s="22"/>
      <c r="L1576" s="22"/>
      <c r="M1576" s="22"/>
      <c r="N1576" s="18"/>
      <c r="O1576" s="18"/>
      <c r="P1576" s="22"/>
      <c r="Q1576" s="22"/>
      <c r="R1576" s="22"/>
      <c r="S1576" s="22"/>
      <c r="T1576" s="22"/>
      <c r="U1576" s="22"/>
      <c r="V1576" s="6"/>
      <c r="W1576" s="6"/>
      <c r="X1576" s="19"/>
      <c r="Y1576" s="6"/>
      <c r="Z1576" s="6"/>
      <c r="AA1576" s="6"/>
      <c r="AB1576" s="6"/>
      <c r="AC1576" s="6"/>
      <c r="AD1576" s="6"/>
      <c r="AE1576" s="6"/>
      <c r="AF1576" s="18"/>
      <c r="AG1576" s="18"/>
      <c r="AH1576" s="18"/>
      <c r="AI1576" s="18"/>
      <c r="AK1576" s="18"/>
      <c r="AL1576" s="18"/>
      <c r="AM1576" s="18"/>
      <c r="AN1576" s="18"/>
      <c r="AO1576" s="6"/>
      <c r="AP1576" s="32"/>
      <c r="AQ1576" s="32"/>
      <c r="AR1576" s="32"/>
      <c r="AS1576" s="32"/>
      <c r="AT1576" s="32"/>
      <c r="AU1576" s="32"/>
      <c r="AV1576" s="32"/>
      <c r="AW1576" s="32"/>
      <c r="AX1576" s="32"/>
      <c r="AY1576" s="32"/>
      <c r="AZ1576" s="32"/>
      <c r="BA1576" s="32"/>
      <c r="BB1576" s="32"/>
      <c r="BC1576" s="32"/>
      <c r="BD1576" s="32"/>
      <c r="BE1576" s="32"/>
      <c r="BF1576" s="32"/>
      <c r="BG1576" s="32"/>
      <c r="BH1576" s="32"/>
      <c r="BI1576" s="32">
        <f t="shared" si="2"/>
        <v>18.785457229614259</v>
      </c>
      <c r="BJ1576" s="6">
        <v>187.85457229614258</v>
      </c>
      <c r="BK1576" s="6"/>
      <c r="BL1576" s="6"/>
      <c r="BO1576" s="15"/>
    </row>
    <row r="1577" spans="1:67">
      <c r="A1577" s="6" t="s">
        <v>132</v>
      </c>
      <c r="B1577" s="6"/>
      <c r="C1577" s="17">
        <v>31851</v>
      </c>
      <c r="D1577" s="6">
        <v>13.744010951403148</v>
      </c>
      <c r="E1577" s="6"/>
      <c r="F1577" s="6"/>
      <c r="G1577" s="22"/>
      <c r="H1577" s="22"/>
      <c r="I1577" s="22"/>
      <c r="J1577" s="22"/>
      <c r="K1577" s="22"/>
      <c r="L1577" s="22"/>
      <c r="M1577" s="22"/>
      <c r="N1577" s="18"/>
      <c r="O1577" s="18"/>
      <c r="P1577" s="22"/>
      <c r="Q1577" s="22"/>
      <c r="R1577" s="22"/>
      <c r="S1577" s="22"/>
      <c r="T1577" s="22"/>
      <c r="U1577" s="22"/>
      <c r="V1577" s="6"/>
      <c r="W1577" s="6"/>
      <c r="X1577" s="19"/>
      <c r="Y1577" s="6"/>
      <c r="Z1577" s="6"/>
      <c r="AA1577" s="6"/>
      <c r="AB1577" s="6"/>
      <c r="AC1577" s="6"/>
      <c r="AD1577" s="6"/>
      <c r="AE1577" s="6"/>
      <c r="AF1577" s="18"/>
      <c r="AG1577" s="18"/>
      <c r="AH1577" s="18"/>
      <c r="AI1577" s="18"/>
      <c r="AK1577" s="18"/>
      <c r="AL1577" s="18"/>
      <c r="AM1577" s="18"/>
      <c r="AN1577" s="18"/>
      <c r="AO1577" s="6"/>
      <c r="AP1577" s="32"/>
      <c r="AQ1577" s="32"/>
      <c r="AR1577" s="32"/>
      <c r="AS1577" s="32"/>
      <c r="AT1577" s="32"/>
      <c r="AU1577" s="32"/>
      <c r="AV1577" s="32"/>
      <c r="AW1577" s="32"/>
      <c r="AX1577" s="32"/>
      <c r="AY1577" s="32"/>
      <c r="AZ1577" s="32"/>
      <c r="BA1577" s="32"/>
      <c r="BB1577" s="32"/>
      <c r="BC1577" s="32"/>
      <c r="BD1577" s="32"/>
      <c r="BE1577" s="32"/>
      <c r="BF1577" s="32"/>
      <c r="BG1577" s="32"/>
      <c r="BH1577" s="32"/>
      <c r="BI1577" s="32">
        <f t="shared" si="2"/>
        <v>18.139573287963866</v>
      </c>
      <c r="BJ1577" s="6">
        <v>181.39573287963867</v>
      </c>
      <c r="BK1577" s="6"/>
      <c r="BL1577" s="6"/>
      <c r="BO1577" s="15"/>
    </row>
    <row r="1578" spans="1:67">
      <c r="A1578" s="6" t="s">
        <v>106</v>
      </c>
      <c r="B1578" s="6"/>
      <c r="C1578" s="17">
        <v>30390</v>
      </c>
      <c r="D1578" s="6">
        <v>9.7440109514031477</v>
      </c>
      <c r="E1578" s="6"/>
      <c r="F1578" s="6"/>
      <c r="G1578" s="22"/>
      <c r="H1578" s="22"/>
      <c r="I1578" s="22"/>
      <c r="J1578" s="22"/>
      <c r="K1578" s="22"/>
      <c r="L1578" s="22"/>
      <c r="M1578" s="22"/>
      <c r="N1578" s="18"/>
      <c r="O1578" s="18"/>
      <c r="P1578" s="22"/>
      <c r="Q1578" s="22"/>
      <c r="R1578" s="22"/>
      <c r="S1578" s="22"/>
      <c r="T1578" s="22"/>
      <c r="U1578" s="22"/>
      <c r="V1578" s="6"/>
      <c r="W1578" s="6"/>
      <c r="X1578" s="19"/>
      <c r="Y1578" s="6"/>
      <c r="Z1578" s="6"/>
      <c r="AA1578" s="6"/>
      <c r="AB1578" s="6"/>
      <c r="AC1578" s="6"/>
      <c r="AD1578" s="6"/>
      <c r="AE1578" s="6"/>
      <c r="AF1578" s="18"/>
      <c r="AG1578" s="18"/>
      <c r="AH1578" s="18"/>
      <c r="AI1578" s="18"/>
      <c r="AK1578" s="18"/>
      <c r="AL1578" s="18"/>
      <c r="AM1578" s="18"/>
      <c r="AN1578" s="18"/>
      <c r="AO1578" s="6"/>
      <c r="AP1578" s="32"/>
      <c r="AQ1578" s="32"/>
      <c r="AR1578" s="32"/>
      <c r="AS1578" s="32"/>
      <c r="AT1578" s="32"/>
      <c r="AU1578" s="32"/>
      <c r="AV1578" s="32"/>
      <c r="AW1578" s="32"/>
      <c r="AX1578" s="32"/>
      <c r="AY1578" s="32"/>
      <c r="AZ1578" s="32"/>
      <c r="BA1578" s="32"/>
      <c r="BB1578" s="32"/>
      <c r="BC1578" s="32"/>
      <c r="BD1578" s="32"/>
      <c r="BE1578" s="32"/>
      <c r="BF1578" s="32"/>
      <c r="BG1578" s="32"/>
      <c r="BH1578" s="32"/>
      <c r="BI1578" s="32">
        <f t="shared" si="2"/>
        <v>6.2306087493896483</v>
      </c>
      <c r="BJ1578" s="6">
        <v>62.306087493896484</v>
      </c>
      <c r="BK1578" s="6"/>
      <c r="BL1578" s="6"/>
      <c r="BO1578" s="15"/>
    </row>
    <row r="1579" spans="1:67">
      <c r="A1579" s="6" t="s">
        <v>106</v>
      </c>
      <c r="B1579" s="6"/>
      <c r="C1579" s="17">
        <v>30756</v>
      </c>
      <c r="D1579" s="6">
        <v>10.746064339493497</v>
      </c>
      <c r="E1579" s="6"/>
      <c r="F1579" s="6"/>
      <c r="G1579" s="22"/>
      <c r="H1579" s="22"/>
      <c r="I1579" s="22"/>
      <c r="J1579" s="22"/>
      <c r="K1579" s="22"/>
      <c r="L1579" s="22"/>
      <c r="M1579" s="22"/>
      <c r="N1579" s="18"/>
      <c r="O1579" s="18"/>
      <c r="P1579" s="22"/>
      <c r="Q1579" s="22"/>
      <c r="R1579" s="22"/>
      <c r="S1579" s="22"/>
      <c r="T1579" s="22"/>
      <c r="U1579" s="22"/>
      <c r="V1579" s="6"/>
      <c r="W1579" s="6"/>
      <c r="X1579" s="19"/>
      <c r="Y1579" s="6"/>
      <c r="Z1579" s="6"/>
      <c r="AA1579" s="6"/>
      <c r="AB1579" s="6"/>
      <c r="AC1579" s="6"/>
      <c r="AD1579" s="6"/>
      <c r="AE1579" s="6"/>
      <c r="AF1579" s="18"/>
      <c r="AG1579" s="18"/>
      <c r="AH1579" s="18"/>
      <c r="AI1579" s="18"/>
      <c r="AK1579" s="18"/>
      <c r="AL1579" s="18"/>
      <c r="AM1579" s="18"/>
      <c r="AN1579" s="18"/>
      <c r="AO1579" s="6"/>
      <c r="AP1579" s="32"/>
      <c r="AQ1579" s="32"/>
      <c r="AR1579" s="32"/>
      <c r="AS1579" s="32"/>
      <c r="AT1579" s="32"/>
      <c r="AU1579" s="32"/>
      <c r="AV1579" s="32"/>
      <c r="AW1579" s="32"/>
      <c r="AX1579" s="32"/>
      <c r="AY1579" s="32"/>
      <c r="AZ1579" s="32"/>
      <c r="BA1579" s="32"/>
      <c r="BB1579" s="32"/>
      <c r="BC1579" s="32"/>
      <c r="BD1579" s="32"/>
      <c r="BE1579" s="32"/>
      <c r="BF1579" s="32"/>
      <c r="BG1579" s="32"/>
      <c r="BH1579" s="32"/>
      <c r="BI1579" s="32">
        <f t="shared" si="2"/>
        <v>8.2198843002319339</v>
      </c>
      <c r="BJ1579" s="6">
        <v>82.198843002319336</v>
      </c>
      <c r="BK1579" s="6"/>
      <c r="BL1579" s="6"/>
      <c r="BO1579" s="15"/>
    </row>
    <row r="1580" spans="1:67">
      <c r="A1580" s="6" t="s">
        <v>106</v>
      </c>
      <c r="B1580" s="6"/>
      <c r="C1580" s="17">
        <v>31121</v>
      </c>
      <c r="D1580" s="6">
        <v>11.745379876796715</v>
      </c>
      <c r="E1580" s="6"/>
      <c r="F1580" s="6"/>
      <c r="G1580" s="22"/>
      <c r="H1580" s="22"/>
      <c r="I1580" s="22"/>
      <c r="J1580" s="22"/>
      <c r="K1580" s="22"/>
      <c r="L1580" s="22"/>
      <c r="M1580" s="22"/>
      <c r="N1580" s="18"/>
      <c r="O1580" s="18"/>
      <c r="P1580" s="22"/>
      <c r="Q1580" s="22"/>
      <c r="R1580" s="22"/>
      <c r="S1580" s="22"/>
      <c r="T1580" s="22"/>
      <c r="U1580" s="22"/>
      <c r="V1580" s="6"/>
      <c r="W1580" s="6"/>
      <c r="X1580" s="19"/>
      <c r="Y1580" s="6"/>
      <c r="Z1580" s="6"/>
      <c r="AA1580" s="6"/>
      <c r="AB1580" s="6"/>
      <c r="AC1580" s="6"/>
      <c r="AD1580" s="6"/>
      <c r="AE1580" s="6"/>
      <c r="AF1580" s="18"/>
      <c r="AG1580" s="18"/>
      <c r="AH1580" s="18"/>
      <c r="AI1580" s="18"/>
      <c r="AK1580" s="18"/>
      <c r="AL1580" s="18"/>
      <c r="AM1580" s="18"/>
      <c r="AN1580" s="18"/>
      <c r="AO1580" s="6"/>
      <c r="AP1580" s="32"/>
      <c r="AQ1580" s="32"/>
      <c r="AR1580" s="32"/>
      <c r="AS1580" s="32"/>
      <c r="AT1580" s="32"/>
      <c r="AU1580" s="32"/>
      <c r="AV1580" s="32"/>
      <c r="AW1580" s="32"/>
      <c r="AX1580" s="32"/>
      <c r="AY1580" s="32"/>
      <c r="AZ1580" s="32"/>
      <c r="BA1580" s="32"/>
      <c r="BB1580" s="32"/>
      <c r="BC1580" s="32"/>
      <c r="BD1580" s="32"/>
      <c r="BE1580" s="32"/>
      <c r="BF1580" s="32"/>
      <c r="BG1580" s="32"/>
      <c r="BH1580" s="32"/>
      <c r="BI1580" s="32">
        <f t="shared" si="2"/>
        <v>10.927399063110352</v>
      </c>
      <c r="BJ1580" s="6">
        <v>109.27399063110352</v>
      </c>
      <c r="BK1580" s="6"/>
      <c r="BL1580" s="6"/>
      <c r="BO1580" s="15"/>
    </row>
    <row r="1581" spans="1:67">
      <c r="A1581" s="6" t="s">
        <v>106</v>
      </c>
      <c r="B1581" s="6"/>
      <c r="C1581" s="17">
        <v>31486</v>
      </c>
      <c r="D1581" s="6">
        <v>12.744695414099931</v>
      </c>
      <c r="E1581" s="6"/>
      <c r="F1581" s="6"/>
      <c r="G1581" s="22"/>
      <c r="H1581" s="22"/>
      <c r="I1581" s="22"/>
      <c r="J1581" s="22"/>
      <c r="K1581" s="22"/>
      <c r="L1581" s="22"/>
      <c r="M1581" s="22"/>
      <c r="N1581" s="18"/>
      <c r="O1581" s="18"/>
      <c r="P1581" s="22"/>
      <c r="Q1581" s="22"/>
      <c r="R1581" s="22"/>
      <c r="S1581" s="22"/>
      <c r="T1581" s="22"/>
      <c r="U1581" s="22"/>
      <c r="V1581" s="6"/>
      <c r="W1581" s="6"/>
      <c r="X1581" s="19"/>
      <c r="Y1581" s="6"/>
      <c r="Z1581" s="6"/>
      <c r="AA1581" s="6"/>
      <c r="AB1581" s="6"/>
      <c r="AC1581" s="6"/>
      <c r="AD1581" s="6"/>
      <c r="AE1581" s="6"/>
      <c r="AF1581" s="18"/>
      <c r="AG1581" s="18"/>
      <c r="AH1581" s="18"/>
      <c r="AI1581" s="18"/>
      <c r="AK1581" s="18"/>
      <c r="AL1581" s="18"/>
      <c r="AM1581" s="18"/>
      <c r="AN1581" s="18"/>
      <c r="AO1581" s="6"/>
      <c r="AP1581" s="32"/>
      <c r="AQ1581" s="32"/>
      <c r="AR1581" s="32"/>
      <c r="AS1581" s="32"/>
      <c r="AT1581" s="32"/>
      <c r="AU1581" s="32"/>
      <c r="AV1581" s="32"/>
      <c r="AW1581" s="32"/>
      <c r="AX1581" s="32"/>
      <c r="AY1581" s="32"/>
      <c r="AZ1581" s="32"/>
      <c r="BA1581" s="32"/>
      <c r="BB1581" s="32"/>
      <c r="BC1581" s="32"/>
      <c r="BD1581" s="32"/>
      <c r="BE1581" s="32"/>
      <c r="BF1581" s="32"/>
      <c r="BG1581" s="32"/>
      <c r="BH1581" s="32"/>
      <c r="BI1581" s="32">
        <f t="shared" si="2"/>
        <v>10.221524047851563</v>
      </c>
      <c r="BJ1581" s="6">
        <v>102.21524047851562</v>
      </c>
      <c r="BK1581" s="6"/>
      <c r="BL1581" s="6"/>
      <c r="BO1581" s="15"/>
    </row>
    <row r="1582" spans="1:67">
      <c r="A1582" s="6" t="s">
        <v>106</v>
      </c>
      <c r="B1582" s="6"/>
      <c r="C1582" s="17">
        <v>31851</v>
      </c>
      <c r="D1582" s="6">
        <v>13.744010951403148</v>
      </c>
      <c r="E1582" s="6"/>
      <c r="F1582" s="6"/>
      <c r="G1582" s="22"/>
      <c r="H1582" s="22"/>
      <c r="I1582" s="22"/>
      <c r="J1582" s="22"/>
      <c r="K1582" s="22"/>
      <c r="L1582" s="22"/>
      <c r="M1582" s="22"/>
      <c r="N1582" s="18"/>
      <c r="O1582" s="18"/>
      <c r="P1582" s="22"/>
      <c r="Q1582" s="22"/>
      <c r="R1582" s="22"/>
      <c r="S1582" s="22"/>
      <c r="T1582" s="22"/>
      <c r="U1582" s="22"/>
      <c r="V1582" s="6"/>
      <c r="W1582" s="6"/>
      <c r="X1582" s="19"/>
      <c r="Y1582" s="6"/>
      <c r="Z1582" s="6"/>
      <c r="AA1582" s="6"/>
      <c r="AB1582" s="6"/>
      <c r="AC1582" s="6"/>
      <c r="AD1582" s="6"/>
      <c r="AE1582" s="6"/>
      <c r="AF1582" s="18"/>
      <c r="AG1582" s="18"/>
      <c r="AH1582" s="18"/>
      <c r="AI1582" s="18"/>
      <c r="AK1582" s="18"/>
      <c r="AL1582" s="18"/>
      <c r="AM1582" s="18"/>
      <c r="AN1582" s="18"/>
      <c r="AO1582" s="6"/>
      <c r="AP1582" s="32"/>
      <c r="AQ1582" s="32"/>
      <c r="AR1582" s="32"/>
      <c r="AS1582" s="32"/>
      <c r="AT1582" s="32"/>
      <c r="AU1582" s="32"/>
      <c r="AV1582" s="32"/>
      <c r="AW1582" s="32"/>
      <c r="AX1582" s="32"/>
      <c r="AY1582" s="32"/>
      <c r="AZ1582" s="32"/>
      <c r="BA1582" s="32"/>
      <c r="BB1582" s="32"/>
      <c r="BC1582" s="32"/>
      <c r="BD1582" s="32"/>
      <c r="BE1582" s="32"/>
      <c r="BF1582" s="32"/>
      <c r="BG1582" s="32"/>
      <c r="BH1582" s="32"/>
      <c r="BI1582" s="32">
        <f t="shared" si="2"/>
        <v>10.473749542236328</v>
      </c>
      <c r="BJ1582" s="6">
        <v>104.73749542236328</v>
      </c>
      <c r="BK1582" s="6"/>
      <c r="BL1582" s="6"/>
      <c r="BO1582" s="15"/>
    </row>
    <row r="1583" spans="1:67">
      <c r="A1583" s="6" t="s">
        <v>129</v>
      </c>
      <c r="B1583" s="6"/>
      <c r="C1583" s="17">
        <v>30390</v>
      </c>
      <c r="D1583" s="6">
        <v>9.7440109514031477</v>
      </c>
      <c r="E1583" s="6"/>
      <c r="F1583" s="6"/>
      <c r="G1583" s="22"/>
      <c r="H1583" s="22"/>
      <c r="I1583" s="22"/>
      <c r="J1583" s="22"/>
      <c r="K1583" s="22"/>
      <c r="L1583" s="22"/>
      <c r="M1583" s="22"/>
      <c r="N1583" s="18"/>
      <c r="O1583" s="18"/>
      <c r="P1583" s="22"/>
      <c r="Q1583" s="22"/>
      <c r="R1583" s="22"/>
      <c r="S1583" s="22"/>
      <c r="T1583" s="22"/>
      <c r="U1583" s="22"/>
      <c r="V1583" s="6"/>
      <c r="W1583" s="6"/>
      <c r="X1583" s="19"/>
      <c r="Y1583" s="6"/>
      <c r="Z1583" s="6"/>
      <c r="AA1583" s="6"/>
      <c r="AB1583" s="6"/>
      <c r="AC1583" s="6"/>
      <c r="AD1583" s="6"/>
      <c r="AE1583" s="6"/>
      <c r="AF1583" s="18"/>
      <c r="AG1583" s="18"/>
      <c r="AH1583" s="18"/>
      <c r="AI1583" s="18"/>
      <c r="AK1583" s="18"/>
      <c r="AL1583" s="18"/>
      <c r="AM1583" s="18"/>
      <c r="AN1583" s="18"/>
      <c r="AO1583" s="6"/>
      <c r="AP1583" s="32"/>
      <c r="AQ1583" s="32"/>
      <c r="AR1583" s="32"/>
      <c r="AS1583" s="32"/>
      <c r="AT1583" s="32"/>
      <c r="AU1583" s="32"/>
      <c r="AV1583" s="32"/>
      <c r="AW1583" s="32"/>
      <c r="AX1583" s="32"/>
      <c r="AY1583" s="32"/>
      <c r="AZ1583" s="32"/>
      <c r="BA1583" s="32"/>
      <c r="BB1583" s="32"/>
      <c r="BC1583" s="32"/>
      <c r="BD1583" s="32"/>
      <c r="BE1583" s="32"/>
      <c r="BF1583" s="32"/>
      <c r="BG1583" s="32"/>
      <c r="BH1583" s="32"/>
      <c r="BI1583" s="32">
        <f t="shared" si="2"/>
        <v>6.3504867553710938</v>
      </c>
      <c r="BJ1583" s="6">
        <v>63.504867553710938</v>
      </c>
      <c r="BK1583" s="6"/>
      <c r="BL1583" s="6"/>
      <c r="BO1583" s="15"/>
    </row>
    <row r="1584" spans="1:67">
      <c r="A1584" s="6" t="s">
        <v>129</v>
      </c>
      <c r="B1584" s="6"/>
      <c r="C1584" s="17">
        <v>30756</v>
      </c>
      <c r="D1584" s="6">
        <v>10.746064339493497</v>
      </c>
      <c r="E1584" s="6"/>
      <c r="F1584" s="6"/>
      <c r="G1584" s="22"/>
      <c r="H1584" s="22"/>
      <c r="I1584" s="22"/>
      <c r="J1584" s="22"/>
      <c r="K1584" s="22"/>
      <c r="L1584" s="22"/>
      <c r="M1584" s="22"/>
      <c r="N1584" s="18"/>
      <c r="O1584" s="18"/>
      <c r="P1584" s="22"/>
      <c r="Q1584" s="22"/>
      <c r="R1584" s="22"/>
      <c r="S1584" s="22"/>
      <c r="T1584" s="22"/>
      <c r="U1584" s="22"/>
      <c r="V1584" s="6"/>
      <c r="W1584" s="6"/>
      <c r="X1584" s="19"/>
      <c r="Y1584" s="6"/>
      <c r="Z1584" s="6"/>
      <c r="AA1584" s="6"/>
      <c r="AB1584" s="6"/>
      <c r="AC1584" s="6"/>
      <c r="AD1584" s="6"/>
      <c r="AE1584" s="6"/>
      <c r="AF1584" s="18"/>
      <c r="AG1584" s="18"/>
      <c r="AH1584" s="18"/>
      <c r="AI1584" s="18"/>
      <c r="AK1584" s="18"/>
      <c r="AL1584" s="18"/>
      <c r="AM1584" s="18"/>
      <c r="AN1584" s="18"/>
      <c r="AO1584" s="6"/>
      <c r="AP1584" s="32"/>
      <c r="AQ1584" s="32"/>
      <c r="AR1584" s="32"/>
      <c r="AS1584" s="32"/>
      <c r="AT1584" s="32"/>
      <c r="AU1584" s="32"/>
      <c r="AV1584" s="32"/>
      <c r="AW1584" s="32"/>
      <c r="AX1584" s="32"/>
      <c r="AY1584" s="32"/>
      <c r="AZ1584" s="32"/>
      <c r="BA1584" s="32"/>
      <c r="BB1584" s="32"/>
      <c r="BC1584" s="32"/>
      <c r="BD1584" s="32"/>
      <c r="BE1584" s="32"/>
      <c r="BF1584" s="32"/>
      <c r="BG1584" s="32"/>
      <c r="BH1584" s="32"/>
      <c r="BI1584" s="32">
        <f t="shared" si="2"/>
        <v>8.6429861068725593</v>
      </c>
      <c r="BJ1584" s="6">
        <v>86.429861068725586</v>
      </c>
      <c r="BK1584" s="6"/>
      <c r="BL1584" s="6"/>
      <c r="BO1584" s="15"/>
    </row>
    <row r="1585" spans="1:67">
      <c r="A1585" s="6" t="s">
        <v>129</v>
      </c>
      <c r="B1585" s="6"/>
      <c r="C1585" s="17">
        <v>31121</v>
      </c>
      <c r="D1585" s="6">
        <v>11.745379876796715</v>
      </c>
      <c r="E1585" s="6"/>
      <c r="F1585" s="6"/>
      <c r="G1585" s="22"/>
      <c r="H1585" s="22"/>
      <c r="I1585" s="22"/>
      <c r="J1585" s="22"/>
      <c r="K1585" s="22"/>
      <c r="L1585" s="22"/>
      <c r="M1585" s="22"/>
      <c r="N1585" s="18"/>
      <c r="O1585" s="18"/>
      <c r="P1585" s="22"/>
      <c r="Q1585" s="22"/>
      <c r="R1585" s="22"/>
      <c r="S1585" s="22"/>
      <c r="T1585" s="22"/>
      <c r="U1585" s="22"/>
      <c r="V1585" s="6"/>
      <c r="W1585" s="6"/>
      <c r="X1585" s="19"/>
      <c r="Y1585" s="6"/>
      <c r="Z1585" s="6"/>
      <c r="AA1585" s="6"/>
      <c r="AB1585" s="6"/>
      <c r="AC1585" s="6"/>
      <c r="AD1585" s="6"/>
      <c r="AE1585" s="6"/>
      <c r="AF1585" s="18"/>
      <c r="AG1585" s="18"/>
      <c r="AH1585" s="18"/>
      <c r="AI1585" s="18"/>
      <c r="AK1585" s="18"/>
      <c r="AL1585" s="18"/>
      <c r="AM1585" s="18"/>
      <c r="AN1585" s="18"/>
      <c r="AO1585" s="6"/>
      <c r="AP1585" s="32"/>
      <c r="AQ1585" s="32"/>
      <c r="AR1585" s="32"/>
      <c r="AS1585" s="32"/>
      <c r="AT1585" s="32"/>
      <c r="AU1585" s="32"/>
      <c r="AV1585" s="32"/>
      <c r="AW1585" s="32"/>
      <c r="AX1585" s="32"/>
      <c r="AY1585" s="32"/>
      <c r="AZ1585" s="32"/>
      <c r="BA1585" s="32"/>
      <c r="BB1585" s="32"/>
      <c r="BC1585" s="32"/>
      <c r="BD1585" s="32"/>
      <c r="BE1585" s="32"/>
      <c r="BF1585" s="32"/>
      <c r="BG1585" s="32"/>
      <c r="BH1585" s="32"/>
      <c r="BI1585" s="32">
        <f t="shared" si="2"/>
        <v>11.466181182861328</v>
      </c>
      <c r="BJ1585" s="6">
        <v>114.66181182861328</v>
      </c>
      <c r="BK1585" s="6"/>
      <c r="BL1585" s="6"/>
      <c r="BO1585" s="15"/>
    </row>
    <row r="1586" spans="1:67">
      <c r="A1586" s="6" t="s">
        <v>129</v>
      </c>
      <c r="B1586" s="6"/>
      <c r="C1586" s="17">
        <v>31486</v>
      </c>
      <c r="D1586" s="6">
        <v>12.744695414099931</v>
      </c>
      <c r="E1586" s="6"/>
      <c r="F1586" s="6"/>
      <c r="G1586" s="22"/>
      <c r="H1586" s="22"/>
      <c r="I1586" s="22"/>
      <c r="J1586" s="22"/>
      <c r="K1586" s="22"/>
      <c r="L1586" s="22"/>
      <c r="M1586" s="22"/>
      <c r="N1586" s="18"/>
      <c r="O1586" s="18"/>
      <c r="P1586" s="22"/>
      <c r="Q1586" s="22"/>
      <c r="R1586" s="22"/>
      <c r="S1586" s="22"/>
      <c r="T1586" s="22"/>
      <c r="U1586" s="22"/>
      <c r="V1586" s="6"/>
      <c r="W1586" s="6"/>
      <c r="X1586" s="19"/>
      <c r="Y1586" s="6"/>
      <c r="Z1586" s="6"/>
      <c r="AA1586" s="6"/>
      <c r="AB1586" s="6"/>
      <c r="AC1586" s="6"/>
      <c r="AD1586" s="6"/>
      <c r="AE1586" s="6"/>
      <c r="AF1586" s="18"/>
      <c r="AG1586" s="18"/>
      <c r="AH1586" s="18"/>
      <c r="AI1586" s="18"/>
      <c r="AK1586" s="18"/>
      <c r="AL1586" s="18"/>
      <c r="AM1586" s="18"/>
      <c r="AN1586" s="18"/>
      <c r="AO1586" s="6"/>
      <c r="AP1586" s="32"/>
      <c r="AQ1586" s="32"/>
      <c r="AR1586" s="32"/>
      <c r="AS1586" s="32"/>
      <c r="AT1586" s="32"/>
      <c r="AU1586" s="32"/>
      <c r="AV1586" s="32"/>
      <c r="AW1586" s="32"/>
      <c r="AX1586" s="32"/>
      <c r="AY1586" s="32"/>
      <c r="AZ1586" s="32"/>
      <c r="BA1586" s="32"/>
      <c r="BB1586" s="32"/>
      <c r="BC1586" s="32"/>
      <c r="BD1586" s="32"/>
      <c r="BE1586" s="32"/>
      <c r="BF1586" s="32"/>
      <c r="BG1586" s="32"/>
      <c r="BH1586" s="32"/>
      <c r="BI1586" s="32">
        <f t="shared" si="2"/>
        <v>11.466388320922851</v>
      </c>
      <c r="BJ1586" s="6">
        <v>114.66388320922852</v>
      </c>
      <c r="BK1586" s="6"/>
      <c r="BL1586" s="6"/>
      <c r="BO1586" s="15"/>
    </row>
    <row r="1587" spans="1:67">
      <c r="A1587" s="6" t="s">
        <v>129</v>
      </c>
      <c r="B1587" s="6"/>
      <c r="C1587" s="17">
        <v>31851</v>
      </c>
      <c r="D1587" s="6">
        <v>13.744010951403148</v>
      </c>
      <c r="E1587" s="6"/>
      <c r="F1587" s="6"/>
      <c r="G1587" s="22"/>
      <c r="H1587" s="22"/>
      <c r="I1587" s="22"/>
      <c r="J1587" s="22"/>
      <c r="K1587" s="22"/>
      <c r="L1587" s="22"/>
      <c r="M1587" s="22"/>
      <c r="N1587" s="18"/>
      <c r="O1587" s="18"/>
      <c r="P1587" s="22"/>
      <c r="Q1587" s="22"/>
      <c r="R1587" s="22"/>
      <c r="S1587" s="22"/>
      <c r="T1587" s="22"/>
      <c r="U1587" s="22"/>
      <c r="V1587" s="6"/>
      <c r="W1587" s="6"/>
      <c r="X1587" s="19"/>
      <c r="Y1587" s="6"/>
      <c r="Z1587" s="6"/>
      <c r="AA1587" s="6"/>
      <c r="AB1587" s="6"/>
      <c r="AC1587" s="6"/>
      <c r="AD1587" s="6"/>
      <c r="AE1587" s="6"/>
      <c r="AF1587" s="18"/>
      <c r="AG1587" s="18"/>
      <c r="AH1587" s="18"/>
      <c r="AI1587" s="18"/>
      <c r="AK1587" s="18"/>
      <c r="AL1587" s="18"/>
      <c r="AM1587" s="18"/>
      <c r="AN1587" s="18"/>
      <c r="AO1587" s="6"/>
      <c r="AP1587" s="32"/>
      <c r="AQ1587" s="32"/>
      <c r="AR1587" s="32"/>
      <c r="AS1587" s="32"/>
      <c r="AT1587" s="32"/>
      <c r="AU1587" s="32"/>
      <c r="AV1587" s="32"/>
      <c r="AW1587" s="32"/>
      <c r="AX1587" s="32"/>
      <c r="AY1587" s="32"/>
      <c r="AZ1587" s="32"/>
      <c r="BA1587" s="32"/>
      <c r="BB1587" s="32"/>
      <c r="BC1587" s="32"/>
      <c r="BD1587" s="32"/>
      <c r="BE1587" s="32"/>
      <c r="BF1587" s="32"/>
      <c r="BG1587" s="32"/>
      <c r="BH1587" s="32"/>
      <c r="BI1587" s="32">
        <f t="shared" si="2"/>
        <v>12.081924819946289</v>
      </c>
      <c r="BJ1587" s="6">
        <v>120.81924819946289</v>
      </c>
      <c r="BK1587" s="6"/>
      <c r="BL1587" s="6"/>
      <c r="BO1587" s="15"/>
    </row>
    <row r="1588" spans="1:67">
      <c r="A1588" s="6" t="s">
        <v>130</v>
      </c>
      <c r="B1588" s="6"/>
      <c r="C1588" s="17">
        <v>30390</v>
      </c>
      <c r="D1588" s="6">
        <v>9.7440109514031477</v>
      </c>
      <c r="E1588" s="6"/>
      <c r="F1588" s="6"/>
      <c r="G1588" s="22"/>
      <c r="H1588" s="22"/>
      <c r="I1588" s="22"/>
      <c r="J1588" s="22"/>
      <c r="K1588" s="22"/>
      <c r="L1588" s="22"/>
      <c r="M1588" s="22"/>
      <c r="N1588" s="18"/>
      <c r="O1588" s="18"/>
      <c r="P1588" s="22"/>
      <c r="Q1588" s="22"/>
      <c r="R1588" s="22"/>
      <c r="S1588" s="22"/>
      <c r="T1588" s="22"/>
      <c r="U1588" s="22"/>
      <c r="V1588" s="6"/>
      <c r="W1588" s="6"/>
      <c r="X1588" s="19"/>
      <c r="Y1588" s="6"/>
      <c r="Z1588" s="6"/>
      <c r="AA1588" s="6"/>
      <c r="AB1588" s="6"/>
      <c r="AC1588" s="6"/>
      <c r="AD1588" s="6"/>
      <c r="AE1588" s="6"/>
      <c r="AF1588" s="18"/>
      <c r="AG1588" s="18"/>
      <c r="AH1588" s="18"/>
      <c r="AI1588" s="18"/>
      <c r="AK1588" s="18"/>
      <c r="AL1588" s="18"/>
      <c r="AM1588" s="18"/>
      <c r="AN1588" s="18"/>
      <c r="AO1588" s="6"/>
      <c r="AP1588" s="32"/>
      <c r="AQ1588" s="32"/>
      <c r="AR1588" s="32"/>
      <c r="AS1588" s="32"/>
      <c r="AT1588" s="32"/>
      <c r="AU1588" s="32"/>
      <c r="AV1588" s="32"/>
      <c r="AW1588" s="32"/>
      <c r="AX1588" s="32"/>
      <c r="AY1588" s="32"/>
      <c r="AZ1588" s="32"/>
      <c r="BA1588" s="32"/>
      <c r="BB1588" s="32"/>
      <c r="BC1588" s="32"/>
      <c r="BD1588" s="32"/>
      <c r="BE1588" s="32"/>
      <c r="BF1588" s="32"/>
      <c r="BG1588" s="32"/>
      <c r="BH1588" s="32"/>
      <c r="BI1588" s="32">
        <f t="shared" si="2"/>
        <v>6.2946939468383789</v>
      </c>
      <c r="BJ1588" s="6">
        <v>62.946939468383789</v>
      </c>
      <c r="BK1588" s="6"/>
      <c r="BL1588" s="6"/>
      <c r="BO1588" s="15"/>
    </row>
    <row r="1589" spans="1:67">
      <c r="A1589" s="6" t="s">
        <v>130</v>
      </c>
      <c r="B1589" s="6"/>
      <c r="C1589" s="17">
        <v>30756</v>
      </c>
      <c r="D1589" s="6">
        <v>10.746064339493497</v>
      </c>
      <c r="E1589" s="6"/>
      <c r="F1589" s="6"/>
      <c r="G1589" s="22"/>
      <c r="H1589" s="22"/>
      <c r="I1589" s="22"/>
      <c r="J1589" s="22"/>
      <c r="K1589" s="22"/>
      <c r="L1589" s="22"/>
      <c r="M1589" s="22"/>
      <c r="N1589" s="18"/>
      <c r="O1589" s="18"/>
      <c r="P1589" s="22"/>
      <c r="Q1589" s="22"/>
      <c r="R1589" s="22"/>
      <c r="S1589" s="22"/>
      <c r="T1589" s="22"/>
      <c r="U1589" s="22"/>
      <c r="V1589" s="6"/>
      <c r="W1589" s="6"/>
      <c r="X1589" s="19"/>
      <c r="Y1589" s="6"/>
      <c r="Z1589" s="6"/>
      <c r="AA1589" s="6"/>
      <c r="AB1589" s="6"/>
      <c r="AC1589" s="6"/>
      <c r="AD1589" s="6"/>
      <c r="AE1589" s="6"/>
      <c r="AF1589" s="18"/>
      <c r="AG1589" s="18"/>
      <c r="AH1589" s="18"/>
      <c r="AI1589" s="18"/>
      <c r="AK1589" s="18"/>
      <c r="AL1589" s="18"/>
      <c r="AM1589" s="18"/>
      <c r="AN1589" s="18"/>
      <c r="AO1589" s="6"/>
      <c r="AP1589" s="32"/>
      <c r="AQ1589" s="32"/>
      <c r="AR1589" s="32"/>
      <c r="AS1589" s="32"/>
      <c r="AT1589" s="32"/>
      <c r="AU1589" s="32"/>
      <c r="AV1589" s="32"/>
      <c r="AW1589" s="32"/>
      <c r="AX1589" s="32"/>
      <c r="AY1589" s="32"/>
      <c r="AZ1589" s="32"/>
      <c r="BA1589" s="32"/>
      <c r="BB1589" s="32"/>
      <c r="BC1589" s="32"/>
      <c r="BD1589" s="32"/>
      <c r="BE1589" s="32"/>
      <c r="BF1589" s="32"/>
      <c r="BG1589" s="32"/>
      <c r="BH1589" s="32"/>
      <c r="BI1589" s="32">
        <f t="shared" si="2"/>
        <v>15.350403213500977</v>
      </c>
      <c r="BJ1589" s="6">
        <v>153.50403213500977</v>
      </c>
      <c r="BK1589" s="6"/>
      <c r="BL1589" s="6"/>
      <c r="BO1589" s="15"/>
    </row>
    <row r="1590" spans="1:67">
      <c r="A1590" s="6" t="s">
        <v>130</v>
      </c>
      <c r="B1590" s="6"/>
      <c r="C1590" s="17">
        <v>31121</v>
      </c>
      <c r="D1590" s="6">
        <v>11.745379876796715</v>
      </c>
      <c r="E1590" s="6"/>
      <c r="F1590" s="6"/>
      <c r="G1590" s="22"/>
      <c r="H1590" s="22"/>
      <c r="I1590" s="22"/>
      <c r="J1590" s="22"/>
      <c r="K1590" s="22"/>
      <c r="L1590" s="22"/>
      <c r="M1590" s="22"/>
      <c r="N1590" s="18"/>
      <c r="O1590" s="18"/>
      <c r="P1590" s="22"/>
      <c r="Q1590" s="22"/>
      <c r="R1590" s="22"/>
      <c r="S1590" s="22"/>
      <c r="T1590" s="22"/>
      <c r="U1590" s="22"/>
      <c r="V1590" s="6"/>
      <c r="W1590" s="6"/>
      <c r="X1590" s="19"/>
      <c r="Y1590" s="6"/>
      <c r="Z1590" s="6"/>
      <c r="AA1590" s="6"/>
      <c r="AB1590" s="6"/>
      <c r="AC1590" s="6"/>
      <c r="AD1590" s="6"/>
      <c r="AE1590" s="6"/>
      <c r="AF1590" s="18"/>
      <c r="AG1590" s="18"/>
      <c r="AH1590" s="18"/>
      <c r="AI1590" s="18"/>
      <c r="AK1590" s="18"/>
      <c r="AL1590" s="18"/>
      <c r="AM1590" s="18"/>
      <c r="AN1590" s="18"/>
      <c r="AO1590" s="6"/>
      <c r="AP1590" s="32"/>
      <c r="AQ1590" s="32"/>
      <c r="AR1590" s="32"/>
      <c r="AS1590" s="32"/>
      <c r="AT1590" s="32"/>
      <c r="AU1590" s="32"/>
      <c r="AV1590" s="32"/>
      <c r="AW1590" s="32"/>
      <c r="AX1590" s="32"/>
      <c r="AY1590" s="32"/>
      <c r="AZ1590" s="32"/>
      <c r="BA1590" s="32"/>
      <c r="BB1590" s="32"/>
      <c r="BC1590" s="32"/>
      <c r="BD1590" s="32"/>
      <c r="BE1590" s="32"/>
      <c r="BF1590" s="32"/>
      <c r="BG1590" s="32"/>
      <c r="BH1590" s="32"/>
      <c r="BI1590" s="32">
        <f t="shared" si="2"/>
        <v>15.957960891723634</v>
      </c>
      <c r="BJ1590" s="6">
        <v>159.57960891723633</v>
      </c>
      <c r="BK1590" s="6"/>
      <c r="BL1590" s="6"/>
      <c r="BO1590" s="15"/>
    </row>
    <row r="1591" spans="1:67">
      <c r="A1591" s="6" t="s">
        <v>130</v>
      </c>
      <c r="B1591" s="6"/>
      <c r="C1591" s="17">
        <v>31486</v>
      </c>
      <c r="D1591" s="6">
        <v>12.744695414099931</v>
      </c>
      <c r="E1591" s="6"/>
      <c r="F1591" s="6"/>
      <c r="G1591" s="22"/>
      <c r="H1591" s="22"/>
      <c r="I1591" s="22"/>
      <c r="J1591" s="22"/>
      <c r="K1591" s="22"/>
      <c r="L1591" s="22"/>
      <c r="M1591" s="22"/>
      <c r="N1591" s="18"/>
      <c r="O1591" s="18"/>
      <c r="P1591" s="22"/>
      <c r="Q1591" s="22"/>
      <c r="R1591" s="22"/>
      <c r="S1591" s="22"/>
      <c r="T1591" s="22"/>
      <c r="U1591" s="22"/>
      <c r="V1591" s="6"/>
      <c r="W1591" s="6"/>
      <c r="X1591" s="19"/>
      <c r="Y1591" s="6"/>
      <c r="Z1591" s="6"/>
      <c r="AA1591" s="6"/>
      <c r="AB1591" s="6"/>
      <c r="AC1591" s="6"/>
      <c r="AD1591" s="6"/>
      <c r="AE1591" s="6"/>
      <c r="AF1591" s="18"/>
      <c r="AG1591" s="18"/>
      <c r="AH1591" s="18"/>
      <c r="AI1591" s="18"/>
      <c r="AK1591" s="18"/>
      <c r="AL1591" s="18"/>
      <c r="AM1591" s="18"/>
      <c r="AN1591" s="18"/>
      <c r="AO1591" s="6"/>
      <c r="AP1591" s="32"/>
      <c r="AQ1591" s="32"/>
      <c r="AR1591" s="32"/>
      <c r="AS1591" s="32"/>
      <c r="AT1591" s="32"/>
      <c r="AU1591" s="32"/>
      <c r="AV1591" s="32"/>
      <c r="AW1591" s="32"/>
      <c r="AX1591" s="32"/>
      <c r="AY1591" s="32"/>
      <c r="AZ1591" s="32"/>
      <c r="BA1591" s="32"/>
      <c r="BB1591" s="32"/>
      <c r="BC1591" s="32"/>
      <c r="BD1591" s="32"/>
      <c r="BE1591" s="32"/>
      <c r="BF1591" s="32"/>
      <c r="BG1591" s="32"/>
      <c r="BH1591" s="32"/>
      <c r="BI1591" s="32">
        <f t="shared" si="2"/>
        <v>13.87467041015625</v>
      </c>
      <c r="BJ1591" s="6">
        <v>138.7467041015625</v>
      </c>
      <c r="BK1591" s="6"/>
      <c r="BL1591" s="6"/>
      <c r="BO1591" s="15"/>
    </row>
    <row r="1592" spans="1:67">
      <c r="A1592" s="6" t="s">
        <v>130</v>
      </c>
      <c r="B1592" s="6"/>
      <c r="C1592" s="17">
        <v>31851</v>
      </c>
      <c r="D1592" s="6">
        <v>13.744010951403148</v>
      </c>
      <c r="E1592" s="6"/>
      <c r="F1592" s="6"/>
      <c r="G1592" s="22"/>
      <c r="H1592" s="22"/>
      <c r="I1592" s="22"/>
      <c r="J1592" s="22"/>
      <c r="K1592" s="22"/>
      <c r="L1592" s="22"/>
      <c r="M1592" s="22"/>
      <c r="N1592" s="18"/>
      <c r="O1592" s="18"/>
      <c r="P1592" s="22"/>
      <c r="Q1592" s="22"/>
      <c r="R1592" s="22"/>
      <c r="S1592" s="22"/>
      <c r="T1592" s="22"/>
      <c r="U1592" s="22"/>
      <c r="V1592" s="6"/>
      <c r="W1592" s="6"/>
      <c r="X1592" s="19"/>
      <c r="Y1592" s="6"/>
      <c r="Z1592" s="6"/>
      <c r="AA1592" s="6"/>
      <c r="AB1592" s="6"/>
      <c r="AC1592" s="6"/>
      <c r="AD1592" s="6"/>
      <c r="AE1592" s="6"/>
      <c r="AF1592" s="18"/>
      <c r="AG1592" s="18"/>
      <c r="AH1592" s="18"/>
      <c r="AI1592" s="18"/>
      <c r="AK1592" s="18"/>
      <c r="AL1592" s="18"/>
      <c r="AM1592" s="18"/>
      <c r="AN1592" s="18"/>
      <c r="AO1592" s="6"/>
      <c r="AP1592" s="32"/>
      <c r="AQ1592" s="32"/>
      <c r="AR1592" s="32"/>
      <c r="AS1592" s="32"/>
      <c r="AT1592" s="32"/>
      <c r="AU1592" s="32"/>
      <c r="AV1592" s="32"/>
      <c r="AW1592" s="32"/>
      <c r="AX1592" s="32"/>
      <c r="AY1592" s="32"/>
      <c r="AZ1592" s="32"/>
      <c r="BA1592" s="32"/>
      <c r="BB1592" s="32"/>
      <c r="BC1592" s="32"/>
      <c r="BD1592" s="32"/>
      <c r="BE1592" s="32"/>
      <c r="BF1592" s="32"/>
      <c r="BG1592" s="32"/>
      <c r="BH1592" s="32"/>
      <c r="BI1592" s="32">
        <f t="shared" si="2"/>
        <v>13.647890853881837</v>
      </c>
      <c r="BJ1592" s="6">
        <v>136.47890853881836</v>
      </c>
      <c r="BK1592" s="6"/>
      <c r="BL1592" s="6"/>
      <c r="BO1592" s="15"/>
    </row>
    <row r="1593" spans="1:67">
      <c r="A1593" s="6" t="s">
        <v>64</v>
      </c>
      <c r="B1593" s="6"/>
      <c r="C1593" s="17">
        <v>33587</v>
      </c>
      <c r="D1593" s="18">
        <v>6.8283456840419863</v>
      </c>
      <c r="E1593" s="6"/>
      <c r="F1593" s="6"/>
      <c r="G1593" s="22"/>
      <c r="H1593" s="22"/>
      <c r="I1593" s="22"/>
      <c r="J1593" s="22"/>
      <c r="K1593" s="22"/>
      <c r="L1593" s="22"/>
      <c r="M1593" s="22"/>
      <c r="N1593" s="18">
        <v>12.8</v>
      </c>
      <c r="O1593" s="18"/>
      <c r="P1593" s="22"/>
      <c r="Q1593" s="22"/>
      <c r="R1593" s="22"/>
      <c r="S1593" s="22"/>
      <c r="T1593" s="22"/>
      <c r="U1593" s="22"/>
      <c r="V1593" s="6"/>
      <c r="W1593" s="6"/>
      <c r="X1593" s="19"/>
      <c r="Y1593" s="6"/>
      <c r="Z1593" s="6"/>
      <c r="AA1593" s="6"/>
      <c r="AB1593" s="6"/>
      <c r="AC1593" s="6"/>
      <c r="AD1593" s="6"/>
      <c r="AE1593" s="6"/>
      <c r="AF1593" s="18"/>
      <c r="AG1593" s="18"/>
      <c r="AH1593" s="18"/>
      <c r="AI1593" s="18"/>
      <c r="AK1593" s="18"/>
      <c r="AL1593" s="18"/>
      <c r="AM1593" s="18"/>
      <c r="AN1593" s="18"/>
      <c r="AO1593" s="6"/>
      <c r="AP1593" s="32"/>
      <c r="AQ1593" s="32"/>
      <c r="AR1593" s="32"/>
      <c r="AS1593" s="32"/>
      <c r="AT1593" s="32"/>
      <c r="AU1593" s="32"/>
      <c r="AV1593" s="32"/>
      <c r="AW1593" s="32"/>
      <c r="AX1593" s="32"/>
      <c r="AY1593" s="32"/>
      <c r="AZ1593" s="32"/>
      <c r="BA1593" s="32">
        <v>1.61</v>
      </c>
      <c r="BB1593" s="32">
        <v>0.56000000000000005</v>
      </c>
      <c r="BC1593" s="32"/>
      <c r="BD1593" s="32"/>
      <c r="BE1593" s="32"/>
      <c r="BF1593" s="32">
        <v>0.59</v>
      </c>
      <c r="BG1593" s="32">
        <v>0.2</v>
      </c>
      <c r="BH1593" s="32">
        <v>0.66</v>
      </c>
      <c r="BI1593" s="32"/>
      <c r="BJ1593" s="6"/>
      <c r="BK1593" s="6"/>
      <c r="BL1593" s="6" t="s">
        <v>111</v>
      </c>
      <c r="BO1593" s="15"/>
    </row>
    <row r="1594" spans="1:67">
      <c r="A1594" s="6" t="s">
        <v>64</v>
      </c>
      <c r="B1594" s="6"/>
      <c r="C1594" s="17">
        <v>33953</v>
      </c>
      <c r="D1594" s="18">
        <v>7.8304204716760548</v>
      </c>
      <c r="E1594" s="6"/>
      <c r="F1594" s="6"/>
      <c r="G1594" s="22"/>
      <c r="H1594" s="22"/>
      <c r="I1594" s="22"/>
      <c r="J1594" s="22"/>
      <c r="K1594" s="22"/>
      <c r="L1594" s="22"/>
      <c r="M1594" s="22"/>
      <c r="N1594" s="18">
        <v>17.8</v>
      </c>
      <c r="O1594" s="18"/>
      <c r="P1594" s="22"/>
      <c r="Q1594" s="22"/>
      <c r="R1594" s="22"/>
      <c r="S1594" s="22"/>
      <c r="T1594" s="22"/>
      <c r="U1594" s="22"/>
      <c r="V1594" s="6"/>
      <c r="W1594" s="6"/>
      <c r="X1594" s="19"/>
      <c r="Y1594" s="6"/>
      <c r="Z1594" s="6"/>
      <c r="AA1594" s="6"/>
      <c r="AB1594" s="6"/>
      <c r="AC1594" s="6"/>
      <c r="AD1594" s="6"/>
      <c r="AE1594" s="6"/>
      <c r="AF1594" s="18"/>
      <c r="AG1594" s="18"/>
      <c r="AH1594" s="18"/>
      <c r="AI1594" s="51"/>
      <c r="AK1594" s="18"/>
      <c r="AL1594" s="18"/>
      <c r="AM1594" s="18"/>
      <c r="AN1594" s="18"/>
      <c r="AO1594" s="6"/>
      <c r="AP1594" s="32"/>
      <c r="AQ1594" s="32"/>
      <c r="AR1594" s="32"/>
      <c r="AS1594" s="32"/>
      <c r="AT1594" s="32"/>
      <c r="AU1594" s="32"/>
      <c r="AV1594" s="32"/>
      <c r="AW1594" s="32"/>
      <c r="AX1594" s="32"/>
      <c r="AY1594" s="32"/>
      <c r="AZ1594" s="32">
        <v>4</v>
      </c>
      <c r="BA1594" s="32"/>
      <c r="BB1594" s="32"/>
      <c r="BC1594" s="32"/>
      <c r="BD1594" s="32"/>
      <c r="BE1594" s="32"/>
      <c r="BF1594" s="32"/>
      <c r="BG1594" s="32"/>
      <c r="BH1594" s="32"/>
      <c r="BI1594" s="32"/>
      <c r="BJ1594" s="6"/>
      <c r="BK1594" s="6"/>
      <c r="BL1594" s="6" t="s">
        <v>111</v>
      </c>
      <c r="BO1594" s="15"/>
    </row>
    <row r="1595" spans="1:67">
      <c r="A1595" s="6" t="s">
        <v>64</v>
      </c>
      <c r="B1595" s="6"/>
      <c r="C1595" s="17">
        <v>34318</v>
      </c>
      <c r="D1595" s="18">
        <v>8.8297573500542921</v>
      </c>
      <c r="E1595" s="6"/>
      <c r="F1595" s="6"/>
      <c r="G1595" s="22"/>
      <c r="H1595" s="22"/>
      <c r="I1595" s="22"/>
      <c r="J1595" s="22"/>
      <c r="K1595" s="22"/>
      <c r="L1595" s="22"/>
      <c r="M1595" s="22"/>
      <c r="N1595" s="18">
        <v>23.8</v>
      </c>
      <c r="O1595" s="18"/>
      <c r="P1595" s="22"/>
      <c r="Q1595" s="22"/>
      <c r="R1595" s="22"/>
      <c r="S1595" s="22"/>
      <c r="T1595" s="22"/>
      <c r="U1595" s="22"/>
      <c r="V1595" s="6"/>
      <c r="W1595" s="6"/>
      <c r="X1595" s="19"/>
      <c r="Y1595" s="6"/>
      <c r="Z1595" s="6"/>
      <c r="AA1595" s="6"/>
      <c r="AB1595" s="6"/>
      <c r="AC1595" s="6"/>
      <c r="AD1595" s="6"/>
      <c r="AE1595" s="6"/>
      <c r="AF1595" s="18"/>
      <c r="AG1595" s="18"/>
      <c r="AH1595" s="18"/>
      <c r="AI1595" s="51"/>
      <c r="AK1595" s="18"/>
      <c r="AL1595" s="18"/>
      <c r="AM1595" s="18"/>
      <c r="AN1595" s="18"/>
      <c r="AO1595" s="6"/>
      <c r="AP1595" s="32"/>
      <c r="AQ1595" s="32"/>
      <c r="AR1595" s="32"/>
      <c r="AS1595" s="32"/>
      <c r="AT1595" s="32"/>
      <c r="AU1595" s="32"/>
      <c r="AV1595" s="32"/>
      <c r="AW1595" s="32"/>
      <c r="AX1595" s="32"/>
      <c r="AY1595" s="32"/>
      <c r="AZ1595" s="32">
        <v>7</v>
      </c>
      <c r="BA1595" s="32"/>
      <c r="BB1595" s="32"/>
      <c r="BC1595" s="32"/>
      <c r="BD1595" s="32"/>
      <c r="BE1595" s="32"/>
      <c r="BF1595" s="32"/>
      <c r="BG1595" s="32"/>
      <c r="BH1595" s="32"/>
      <c r="BI1595" s="32"/>
      <c r="BJ1595" s="6"/>
      <c r="BK1595" s="6"/>
      <c r="BL1595" s="6" t="s">
        <v>111</v>
      </c>
      <c r="BO1595" s="15"/>
    </row>
    <row r="1596" spans="1:67">
      <c r="A1596" s="6" t="s">
        <v>64</v>
      </c>
      <c r="B1596" s="6"/>
      <c r="C1596" s="17">
        <v>34683</v>
      </c>
      <c r="D1596" s="18">
        <v>9.8290942284325293</v>
      </c>
      <c r="E1596" s="6"/>
      <c r="F1596" s="6"/>
      <c r="G1596" s="22"/>
      <c r="H1596" s="22"/>
      <c r="I1596" s="22"/>
      <c r="J1596" s="22"/>
      <c r="K1596" s="22"/>
      <c r="L1596" s="22"/>
      <c r="M1596" s="22"/>
      <c r="N1596" s="18">
        <v>31.8</v>
      </c>
      <c r="O1596" s="18"/>
      <c r="P1596" s="22"/>
      <c r="Q1596" s="22"/>
      <c r="R1596" s="22"/>
      <c r="S1596" s="22"/>
      <c r="T1596" s="22"/>
      <c r="U1596" s="22"/>
      <c r="V1596" s="6"/>
      <c r="W1596" s="6"/>
      <c r="X1596" s="19"/>
      <c r="Y1596" s="6"/>
      <c r="Z1596" s="6"/>
      <c r="AA1596" s="6"/>
      <c r="AB1596" s="6"/>
      <c r="AC1596" s="6"/>
      <c r="AD1596" s="6"/>
      <c r="AE1596" s="6"/>
      <c r="AF1596" s="18"/>
      <c r="AG1596" s="18"/>
      <c r="AH1596" s="18"/>
      <c r="AI1596" s="51"/>
      <c r="AK1596" s="18"/>
      <c r="AL1596" s="18"/>
      <c r="AM1596" s="18"/>
      <c r="AN1596" s="18"/>
      <c r="AO1596" s="6"/>
      <c r="AP1596" s="32"/>
      <c r="AQ1596" s="32"/>
      <c r="AR1596" s="32"/>
      <c r="AS1596" s="32"/>
      <c r="AT1596" s="32"/>
      <c r="AU1596" s="32"/>
      <c r="AV1596" s="32"/>
      <c r="AW1596" s="32"/>
      <c r="AX1596" s="32"/>
      <c r="AY1596" s="32"/>
      <c r="AZ1596" s="32">
        <v>9</v>
      </c>
      <c r="BA1596" s="32"/>
      <c r="BB1596" s="32"/>
      <c r="BC1596" s="32"/>
      <c r="BD1596" s="32"/>
      <c r="BE1596" s="32"/>
      <c r="BF1596" s="32"/>
      <c r="BG1596" s="32"/>
      <c r="BH1596" s="32"/>
      <c r="BI1596" s="32"/>
      <c r="BJ1596" s="6"/>
      <c r="BK1596" s="6"/>
      <c r="BL1596" s="6" t="s">
        <v>111</v>
      </c>
      <c r="BO1596" s="15"/>
    </row>
    <row r="1597" spans="1:67">
      <c r="A1597" s="6" t="s">
        <v>64</v>
      </c>
      <c r="B1597" s="6"/>
      <c r="C1597" s="17">
        <v>35048</v>
      </c>
      <c r="D1597" s="18">
        <v>10.828431106810768</v>
      </c>
      <c r="E1597" s="6"/>
      <c r="F1597" s="6"/>
      <c r="G1597" s="22"/>
      <c r="H1597" s="22"/>
      <c r="I1597" s="22"/>
      <c r="J1597" s="22"/>
      <c r="K1597" s="22"/>
      <c r="L1597" s="22"/>
      <c r="M1597" s="22"/>
      <c r="N1597" s="18">
        <v>40.799999999999997</v>
      </c>
      <c r="O1597" s="18"/>
      <c r="P1597" s="22"/>
      <c r="Q1597" s="22"/>
      <c r="R1597" s="22"/>
      <c r="S1597" s="22"/>
      <c r="T1597" s="22"/>
      <c r="U1597" s="22"/>
      <c r="V1597" s="6"/>
      <c r="W1597" s="6"/>
      <c r="X1597" s="19"/>
      <c r="Y1597" s="6"/>
      <c r="Z1597" s="6"/>
      <c r="AA1597" s="6"/>
      <c r="AB1597" s="6"/>
      <c r="AC1597" s="6"/>
      <c r="AD1597" s="6"/>
      <c r="AE1597" s="6"/>
      <c r="AF1597" s="18"/>
      <c r="AG1597" s="18"/>
      <c r="AH1597" s="18"/>
      <c r="AI1597" s="51"/>
      <c r="AK1597" s="18"/>
      <c r="AL1597" s="18"/>
      <c r="AM1597" s="18"/>
      <c r="AN1597" s="18"/>
      <c r="AO1597" s="6"/>
      <c r="AP1597" s="32"/>
      <c r="AQ1597" s="32"/>
      <c r="AR1597" s="32"/>
      <c r="AS1597" s="32"/>
      <c r="AT1597" s="32"/>
      <c r="AU1597" s="32"/>
      <c r="AV1597" s="32"/>
      <c r="AW1597" s="32"/>
      <c r="AX1597" s="32"/>
      <c r="AY1597" s="32"/>
      <c r="AZ1597" s="32">
        <v>11</v>
      </c>
      <c r="BA1597" s="32"/>
      <c r="BB1597" s="32"/>
      <c r="BC1597" s="32"/>
      <c r="BD1597" s="32"/>
      <c r="BE1597" s="32"/>
      <c r="BF1597" s="32"/>
      <c r="BG1597" s="32"/>
      <c r="BH1597" s="32"/>
      <c r="BI1597" s="32"/>
      <c r="BJ1597" s="6"/>
      <c r="BK1597" s="6"/>
      <c r="BL1597" s="6" t="s">
        <v>111</v>
      </c>
      <c r="BO1597" s="15"/>
    </row>
    <row r="1598" spans="1:67">
      <c r="A1598" s="6" t="s">
        <v>64</v>
      </c>
      <c r="B1598" s="6"/>
      <c r="C1598" s="17">
        <v>35414</v>
      </c>
      <c r="D1598" s="18">
        <v>11.830505894444837</v>
      </c>
      <c r="E1598" s="6"/>
      <c r="F1598" s="6"/>
      <c r="G1598" s="22"/>
      <c r="H1598" s="22"/>
      <c r="I1598" s="22"/>
      <c r="J1598" s="22"/>
      <c r="K1598" s="22"/>
      <c r="L1598" s="22"/>
      <c r="M1598" s="22"/>
      <c r="N1598" s="18">
        <v>48.8</v>
      </c>
      <c r="O1598" s="18"/>
      <c r="P1598" s="22"/>
      <c r="Q1598" s="22"/>
      <c r="R1598" s="22"/>
      <c r="S1598" s="22"/>
      <c r="T1598" s="22"/>
      <c r="U1598" s="22"/>
      <c r="V1598" s="6"/>
      <c r="W1598" s="6"/>
      <c r="X1598" s="19"/>
      <c r="Y1598" s="6"/>
      <c r="Z1598" s="6"/>
      <c r="AA1598" s="6"/>
      <c r="AB1598" s="6"/>
      <c r="AC1598" s="6"/>
      <c r="AD1598" s="6"/>
      <c r="AE1598" s="6"/>
      <c r="AF1598" s="18"/>
      <c r="AG1598" s="18"/>
      <c r="AH1598" s="18"/>
      <c r="AI1598" s="51"/>
      <c r="AK1598" s="18"/>
      <c r="AL1598" s="18"/>
      <c r="AM1598" s="18"/>
      <c r="AN1598" s="18"/>
      <c r="AO1598" s="6"/>
      <c r="AP1598" s="32"/>
      <c r="AQ1598" s="32"/>
      <c r="AR1598" s="32"/>
      <c r="AS1598" s="32"/>
      <c r="AT1598" s="32"/>
      <c r="AU1598" s="32"/>
      <c r="AV1598" s="32"/>
      <c r="AW1598" s="32"/>
      <c r="AX1598" s="32"/>
      <c r="AY1598" s="32"/>
      <c r="AZ1598" s="32">
        <v>13</v>
      </c>
      <c r="BA1598" s="32"/>
      <c r="BB1598" s="32"/>
      <c r="BC1598" s="32"/>
      <c r="BD1598" s="32"/>
      <c r="BE1598" s="32"/>
      <c r="BF1598" s="32"/>
      <c r="BG1598" s="32"/>
      <c r="BH1598" s="32"/>
      <c r="BI1598" s="32"/>
      <c r="BJ1598" s="6"/>
      <c r="BK1598" s="6"/>
      <c r="BL1598" s="6" t="s">
        <v>111</v>
      </c>
      <c r="BO1598" s="15"/>
    </row>
    <row r="1599" spans="1:67">
      <c r="A1599" s="6" t="s">
        <v>64</v>
      </c>
      <c r="B1599" s="6"/>
      <c r="C1599" s="17">
        <v>35779</v>
      </c>
      <c r="D1599" s="18">
        <v>12.829842772823074</v>
      </c>
      <c r="E1599" s="6"/>
      <c r="F1599" s="6"/>
      <c r="G1599" s="22"/>
      <c r="H1599" s="22"/>
      <c r="I1599" s="22"/>
      <c r="J1599" s="22"/>
      <c r="K1599" s="22"/>
      <c r="L1599" s="22"/>
      <c r="M1599" s="22"/>
      <c r="N1599" s="18">
        <v>58.8</v>
      </c>
      <c r="O1599" s="18"/>
      <c r="P1599" s="22"/>
      <c r="Q1599" s="22"/>
      <c r="R1599" s="22"/>
      <c r="S1599" s="22"/>
      <c r="T1599" s="22"/>
      <c r="U1599" s="22"/>
      <c r="V1599" s="6"/>
      <c r="W1599" s="6"/>
      <c r="X1599" s="19"/>
      <c r="Y1599" s="6"/>
      <c r="Z1599" s="6"/>
      <c r="AA1599" s="6"/>
      <c r="AB1599" s="6"/>
      <c r="AC1599" s="6"/>
      <c r="AD1599" s="6"/>
      <c r="AE1599" s="6"/>
      <c r="AF1599" s="18"/>
      <c r="AG1599" s="18"/>
      <c r="AH1599" s="18"/>
      <c r="AI1599" s="51"/>
      <c r="AK1599" s="18"/>
      <c r="AL1599" s="18"/>
      <c r="AM1599" s="18"/>
      <c r="AN1599" s="18"/>
      <c r="AO1599" s="6"/>
      <c r="AP1599" s="32"/>
      <c r="AQ1599" s="32"/>
      <c r="AR1599" s="32"/>
      <c r="AS1599" s="32"/>
      <c r="AT1599" s="32"/>
      <c r="AU1599" s="32"/>
      <c r="AV1599" s="32"/>
      <c r="AW1599" s="32"/>
      <c r="AX1599" s="32"/>
      <c r="AY1599" s="32"/>
      <c r="AZ1599" s="32">
        <v>15</v>
      </c>
      <c r="BA1599" s="32"/>
      <c r="BB1599" s="32"/>
      <c r="BC1599" s="32"/>
      <c r="BD1599" s="32"/>
      <c r="BE1599" s="32"/>
      <c r="BF1599" s="32"/>
      <c r="BG1599" s="32"/>
      <c r="BH1599" s="32"/>
      <c r="BI1599" s="32"/>
      <c r="BJ1599" s="6"/>
      <c r="BK1599" s="6"/>
      <c r="BL1599" s="6" t="s">
        <v>111</v>
      </c>
      <c r="BO1599" s="15"/>
    </row>
    <row r="1600" spans="1:67">
      <c r="A1600" s="6" t="s">
        <v>64</v>
      </c>
      <c r="B1600" s="6"/>
      <c r="C1600" s="17">
        <v>36144</v>
      </c>
      <c r="D1600" s="18">
        <v>13.829179651201311</v>
      </c>
      <c r="E1600" s="6"/>
      <c r="F1600" s="6"/>
      <c r="G1600" s="22"/>
      <c r="H1600" s="22"/>
      <c r="I1600" s="22"/>
      <c r="J1600" s="22"/>
      <c r="K1600" s="22"/>
      <c r="L1600" s="22"/>
      <c r="M1600" s="22"/>
      <c r="N1600" s="18">
        <v>66.8</v>
      </c>
      <c r="O1600" s="18"/>
      <c r="P1600" s="22"/>
      <c r="Q1600" s="22"/>
      <c r="R1600" s="22"/>
      <c r="S1600" s="22"/>
      <c r="T1600" s="22"/>
      <c r="U1600" s="22"/>
      <c r="V1600" s="6"/>
      <c r="W1600" s="6"/>
      <c r="X1600" s="19"/>
      <c r="Y1600" s="6"/>
      <c r="Z1600" s="6"/>
      <c r="AA1600" s="6"/>
      <c r="AB1600" s="6"/>
      <c r="AC1600" s="6"/>
      <c r="AD1600" s="6"/>
      <c r="AE1600" s="6"/>
      <c r="AF1600" s="18"/>
      <c r="AG1600" s="18"/>
      <c r="AH1600" s="18"/>
      <c r="AI1600" s="51"/>
      <c r="AK1600" s="18"/>
      <c r="AL1600" s="18"/>
      <c r="AM1600" s="18"/>
      <c r="AN1600" s="18"/>
      <c r="AO1600" s="6"/>
      <c r="AP1600" s="32"/>
      <c r="AQ1600" s="32"/>
      <c r="AR1600" s="32"/>
      <c r="AS1600" s="32"/>
      <c r="AT1600" s="32"/>
      <c r="AU1600" s="32"/>
      <c r="AV1600" s="32"/>
      <c r="AW1600" s="32"/>
      <c r="AX1600" s="32"/>
      <c r="AY1600" s="32"/>
      <c r="AZ1600" s="32">
        <v>16</v>
      </c>
      <c r="BA1600" s="32"/>
      <c r="BB1600" s="32"/>
      <c r="BC1600" s="32"/>
      <c r="BD1600" s="32"/>
      <c r="BE1600" s="32"/>
      <c r="BF1600" s="32"/>
      <c r="BG1600" s="32"/>
      <c r="BH1600" s="32"/>
      <c r="BI1600" s="32"/>
      <c r="BJ1600" s="6"/>
      <c r="BK1600" s="6"/>
      <c r="BL1600" s="6" t="s">
        <v>111</v>
      </c>
      <c r="BO1600" s="15"/>
    </row>
    <row r="1601" spans="1:67">
      <c r="A1601" s="6" t="s">
        <v>64</v>
      </c>
      <c r="B1601" s="6"/>
      <c r="C1601" s="17">
        <v>36509</v>
      </c>
      <c r="D1601" s="18">
        <v>14.828516529579549</v>
      </c>
      <c r="E1601" s="6"/>
      <c r="F1601" s="6"/>
      <c r="G1601" s="22"/>
      <c r="H1601" s="22"/>
      <c r="I1601" s="22"/>
      <c r="J1601" s="22"/>
      <c r="K1601" s="22"/>
      <c r="L1601" s="22"/>
      <c r="M1601" s="22"/>
      <c r="N1601" s="18">
        <v>75.8</v>
      </c>
      <c r="O1601" s="18"/>
      <c r="P1601" s="22"/>
      <c r="Q1601" s="22"/>
      <c r="R1601" s="22"/>
      <c r="S1601" s="22"/>
      <c r="T1601" s="22"/>
      <c r="U1601" s="22"/>
      <c r="V1601" s="6"/>
      <c r="W1601" s="6"/>
      <c r="X1601" s="19"/>
      <c r="Y1601" s="6"/>
      <c r="Z1601" s="6"/>
      <c r="AA1601" s="6"/>
      <c r="AB1601" s="6"/>
      <c r="AC1601" s="6"/>
      <c r="AD1601" s="6"/>
      <c r="AE1601" s="6"/>
      <c r="AF1601" s="18"/>
      <c r="AG1601" s="18"/>
      <c r="AH1601" s="18"/>
      <c r="AI1601" s="51"/>
      <c r="AK1601" s="18"/>
      <c r="AL1601" s="18"/>
      <c r="AM1601" s="18"/>
      <c r="AN1601" s="18"/>
      <c r="AO1601" s="6"/>
      <c r="AP1601" s="32"/>
      <c r="AQ1601" s="32"/>
      <c r="AR1601" s="32"/>
      <c r="AS1601" s="32"/>
      <c r="AT1601" s="32"/>
      <c r="AU1601" s="32"/>
      <c r="AV1601" s="32"/>
      <c r="AW1601" s="32"/>
      <c r="AX1601" s="32"/>
      <c r="AY1601" s="32"/>
      <c r="AZ1601" s="32">
        <v>17</v>
      </c>
      <c r="BA1601" s="32"/>
      <c r="BB1601" s="32"/>
      <c r="BC1601" s="32"/>
      <c r="BD1601" s="32"/>
      <c r="BE1601" s="32"/>
      <c r="BF1601" s="32"/>
      <c r="BG1601" s="32"/>
      <c r="BH1601" s="32"/>
      <c r="BI1601" s="32"/>
      <c r="BJ1601" s="6"/>
      <c r="BK1601" s="6"/>
      <c r="BL1601" s="6" t="s">
        <v>111</v>
      </c>
      <c r="BO1601" s="15"/>
    </row>
    <row r="1602" spans="1:67">
      <c r="A1602" s="6" t="s">
        <v>64</v>
      </c>
      <c r="B1602" s="6"/>
      <c r="C1602" s="17">
        <v>36875</v>
      </c>
      <c r="D1602" s="18">
        <v>15.830591317213617</v>
      </c>
      <c r="E1602" s="6"/>
      <c r="F1602" s="6"/>
      <c r="G1602" s="22"/>
      <c r="H1602" s="22"/>
      <c r="I1602" s="22"/>
      <c r="J1602" s="22"/>
      <c r="K1602" s="22"/>
      <c r="L1602" s="22"/>
      <c r="M1602" s="22"/>
      <c r="N1602" s="18">
        <v>87.8</v>
      </c>
      <c r="O1602" s="18"/>
      <c r="P1602" s="22"/>
      <c r="Q1602" s="22"/>
      <c r="R1602" s="22"/>
      <c r="S1602" s="22"/>
      <c r="T1602" s="22"/>
      <c r="U1602" s="22"/>
      <c r="V1602" s="6"/>
      <c r="W1602" s="6"/>
      <c r="X1602" s="19"/>
      <c r="Y1602" s="6"/>
      <c r="Z1602" s="6"/>
      <c r="AA1602" s="6"/>
      <c r="AB1602" s="6"/>
      <c r="AC1602" s="6"/>
      <c r="AD1602" s="6"/>
      <c r="AE1602" s="6"/>
      <c r="AF1602" s="18"/>
      <c r="AG1602" s="18"/>
      <c r="AH1602" s="18"/>
      <c r="AI1602" s="51"/>
      <c r="AK1602" s="18"/>
      <c r="AL1602" s="18"/>
      <c r="AM1602" s="18"/>
      <c r="AN1602" s="18"/>
      <c r="AO1602" s="6"/>
      <c r="AP1602" s="32"/>
      <c r="AQ1602" s="32"/>
      <c r="AR1602" s="32"/>
      <c r="AS1602" s="32"/>
      <c r="AT1602" s="32"/>
      <c r="AU1602" s="32"/>
      <c r="AV1602" s="32"/>
      <c r="AW1602" s="32"/>
      <c r="AX1602" s="32"/>
      <c r="AY1602" s="32"/>
      <c r="AZ1602" s="32">
        <v>18</v>
      </c>
      <c r="BA1602" s="32"/>
      <c r="BB1602" s="32"/>
      <c r="BC1602" s="32"/>
      <c r="BD1602" s="32"/>
      <c r="BE1602" s="32"/>
      <c r="BF1602" s="32"/>
      <c r="BG1602" s="32"/>
      <c r="BH1602" s="32"/>
      <c r="BI1602" s="32"/>
      <c r="BJ1602" s="6"/>
      <c r="BK1602" s="6"/>
      <c r="BL1602" s="6" t="s">
        <v>111</v>
      </c>
      <c r="BO1602" s="15"/>
    </row>
    <row r="1603" spans="1:67">
      <c r="A1603" s="6" t="s">
        <v>64</v>
      </c>
      <c r="B1603" s="6"/>
      <c r="C1603" s="17">
        <v>37240</v>
      </c>
      <c r="D1603" s="18">
        <v>16.829928195591854</v>
      </c>
      <c r="E1603" s="6"/>
      <c r="F1603" s="6"/>
      <c r="G1603" s="22"/>
      <c r="H1603" s="22"/>
      <c r="I1603" s="22"/>
      <c r="J1603" s="22"/>
      <c r="K1603" s="22"/>
      <c r="L1603" s="22"/>
      <c r="M1603" s="22"/>
      <c r="N1603" s="18">
        <v>100.8</v>
      </c>
      <c r="O1603" s="18"/>
      <c r="P1603" s="22"/>
      <c r="Q1603" s="22"/>
      <c r="R1603" s="22"/>
      <c r="S1603" s="22"/>
      <c r="T1603" s="22"/>
      <c r="U1603" s="22"/>
      <c r="V1603" s="6"/>
      <c r="W1603" s="6"/>
      <c r="X1603" s="19"/>
      <c r="Y1603" s="6"/>
      <c r="Z1603" s="6"/>
      <c r="AA1603" s="6"/>
      <c r="AB1603" s="6"/>
      <c r="AC1603" s="6"/>
      <c r="AD1603" s="6"/>
      <c r="AE1603" s="6"/>
      <c r="AF1603" s="18"/>
      <c r="AG1603" s="18"/>
      <c r="AH1603" s="18"/>
      <c r="AI1603" s="51">
        <v>19</v>
      </c>
      <c r="AK1603" s="18"/>
      <c r="AL1603" s="18"/>
      <c r="AM1603" s="18"/>
      <c r="AN1603" s="18"/>
      <c r="AO1603" s="6"/>
      <c r="AP1603" s="32"/>
      <c r="AQ1603" s="32"/>
      <c r="AR1603" s="32"/>
      <c r="AS1603" s="32"/>
      <c r="AT1603" s="32"/>
      <c r="AU1603" s="32"/>
      <c r="AV1603" s="32"/>
      <c r="AW1603" s="32"/>
      <c r="AX1603" s="32"/>
      <c r="AY1603" s="32"/>
      <c r="AZ1603" s="32">
        <v>19</v>
      </c>
      <c r="BA1603" s="32"/>
      <c r="BB1603" s="32"/>
      <c r="BC1603" s="32"/>
      <c r="BD1603" s="32"/>
      <c r="BE1603" s="32"/>
      <c r="BF1603" s="32"/>
      <c r="BG1603" s="32"/>
      <c r="BH1603" s="32"/>
      <c r="BI1603" s="32"/>
      <c r="BJ1603" s="6"/>
      <c r="BK1603" s="6"/>
      <c r="BL1603" s="6" t="s">
        <v>111</v>
      </c>
      <c r="BO1603" s="15"/>
    </row>
    <row r="1604" spans="1:67">
      <c r="A1604" s="6" t="s">
        <v>64</v>
      </c>
      <c r="B1604" s="6"/>
      <c r="C1604" s="17">
        <v>37605</v>
      </c>
      <c r="D1604" s="18">
        <v>17.829265073970092</v>
      </c>
      <c r="E1604" s="6"/>
      <c r="F1604" s="6"/>
      <c r="G1604" s="22"/>
      <c r="H1604" s="22"/>
      <c r="I1604" s="22"/>
      <c r="J1604" s="22"/>
      <c r="K1604" s="22"/>
      <c r="L1604" s="22"/>
      <c r="M1604" s="22"/>
      <c r="N1604" s="18">
        <v>109.8</v>
      </c>
      <c r="O1604" s="18"/>
      <c r="P1604" s="22"/>
      <c r="Q1604" s="22"/>
      <c r="R1604" s="22"/>
      <c r="S1604" s="22"/>
      <c r="T1604" s="22"/>
      <c r="U1604" s="22"/>
      <c r="V1604" s="6"/>
      <c r="W1604" s="6"/>
      <c r="X1604" s="19"/>
      <c r="Y1604" s="6"/>
      <c r="Z1604" s="6"/>
      <c r="AA1604" s="6"/>
      <c r="AB1604" s="6"/>
      <c r="AC1604" s="6"/>
      <c r="AD1604" s="6"/>
      <c r="AE1604" s="6"/>
      <c r="AF1604" s="18"/>
      <c r="AG1604" s="18"/>
      <c r="AH1604" s="18"/>
      <c r="AI1604" s="51">
        <v>20</v>
      </c>
      <c r="AK1604" s="18"/>
      <c r="AL1604" s="18"/>
      <c r="AM1604" s="18"/>
      <c r="AN1604" s="18"/>
      <c r="AO1604" s="6"/>
      <c r="AP1604" s="32"/>
      <c r="AQ1604" s="32"/>
      <c r="AR1604" s="32"/>
      <c r="AS1604" s="32"/>
      <c r="AT1604" s="32"/>
      <c r="AU1604" s="32"/>
      <c r="AV1604" s="32"/>
      <c r="AW1604" s="32"/>
      <c r="AX1604" s="32"/>
      <c r="AY1604" s="32"/>
      <c r="AZ1604" s="32">
        <v>20</v>
      </c>
      <c r="BA1604" s="32"/>
      <c r="BB1604" s="32"/>
      <c r="BC1604" s="32"/>
      <c r="BD1604" s="32"/>
      <c r="BE1604" s="32"/>
      <c r="BF1604" s="32"/>
      <c r="BG1604" s="32"/>
      <c r="BH1604" s="32"/>
      <c r="BI1604" s="32"/>
      <c r="BJ1604" s="6"/>
      <c r="BK1604" s="6"/>
      <c r="BL1604" s="6" t="s">
        <v>111</v>
      </c>
      <c r="BO1604" s="15"/>
    </row>
    <row r="1605" spans="1:67">
      <c r="A1605" s="6" t="s">
        <v>64</v>
      </c>
      <c r="B1605" s="6"/>
      <c r="C1605" s="17">
        <v>37970</v>
      </c>
      <c r="D1605" s="18">
        <v>18.828601952348333</v>
      </c>
      <c r="E1605" s="6"/>
      <c r="F1605" s="6"/>
      <c r="G1605" s="22"/>
      <c r="H1605" s="22"/>
      <c r="I1605" s="22"/>
      <c r="J1605" s="22"/>
      <c r="K1605" s="22"/>
      <c r="L1605" s="22"/>
      <c r="M1605" s="22"/>
      <c r="N1605" s="18">
        <v>123.8</v>
      </c>
      <c r="O1605" s="18"/>
      <c r="P1605" s="22"/>
      <c r="Q1605" s="22"/>
      <c r="R1605" s="22"/>
      <c r="S1605" s="22"/>
      <c r="T1605" s="22"/>
      <c r="U1605" s="22"/>
      <c r="V1605" s="6"/>
      <c r="W1605" s="6"/>
      <c r="X1605" s="19"/>
      <c r="Y1605" s="6"/>
      <c r="Z1605" s="6"/>
      <c r="AA1605" s="6"/>
      <c r="AB1605" s="6"/>
      <c r="AC1605" s="6"/>
      <c r="AD1605" s="6"/>
      <c r="AE1605" s="6"/>
      <c r="AF1605" s="18"/>
      <c r="AG1605" s="18"/>
      <c r="AH1605" s="18"/>
      <c r="AI1605" s="51">
        <v>21</v>
      </c>
      <c r="AK1605" s="18"/>
      <c r="AL1605" s="18"/>
      <c r="AM1605" s="18"/>
      <c r="AN1605" s="18"/>
      <c r="AO1605" s="6"/>
      <c r="AP1605" s="32"/>
      <c r="AQ1605" s="32"/>
      <c r="AR1605" s="32"/>
      <c r="AS1605" s="32"/>
      <c r="AT1605" s="32"/>
      <c r="AU1605" s="32"/>
      <c r="AV1605" s="32"/>
      <c r="AW1605" s="32"/>
      <c r="AX1605" s="32"/>
      <c r="AY1605" s="32"/>
      <c r="AZ1605" s="32">
        <v>21</v>
      </c>
      <c r="BA1605" s="32"/>
      <c r="BB1605" s="32"/>
      <c r="BC1605" s="32"/>
      <c r="BD1605" s="32"/>
      <c r="BE1605" s="32"/>
      <c r="BF1605" s="32"/>
      <c r="BG1605" s="32"/>
      <c r="BH1605" s="32"/>
      <c r="BI1605" s="32"/>
      <c r="BJ1605" s="6"/>
      <c r="BK1605" s="6"/>
      <c r="BL1605" s="6" t="s">
        <v>111</v>
      </c>
      <c r="BO1605" s="15"/>
    </row>
    <row r="1606" spans="1:67">
      <c r="A1606" s="6" t="s">
        <v>64</v>
      </c>
      <c r="B1606" s="6"/>
      <c r="C1606" s="17">
        <v>38336</v>
      </c>
      <c r="D1606" s="18">
        <v>19.830676739982401</v>
      </c>
      <c r="E1606" s="6"/>
      <c r="F1606" s="6"/>
      <c r="G1606" s="22"/>
      <c r="H1606" s="22"/>
      <c r="I1606" s="22"/>
      <c r="J1606" s="22"/>
      <c r="K1606" s="22"/>
      <c r="L1606" s="22"/>
      <c r="M1606" s="22"/>
      <c r="N1606" s="18">
        <v>136.80000000000001</v>
      </c>
      <c r="O1606" s="18"/>
      <c r="P1606" s="22"/>
      <c r="Q1606" s="22"/>
      <c r="R1606" s="22"/>
      <c r="S1606" s="22"/>
      <c r="T1606" s="22"/>
      <c r="U1606" s="22"/>
      <c r="V1606" s="6"/>
      <c r="W1606" s="6"/>
      <c r="X1606" s="19"/>
      <c r="Y1606" s="6"/>
      <c r="Z1606" s="6"/>
      <c r="AA1606" s="6"/>
      <c r="AB1606" s="6"/>
      <c r="AC1606" s="6"/>
      <c r="AD1606" s="6"/>
      <c r="AE1606" s="6"/>
      <c r="AF1606" s="18"/>
      <c r="AG1606" s="18"/>
      <c r="AH1606" s="18"/>
      <c r="AI1606" s="51">
        <v>22</v>
      </c>
      <c r="AK1606" s="18"/>
      <c r="AL1606" s="18"/>
      <c r="AM1606" s="18"/>
      <c r="AN1606" s="18"/>
      <c r="AO1606" s="6"/>
      <c r="AP1606" s="32"/>
      <c r="AQ1606" s="32"/>
      <c r="AR1606" s="32"/>
      <c r="AS1606" s="32"/>
      <c r="AT1606" s="32"/>
      <c r="AU1606" s="32"/>
      <c r="AV1606" s="32"/>
      <c r="AW1606" s="32"/>
      <c r="AX1606" s="32"/>
      <c r="AY1606" s="32"/>
      <c r="AZ1606" s="32">
        <v>22</v>
      </c>
      <c r="BA1606" s="32"/>
      <c r="BB1606" s="32"/>
      <c r="BC1606" s="32"/>
      <c r="BD1606" s="32"/>
      <c r="BE1606" s="32"/>
      <c r="BF1606" s="32"/>
      <c r="BG1606" s="32"/>
      <c r="BH1606" s="32"/>
      <c r="BI1606" s="32"/>
      <c r="BJ1606" s="6"/>
      <c r="BK1606" s="6"/>
      <c r="BL1606" s="6" t="s">
        <v>111</v>
      </c>
      <c r="BO1606" s="15"/>
    </row>
    <row r="1607" spans="1:67">
      <c r="A1607" s="6" t="s">
        <v>64</v>
      </c>
      <c r="B1607" s="6"/>
      <c r="C1607" s="17">
        <v>38701</v>
      </c>
      <c r="D1607" s="18">
        <v>20.830013618360638</v>
      </c>
      <c r="E1607" s="6"/>
      <c r="F1607" s="6"/>
      <c r="G1607" s="22"/>
      <c r="H1607" s="22"/>
      <c r="I1607" s="22"/>
      <c r="J1607" s="22"/>
      <c r="K1607" s="22"/>
      <c r="L1607" s="22"/>
      <c r="M1607" s="22"/>
      <c r="N1607" s="18">
        <v>150.80000000000001</v>
      </c>
      <c r="O1607" s="18"/>
      <c r="P1607" s="22"/>
      <c r="Q1607" s="22"/>
      <c r="R1607" s="22"/>
      <c r="S1607" s="22"/>
      <c r="T1607" s="22"/>
      <c r="U1607" s="22"/>
      <c r="V1607" s="6"/>
      <c r="W1607" s="6"/>
      <c r="X1607" s="19"/>
      <c r="Y1607" s="6"/>
      <c r="Z1607" s="6"/>
      <c r="AA1607" s="6"/>
      <c r="AB1607" s="6"/>
      <c r="AC1607" s="6"/>
      <c r="AD1607" s="6"/>
      <c r="AE1607" s="6"/>
      <c r="AF1607" s="18"/>
      <c r="AG1607" s="18"/>
      <c r="AH1607" s="18"/>
      <c r="AI1607" s="51">
        <v>23</v>
      </c>
      <c r="AK1607" s="18"/>
      <c r="AL1607" s="18"/>
      <c r="AM1607" s="18"/>
      <c r="AN1607" s="18"/>
      <c r="AO1607" s="6"/>
      <c r="AP1607" s="32"/>
      <c r="AQ1607" s="32"/>
      <c r="AR1607" s="32"/>
      <c r="AS1607" s="32"/>
      <c r="AT1607" s="32"/>
      <c r="AU1607" s="32"/>
      <c r="AV1607" s="32"/>
      <c r="AW1607" s="32"/>
      <c r="AX1607" s="32" t="e">
        <v>#REF!</v>
      </c>
      <c r="AY1607" s="32">
        <v>3.29</v>
      </c>
      <c r="AZ1607" s="32">
        <v>23</v>
      </c>
      <c r="BA1607" s="32">
        <v>7.92</v>
      </c>
      <c r="BB1607" s="32">
        <v>3.77</v>
      </c>
      <c r="BC1607" s="32"/>
      <c r="BD1607" s="32"/>
      <c r="BE1607" s="32"/>
      <c r="BF1607" s="32">
        <v>4.21</v>
      </c>
      <c r="BG1607" s="32">
        <v>2.52</v>
      </c>
      <c r="BH1607" s="32">
        <v>0.77</v>
      </c>
      <c r="BI1607" s="32"/>
      <c r="BJ1607" s="6"/>
      <c r="BK1607" s="6"/>
      <c r="BL1607" s="6" t="s">
        <v>111</v>
      </c>
      <c r="BO1607" s="15"/>
    </row>
    <row r="1608" spans="1:67">
      <c r="A1608" s="6" t="s">
        <v>67</v>
      </c>
      <c r="B1608" s="6"/>
      <c r="C1608" s="17">
        <v>33587</v>
      </c>
      <c r="D1608" s="18">
        <v>6.8283456840419863</v>
      </c>
      <c r="E1608" s="6"/>
      <c r="F1608" s="6"/>
      <c r="G1608" s="22"/>
      <c r="H1608" s="22"/>
      <c r="I1608" s="22"/>
      <c r="J1608" s="22"/>
      <c r="K1608" s="22"/>
      <c r="L1608" s="22"/>
      <c r="M1608" s="22"/>
      <c r="N1608" s="18">
        <v>12.71</v>
      </c>
      <c r="O1608" s="18"/>
      <c r="P1608" s="22"/>
      <c r="Q1608" s="22"/>
      <c r="R1608" s="22"/>
      <c r="S1608" s="22"/>
      <c r="T1608" s="22"/>
      <c r="U1608" s="22"/>
      <c r="V1608" s="6"/>
      <c r="W1608" s="6"/>
      <c r="X1608" s="19"/>
      <c r="Y1608" s="6"/>
      <c r="Z1608" s="6"/>
      <c r="AA1608" s="6"/>
      <c r="AB1608" s="6"/>
      <c r="AC1608" s="6"/>
      <c r="AD1608" s="6"/>
      <c r="AE1608" s="6"/>
      <c r="AF1608" s="18"/>
      <c r="AG1608" s="18"/>
      <c r="AH1608" s="18"/>
      <c r="AI1608" s="18"/>
      <c r="AK1608" s="18"/>
      <c r="AL1608" s="18"/>
      <c r="AM1608" s="18"/>
      <c r="AN1608" s="18"/>
      <c r="AO1608" s="6"/>
      <c r="AP1608" s="32"/>
      <c r="AQ1608" s="32"/>
      <c r="AR1608" s="32"/>
      <c r="AS1608" s="32"/>
      <c r="AT1608" s="32"/>
      <c r="AU1608" s="32"/>
      <c r="AV1608" s="32"/>
      <c r="AW1608" s="32"/>
      <c r="AX1608" s="32"/>
      <c r="AY1608" s="32"/>
      <c r="AZ1608" s="32"/>
      <c r="BA1608" s="32"/>
      <c r="BB1608" s="32"/>
      <c r="BC1608" s="32"/>
      <c r="BD1608" s="32"/>
      <c r="BE1608" s="32"/>
      <c r="BF1608" s="32"/>
      <c r="BG1608" s="32"/>
      <c r="BH1608" s="32"/>
      <c r="BI1608" s="32"/>
      <c r="BJ1608" s="6"/>
      <c r="BK1608" s="6"/>
      <c r="BL1608" s="6" t="s">
        <v>111</v>
      </c>
      <c r="BO1608" s="15"/>
    </row>
    <row r="1609" spans="1:67">
      <c r="A1609" s="6" t="s">
        <v>67</v>
      </c>
      <c r="B1609" s="6"/>
      <c r="C1609" s="17">
        <v>33953</v>
      </c>
      <c r="D1609" s="18">
        <v>7.8304204716760548</v>
      </c>
      <c r="E1609" s="6"/>
      <c r="F1609" s="6"/>
      <c r="G1609" s="22"/>
      <c r="H1609" s="22"/>
      <c r="I1609" s="22"/>
      <c r="J1609" s="22"/>
      <c r="K1609" s="22"/>
      <c r="L1609" s="22"/>
      <c r="M1609" s="22"/>
      <c r="N1609" s="18">
        <v>19.71</v>
      </c>
      <c r="O1609" s="18"/>
      <c r="P1609" s="22"/>
      <c r="Q1609" s="22"/>
      <c r="R1609" s="22"/>
      <c r="S1609" s="22"/>
      <c r="T1609" s="22"/>
      <c r="U1609" s="22"/>
      <c r="V1609" s="6"/>
      <c r="W1609" s="6"/>
      <c r="X1609" s="19"/>
      <c r="Y1609" s="6"/>
      <c r="Z1609" s="6"/>
      <c r="AA1609" s="6"/>
      <c r="AB1609" s="6"/>
      <c r="AC1609" s="6"/>
      <c r="AD1609" s="6"/>
      <c r="AE1609" s="6"/>
      <c r="AF1609" s="18"/>
      <c r="AG1609" s="18"/>
      <c r="AH1609" s="18"/>
      <c r="AI1609" s="51"/>
      <c r="AK1609" s="18"/>
      <c r="AL1609" s="18"/>
      <c r="AM1609" s="18"/>
      <c r="AN1609" s="18"/>
      <c r="AO1609" s="6"/>
      <c r="AP1609" s="32"/>
      <c r="AQ1609" s="32"/>
      <c r="AR1609" s="32"/>
      <c r="AS1609" s="32"/>
      <c r="AT1609" s="32"/>
      <c r="AU1609" s="32"/>
      <c r="AV1609" s="32"/>
      <c r="AW1609" s="32"/>
      <c r="AX1609" s="32"/>
      <c r="AY1609" s="32"/>
      <c r="AZ1609" s="32">
        <v>6</v>
      </c>
      <c r="BA1609" s="32"/>
      <c r="BB1609" s="32"/>
      <c r="BC1609" s="32"/>
      <c r="BD1609" s="32"/>
      <c r="BE1609" s="32"/>
      <c r="BF1609" s="32"/>
      <c r="BG1609" s="32"/>
      <c r="BH1609" s="32"/>
      <c r="BI1609" s="32"/>
      <c r="BJ1609" s="6"/>
      <c r="BK1609" s="6"/>
      <c r="BL1609" s="6" t="s">
        <v>111</v>
      </c>
      <c r="BO1609" s="15"/>
    </row>
    <row r="1610" spans="1:67">
      <c r="A1610" s="6" t="s">
        <v>67</v>
      </c>
      <c r="B1610" s="6"/>
      <c r="C1610" s="17">
        <v>34318</v>
      </c>
      <c r="D1610" s="18">
        <v>8.8297573500542921</v>
      </c>
      <c r="E1610" s="6"/>
      <c r="F1610" s="6"/>
      <c r="G1610" s="22"/>
      <c r="H1610" s="22"/>
      <c r="I1610" s="22"/>
      <c r="J1610" s="22"/>
      <c r="K1610" s="22"/>
      <c r="L1610" s="22"/>
      <c r="M1610" s="22"/>
      <c r="N1610" s="18">
        <v>30.71</v>
      </c>
      <c r="O1610" s="18"/>
      <c r="P1610" s="22"/>
      <c r="Q1610" s="22"/>
      <c r="R1610" s="22"/>
      <c r="S1610" s="22"/>
      <c r="T1610" s="22"/>
      <c r="U1610" s="22"/>
      <c r="V1610" s="6"/>
      <c r="W1610" s="6"/>
      <c r="X1610" s="19"/>
      <c r="Y1610" s="6"/>
      <c r="Z1610" s="6"/>
      <c r="AA1610" s="6"/>
      <c r="AB1610" s="6"/>
      <c r="AC1610" s="6"/>
      <c r="AD1610" s="6"/>
      <c r="AE1610" s="6"/>
      <c r="AF1610" s="18"/>
      <c r="AG1610" s="18"/>
      <c r="AH1610" s="18"/>
      <c r="AI1610" s="51"/>
      <c r="AK1610" s="18"/>
      <c r="AL1610" s="18"/>
      <c r="AM1610" s="18"/>
      <c r="AN1610" s="18"/>
      <c r="AO1610" s="6"/>
      <c r="AP1610" s="32"/>
      <c r="AQ1610" s="32"/>
      <c r="AR1610" s="32"/>
      <c r="AS1610" s="32"/>
      <c r="AT1610" s="32"/>
      <c r="AU1610" s="32"/>
      <c r="AV1610" s="32"/>
      <c r="AW1610" s="32"/>
      <c r="AX1610" s="32"/>
      <c r="AY1610" s="32"/>
      <c r="AZ1610" s="32">
        <v>9</v>
      </c>
      <c r="BA1610" s="32"/>
      <c r="BB1610" s="32"/>
      <c r="BC1610" s="32"/>
      <c r="BD1610" s="32"/>
      <c r="BE1610" s="32"/>
      <c r="BF1610" s="32"/>
      <c r="BG1610" s="32"/>
      <c r="BH1610" s="32"/>
      <c r="BI1610" s="32"/>
      <c r="BJ1610" s="6"/>
      <c r="BK1610" s="6"/>
      <c r="BL1610" s="6" t="s">
        <v>111</v>
      </c>
      <c r="BO1610" s="15"/>
    </row>
    <row r="1611" spans="1:67">
      <c r="A1611" s="6" t="s">
        <v>67</v>
      </c>
      <c r="B1611" s="6"/>
      <c r="C1611" s="17">
        <v>34683</v>
      </c>
      <c r="D1611" s="18">
        <v>9.8290942284325293</v>
      </c>
      <c r="E1611" s="6"/>
      <c r="F1611" s="6"/>
      <c r="G1611" s="22"/>
      <c r="H1611" s="22"/>
      <c r="I1611" s="22"/>
      <c r="J1611" s="22"/>
      <c r="K1611" s="22"/>
      <c r="L1611" s="22"/>
      <c r="M1611" s="22"/>
      <c r="N1611" s="18">
        <v>48.71</v>
      </c>
      <c r="O1611" s="18"/>
      <c r="P1611" s="22"/>
      <c r="Q1611" s="22"/>
      <c r="R1611" s="22"/>
      <c r="S1611" s="22"/>
      <c r="T1611" s="22"/>
      <c r="U1611" s="22"/>
      <c r="V1611" s="6"/>
      <c r="W1611" s="6"/>
      <c r="X1611" s="19"/>
      <c r="Y1611" s="6"/>
      <c r="Z1611" s="6"/>
      <c r="AA1611" s="6"/>
      <c r="AB1611" s="6"/>
      <c r="AC1611" s="6"/>
      <c r="AD1611" s="6"/>
      <c r="AE1611" s="6"/>
      <c r="AF1611" s="18"/>
      <c r="AG1611" s="18"/>
      <c r="AH1611" s="18"/>
      <c r="AI1611" s="51"/>
      <c r="AK1611" s="18"/>
      <c r="AL1611" s="18"/>
      <c r="AM1611" s="18"/>
      <c r="AN1611" s="18"/>
      <c r="AO1611" s="6"/>
      <c r="AP1611" s="32"/>
      <c r="AQ1611" s="32"/>
      <c r="AR1611" s="32"/>
      <c r="AS1611" s="32"/>
      <c r="AT1611" s="32"/>
      <c r="AU1611" s="32"/>
      <c r="AV1611" s="32"/>
      <c r="AW1611" s="32"/>
      <c r="AX1611" s="32"/>
      <c r="AY1611" s="32"/>
      <c r="AZ1611" s="32">
        <v>12</v>
      </c>
      <c r="BA1611" s="32"/>
      <c r="BB1611" s="32"/>
      <c r="BC1611" s="32"/>
      <c r="BD1611" s="32"/>
      <c r="BE1611" s="32"/>
      <c r="BF1611" s="32"/>
      <c r="BG1611" s="32"/>
      <c r="BH1611" s="32"/>
      <c r="BI1611" s="32"/>
      <c r="BJ1611" s="6"/>
      <c r="BK1611" s="6"/>
      <c r="BL1611" s="6" t="s">
        <v>111</v>
      </c>
      <c r="BO1611" s="15"/>
    </row>
    <row r="1612" spans="1:67">
      <c r="A1612" s="6" t="s">
        <v>67</v>
      </c>
      <c r="B1612" s="6"/>
      <c r="C1612" s="17">
        <v>35048</v>
      </c>
      <c r="D1612" s="18">
        <v>10.828431106810768</v>
      </c>
      <c r="E1612" s="6"/>
      <c r="F1612" s="6"/>
      <c r="G1612" s="22"/>
      <c r="H1612" s="22"/>
      <c r="I1612" s="22"/>
      <c r="J1612" s="22"/>
      <c r="K1612" s="22"/>
      <c r="L1612" s="22"/>
      <c r="M1612" s="22"/>
      <c r="N1612" s="18">
        <v>70.710000000000008</v>
      </c>
      <c r="O1612" s="18"/>
      <c r="P1612" s="22"/>
      <c r="Q1612" s="22"/>
      <c r="R1612" s="22"/>
      <c r="S1612" s="22"/>
      <c r="T1612" s="22"/>
      <c r="U1612" s="22"/>
      <c r="V1612" s="6"/>
      <c r="W1612" s="6"/>
      <c r="X1612" s="19"/>
      <c r="Y1612" s="6"/>
      <c r="Z1612" s="6"/>
      <c r="AA1612" s="6"/>
      <c r="AB1612" s="6"/>
      <c r="AC1612" s="6"/>
      <c r="AD1612" s="6"/>
      <c r="AE1612" s="6"/>
      <c r="AF1612" s="18"/>
      <c r="AG1612" s="18"/>
      <c r="AH1612" s="18"/>
      <c r="AI1612" s="51"/>
      <c r="AK1612" s="18"/>
      <c r="AL1612" s="18"/>
      <c r="AM1612" s="18"/>
      <c r="AN1612" s="18"/>
      <c r="AO1612" s="6"/>
      <c r="AP1612" s="32"/>
      <c r="AQ1612" s="32"/>
      <c r="AR1612" s="32"/>
      <c r="AS1612" s="32"/>
      <c r="AT1612" s="32"/>
      <c r="AU1612" s="32"/>
      <c r="AV1612" s="32"/>
      <c r="AW1612" s="32"/>
      <c r="AX1612" s="32"/>
      <c r="AY1612" s="32"/>
      <c r="AZ1612" s="32">
        <v>16</v>
      </c>
      <c r="BA1612" s="32"/>
      <c r="BB1612" s="32"/>
      <c r="BC1612" s="32"/>
      <c r="BD1612" s="32"/>
      <c r="BE1612" s="32"/>
      <c r="BF1612" s="32"/>
      <c r="BG1612" s="32"/>
      <c r="BH1612" s="32"/>
      <c r="BI1612" s="32"/>
      <c r="BJ1612" s="6"/>
      <c r="BK1612" s="6"/>
      <c r="BL1612" s="6" t="s">
        <v>111</v>
      </c>
      <c r="BO1612" s="15"/>
    </row>
    <row r="1613" spans="1:67">
      <c r="A1613" s="6" t="s">
        <v>67</v>
      </c>
      <c r="B1613" s="6"/>
      <c r="C1613" s="17">
        <v>35414</v>
      </c>
      <c r="D1613" s="18">
        <v>11.830505894444837</v>
      </c>
      <c r="E1613" s="6"/>
      <c r="F1613" s="6"/>
      <c r="G1613" s="22"/>
      <c r="H1613" s="22"/>
      <c r="I1613" s="22"/>
      <c r="J1613" s="22"/>
      <c r="K1613" s="22"/>
      <c r="L1613" s="22"/>
      <c r="M1613" s="22"/>
      <c r="N1613" s="18">
        <v>90.710000000000008</v>
      </c>
      <c r="O1613" s="18"/>
      <c r="P1613" s="22"/>
      <c r="Q1613" s="22"/>
      <c r="R1613" s="22"/>
      <c r="S1613" s="22"/>
      <c r="T1613" s="22"/>
      <c r="U1613" s="22"/>
      <c r="V1613" s="6"/>
      <c r="W1613" s="6"/>
      <c r="X1613" s="19"/>
      <c r="Y1613" s="6"/>
      <c r="Z1613" s="6"/>
      <c r="AA1613" s="6"/>
      <c r="AB1613" s="6"/>
      <c r="AC1613" s="6"/>
      <c r="AD1613" s="6"/>
      <c r="AE1613" s="6"/>
      <c r="AF1613" s="18"/>
      <c r="AG1613" s="18"/>
      <c r="AH1613" s="18"/>
      <c r="AI1613" s="51"/>
      <c r="AK1613" s="18"/>
      <c r="AL1613" s="18"/>
      <c r="AM1613" s="18"/>
      <c r="AN1613" s="18"/>
      <c r="AO1613" s="6"/>
      <c r="AP1613" s="32"/>
      <c r="AQ1613" s="32"/>
      <c r="AR1613" s="32"/>
      <c r="AS1613" s="32"/>
      <c r="AT1613" s="32"/>
      <c r="AU1613" s="32"/>
      <c r="AV1613" s="32"/>
      <c r="AW1613" s="32"/>
      <c r="AX1613" s="32"/>
      <c r="AY1613" s="32"/>
      <c r="AZ1613" s="32">
        <v>20</v>
      </c>
      <c r="BA1613" s="32"/>
      <c r="BB1613" s="32"/>
      <c r="BC1613" s="32"/>
      <c r="BD1613" s="32"/>
      <c r="BE1613" s="32"/>
      <c r="BF1613" s="32"/>
      <c r="BG1613" s="32"/>
      <c r="BH1613" s="32"/>
      <c r="BI1613" s="32"/>
      <c r="BJ1613" s="6"/>
      <c r="BK1613" s="6"/>
      <c r="BL1613" s="6" t="s">
        <v>111</v>
      </c>
      <c r="BO1613" s="15"/>
    </row>
    <row r="1614" spans="1:67" ht="13.25" customHeight="1">
      <c r="A1614" s="6" t="s">
        <v>67</v>
      </c>
      <c r="B1614" s="6"/>
      <c r="C1614" s="17">
        <v>35779</v>
      </c>
      <c r="D1614" s="18">
        <v>12.829842772823074</v>
      </c>
      <c r="E1614" s="6"/>
      <c r="F1614" s="6"/>
      <c r="G1614" s="22"/>
      <c r="H1614" s="22"/>
      <c r="I1614" s="22"/>
      <c r="J1614" s="22"/>
      <c r="K1614" s="22"/>
      <c r="L1614" s="22"/>
      <c r="M1614" s="22"/>
      <c r="N1614" s="18">
        <v>116.71000000000001</v>
      </c>
      <c r="O1614" s="18"/>
      <c r="P1614" s="22"/>
      <c r="Q1614" s="22"/>
      <c r="R1614" s="22"/>
      <c r="S1614" s="22"/>
      <c r="T1614" s="22"/>
      <c r="U1614" s="22"/>
      <c r="V1614" s="6"/>
      <c r="W1614" s="6"/>
      <c r="X1614" s="19"/>
      <c r="Y1614" s="6"/>
      <c r="Z1614" s="6"/>
      <c r="AA1614" s="6"/>
      <c r="AB1614" s="6"/>
      <c r="AC1614" s="6"/>
      <c r="AD1614" s="6"/>
      <c r="AE1614" s="6"/>
      <c r="AF1614" s="18"/>
      <c r="AG1614" s="18"/>
      <c r="AH1614" s="18"/>
      <c r="AI1614" s="51"/>
      <c r="AK1614" s="18"/>
      <c r="AL1614" s="18"/>
      <c r="AM1614" s="18"/>
      <c r="AN1614" s="18"/>
      <c r="AO1614" s="6"/>
      <c r="AP1614" s="32"/>
      <c r="AQ1614" s="32"/>
      <c r="AR1614" s="32"/>
      <c r="AS1614" s="32"/>
      <c r="AT1614" s="32"/>
      <c r="AU1614" s="32"/>
      <c r="AV1614" s="32"/>
      <c r="AW1614" s="32"/>
      <c r="AX1614" s="32"/>
      <c r="AY1614" s="32"/>
      <c r="AZ1614" s="32">
        <v>24</v>
      </c>
      <c r="BA1614" s="32"/>
      <c r="BB1614" s="32"/>
      <c r="BC1614" s="32"/>
      <c r="BD1614" s="32"/>
      <c r="BE1614" s="32"/>
      <c r="BF1614" s="32"/>
      <c r="BG1614" s="32"/>
      <c r="BH1614" s="32"/>
      <c r="BI1614" s="32"/>
      <c r="BJ1614" s="6"/>
      <c r="BK1614" s="6"/>
      <c r="BL1614" s="6" t="s">
        <v>111</v>
      </c>
      <c r="BO1614" s="15"/>
    </row>
    <row r="1615" spans="1:67" ht="13.25" customHeight="1">
      <c r="A1615" s="6" t="s">
        <v>67</v>
      </c>
      <c r="B1615" s="6"/>
      <c r="C1615" s="17">
        <v>36144</v>
      </c>
      <c r="D1615" s="18">
        <v>13.829179651201311</v>
      </c>
      <c r="E1615" s="6"/>
      <c r="F1615" s="6"/>
      <c r="G1615" s="22"/>
      <c r="H1615" s="22"/>
      <c r="I1615" s="22"/>
      <c r="J1615" s="22"/>
      <c r="K1615" s="22"/>
      <c r="L1615" s="22"/>
      <c r="M1615" s="22"/>
      <c r="N1615" s="18">
        <v>137.71</v>
      </c>
      <c r="O1615" s="18"/>
      <c r="P1615" s="22"/>
      <c r="Q1615" s="22"/>
      <c r="R1615" s="22"/>
      <c r="S1615" s="22"/>
      <c r="T1615" s="22"/>
      <c r="U1615" s="22"/>
      <c r="V1615" s="6"/>
      <c r="W1615" s="6"/>
      <c r="X1615" s="19"/>
      <c r="Y1615" s="6"/>
      <c r="Z1615" s="6"/>
      <c r="AA1615" s="6"/>
      <c r="AB1615" s="6"/>
      <c r="AC1615" s="6"/>
      <c r="AD1615" s="6"/>
      <c r="AE1615" s="6"/>
      <c r="AF1615" s="18"/>
      <c r="AG1615" s="18"/>
      <c r="AH1615" s="18"/>
      <c r="AI1615" s="51"/>
      <c r="AK1615" s="18"/>
      <c r="AL1615" s="18"/>
      <c r="AM1615" s="18"/>
      <c r="AN1615" s="18"/>
      <c r="AO1615" s="6"/>
      <c r="AP1615" s="32"/>
      <c r="AQ1615" s="32"/>
      <c r="AR1615" s="32"/>
      <c r="AS1615" s="32"/>
      <c r="AT1615" s="32"/>
      <c r="AU1615" s="32"/>
      <c r="AV1615" s="32"/>
      <c r="AW1615" s="32"/>
      <c r="AX1615" s="32"/>
      <c r="AY1615" s="32"/>
      <c r="AZ1615" s="32">
        <v>28</v>
      </c>
      <c r="BA1615" s="32"/>
      <c r="BB1615" s="32"/>
      <c r="BC1615" s="32"/>
      <c r="BD1615" s="32"/>
      <c r="BE1615" s="32"/>
      <c r="BF1615" s="32"/>
      <c r="BG1615" s="32"/>
      <c r="BH1615" s="32"/>
      <c r="BI1615" s="32"/>
      <c r="BJ1615" s="6"/>
      <c r="BK1615" s="6"/>
      <c r="BL1615" s="6" t="s">
        <v>111</v>
      </c>
      <c r="BO1615" s="15"/>
    </row>
    <row r="1616" spans="1:67">
      <c r="A1616" s="6" t="s">
        <v>67</v>
      </c>
      <c r="B1616" s="6"/>
      <c r="C1616" s="17">
        <v>36509</v>
      </c>
      <c r="D1616" s="18">
        <v>14.828516529579549</v>
      </c>
      <c r="E1616" s="6"/>
      <c r="F1616" s="6"/>
      <c r="G1616" s="22"/>
      <c r="H1616" s="22"/>
      <c r="I1616" s="22"/>
      <c r="J1616" s="22"/>
      <c r="K1616" s="22"/>
      <c r="L1616" s="22"/>
      <c r="M1616" s="22"/>
      <c r="N1616" s="18">
        <v>160.71</v>
      </c>
      <c r="O1616" s="18"/>
      <c r="P1616" s="22"/>
      <c r="Q1616" s="22"/>
      <c r="R1616" s="22"/>
      <c r="S1616" s="22"/>
      <c r="T1616" s="22"/>
      <c r="U1616" s="22"/>
      <c r="V1616" s="6"/>
      <c r="W1616" s="6"/>
      <c r="X1616" s="19"/>
      <c r="Y1616" s="6"/>
      <c r="Z1616" s="6"/>
      <c r="AA1616" s="6"/>
      <c r="AB1616" s="6"/>
      <c r="AC1616" s="6"/>
      <c r="AD1616" s="6"/>
      <c r="AE1616" s="6"/>
      <c r="AF1616" s="18"/>
      <c r="AG1616" s="18"/>
      <c r="AH1616" s="18"/>
      <c r="AI1616" s="51"/>
      <c r="AK1616" s="18"/>
      <c r="AL1616" s="18"/>
      <c r="AM1616" s="18"/>
      <c r="AN1616" s="18"/>
      <c r="AO1616" s="6"/>
      <c r="AP1616" s="32"/>
      <c r="AQ1616" s="32"/>
      <c r="AR1616" s="32"/>
      <c r="AS1616" s="32"/>
      <c r="AT1616" s="32"/>
      <c r="AU1616" s="32"/>
      <c r="AV1616" s="32"/>
      <c r="AW1616" s="32"/>
      <c r="AX1616" s="32"/>
      <c r="AY1616" s="32"/>
      <c r="AZ1616" s="32">
        <v>31</v>
      </c>
      <c r="BA1616" s="32"/>
      <c r="BB1616" s="32"/>
      <c r="BC1616" s="32"/>
      <c r="BD1616" s="32"/>
      <c r="BE1616" s="32"/>
      <c r="BF1616" s="32"/>
      <c r="BG1616" s="32"/>
      <c r="BH1616" s="32"/>
      <c r="BI1616" s="32"/>
      <c r="BJ1616" s="6"/>
      <c r="BK1616" s="6"/>
      <c r="BL1616" s="6" t="s">
        <v>111</v>
      </c>
      <c r="BO1616" s="15"/>
    </row>
    <row r="1617" spans="1:67">
      <c r="A1617" s="6" t="s">
        <v>67</v>
      </c>
      <c r="B1617" s="6"/>
      <c r="C1617" s="17">
        <v>36875</v>
      </c>
      <c r="D1617" s="18">
        <v>15.830591317213617</v>
      </c>
      <c r="E1617" s="6"/>
      <c r="F1617" s="6"/>
      <c r="G1617" s="22"/>
      <c r="H1617" s="22"/>
      <c r="I1617" s="22"/>
      <c r="J1617" s="22"/>
      <c r="K1617" s="22"/>
      <c r="L1617" s="22"/>
      <c r="M1617" s="22"/>
      <c r="N1617" s="18">
        <v>184.71</v>
      </c>
      <c r="O1617" s="18"/>
      <c r="P1617" s="22"/>
      <c r="Q1617" s="22"/>
      <c r="R1617" s="22"/>
      <c r="S1617" s="22"/>
      <c r="T1617" s="22"/>
      <c r="U1617" s="22"/>
      <c r="V1617" s="6"/>
      <c r="W1617" s="6"/>
      <c r="X1617" s="19"/>
      <c r="Y1617" s="6"/>
      <c r="Z1617" s="6"/>
      <c r="AA1617" s="6"/>
      <c r="AB1617" s="6"/>
      <c r="AC1617" s="6"/>
      <c r="AD1617" s="6"/>
      <c r="AE1617" s="6"/>
      <c r="AF1617" s="18"/>
      <c r="AG1617" s="18"/>
      <c r="AH1617" s="18"/>
      <c r="AI1617" s="51"/>
      <c r="AK1617" s="18"/>
      <c r="AL1617" s="18"/>
      <c r="AM1617" s="18"/>
      <c r="AN1617" s="18"/>
      <c r="AO1617" s="6"/>
      <c r="AP1617" s="32"/>
      <c r="AQ1617" s="32"/>
      <c r="AR1617" s="32"/>
      <c r="AS1617" s="32"/>
      <c r="AT1617" s="32"/>
      <c r="AU1617" s="32"/>
      <c r="AV1617" s="32"/>
      <c r="AW1617" s="32"/>
      <c r="AX1617" s="32"/>
      <c r="AY1617" s="32"/>
      <c r="AZ1617" s="32">
        <v>33</v>
      </c>
      <c r="BA1617" s="32"/>
      <c r="BB1617" s="32"/>
      <c r="BC1617" s="32"/>
      <c r="BD1617" s="32"/>
      <c r="BE1617" s="32"/>
      <c r="BF1617" s="32"/>
      <c r="BG1617" s="32"/>
      <c r="BH1617" s="32"/>
      <c r="BI1617" s="32"/>
      <c r="BJ1617" s="6"/>
      <c r="BK1617" s="6"/>
      <c r="BL1617" s="6" t="s">
        <v>111</v>
      </c>
      <c r="BO1617" s="15"/>
    </row>
    <row r="1618" spans="1:67">
      <c r="A1618" s="6" t="s">
        <v>67</v>
      </c>
      <c r="B1618" s="6"/>
      <c r="C1618" s="17">
        <v>37240</v>
      </c>
      <c r="D1618" s="18">
        <v>16.829928195591854</v>
      </c>
      <c r="E1618" s="6"/>
      <c r="F1618" s="6"/>
      <c r="G1618" s="22"/>
      <c r="H1618" s="22"/>
      <c r="I1618" s="22"/>
      <c r="J1618" s="22"/>
      <c r="K1618" s="22"/>
      <c r="L1618" s="22"/>
      <c r="M1618" s="22"/>
      <c r="N1618" s="18">
        <v>207.71</v>
      </c>
      <c r="O1618" s="18"/>
      <c r="P1618" s="22"/>
      <c r="Q1618" s="22"/>
      <c r="R1618" s="22"/>
      <c r="S1618" s="22"/>
      <c r="T1618" s="22"/>
      <c r="U1618" s="22"/>
      <c r="V1618" s="6"/>
      <c r="W1618" s="6"/>
      <c r="X1618" s="19"/>
      <c r="Y1618" s="6"/>
      <c r="Z1618" s="6"/>
      <c r="AA1618" s="6"/>
      <c r="AB1618" s="6"/>
      <c r="AC1618" s="6"/>
      <c r="AD1618" s="6"/>
      <c r="AE1618" s="6"/>
      <c r="AF1618" s="18"/>
      <c r="AG1618" s="18"/>
      <c r="AH1618" s="18"/>
      <c r="AI1618" s="51">
        <v>33</v>
      </c>
      <c r="AK1618" s="18"/>
      <c r="AL1618" s="18"/>
      <c r="AM1618" s="18"/>
      <c r="AN1618" s="18"/>
      <c r="AO1618" s="6"/>
      <c r="AP1618" s="32"/>
      <c r="AQ1618" s="32"/>
      <c r="AR1618" s="32"/>
      <c r="AS1618" s="32"/>
      <c r="AT1618" s="32"/>
      <c r="AU1618" s="32"/>
      <c r="AV1618" s="32"/>
      <c r="AW1618" s="32"/>
      <c r="AX1618" s="32"/>
      <c r="AY1618" s="32"/>
      <c r="AZ1618" s="32">
        <v>36</v>
      </c>
      <c r="BA1618" s="32"/>
      <c r="BB1618" s="32"/>
      <c r="BC1618" s="32"/>
      <c r="BD1618" s="32"/>
      <c r="BE1618" s="32"/>
      <c r="BF1618" s="32"/>
      <c r="BG1618" s="32"/>
      <c r="BH1618" s="32"/>
      <c r="BI1618" s="32"/>
      <c r="BJ1618" s="6"/>
      <c r="BK1618" s="6"/>
      <c r="BL1618" s="6" t="s">
        <v>111</v>
      </c>
      <c r="BO1618" s="15"/>
    </row>
    <row r="1619" spans="1:67">
      <c r="A1619" s="6" t="s">
        <v>67</v>
      </c>
      <c r="B1619" s="6"/>
      <c r="C1619" s="17">
        <v>37605</v>
      </c>
      <c r="D1619" s="18">
        <v>17.829265073970092</v>
      </c>
      <c r="E1619" s="6"/>
      <c r="F1619" s="6"/>
      <c r="G1619" s="22"/>
      <c r="H1619" s="22"/>
      <c r="I1619" s="22"/>
      <c r="J1619" s="22"/>
      <c r="K1619" s="22"/>
      <c r="L1619" s="22"/>
      <c r="M1619" s="22"/>
      <c r="N1619" s="18">
        <v>225.71</v>
      </c>
      <c r="O1619" s="18"/>
      <c r="P1619" s="22"/>
      <c r="Q1619" s="22"/>
      <c r="R1619" s="22"/>
      <c r="S1619" s="22"/>
      <c r="T1619" s="22"/>
      <c r="U1619" s="22"/>
      <c r="V1619" s="6"/>
      <c r="W1619" s="6"/>
      <c r="X1619" s="19"/>
      <c r="Y1619" s="6"/>
      <c r="Z1619" s="6"/>
      <c r="AA1619" s="6"/>
      <c r="AB1619" s="6"/>
      <c r="AC1619" s="6"/>
      <c r="AD1619" s="6"/>
      <c r="AE1619" s="6"/>
      <c r="AF1619" s="18"/>
      <c r="AG1619" s="18"/>
      <c r="AH1619" s="18"/>
      <c r="AI1619" s="51">
        <v>35</v>
      </c>
      <c r="AK1619" s="18"/>
      <c r="AL1619" s="18"/>
      <c r="AM1619" s="18"/>
      <c r="AN1619" s="18"/>
      <c r="AO1619" s="6"/>
      <c r="AP1619" s="32"/>
      <c r="AQ1619" s="32"/>
      <c r="AR1619" s="32"/>
      <c r="AS1619" s="32"/>
      <c r="AT1619" s="32"/>
      <c r="AU1619" s="32"/>
      <c r="AV1619" s="32"/>
      <c r="AW1619" s="32"/>
      <c r="AX1619" s="32"/>
      <c r="AY1619" s="32"/>
      <c r="AZ1619" s="32">
        <v>38</v>
      </c>
      <c r="BA1619" s="32"/>
      <c r="BB1619" s="32"/>
      <c r="BC1619" s="32"/>
      <c r="BD1619" s="32"/>
      <c r="BE1619" s="32"/>
      <c r="BF1619" s="32"/>
      <c r="BG1619" s="32"/>
      <c r="BH1619" s="32"/>
      <c r="BI1619" s="32"/>
      <c r="BJ1619" s="6"/>
      <c r="BK1619" s="6"/>
      <c r="BL1619" s="6" t="s">
        <v>111</v>
      </c>
      <c r="BO1619" s="15"/>
    </row>
    <row r="1620" spans="1:67">
      <c r="A1620" s="6" t="s">
        <v>67</v>
      </c>
      <c r="B1620" s="6"/>
      <c r="C1620" s="17">
        <v>37970</v>
      </c>
      <c r="D1620" s="18">
        <v>18.828601952348333</v>
      </c>
      <c r="E1620" s="6"/>
      <c r="F1620" s="6"/>
      <c r="G1620" s="22"/>
      <c r="H1620" s="22"/>
      <c r="I1620" s="22"/>
      <c r="J1620" s="22"/>
      <c r="K1620" s="22"/>
      <c r="L1620" s="22"/>
      <c r="M1620" s="22"/>
      <c r="N1620" s="18">
        <v>254.71</v>
      </c>
      <c r="O1620" s="18"/>
      <c r="P1620" s="22"/>
      <c r="Q1620" s="22"/>
      <c r="R1620" s="22"/>
      <c r="S1620" s="22"/>
      <c r="T1620" s="22"/>
      <c r="U1620" s="22"/>
      <c r="V1620" s="6"/>
      <c r="W1620" s="6"/>
      <c r="X1620" s="19"/>
      <c r="Y1620" s="6"/>
      <c r="Z1620" s="6"/>
      <c r="AA1620" s="6"/>
      <c r="AB1620" s="6"/>
      <c r="AC1620" s="6"/>
      <c r="AD1620" s="6"/>
      <c r="AE1620" s="6"/>
      <c r="AF1620" s="18"/>
      <c r="AG1620" s="18"/>
      <c r="AH1620" s="18"/>
      <c r="AI1620" s="51">
        <v>37</v>
      </c>
      <c r="AK1620" s="18"/>
      <c r="AL1620" s="18"/>
      <c r="AM1620" s="18"/>
      <c r="AN1620" s="18"/>
      <c r="AO1620" s="6"/>
      <c r="AP1620" s="32"/>
      <c r="AQ1620" s="32"/>
      <c r="AR1620" s="32"/>
      <c r="AS1620" s="32"/>
      <c r="AT1620" s="32"/>
      <c r="AU1620" s="32"/>
      <c r="AV1620" s="32"/>
      <c r="AW1620" s="32"/>
      <c r="AX1620" s="32"/>
      <c r="AY1620" s="32"/>
      <c r="AZ1620" s="32">
        <v>40</v>
      </c>
      <c r="BA1620" s="32"/>
      <c r="BB1620" s="32"/>
      <c r="BC1620" s="32"/>
      <c r="BD1620" s="32"/>
      <c r="BE1620" s="32"/>
      <c r="BF1620" s="32"/>
      <c r="BG1620" s="32"/>
      <c r="BH1620" s="32"/>
      <c r="BI1620" s="32"/>
      <c r="BJ1620" s="6"/>
      <c r="BK1620" s="6"/>
      <c r="BL1620" s="6" t="s">
        <v>111</v>
      </c>
      <c r="BO1620" s="15"/>
    </row>
    <row r="1621" spans="1:67">
      <c r="A1621" s="6" t="s">
        <v>67</v>
      </c>
      <c r="B1621" s="6"/>
      <c r="C1621" s="17">
        <v>38336</v>
      </c>
      <c r="D1621" s="18">
        <v>19.830676739982401</v>
      </c>
      <c r="E1621" s="6"/>
      <c r="F1621" s="6"/>
      <c r="G1621" s="22"/>
      <c r="H1621" s="22"/>
      <c r="I1621" s="22"/>
      <c r="J1621" s="22"/>
      <c r="K1621" s="22"/>
      <c r="L1621" s="22"/>
      <c r="M1621" s="22"/>
      <c r="N1621" s="18">
        <v>278.71000000000004</v>
      </c>
      <c r="O1621" s="18"/>
      <c r="P1621" s="22"/>
      <c r="Q1621" s="22"/>
      <c r="R1621" s="22"/>
      <c r="S1621" s="22"/>
      <c r="T1621" s="22"/>
      <c r="U1621" s="22"/>
      <c r="V1621" s="6"/>
      <c r="W1621" s="6"/>
      <c r="X1621" s="19"/>
      <c r="Y1621" s="6"/>
      <c r="Z1621" s="6"/>
      <c r="AA1621" s="6"/>
      <c r="AB1621" s="6"/>
      <c r="AC1621" s="6"/>
      <c r="AD1621" s="6"/>
      <c r="AE1621" s="6"/>
      <c r="AF1621" s="18"/>
      <c r="AG1621" s="18"/>
      <c r="AH1621" s="18"/>
      <c r="AI1621" s="51">
        <v>38</v>
      </c>
      <c r="AK1621" s="18"/>
      <c r="AL1621" s="18"/>
      <c r="AM1621" s="18"/>
      <c r="AN1621" s="18"/>
      <c r="AO1621" s="6"/>
      <c r="AP1621" s="32"/>
      <c r="AQ1621" s="32"/>
      <c r="AR1621" s="32"/>
      <c r="AS1621" s="32"/>
      <c r="AT1621" s="32"/>
      <c r="AU1621" s="32"/>
      <c r="AV1621" s="32"/>
      <c r="AW1621" s="32"/>
      <c r="AX1621" s="32"/>
      <c r="AY1621" s="32"/>
      <c r="AZ1621" s="32">
        <v>43</v>
      </c>
      <c r="BA1621" s="32"/>
      <c r="BB1621" s="32"/>
      <c r="BC1621" s="32"/>
      <c r="BD1621" s="32"/>
      <c r="BE1621" s="32"/>
      <c r="BF1621" s="32"/>
      <c r="BG1621" s="32"/>
      <c r="BH1621" s="32"/>
      <c r="BI1621" s="32"/>
      <c r="BJ1621" s="6"/>
      <c r="BK1621" s="6"/>
      <c r="BL1621" s="6" t="s">
        <v>111</v>
      </c>
      <c r="BO1621" s="15"/>
    </row>
    <row r="1622" spans="1:67">
      <c r="A1622" s="6" t="s">
        <v>67</v>
      </c>
      <c r="B1622" s="6"/>
      <c r="C1622" s="17">
        <v>38701</v>
      </c>
      <c r="D1622" s="18">
        <v>20.830013618360638</v>
      </c>
      <c r="E1622" s="6"/>
      <c r="F1622" s="6"/>
      <c r="G1622" s="22"/>
      <c r="H1622" s="22"/>
      <c r="I1622" s="22"/>
      <c r="J1622" s="22"/>
      <c r="K1622" s="22"/>
      <c r="L1622" s="22"/>
      <c r="M1622" s="22"/>
      <c r="N1622" s="18">
        <v>298.71000000000004</v>
      </c>
      <c r="O1622" s="18"/>
      <c r="P1622" s="22"/>
      <c r="Q1622" s="22"/>
      <c r="R1622" s="22"/>
      <c r="S1622" s="22"/>
      <c r="T1622" s="22"/>
      <c r="U1622" s="22"/>
      <c r="V1622" s="6"/>
      <c r="W1622" s="6"/>
      <c r="X1622" s="19"/>
      <c r="Y1622" s="6"/>
      <c r="Z1622" s="6"/>
      <c r="AA1622" s="6"/>
      <c r="AB1622" s="6"/>
      <c r="AC1622" s="6"/>
      <c r="AD1622" s="6"/>
      <c r="AE1622" s="6"/>
      <c r="AF1622" s="18"/>
      <c r="AG1622" s="18"/>
      <c r="AH1622" s="18"/>
      <c r="AI1622" s="51">
        <v>39</v>
      </c>
      <c r="AK1622" s="18"/>
      <c r="AL1622" s="18"/>
      <c r="AM1622" s="18"/>
      <c r="AN1622" s="18"/>
      <c r="AO1622" s="6"/>
      <c r="AP1622" s="32"/>
      <c r="AQ1622" s="32"/>
      <c r="AR1622" s="32"/>
      <c r="AS1622" s="32"/>
      <c r="AT1622" s="32"/>
      <c r="AU1622" s="32"/>
      <c r="AV1622" s="32"/>
      <c r="AW1622" s="32"/>
      <c r="AX1622" s="32" t="e">
        <v>#REF!</v>
      </c>
      <c r="AY1622" s="32">
        <v>12.14</v>
      </c>
      <c r="AZ1622" s="32">
        <v>45</v>
      </c>
      <c r="BA1622" s="32">
        <v>8.43</v>
      </c>
      <c r="BB1622" s="32">
        <v>5.01</v>
      </c>
      <c r="BC1622" s="32"/>
      <c r="BD1622" s="32"/>
      <c r="BE1622" s="32"/>
      <c r="BF1622" s="32">
        <v>14.35</v>
      </c>
      <c r="BG1622" s="32">
        <v>11.35</v>
      </c>
      <c r="BH1622" s="32">
        <v>0.79</v>
      </c>
      <c r="BI1622" s="32"/>
      <c r="BJ1622" s="6"/>
      <c r="BK1622" s="6"/>
      <c r="BL1622" s="6" t="s">
        <v>111</v>
      </c>
      <c r="BO1622" s="15"/>
    </row>
    <row r="1623" spans="1:67">
      <c r="A1623" s="6" t="s">
        <v>68</v>
      </c>
      <c r="B1623" s="6"/>
      <c r="C1623" s="17">
        <v>33587</v>
      </c>
      <c r="D1623" s="18">
        <v>6.8283456840419863</v>
      </c>
      <c r="E1623" s="6"/>
      <c r="F1623" s="6"/>
      <c r="G1623" s="22"/>
      <c r="H1623" s="22"/>
      <c r="I1623" s="22"/>
      <c r="J1623" s="22"/>
      <c r="K1623" s="22"/>
      <c r="L1623" s="22"/>
      <c r="M1623" s="22"/>
      <c r="N1623" s="18">
        <v>12.34</v>
      </c>
      <c r="O1623" s="18"/>
      <c r="P1623" s="22"/>
      <c r="Q1623" s="22"/>
      <c r="R1623" s="22"/>
      <c r="S1623" s="22"/>
      <c r="T1623" s="22"/>
      <c r="U1623" s="22"/>
      <c r="V1623" s="6"/>
      <c r="W1623" s="6"/>
      <c r="X1623" s="19"/>
      <c r="Y1623" s="6"/>
      <c r="Z1623" s="6"/>
      <c r="AA1623" s="6"/>
      <c r="AB1623" s="6"/>
      <c r="AC1623" s="6"/>
      <c r="AD1623" s="6"/>
      <c r="AE1623" s="6"/>
      <c r="AF1623" s="18"/>
      <c r="AG1623" s="18"/>
      <c r="AH1623" s="18"/>
      <c r="AI1623" s="18"/>
      <c r="AK1623" s="18"/>
      <c r="AL1623" s="18"/>
      <c r="AM1623" s="18"/>
      <c r="AN1623" s="18"/>
      <c r="AO1623" s="6"/>
      <c r="AP1623" s="32"/>
      <c r="AQ1623" s="32"/>
      <c r="AR1623" s="32"/>
      <c r="AS1623" s="32"/>
      <c r="AT1623" s="32"/>
      <c r="AU1623" s="32"/>
      <c r="AV1623" s="32"/>
      <c r="AW1623" s="32"/>
      <c r="AX1623" s="32"/>
      <c r="AY1623" s="32"/>
      <c r="AZ1623" s="32"/>
      <c r="BA1623" s="32"/>
      <c r="BB1623" s="32"/>
      <c r="BC1623" s="32"/>
      <c r="BD1623" s="32"/>
      <c r="BE1623" s="32"/>
      <c r="BF1623" s="32"/>
      <c r="BG1623" s="32"/>
      <c r="BH1623" s="32"/>
      <c r="BI1623" s="32"/>
      <c r="BJ1623" s="6"/>
      <c r="BK1623" s="6"/>
      <c r="BL1623" s="6" t="s">
        <v>111</v>
      </c>
      <c r="BO1623" s="15"/>
    </row>
    <row r="1624" spans="1:67">
      <c r="A1624" s="6" t="s">
        <v>68</v>
      </c>
      <c r="B1624" s="6"/>
      <c r="C1624" s="17">
        <v>33953</v>
      </c>
      <c r="D1624" s="18">
        <v>7.8304204716760548</v>
      </c>
      <c r="E1624" s="6"/>
      <c r="F1624" s="6"/>
      <c r="G1624" s="22"/>
      <c r="H1624" s="22"/>
      <c r="I1624" s="22"/>
      <c r="J1624" s="22"/>
      <c r="K1624" s="22"/>
      <c r="L1624" s="22"/>
      <c r="M1624" s="22"/>
      <c r="N1624" s="18">
        <v>18.34</v>
      </c>
      <c r="O1624" s="18"/>
      <c r="P1624" s="22"/>
      <c r="Q1624" s="22"/>
      <c r="R1624" s="22"/>
      <c r="S1624" s="22"/>
      <c r="T1624" s="22"/>
      <c r="U1624" s="22"/>
      <c r="V1624" s="6"/>
      <c r="W1624" s="6"/>
      <c r="X1624" s="19"/>
      <c r="Y1624" s="6"/>
      <c r="Z1624" s="6"/>
      <c r="AA1624" s="6"/>
      <c r="AB1624" s="6"/>
      <c r="AC1624" s="6"/>
      <c r="AD1624" s="6"/>
      <c r="AE1624" s="6"/>
      <c r="AF1624" s="18"/>
      <c r="AG1624" s="18"/>
      <c r="AH1624" s="18"/>
      <c r="AI1624" s="18"/>
      <c r="AK1624" s="18"/>
      <c r="AL1624" s="18"/>
      <c r="AM1624" s="18"/>
      <c r="AN1624" s="18"/>
      <c r="AO1624" s="6"/>
      <c r="AP1624" s="32"/>
      <c r="AQ1624" s="32"/>
      <c r="AR1624" s="32"/>
      <c r="AS1624" s="32"/>
      <c r="AT1624" s="32"/>
      <c r="AU1624" s="32"/>
      <c r="AV1624" s="32"/>
      <c r="AW1624" s="32"/>
      <c r="AX1624" s="32"/>
      <c r="AY1624" s="32"/>
      <c r="AZ1624" s="32">
        <v>5.5</v>
      </c>
      <c r="BA1624" s="32"/>
      <c r="BB1624" s="32"/>
      <c r="BC1624" s="32"/>
      <c r="BD1624" s="32"/>
      <c r="BE1624" s="32"/>
      <c r="BF1624" s="32"/>
      <c r="BG1624" s="32"/>
      <c r="BH1624" s="32"/>
      <c r="BI1624" s="32"/>
      <c r="BJ1624" s="6"/>
      <c r="BK1624" s="6"/>
      <c r="BL1624" s="6" t="s">
        <v>111</v>
      </c>
      <c r="BO1624" s="15"/>
    </row>
    <row r="1625" spans="1:67">
      <c r="A1625" s="6" t="s">
        <v>68</v>
      </c>
      <c r="B1625" s="6"/>
      <c r="C1625" s="17">
        <v>34318</v>
      </c>
      <c r="D1625" s="18">
        <v>8.8297573500542921</v>
      </c>
      <c r="E1625" s="6"/>
      <c r="F1625" s="6"/>
      <c r="G1625" s="22"/>
      <c r="H1625" s="22"/>
      <c r="I1625" s="22"/>
      <c r="J1625" s="22"/>
      <c r="K1625" s="22"/>
      <c r="L1625" s="22"/>
      <c r="M1625" s="22"/>
      <c r="N1625" s="18">
        <v>33.340000000000003</v>
      </c>
      <c r="O1625" s="18"/>
      <c r="P1625" s="22"/>
      <c r="Q1625" s="22"/>
      <c r="R1625" s="22"/>
      <c r="S1625" s="22"/>
      <c r="T1625" s="22"/>
      <c r="U1625" s="22"/>
      <c r="V1625" s="6"/>
      <c r="W1625" s="6"/>
      <c r="X1625" s="19"/>
      <c r="Y1625" s="6"/>
      <c r="Z1625" s="6"/>
      <c r="AA1625" s="6"/>
      <c r="AB1625" s="6"/>
      <c r="AC1625" s="6"/>
      <c r="AD1625" s="6"/>
      <c r="AE1625" s="6"/>
      <c r="AF1625" s="18"/>
      <c r="AG1625" s="18"/>
      <c r="AH1625" s="18"/>
      <c r="AI1625" s="18"/>
      <c r="AK1625" s="18"/>
      <c r="AL1625" s="18"/>
      <c r="AM1625" s="18"/>
      <c r="AN1625" s="18"/>
      <c r="AO1625" s="6"/>
      <c r="AP1625" s="32"/>
      <c r="AQ1625" s="32"/>
      <c r="AR1625" s="32"/>
      <c r="AS1625" s="32"/>
      <c r="AT1625" s="32"/>
      <c r="AU1625" s="32"/>
      <c r="AV1625" s="32"/>
      <c r="AW1625" s="32"/>
      <c r="AX1625" s="32"/>
      <c r="AY1625" s="32"/>
      <c r="AZ1625" s="32">
        <v>8.5</v>
      </c>
      <c r="BA1625" s="32"/>
      <c r="BB1625" s="32"/>
      <c r="BC1625" s="32"/>
      <c r="BD1625" s="32"/>
      <c r="BE1625" s="32"/>
      <c r="BF1625" s="32"/>
      <c r="BG1625" s="32"/>
      <c r="BH1625" s="32"/>
      <c r="BI1625" s="32"/>
      <c r="BJ1625" s="6"/>
      <c r="BK1625" s="6"/>
      <c r="BL1625" s="6" t="s">
        <v>111</v>
      </c>
      <c r="BO1625" s="15"/>
    </row>
    <row r="1626" spans="1:67">
      <c r="A1626" s="6" t="s">
        <v>68</v>
      </c>
      <c r="B1626" s="6"/>
      <c r="C1626" s="17">
        <v>34683</v>
      </c>
      <c r="D1626" s="18">
        <v>9.8290942284325293</v>
      </c>
      <c r="E1626" s="6"/>
      <c r="F1626" s="6"/>
      <c r="G1626" s="22"/>
      <c r="H1626" s="22"/>
      <c r="I1626" s="22"/>
      <c r="J1626" s="22"/>
      <c r="K1626" s="22"/>
      <c r="L1626" s="22"/>
      <c r="M1626" s="22"/>
      <c r="N1626" s="18">
        <v>55.34</v>
      </c>
      <c r="O1626" s="18"/>
      <c r="P1626" s="22"/>
      <c r="Q1626" s="22"/>
      <c r="R1626" s="22"/>
      <c r="S1626" s="22"/>
      <c r="T1626" s="22"/>
      <c r="U1626" s="22"/>
      <c r="V1626" s="6"/>
      <c r="W1626" s="6"/>
      <c r="X1626" s="19"/>
      <c r="Y1626" s="6"/>
      <c r="Z1626" s="6"/>
      <c r="AA1626" s="6"/>
      <c r="AB1626" s="6"/>
      <c r="AC1626" s="6"/>
      <c r="AD1626" s="6"/>
      <c r="AE1626" s="6"/>
      <c r="AF1626" s="18"/>
      <c r="AG1626" s="18"/>
      <c r="AH1626" s="18"/>
      <c r="AI1626" s="18"/>
      <c r="AK1626" s="18"/>
      <c r="AL1626" s="18"/>
      <c r="AM1626" s="18"/>
      <c r="AN1626" s="18"/>
      <c r="AO1626" s="6"/>
      <c r="AP1626" s="32"/>
      <c r="AQ1626" s="32"/>
      <c r="AR1626" s="32"/>
      <c r="AS1626" s="32"/>
      <c r="AT1626" s="32"/>
      <c r="AU1626" s="32"/>
      <c r="AV1626" s="32"/>
      <c r="AW1626" s="32"/>
      <c r="AX1626" s="32"/>
      <c r="AY1626" s="32"/>
      <c r="AZ1626" s="32">
        <v>11</v>
      </c>
      <c r="BA1626" s="32"/>
      <c r="BB1626" s="32"/>
      <c r="BC1626" s="32"/>
      <c r="BD1626" s="32"/>
      <c r="BE1626" s="32"/>
      <c r="BF1626" s="32"/>
      <c r="BG1626" s="32"/>
      <c r="BH1626" s="32"/>
      <c r="BI1626" s="32"/>
      <c r="BJ1626" s="6"/>
      <c r="BK1626" s="6"/>
      <c r="BL1626" s="6" t="s">
        <v>111</v>
      </c>
      <c r="BO1626" s="15"/>
    </row>
    <row r="1627" spans="1:67">
      <c r="A1627" s="6" t="s">
        <v>68</v>
      </c>
      <c r="B1627" s="6"/>
      <c r="C1627" s="17">
        <v>35048</v>
      </c>
      <c r="D1627" s="18">
        <v>10.828431106810768</v>
      </c>
      <c r="E1627" s="6"/>
      <c r="F1627" s="6"/>
      <c r="G1627" s="22"/>
      <c r="H1627" s="22"/>
      <c r="I1627" s="22"/>
      <c r="J1627" s="22"/>
      <c r="K1627" s="22"/>
      <c r="L1627" s="22"/>
      <c r="M1627" s="22"/>
      <c r="N1627" s="18">
        <v>81.34</v>
      </c>
      <c r="O1627" s="18"/>
      <c r="P1627" s="22"/>
      <c r="Q1627" s="22"/>
      <c r="R1627" s="22"/>
      <c r="S1627" s="22"/>
      <c r="T1627" s="22"/>
      <c r="U1627" s="22"/>
      <c r="V1627" s="6"/>
      <c r="W1627" s="6"/>
      <c r="X1627" s="19"/>
      <c r="Y1627" s="6"/>
      <c r="Z1627" s="6"/>
      <c r="AA1627" s="6"/>
      <c r="AB1627" s="6"/>
      <c r="AC1627" s="6"/>
      <c r="AD1627" s="6"/>
      <c r="AE1627" s="6"/>
      <c r="AF1627" s="18"/>
      <c r="AG1627" s="18"/>
      <c r="AH1627" s="18"/>
      <c r="AI1627" s="18"/>
      <c r="AK1627" s="18"/>
      <c r="AL1627" s="18"/>
      <c r="AM1627" s="18"/>
      <c r="AN1627" s="18"/>
      <c r="AO1627" s="6"/>
      <c r="AP1627" s="32"/>
      <c r="AQ1627" s="32"/>
      <c r="AR1627" s="32"/>
      <c r="AS1627" s="32"/>
      <c r="AT1627" s="32"/>
      <c r="AU1627" s="32"/>
      <c r="AV1627" s="32"/>
      <c r="AW1627" s="32"/>
      <c r="AX1627" s="32"/>
      <c r="AY1627" s="32"/>
      <c r="AZ1627" s="32">
        <v>14</v>
      </c>
      <c r="BA1627" s="32"/>
      <c r="BB1627" s="32"/>
      <c r="BC1627" s="32"/>
      <c r="BD1627" s="32"/>
      <c r="BE1627" s="32"/>
      <c r="BF1627" s="32"/>
      <c r="BG1627" s="32"/>
      <c r="BH1627" s="32"/>
      <c r="BI1627" s="32"/>
      <c r="BJ1627" s="6"/>
      <c r="BK1627" s="6"/>
      <c r="BL1627" s="6" t="s">
        <v>111</v>
      </c>
      <c r="BO1627" s="15"/>
    </row>
    <row r="1628" spans="1:67">
      <c r="A1628" s="6" t="s">
        <v>68</v>
      </c>
      <c r="B1628" s="6"/>
      <c r="C1628" s="17">
        <v>35414</v>
      </c>
      <c r="D1628" s="18">
        <v>11.830505894444837</v>
      </c>
      <c r="E1628" s="6"/>
      <c r="F1628" s="6"/>
      <c r="G1628" s="22"/>
      <c r="H1628" s="22"/>
      <c r="I1628" s="22"/>
      <c r="J1628" s="22"/>
      <c r="K1628" s="22"/>
      <c r="L1628" s="22"/>
      <c r="M1628" s="22"/>
      <c r="N1628" s="18">
        <v>104.34</v>
      </c>
      <c r="O1628" s="18"/>
      <c r="P1628" s="22"/>
      <c r="Q1628" s="22"/>
      <c r="R1628" s="22"/>
      <c r="S1628" s="22"/>
      <c r="T1628" s="22"/>
      <c r="U1628" s="22"/>
      <c r="V1628" s="6"/>
      <c r="W1628" s="6"/>
      <c r="X1628" s="19"/>
      <c r="Y1628" s="6"/>
      <c r="Z1628" s="6"/>
      <c r="AA1628" s="6"/>
      <c r="AB1628" s="6"/>
      <c r="AC1628" s="6"/>
      <c r="AD1628" s="6"/>
      <c r="AE1628" s="6"/>
      <c r="AF1628" s="18"/>
      <c r="AG1628" s="18"/>
      <c r="AH1628" s="18"/>
      <c r="AI1628" s="18"/>
      <c r="AK1628" s="18"/>
      <c r="AL1628" s="18"/>
      <c r="AM1628" s="18"/>
      <c r="AN1628" s="18"/>
      <c r="AO1628" s="6"/>
      <c r="AP1628" s="32"/>
      <c r="AQ1628" s="32"/>
      <c r="AR1628" s="32"/>
      <c r="AS1628" s="32"/>
      <c r="AT1628" s="32"/>
      <c r="AU1628" s="32"/>
      <c r="AV1628" s="32"/>
      <c r="AW1628" s="32"/>
      <c r="AX1628" s="32"/>
      <c r="AY1628" s="32"/>
      <c r="AZ1628" s="32">
        <v>18</v>
      </c>
      <c r="BA1628" s="32"/>
      <c r="BB1628" s="32"/>
      <c r="BC1628" s="32"/>
      <c r="BD1628" s="32"/>
      <c r="BE1628" s="32"/>
      <c r="BF1628" s="32"/>
      <c r="BG1628" s="32"/>
      <c r="BH1628" s="32"/>
      <c r="BI1628" s="32"/>
      <c r="BJ1628" s="6"/>
      <c r="BK1628" s="6"/>
      <c r="BL1628" s="6" t="s">
        <v>111</v>
      </c>
      <c r="BO1628" s="15"/>
    </row>
    <row r="1629" spans="1:67">
      <c r="A1629" s="6" t="s">
        <v>68</v>
      </c>
      <c r="B1629" s="6"/>
      <c r="C1629" s="17">
        <v>35779</v>
      </c>
      <c r="D1629" s="18">
        <v>12.829842772823074</v>
      </c>
      <c r="E1629" s="6"/>
      <c r="F1629" s="6"/>
      <c r="G1629" s="22"/>
      <c r="H1629" s="22"/>
      <c r="I1629" s="22"/>
      <c r="J1629" s="22"/>
      <c r="K1629" s="22"/>
      <c r="L1629" s="22"/>
      <c r="M1629" s="22"/>
      <c r="N1629" s="18">
        <v>133.34</v>
      </c>
      <c r="O1629" s="18"/>
      <c r="P1629" s="22"/>
      <c r="Q1629" s="22"/>
      <c r="R1629" s="22"/>
      <c r="S1629" s="22"/>
      <c r="T1629" s="22"/>
      <c r="U1629" s="22"/>
      <c r="V1629" s="6"/>
      <c r="W1629" s="6"/>
      <c r="X1629" s="19"/>
      <c r="Y1629" s="6"/>
      <c r="Z1629" s="6"/>
      <c r="AA1629" s="6"/>
      <c r="AB1629" s="6"/>
      <c r="AC1629" s="6"/>
      <c r="AD1629" s="6"/>
      <c r="AE1629" s="6"/>
      <c r="AF1629" s="18"/>
      <c r="AG1629" s="18"/>
      <c r="AH1629" s="18"/>
      <c r="AI1629" s="18"/>
      <c r="AK1629" s="18"/>
      <c r="AL1629" s="18"/>
      <c r="AM1629" s="18"/>
      <c r="AN1629" s="18"/>
      <c r="AO1629" s="6"/>
      <c r="AP1629" s="32"/>
      <c r="AQ1629" s="32"/>
      <c r="AR1629" s="32"/>
      <c r="AS1629" s="32"/>
      <c r="AT1629" s="32"/>
      <c r="AU1629" s="32"/>
      <c r="AV1629" s="32"/>
      <c r="AW1629" s="32"/>
      <c r="AX1629" s="32"/>
      <c r="AY1629" s="32"/>
      <c r="AZ1629" s="32">
        <v>22</v>
      </c>
      <c r="BA1629" s="32"/>
      <c r="BB1629" s="32"/>
      <c r="BC1629" s="32"/>
      <c r="BD1629" s="32"/>
      <c r="BE1629" s="32"/>
      <c r="BF1629" s="32"/>
      <c r="BG1629" s="32"/>
      <c r="BH1629" s="32"/>
      <c r="BI1629" s="32"/>
      <c r="BJ1629" s="6"/>
      <c r="BK1629" s="6"/>
      <c r="BL1629" s="6" t="s">
        <v>111</v>
      </c>
      <c r="BO1629" s="15"/>
    </row>
    <row r="1630" spans="1:67">
      <c r="A1630" s="6" t="s">
        <v>68</v>
      </c>
      <c r="B1630" s="6"/>
      <c r="C1630" s="17">
        <v>36144</v>
      </c>
      <c r="D1630" s="18">
        <v>13.829179651201311</v>
      </c>
      <c r="E1630" s="6"/>
      <c r="F1630" s="6"/>
      <c r="G1630" s="22"/>
      <c r="H1630" s="22"/>
      <c r="I1630" s="22"/>
      <c r="J1630" s="22"/>
      <c r="K1630" s="22"/>
      <c r="L1630" s="22"/>
      <c r="M1630" s="22"/>
      <c r="N1630" s="18">
        <v>163.34</v>
      </c>
      <c r="O1630" s="18"/>
      <c r="P1630" s="22"/>
      <c r="Q1630" s="22"/>
      <c r="R1630" s="22"/>
      <c r="S1630" s="22"/>
      <c r="T1630" s="22"/>
      <c r="U1630" s="22"/>
      <c r="V1630" s="6"/>
      <c r="W1630" s="6"/>
      <c r="X1630" s="19"/>
      <c r="Y1630" s="6"/>
      <c r="Z1630" s="6"/>
      <c r="AA1630" s="6"/>
      <c r="AB1630" s="6"/>
      <c r="AC1630" s="6"/>
      <c r="AD1630" s="6"/>
      <c r="AE1630" s="6"/>
      <c r="AF1630" s="18"/>
      <c r="AG1630" s="18"/>
      <c r="AH1630" s="18"/>
      <c r="AI1630" s="18"/>
      <c r="AK1630" s="18"/>
      <c r="AL1630" s="18"/>
      <c r="AM1630" s="18"/>
      <c r="AN1630" s="18"/>
      <c r="AO1630" s="6"/>
      <c r="AP1630" s="32"/>
      <c r="AQ1630" s="32"/>
      <c r="AR1630" s="32"/>
      <c r="AS1630" s="32"/>
      <c r="AT1630" s="32"/>
      <c r="AU1630" s="32"/>
      <c r="AV1630" s="32"/>
      <c r="AW1630" s="32"/>
      <c r="AX1630" s="32"/>
      <c r="AY1630" s="32"/>
      <c r="AZ1630" s="32">
        <v>26</v>
      </c>
      <c r="BA1630" s="32"/>
      <c r="BB1630" s="32"/>
      <c r="BC1630" s="32"/>
      <c r="BD1630" s="32"/>
      <c r="BE1630" s="32"/>
      <c r="BF1630" s="32"/>
      <c r="BG1630" s="32"/>
      <c r="BH1630" s="32"/>
      <c r="BI1630" s="32"/>
      <c r="BJ1630" s="6"/>
      <c r="BK1630" s="6"/>
      <c r="BL1630" s="6" t="s">
        <v>111</v>
      </c>
      <c r="BO1630" s="15"/>
    </row>
    <row r="1631" spans="1:67">
      <c r="A1631" s="6" t="s">
        <v>68</v>
      </c>
      <c r="B1631" s="6"/>
      <c r="C1631" s="17">
        <v>36509</v>
      </c>
      <c r="D1631" s="18">
        <v>14.828516529579549</v>
      </c>
      <c r="E1631" s="6"/>
      <c r="F1631" s="6"/>
      <c r="G1631" s="22"/>
      <c r="H1631" s="22"/>
      <c r="I1631" s="22"/>
      <c r="J1631" s="22"/>
      <c r="K1631" s="22"/>
      <c r="L1631" s="22"/>
      <c r="M1631" s="22"/>
      <c r="N1631" s="18">
        <v>195.34</v>
      </c>
      <c r="O1631" s="18"/>
      <c r="P1631" s="22"/>
      <c r="Q1631" s="22"/>
      <c r="R1631" s="22"/>
      <c r="S1631" s="22"/>
      <c r="T1631" s="22"/>
      <c r="U1631" s="22"/>
      <c r="V1631" s="6"/>
      <c r="W1631" s="6"/>
      <c r="X1631" s="19"/>
      <c r="Y1631" s="6"/>
      <c r="Z1631" s="6"/>
      <c r="AA1631" s="6"/>
      <c r="AB1631" s="6"/>
      <c r="AC1631" s="6"/>
      <c r="AD1631" s="6"/>
      <c r="AE1631" s="6"/>
      <c r="AF1631" s="18"/>
      <c r="AG1631" s="18"/>
      <c r="AH1631" s="18"/>
      <c r="AI1631" s="18"/>
      <c r="AK1631" s="18"/>
      <c r="AL1631" s="18"/>
      <c r="AM1631" s="18"/>
      <c r="AN1631" s="18"/>
      <c r="AO1631" s="6"/>
      <c r="AP1631" s="32"/>
      <c r="AQ1631" s="32"/>
      <c r="AR1631" s="32"/>
      <c r="AS1631" s="32"/>
      <c r="AT1631" s="32"/>
      <c r="AU1631" s="32"/>
      <c r="AV1631" s="32"/>
      <c r="AW1631" s="32"/>
      <c r="AX1631" s="32"/>
      <c r="AY1631" s="32"/>
      <c r="AZ1631" s="32">
        <v>30</v>
      </c>
      <c r="BA1631" s="32"/>
      <c r="BB1631" s="32"/>
      <c r="BC1631" s="32"/>
      <c r="BD1631" s="32"/>
      <c r="BE1631" s="32"/>
      <c r="BF1631" s="32"/>
      <c r="BG1631" s="32"/>
      <c r="BH1631" s="32"/>
      <c r="BI1631" s="32"/>
      <c r="BJ1631" s="6"/>
      <c r="BK1631" s="6"/>
      <c r="BL1631" s="6" t="s">
        <v>111</v>
      </c>
      <c r="BO1631" s="15"/>
    </row>
    <row r="1632" spans="1:67">
      <c r="A1632" s="6" t="s">
        <v>68</v>
      </c>
      <c r="B1632" s="6"/>
      <c r="C1632" s="17">
        <v>36875</v>
      </c>
      <c r="D1632" s="18">
        <v>15.830591317213617</v>
      </c>
      <c r="E1632" s="6"/>
      <c r="F1632" s="6"/>
      <c r="G1632" s="22"/>
      <c r="H1632" s="22"/>
      <c r="I1632" s="22"/>
      <c r="J1632" s="22"/>
      <c r="K1632" s="22"/>
      <c r="L1632" s="22"/>
      <c r="M1632" s="22"/>
      <c r="N1632" s="18">
        <v>224.34</v>
      </c>
      <c r="O1632" s="18"/>
      <c r="P1632" s="22"/>
      <c r="Q1632" s="22"/>
      <c r="R1632" s="22"/>
      <c r="S1632" s="22"/>
      <c r="T1632" s="22"/>
      <c r="U1632" s="22"/>
      <c r="V1632" s="6"/>
      <c r="W1632" s="6"/>
      <c r="X1632" s="19"/>
      <c r="Y1632" s="6"/>
      <c r="Z1632" s="6"/>
      <c r="AA1632" s="6"/>
      <c r="AB1632" s="6"/>
      <c r="AC1632" s="6"/>
      <c r="AD1632" s="6"/>
      <c r="AE1632" s="6"/>
      <c r="AF1632" s="18"/>
      <c r="AG1632" s="18"/>
      <c r="AH1632" s="18"/>
      <c r="AI1632" s="18"/>
      <c r="AK1632" s="18"/>
      <c r="AL1632" s="18"/>
      <c r="AM1632" s="18"/>
      <c r="AN1632" s="18"/>
      <c r="AO1632" s="6"/>
      <c r="AP1632" s="32"/>
      <c r="AQ1632" s="32"/>
      <c r="AR1632" s="32"/>
      <c r="AS1632" s="32"/>
      <c r="AT1632" s="32"/>
      <c r="AU1632" s="32"/>
      <c r="AV1632" s="32"/>
      <c r="AW1632" s="32"/>
      <c r="AX1632" s="32"/>
      <c r="AY1632" s="32"/>
      <c r="AZ1632" s="32">
        <v>35</v>
      </c>
      <c r="BA1632" s="32"/>
      <c r="BB1632" s="32"/>
      <c r="BC1632" s="32"/>
      <c r="BD1632" s="32"/>
      <c r="BE1632" s="32"/>
      <c r="BF1632" s="32"/>
      <c r="BG1632" s="32"/>
      <c r="BH1632" s="32"/>
      <c r="BI1632" s="32"/>
      <c r="BJ1632" s="6"/>
      <c r="BK1632" s="6"/>
      <c r="BL1632" s="6" t="s">
        <v>111</v>
      </c>
      <c r="BO1632" s="15"/>
    </row>
    <row r="1633" spans="1:67">
      <c r="A1633" s="6" t="s">
        <v>68</v>
      </c>
      <c r="B1633" s="6"/>
      <c r="C1633" s="17">
        <v>37240</v>
      </c>
      <c r="D1633" s="18">
        <v>16.829928195591854</v>
      </c>
      <c r="E1633" s="6"/>
      <c r="F1633" s="6"/>
      <c r="G1633" s="22"/>
      <c r="H1633" s="22"/>
      <c r="I1633" s="22"/>
      <c r="J1633" s="22"/>
      <c r="K1633" s="22"/>
      <c r="L1633" s="22"/>
      <c r="M1633" s="22"/>
      <c r="N1633" s="18">
        <v>252.34</v>
      </c>
      <c r="O1633" s="18"/>
      <c r="P1633" s="22"/>
      <c r="Q1633" s="22"/>
      <c r="R1633" s="22"/>
      <c r="S1633" s="22"/>
      <c r="T1633" s="22"/>
      <c r="U1633" s="22"/>
      <c r="V1633" s="6"/>
      <c r="W1633" s="6"/>
      <c r="X1633" s="19"/>
      <c r="Y1633" s="6"/>
      <c r="Z1633" s="6"/>
      <c r="AA1633" s="6"/>
      <c r="AB1633" s="6"/>
      <c r="AC1633" s="6"/>
      <c r="AD1633" s="6"/>
      <c r="AE1633" s="6"/>
      <c r="AF1633" s="18"/>
      <c r="AG1633" s="18"/>
      <c r="AH1633" s="18"/>
      <c r="AI1633" s="18">
        <v>36</v>
      </c>
      <c r="AK1633" s="18"/>
      <c r="AL1633" s="18"/>
      <c r="AM1633" s="18"/>
      <c r="AN1633" s="18"/>
      <c r="AO1633" s="6"/>
      <c r="AP1633" s="32"/>
      <c r="AQ1633" s="32"/>
      <c r="AR1633" s="32"/>
      <c r="AS1633" s="32"/>
      <c r="AT1633" s="32"/>
      <c r="AU1633" s="32"/>
      <c r="AV1633" s="32"/>
      <c r="AW1633" s="32"/>
      <c r="AX1633" s="32"/>
      <c r="AY1633" s="32"/>
      <c r="AZ1633" s="32">
        <v>38</v>
      </c>
      <c r="BA1633" s="32"/>
      <c r="BB1633" s="32"/>
      <c r="BC1633" s="32"/>
      <c r="BD1633" s="32"/>
      <c r="BE1633" s="32"/>
      <c r="BF1633" s="32"/>
      <c r="BG1633" s="32"/>
      <c r="BH1633" s="32"/>
      <c r="BI1633" s="32"/>
      <c r="BJ1633" s="6"/>
      <c r="BK1633" s="6"/>
      <c r="BL1633" s="6" t="s">
        <v>111</v>
      </c>
      <c r="BO1633" s="15"/>
    </row>
    <row r="1634" spans="1:67">
      <c r="A1634" s="6" t="s">
        <v>68</v>
      </c>
      <c r="B1634" s="6"/>
      <c r="C1634" s="17">
        <v>37605</v>
      </c>
      <c r="D1634" s="18">
        <v>17.829265073970092</v>
      </c>
      <c r="E1634" s="6"/>
      <c r="F1634" s="6"/>
      <c r="G1634" s="22"/>
      <c r="H1634" s="22"/>
      <c r="I1634" s="22"/>
      <c r="J1634" s="22"/>
      <c r="K1634" s="22"/>
      <c r="L1634" s="22"/>
      <c r="M1634" s="22"/>
      <c r="N1634" s="18">
        <v>272.34000000000003</v>
      </c>
      <c r="O1634" s="18"/>
      <c r="P1634" s="22"/>
      <c r="Q1634" s="22"/>
      <c r="R1634" s="22"/>
      <c r="S1634" s="22"/>
      <c r="T1634" s="22"/>
      <c r="U1634" s="22"/>
      <c r="V1634" s="6"/>
      <c r="W1634" s="6"/>
      <c r="X1634" s="19"/>
      <c r="Y1634" s="6"/>
      <c r="Z1634" s="6"/>
      <c r="AA1634" s="6"/>
      <c r="AB1634" s="6"/>
      <c r="AC1634" s="6"/>
      <c r="AD1634" s="6"/>
      <c r="AE1634" s="6"/>
      <c r="AF1634" s="18"/>
      <c r="AG1634" s="18"/>
      <c r="AH1634" s="18"/>
      <c r="AI1634" s="18">
        <v>37</v>
      </c>
      <c r="AK1634" s="18"/>
      <c r="AL1634" s="18"/>
      <c r="AM1634" s="18"/>
      <c r="AN1634" s="18"/>
      <c r="AO1634" s="6"/>
      <c r="AP1634" s="32"/>
      <c r="AQ1634" s="32"/>
      <c r="AR1634" s="32"/>
      <c r="AS1634" s="32"/>
      <c r="AT1634" s="32"/>
      <c r="AU1634" s="32"/>
      <c r="AV1634" s="32"/>
      <c r="AW1634" s="32"/>
      <c r="AX1634" s="32"/>
      <c r="AY1634" s="32"/>
      <c r="AZ1634" s="32">
        <v>40</v>
      </c>
      <c r="BA1634" s="32"/>
      <c r="BB1634" s="32"/>
      <c r="BC1634" s="32"/>
      <c r="BD1634" s="32"/>
      <c r="BE1634" s="32"/>
      <c r="BF1634" s="32"/>
      <c r="BG1634" s="32"/>
      <c r="BH1634" s="32"/>
      <c r="BI1634" s="32"/>
      <c r="BJ1634" s="6"/>
      <c r="BK1634" s="6"/>
      <c r="BL1634" s="6" t="s">
        <v>111</v>
      </c>
      <c r="BO1634" s="15"/>
    </row>
    <row r="1635" spans="1:67">
      <c r="A1635" s="6" t="s">
        <v>68</v>
      </c>
      <c r="B1635" s="6"/>
      <c r="C1635" s="17">
        <v>37970</v>
      </c>
      <c r="D1635" s="18">
        <v>18.828601952348333</v>
      </c>
      <c r="E1635" s="6"/>
      <c r="F1635" s="6"/>
      <c r="G1635" s="22"/>
      <c r="H1635" s="22"/>
      <c r="I1635" s="22"/>
      <c r="J1635" s="22"/>
      <c r="K1635" s="22"/>
      <c r="L1635" s="22"/>
      <c r="M1635" s="22"/>
      <c r="N1635" s="18">
        <v>295.34000000000003</v>
      </c>
      <c r="O1635" s="18"/>
      <c r="P1635" s="22"/>
      <c r="Q1635" s="22"/>
      <c r="R1635" s="22"/>
      <c r="S1635" s="22"/>
      <c r="T1635" s="22"/>
      <c r="U1635" s="22"/>
      <c r="V1635" s="6"/>
      <c r="W1635" s="6"/>
      <c r="X1635" s="19"/>
      <c r="Y1635" s="6"/>
      <c r="Z1635" s="6"/>
      <c r="AA1635" s="6"/>
      <c r="AB1635" s="6"/>
      <c r="AC1635" s="6"/>
      <c r="AD1635" s="6"/>
      <c r="AE1635" s="6"/>
      <c r="AF1635" s="18"/>
      <c r="AG1635" s="18"/>
      <c r="AH1635" s="18"/>
      <c r="AI1635" s="18">
        <v>38</v>
      </c>
      <c r="AK1635" s="18"/>
      <c r="AL1635" s="18"/>
      <c r="AM1635" s="18"/>
      <c r="AN1635" s="18"/>
      <c r="AO1635" s="6"/>
      <c r="AP1635" s="32"/>
      <c r="AQ1635" s="32"/>
      <c r="AR1635" s="32"/>
      <c r="AS1635" s="32"/>
      <c r="AT1635" s="32"/>
      <c r="AU1635" s="32"/>
      <c r="AV1635" s="32"/>
      <c r="AW1635" s="32"/>
      <c r="AX1635" s="32"/>
      <c r="AY1635" s="32"/>
      <c r="AZ1635" s="32">
        <v>45</v>
      </c>
      <c r="BA1635" s="32"/>
      <c r="BB1635" s="32"/>
      <c r="BC1635" s="32"/>
      <c r="BD1635" s="32"/>
      <c r="BE1635" s="32"/>
      <c r="BF1635" s="32"/>
      <c r="BG1635" s="32"/>
      <c r="BH1635" s="32"/>
      <c r="BI1635" s="32"/>
      <c r="BJ1635" s="6"/>
      <c r="BK1635" s="6"/>
      <c r="BL1635" s="6" t="s">
        <v>111</v>
      </c>
      <c r="BO1635" s="15"/>
    </row>
    <row r="1636" spans="1:67">
      <c r="A1636" s="6" t="s">
        <v>68</v>
      </c>
      <c r="B1636" s="6"/>
      <c r="C1636" s="17">
        <v>38336</v>
      </c>
      <c r="D1636" s="18">
        <v>19.830676739982401</v>
      </c>
      <c r="E1636" s="6"/>
      <c r="F1636" s="6"/>
      <c r="G1636" s="22"/>
      <c r="H1636" s="22"/>
      <c r="I1636" s="22"/>
      <c r="J1636" s="22"/>
      <c r="K1636" s="22"/>
      <c r="L1636" s="22"/>
      <c r="M1636" s="22"/>
      <c r="N1636" s="18">
        <v>320.34000000000003</v>
      </c>
      <c r="O1636" s="18"/>
      <c r="P1636" s="22"/>
      <c r="Q1636" s="22"/>
      <c r="R1636" s="22"/>
      <c r="S1636" s="22"/>
      <c r="T1636" s="22"/>
      <c r="U1636" s="22"/>
      <c r="V1636" s="6"/>
      <c r="W1636" s="6"/>
      <c r="X1636" s="19"/>
      <c r="Y1636" s="6"/>
      <c r="Z1636" s="6"/>
      <c r="AA1636" s="6"/>
      <c r="AB1636" s="6"/>
      <c r="AC1636" s="6"/>
      <c r="AD1636" s="6"/>
      <c r="AE1636" s="6"/>
      <c r="AF1636" s="18"/>
      <c r="AG1636" s="18"/>
      <c r="AH1636" s="18"/>
      <c r="AI1636" s="18">
        <v>40</v>
      </c>
      <c r="AK1636" s="18"/>
      <c r="AL1636" s="18"/>
      <c r="AM1636" s="18"/>
      <c r="AN1636" s="18"/>
      <c r="AO1636" s="6"/>
      <c r="AP1636" s="32"/>
      <c r="AQ1636" s="32"/>
      <c r="AR1636" s="32"/>
      <c r="AS1636" s="32"/>
      <c r="AT1636" s="32"/>
      <c r="AU1636" s="32"/>
      <c r="AV1636" s="32"/>
      <c r="AW1636" s="32"/>
      <c r="AX1636" s="32"/>
      <c r="AY1636" s="32"/>
      <c r="AZ1636" s="32">
        <v>50</v>
      </c>
      <c r="BA1636" s="32"/>
      <c r="BB1636" s="32"/>
      <c r="BC1636" s="32"/>
      <c r="BD1636" s="32"/>
      <c r="BE1636" s="32"/>
      <c r="BF1636" s="32"/>
      <c r="BG1636" s="32"/>
      <c r="BH1636" s="32"/>
      <c r="BI1636" s="32"/>
      <c r="BJ1636" s="6"/>
      <c r="BK1636" s="6"/>
      <c r="BL1636" s="6" t="s">
        <v>111</v>
      </c>
      <c r="BO1636" s="15"/>
    </row>
    <row r="1637" spans="1:67">
      <c r="A1637" s="6" t="s">
        <v>68</v>
      </c>
      <c r="B1637" s="6"/>
      <c r="C1637" s="17">
        <v>38701</v>
      </c>
      <c r="D1637" s="18">
        <v>20.830013618360638</v>
      </c>
      <c r="E1637" s="6"/>
      <c r="F1637" s="6"/>
      <c r="G1637" s="22"/>
      <c r="H1637" s="22"/>
      <c r="I1637" s="22"/>
      <c r="J1637" s="22"/>
      <c r="K1637" s="22"/>
      <c r="L1637" s="22"/>
      <c r="M1637" s="22"/>
      <c r="N1637" s="18">
        <v>343.34000000000003</v>
      </c>
      <c r="O1637" s="18"/>
      <c r="P1637" s="22"/>
      <c r="Q1637" s="22"/>
      <c r="R1637" s="22"/>
      <c r="S1637" s="22"/>
      <c r="T1637" s="22"/>
      <c r="U1637" s="22"/>
      <c r="V1637" s="6"/>
      <c r="W1637" s="6"/>
      <c r="X1637" s="19"/>
      <c r="Y1637" s="6"/>
      <c r="Z1637" s="6"/>
      <c r="AA1637" s="6"/>
      <c r="AB1637" s="6"/>
      <c r="AC1637" s="6"/>
      <c r="AD1637" s="6"/>
      <c r="AE1637" s="6"/>
      <c r="AF1637" s="18"/>
      <c r="AG1637" s="18"/>
      <c r="AH1637" s="18"/>
      <c r="AI1637" s="18">
        <v>41</v>
      </c>
      <c r="AK1637" s="18"/>
      <c r="AL1637" s="18"/>
      <c r="AM1637" s="18"/>
      <c r="AN1637" s="18"/>
      <c r="AO1637" s="6"/>
      <c r="AP1637" s="32"/>
      <c r="AQ1637" s="32"/>
      <c r="AR1637" s="32"/>
      <c r="AS1637" s="32"/>
      <c r="AT1637" s="32"/>
      <c r="AU1637" s="32"/>
      <c r="AV1637" s="32"/>
      <c r="AW1637" s="32"/>
      <c r="AX1637" s="32" t="e">
        <v>#REF!</v>
      </c>
      <c r="AY1637" s="32">
        <v>12.71</v>
      </c>
      <c r="AZ1637" s="32">
        <v>52</v>
      </c>
      <c r="BA1637" s="32">
        <v>12.73</v>
      </c>
      <c r="BB1637" s="32">
        <v>6.49</v>
      </c>
      <c r="BC1637" s="32"/>
      <c r="BD1637" s="32"/>
      <c r="BE1637" s="32"/>
      <c r="BF1637" s="32">
        <v>16.16</v>
      </c>
      <c r="BG1637" s="32">
        <v>11.72</v>
      </c>
      <c r="BH1637" s="32">
        <v>0.99</v>
      </c>
      <c r="BI1637" s="32"/>
      <c r="BJ1637" s="6"/>
      <c r="BK1637" s="6"/>
      <c r="BL1637" s="6" t="s">
        <v>111</v>
      </c>
      <c r="BO1637" s="15"/>
    </row>
    <row r="1638" spans="1:67">
      <c r="A1638" s="6" t="s">
        <v>66</v>
      </c>
      <c r="B1638" s="6"/>
      <c r="C1638" s="17">
        <v>33587</v>
      </c>
      <c r="D1638" s="18">
        <v>6.8283456840419863</v>
      </c>
      <c r="E1638" s="6"/>
      <c r="F1638" s="6"/>
      <c r="G1638" s="22"/>
      <c r="H1638" s="22"/>
      <c r="I1638" s="22"/>
      <c r="J1638" s="22"/>
      <c r="K1638" s="22"/>
      <c r="L1638" s="22"/>
      <c r="M1638" s="22"/>
      <c r="N1638" s="18">
        <v>12.39</v>
      </c>
      <c r="O1638" s="18"/>
      <c r="P1638" s="22"/>
      <c r="Q1638" s="22"/>
      <c r="R1638" s="22"/>
      <c r="S1638" s="22"/>
      <c r="T1638" s="22"/>
      <c r="U1638" s="22"/>
      <c r="V1638" s="6"/>
      <c r="W1638" s="6"/>
      <c r="X1638" s="19"/>
      <c r="Y1638" s="6"/>
      <c r="Z1638" s="6"/>
      <c r="AA1638" s="6"/>
      <c r="AB1638" s="6"/>
      <c r="AC1638" s="6"/>
      <c r="AD1638" s="6"/>
      <c r="AE1638" s="6"/>
      <c r="AF1638" s="18"/>
      <c r="AG1638" s="18"/>
      <c r="AH1638" s="18"/>
      <c r="AI1638" s="18"/>
      <c r="AK1638" s="18"/>
      <c r="AL1638" s="18"/>
      <c r="AM1638" s="18"/>
      <c r="AN1638" s="18"/>
      <c r="AO1638" s="6"/>
      <c r="AP1638" s="32"/>
      <c r="AQ1638" s="32"/>
      <c r="AR1638" s="32"/>
      <c r="AS1638" s="32"/>
      <c r="AT1638" s="32"/>
      <c r="AU1638" s="32"/>
      <c r="AV1638" s="32"/>
      <c r="AW1638" s="32"/>
      <c r="AX1638" s="32"/>
      <c r="AY1638" s="32"/>
      <c r="AZ1638" s="32"/>
      <c r="BA1638" s="32"/>
      <c r="BB1638" s="32"/>
      <c r="BC1638" s="32"/>
      <c r="BD1638" s="32"/>
      <c r="BE1638" s="32"/>
      <c r="BF1638" s="32"/>
      <c r="BG1638" s="32"/>
      <c r="BH1638" s="32"/>
      <c r="BI1638" s="32"/>
      <c r="BJ1638" s="6"/>
      <c r="BK1638" s="6"/>
      <c r="BL1638" s="6" t="s">
        <v>111</v>
      </c>
      <c r="BO1638" s="15"/>
    </row>
    <row r="1639" spans="1:67">
      <c r="A1639" s="6" t="s">
        <v>66</v>
      </c>
      <c r="B1639" s="6"/>
      <c r="C1639" s="17">
        <v>33953</v>
      </c>
      <c r="D1639" s="18">
        <v>7.8304204716760548</v>
      </c>
      <c r="E1639" s="6"/>
      <c r="F1639" s="6"/>
      <c r="G1639" s="22"/>
      <c r="H1639" s="22"/>
      <c r="I1639" s="22"/>
      <c r="J1639" s="22"/>
      <c r="K1639" s="22"/>
      <c r="L1639" s="22"/>
      <c r="M1639" s="22"/>
      <c r="N1639" s="18">
        <v>18.39</v>
      </c>
      <c r="O1639" s="18"/>
      <c r="P1639" s="22"/>
      <c r="Q1639" s="22"/>
      <c r="R1639" s="22"/>
      <c r="S1639" s="22"/>
      <c r="T1639" s="22"/>
      <c r="U1639" s="22"/>
      <c r="V1639" s="6"/>
      <c r="W1639" s="6"/>
      <c r="X1639" s="19"/>
      <c r="Y1639" s="6"/>
      <c r="Z1639" s="6"/>
      <c r="AA1639" s="6"/>
      <c r="AB1639" s="6"/>
      <c r="AC1639" s="6"/>
      <c r="AD1639" s="6"/>
      <c r="AE1639" s="6"/>
      <c r="AF1639" s="18"/>
      <c r="AG1639" s="18"/>
      <c r="AH1639" s="18"/>
      <c r="AI1639" s="51"/>
      <c r="AK1639" s="18"/>
      <c r="AL1639" s="18"/>
      <c r="AM1639" s="18"/>
      <c r="AN1639" s="18"/>
      <c r="AO1639" s="6"/>
      <c r="AP1639" s="32"/>
      <c r="AQ1639" s="32"/>
      <c r="AR1639" s="32"/>
      <c r="AS1639" s="32"/>
      <c r="AT1639" s="32"/>
      <c r="AU1639" s="32"/>
      <c r="AV1639" s="32"/>
      <c r="AW1639" s="32"/>
      <c r="AX1639" s="32"/>
      <c r="AY1639" s="32"/>
      <c r="AZ1639" s="32">
        <v>5</v>
      </c>
      <c r="BA1639" s="32"/>
      <c r="BB1639" s="32"/>
      <c r="BC1639" s="32"/>
      <c r="BD1639" s="32"/>
      <c r="BE1639" s="32"/>
      <c r="BF1639" s="32"/>
      <c r="BG1639" s="32"/>
      <c r="BH1639" s="32"/>
      <c r="BI1639" s="32"/>
      <c r="BJ1639" s="6"/>
      <c r="BK1639" s="6"/>
      <c r="BL1639" s="6" t="s">
        <v>111</v>
      </c>
      <c r="BO1639" s="15"/>
    </row>
    <row r="1640" spans="1:67">
      <c r="A1640" s="6" t="s">
        <v>66</v>
      </c>
      <c r="B1640" s="6"/>
      <c r="C1640" s="17">
        <v>34318</v>
      </c>
      <c r="D1640" s="18">
        <v>8.8297573500542921</v>
      </c>
      <c r="E1640" s="6"/>
      <c r="F1640" s="6"/>
      <c r="G1640" s="22"/>
      <c r="H1640" s="22"/>
      <c r="I1640" s="22"/>
      <c r="J1640" s="22"/>
      <c r="K1640" s="22"/>
      <c r="L1640" s="22"/>
      <c r="M1640" s="22"/>
      <c r="N1640" s="18">
        <v>27.39</v>
      </c>
      <c r="O1640" s="18"/>
      <c r="P1640" s="22"/>
      <c r="Q1640" s="22"/>
      <c r="R1640" s="22"/>
      <c r="S1640" s="22"/>
      <c r="T1640" s="22"/>
      <c r="U1640" s="22"/>
      <c r="V1640" s="6"/>
      <c r="W1640" s="6"/>
      <c r="X1640" s="19"/>
      <c r="Y1640" s="6"/>
      <c r="Z1640" s="6"/>
      <c r="AA1640" s="6"/>
      <c r="AB1640" s="6"/>
      <c r="AC1640" s="6"/>
      <c r="AD1640" s="6"/>
      <c r="AE1640" s="6"/>
      <c r="AF1640" s="18"/>
      <c r="AG1640" s="18"/>
      <c r="AH1640" s="18"/>
      <c r="AI1640" s="51"/>
      <c r="AK1640" s="18"/>
      <c r="AL1640" s="18"/>
      <c r="AM1640" s="18"/>
      <c r="AN1640" s="18"/>
      <c r="AO1640" s="6"/>
      <c r="AP1640" s="32"/>
      <c r="AQ1640" s="32"/>
      <c r="AR1640" s="32"/>
      <c r="AS1640" s="32"/>
      <c r="AT1640" s="32"/>
      <c r="AU1640" s="32"/>
      <c r="AV1640" s="32"/>
      <c r="AW1640" s="32"/>
      <c r="AX1640" s="32"/>
      <c r="AY1640" s="32"/>
      <c r="AZ1640" s="32">
        <v>6.5</v>
      </c>
      <c r="BA1640" s="32"/>
      <c r="BB1640" s="32"/>
      <c r="BC1640" s="32"/>
      <c r="BD1640" s="32"/>
      <c r="BE1640" s="32"/>
      <c r="BF1640" s="32"/>
      <c r="BG1640" s="32"/>
      <c r="BH1640" s="32"/>
      <c r="BI1640" s="32"/>
      <c r="BJ1640" s="6"/>
      <c r="BK1640" s="6"/>
      <c r="BL1640" s="6" t="s">
        <v>111</v>
      </c>
      <c r="BO1640" s="15"/>
    </row>
    <row r="1641" spans="1:67">
      <c r="A1641" s="6" t="s">
        <v>66</v>
      </c>
      <c r="B1641" s="6"/>
      <c r="C1641" s="17">
        <v>34683</v>
      </c>
      <c r="D1641" s="18">
        <v>9.8290942284325293</v>
      </c>
      <c r="E1641" s="6"/>
      <c r="F1641" s="6"/>
      <c r="G1641" s="22"/>
      <c r="H1641" s="22"/>
      <c r="I1641" s="22"/>
      <c r="J1641" s="22"/>
      <c r="K1641" s="22"/>
      <c r="L1641" s="22"/>
      <c r="M1641" s="22"/>
      <c r="N1641" s="18">
        <v>37.39</v>
      </c>
      <c r="O1641" s="18"/>
      <c r="P1641" s="22"/>
      <c r="Q1641" s="22"/>
      <c r="R1641" s="22"/>
      <c r="S1641" s="22"/>
      <c r="T1641" s="22"/>
      <c r="U1641" s="22"/>
      <c r="V1641" s="6"/>
      <c r="W1641" s="6"/>
      <c r="X1641" s="19"/>
      <c r="Y1641" s="6"/>
      <c r="Z1641" s="6"/>
      <c r="AA1641" s="6"/>
      <c r="AB1641" s="6"/>
      <c r="AC1641" s="6"/>
      <c r="AD1641" s="6"/>
      <c r="AE1641" s="6"/>
      <c r="AF1641" s="18"/>
      <c r="AG1641" s="18"/>
      <c r="AH1641" s="18"/>
      <c r="AI1641" s="51"/>
      <c r="AK1641" s="18"/>
      <c r="AL1641" s="18"/>
      <c r="AM1641" s="18"/>
      <c r="AN1641" s="18"/>
      <c r="AO1641" s="6"/>
      <c r="AP1641" s="32"/>
      <c r="AQ1641" s="32"/>
      <c r="AR1641" s="32"/>
      <c r="AS1641" s="32"/>
      <c r="AT1641" s="32"/>
      <c r="AU1641" s="32"/>
      <c r="AV1641" s="32"/>
      <c r="AW1641" s="32"/>
      <c r="AX1641" s="32"/>
      <c r="AY1641" s="32"/>
      <c r="AZ1641" s="32">
        <v>8</v>
      </c>
      <c r="BA1641" s="32"/>
      <c r="BB1641" s="32"/>
      <c r="BC1641" s="32"/>
      <c r="BD1641" s="32"/>
      <c r="BE1641" s="32"/>
      <c r="BF1641" s="32"/>
      <c r="BG1641" s="32"/>
      <c r="BH1641" s="32"/>
      <c r="BI1641" s="32"/>
      <c r="BJ1641" s="6"/>
      <c r="BK1641" s="6"/>
      <c r="BL1641" s="6" t="s">
        <v>111</v>
      </c>
      <c r="BO1641" s="15"/>
    </row>
    <row r="1642" spans="1:67">
      <c r="A1642" s="6" t="s">
        <v>66</v>
      </c>
      <c r="B1642" s="6"/>
      <c r="C1642" s="17">
        <v>35048</v>
      </c>
      <c r="D1642" s="18">
        <v>10.828431106810768</v>
      </c>
      <c r="E1642" s="6"/>
      <c r="F1642" s="6"/>
      <c r="G1642" s="22"/>
      <c r="H1642" s="22"/>
      <c r="I1642" s="22"/>
      <c r="J1642" s="22"/>
      <c r="K1642" s="22"/>
      <c r="L1642" s="22"/>
      <c r="M1642" s="22"/>
      <c r="N1642" s="18">
        <v>48.39</v>
      </c>
      <c r="O1642" s="18"/>
      <c r="P1642" s="22"/>
      <c r="Q1642" s="22"/>
      <c r="R1642" s="22"/>
      <c r="S1642" s="22"/>
      <c r="T1642" s="22"/>
      <c r="U1642" s="22"/>
      <c r="V1642" s="6"/>
      <c r="W1642" s="6"/>
      <c r="X1642" s="19"/>
      <c r="Y1642" s="6"/>
      <c r="Z1642" s="6"/>
      <c r="AA1642" s="6"/>
      <c r="AB1642" s="6"/>
      <c r="AC1642" s="6"/>
      <c r="AD1642" s="6"/>
      <c r="AE1642" s="6"/>
      <c r="AF1642" s="18"/>
      <c r="AG1642" s="18"/>
      <c r="AH1642" s="18"/>
      <c r="AI1642" s="51"/>
      <c r="AK1642" s="18"/>
      <c r="AL1642" s="18"/>
      <c r="AM1642" s="18"/>
      <c r="AN1642" s="18"/>
      <c r="AO1642" s="6"/>
      <c r="AP1642" s="32"/>
      <c r="AQ1642" s="32"/>
      <c r="AR1642" s="32"/>
      <c r="AS1642" s="32"/>
      <c r="AT1642" s="32"/>
      <c r="AU1642" s="32"/>
      <c r="AV1642" s="32"/>
      <c r="AW1642" s="32"/>
      <c r="AX1642" s="32"/>
      <c r="AY1642" s="32"/>
      <c r="AZ1642" s="32">
        <v>9.5</v>
      </c>
      <c r="BA1642" s="32"/>
      <c r="BB1642" s="32"/>
      <c r="BC1642" s="32"/>
      <c r="BD1642" s="32"/>
      <c r="BE1642" s="32"/>
      <c r="BF1642" s="32"/>
      <c r="BG1642" s="32"/>
      <c r="BH1642" s="32"/>
      <c r="BI1642" s="32"/>
      <c r="BJ1642" s="6"/>
      <c r="BK1642" s="6"/>
      <c r="BL1642" s="6" t="s">
        <v>111</v>
      </c>
      <c r="BO1642" s="15"/>
    </row>
    <row r="1643" spans="1:67">
      <c r="A1643" s="6" t="s">
        <v>66</v>
      </c>
      <c r="B1643" s="6"/>
      <c r="C1643" s="17">
        <v>35414</v>
      </c>
      <c r="D1643" s="18">
        <v>11.830505894444837</v>
      </c>
      <c r="E1643" s="6"/>
      <c r="F1643" s="6"/>
      <c r="G1643" s="22"/>
      <c r="H1643" s="22"/>
      <c r="I1643" s="22"/>
      <c r="J1643" s="22"/>
      <c r="K1643" s="22"/>
      <c r="L1643" s="22"/>
      <c r="M1643" s="22"/>
      <c r="N1643" s="18">
        <v>58.39</v>
      </c>
      <c r="O1643" s="18"/>
      <c r="P1643" s="22"/>
      <c r="Q1643" s="22"/>
      <c r="R1643" s="22"/>
      <c r="S1643" s="22"/>
      <c r="T1643" s="22"/>
      <c r="U1643" s="22"/>
      <c r="V1643" s="6"/>
      <c r="W1643" s="6"/>
      <c r="X1643" s="19"/>
      <c r="Y1643" s="6"/>
      <c r="Z1643" s="6"/>
      <c r="AA1643" s="6"/>
      <c r="AB1643" s="6"/>
      <c r="AC1643" s="6"/>
      <c r="AD1643" s="6"/>
      <c r="AE1643" s="6"/>
      <c r="AF1643" s="18"/>
      <c r="AG1643" s="18"/>
      <c r="AH1643" s="18"/>
      <c r="AI1643" s="51"/>
      <c r="AK1643" s="18"/>
      <c r="AL1643" s="18"/>
      <c r="AM1643" s="18"/>
      <c r="AN1643" s="18"/>
      <c r="AO1643" s="6"/>
      <c r="AP1643" s="32"/>
      <c r="AQ1643" s="32"/>
      <c r="AR1643" s="32"/>
      <c r="AS1643" s="32"/>
      <c r="AT1643" s="32"/>
      <c r="AU1643" s="32"/>
      <c r="AV1643" s="32"/>
      <c r="AW1643" s="32"/>
      <c r="AX1643" s="32"/>
      <c r="AY1643" s="32"/>
      <c r="AZ1643" s="32">
        <v>11</v>
      </c>
      <c r="BA1643" s="32"/>
      <c r="BB1643" s="32"/>
      <c r="BC1643" s="32"/>
      <c r="BD1643" s="32"/>
      <c r="BE1643" s="32"/>
      <c r="BF1643" s="32"/>
      <c r="BG1643" s="32"/>
      <c r="BH1643" s="32"/>
      <c r="BI1643" s="32"/>
      <c r="BJ1643" s="6"/>
      <c r="BK1643" s="6"/>
      <c r="BL1643" s="6" t="s">
        <v>111</v>
      </c>
      <c r="BO1643" s="15"/>
    </row>
    <row r="1644" spans="1:67">
      <c r="A1644" s="6" t="s">
        <v>66</v>
      </c>
      <c r="B1644" s="6"/>
      <c r="C1644" s="17">
        <v>35779</v>
      </c>
      <c r="D1644" s="18">
        <v>12.829842772823074</v>
      </c>
      <c r="E1644" s="6"/>
      <c r="F1644" s="6"/>
      <c r="G1644" s="22"/>
      <c r="H1644" s="22"/>
      <c r="I1644" s="22"/>
      <c r="J1644" s="22"/>
      <c r="K1644" s="22"/>
      <c r="L1644" s="22"/>
      <c r="M1644" s="22"/>
      <c r="N1644" s="18">
        <v>70.39</v>
      </c>
      <c r="O1644" s="18"/>
      <c r="P1644" s="22"/>
      <c r="Q1644" s="22"/>
      <c r="R1644" s="22"/>
      <c r="S1644" s="22"/>
      <c r="T1644" s="22"/>
      <c r="U1644" s="22"/>
      <c r="V1644" s="6"/>
      <c r="W1644" s="6"/>
      <c r="X1644" s="19"/>
      <c r="Y1644" s="6"/>
      <c r="Z1644" s="6"/>
      <c r="AA1644" s="6"/>
      <c r="AB1644" s="6"/>
      <c r="AC1644" s="6"/>
      <c r="AD1644" s="6"/>
      <c r="AE1644" s="6"/>
      <c r="AF1644" s="18"/>
      <c r="AG1644" s="18"/>
      <c r="AH1644" s="18"/>
      <c r="AI1644" s="51"/>
      <c r="AK1644" s="18"/>
      <c r="AL1644" s="18"/>
      <c r="AM1644" s="18"/>
      <c r="AN1644" s="18"/>
      <c r="AO1644" s="6"/>
      <c r="AP1644" s="32"/>
      <c r="AQ1644" s="32"/>
      <c r="AR1644" s="32"/>
      <c r="AS1644" s="32"/>
      <c r="AT1644" s="32"/>
      <c r="AU1644" s="32"/>
      <c r="AV1644" s="32"/>
      <c r="AW1644" s="32"/>
      <c r="AX1644" s="32"/>
      <c r="AY1644" s="32"/>
      <c r="AZ1644" s="32">
        <v>12.5</v>
      </c>
      <c r="BA1644" s="32"/>
      <c r="BB1644" s="32"/>
      <c r="BC1644" s="32"/>
      <c r="BD1644" s="32"/>
      <c r="BE1644" s="32"/>
      <c r="BF1644" s="32"/>
      <c r="BG1644" s="32"/>
      <c r="BH1644" s="32"/>
      <c r="BI1644" s="32"/>
      <c r="BJ1644" s="6"/>
      <c r="BK1644" s="6"/>
      <c r="BL1644" s="6" t="s">
        <v>111</v>
      </c>
      <c r="BO1644" s="15"/>
    </row>
    <row r="1645" spans="1:67">
      <c r="A1645" s="6" t="s">
        <v>66</v>
      </c>
      <c r="B1645" s="6"/>
      <c r="C1645" s="17">
        <v>36144</v>
      </c>
      <c r="D1645" s="18">
        <v>13.829179651201311</v>
      </c>
      <c r="E1645" s="6"/>
      <c r="F1645" s="6"/>
      <c r="G1645" s="22"/>
      <c r="H1645" s="22"/>
      <c r="I1645" s="22"/>
      <c r="J1645" s="22"/>
      <c r="K1645" s="22"/>
      <c r="L1645" s="22"/>
      <c r="M1645" s="22"/>
      <c r="N1645" s="18">
        <v>81.39</v>
      </c>
      <c r="O1645" s="18"/>
      <c r="P1645" s="22"/>
      <c r="Q1645" s="22"/>
      <c r="R1645" s="22"/>
      <c r="S1645" s="22"/>
      <c r="T1645" s="22"/>
      <c r="U1645" s="22"/>
      <c r="V1645" s="6"/>
      <c r="W1645" s="6"/>
      <c r="X1645" s="19"/>
      <c r="Y1645" s="6"/>
      <c r="Z1645" s="6"/>
      <c r="AA1645" s="6"/>
      <c r="AB1645" s="6"/>
      <c r="AC1645" s="6"/>
      <c r="AD1645" s="6"/>
      <c r="AE1645" s="6"/>
      <c r="AF1645" s="18"/>
      <c r="AG1645" s="18"/>
      <c r="AH1645" s="18"/>
      <c r="AI1645" s="51"/>
      <c r="AK1645" s="18"/>
      <c r="AL1645" s="18"/>
      <c r="AM1645" s="18"/>
      <c r="AN1645" s="18"/>
      <c r="AO1645" s="6"/>
      <c r="AP1645" s="32"/>
      <c r="AQ1645" s="32"/>
      <c r="AR1645" s="32"/>
      <c r="AS1645" s="32"/>
      <c r="AT1645" s="32"/>
      <c r="AU1645" s="32"/>
      <c r="AV1645" s="32"/>
      <c r="AW1645" s="32"/>
      <c r="AX1645" s="32"/>
      <c r="AY1645" s="32"/>
      <c r="AZ1645" s="32">
        <v>13.5</v>
      </c>
      <c r="BA1645" s="32"/>
      <c r="BB1645" s="32"/>
      <c r="BC1645" s="32"/>
      <c r="BD1645" s="32"/>
      <c r="BE1645" s="32"/>
      <c r="BF1645" s="32"/>
      <c r="BG1645" s="32"/>
      <c r="BH1645" s="32"/>
      <c r="BI1645" s="32"/>
      <c r="BJ1645" s="6"/>
      <c r="BK1645" s="6"/>
      <c r="BL1645" s="6" t="s">
        <v>111</v>
      </c>
      <c r="BO1645" s="15"/>
    </row>
    <row r="1646" spans="1:67">
      <c r="A1646" s="6" t="s">
        <v>66</v>
      </c>
      <c r="B1646" s="6"/>
      <c r="C1646" s="17">
        <v>36509</v>
      </c>
      <c r="D1646" s="18">
        <v>14.828516529579549</v>
      </c>
      <c r="E1646" s="6"/>
      <c r="F1646" s="6"/>
      <c r="G1646" s="22"/>
      <c r="H1646" s="22"/>
      <c r="I1646" s="22"/>
      <c r="J1646" s="22"/>
      <c r="K1646" s="22"/>
      <c r="L1646" s="22"/>
      <c r="M1646" s="22"/>
      <c r="N1646" s="18">
        <v>95.39</v>
      </c>
      <c r="O1646" s="18"/>
      <c r="P1646" s="22"/>
      <c r="Q1646" s="22"/>
      <c r="R1646" s="22"/>
      <c r="S1646" s="22"/>
      <c r="T1646" s="22"/>
      <c r="U1646" s="22"/>
      <c r="V1646" s="6"/>
      <c r="W1646" s="6"/>
      <c r="X1646" s="19"/>
      <c r="Y1646" s="6"/>
      <c r="Z1646" s="6"/>
      <c r="AA1646" s="6"/>
      <c r="AB1646" s="6"/>
      <c r="AC1646" s="6"/>
      <c r="AD1646" s="6"/>
      <c r="AE1646" s="6"/>
      <c r="AF1646" s="18"/>
      <c r="AG1646" s="18"/>
      <c r="AH1646" s="18"/>
      <c r="AI1646" s="51"/>
      <c r="AK1646" s="18"/>
      <c r="AL1646" s="18"/>
      <c r="AM1646" s="18"/>
      <c r="AN1646" s="18"/>
      <c r="AO1646" s="6"/>
      <c r="AP1646" s="32"/>
      <c r="AQ1646" s="32"/>
      <c r="AR1646" s="32"/>
      <c r="AS1646" s="32"/>
      <c r="AT1646" s="32"/>
      <c r="AU1646" s="32"/>
      <c r="AV1646" s="32"/>
      <c r="AW1646" s="32"/>
      <c r="AX1646" s="32"/>
      <c r="AY1646" s="32"/>
      <c r="AZ1646" s="32">
        <v>14.5</v>
      </c>
      <c r="BA1646" s="32"/>
      <c r="BB1646" s="32"/>
      <c r="BC1646" s="32"/>
      <c r="BD1646" s="32"/>
      <c r="BE1646" s="32"/>
      <c r="BF1646" s="32"/>
      <c r="BG1646" s="32"/>
      <c r="BH1646" s="32"/>
      <c r="BI1646" s="32"/>
      <c r="BJ1646" s="6"/>
      <c r="BK1646" s="6"/>
      <c r="BL1646" s="6" t="s">
        <v>111</v>
      </c>
      <c r="BO1646" s="15"/>
    </row>
    <row r="1647" spans="1:67">
      <c r="A1647" s="6" t="s">
        <v>66</v>
      </c>
      <c r="B1647" s="6"/>
      <c r="C1647" s="17">
        <v>36875</v>
      </c>
      <c r="D1647" s="18">
        <v>15.830591317213617</v>
      </c>
      <c r="E1647" s="6"/>
      <c r="F1647" s="6"/>
      <c r="G1647" s="22"/>
      <c r="H1647" s="22"/>
      <c r="I1647" s="22"/>
      <c r="J1647" s="22"/>
      <c r="K1647" s="22"/>
      <c r="L1647" s="22"/>
      <c r="M1647" s="22"/>
      <c r="N1647" s="18">
        <v>110.39</v>
      </c>
      <c r="O1647" s="18"/>
      <c r="P1647" s="22"/>
      <c r="Q1647" s="22"/>
      <c r="R1647" s="22"/>
      <c r="S1647" s="22"/>
      <c r="T1647" s="22"/>
      <c r="U1647" s="22"/>
      <c r="V1647" s="6"/>
      <c r="W1647" s="6"/>
      <c r="X1647" s="19"/>
      <c r="Y1647" s="6"/>
      <c r="Z1647" s="6"/>
      <c r="AA1647" s="6"/>
      <c r="AB1647" s="6"/>
      <c r="AC1647" s="6"/>
      <c r="AD1647" s="6"/>
      <c r="AE1647" s="6"/>
      <c r="AF1647" s="18"/>
      <c r="AG1647" s="18"/>
      <c r="AH1647" s="18"/>
      <c r="AI1647" s="51"/>
      <c r="AK1647" s="18"/>
      <c r="AL1647" s="18"/>
      <c r="AM1647" s="18"/>
      <c r="AN1647" s="18"/>
      <c r="AO1647" s="6"/>
      <c r="AP1647" s="32"/>
      <c r="AQ1647" s="32"/>
      <c r="AR1647" s="32"/>
      <c r="AS1647" s="32"/>
      <c r="AT1647" s="32"/>
      <c r="AU1647" s="32"/>
      <c r="AV1647" s="32"/>
      <c r="AW1647" s="32"/>
      <c r="AX1647" s="32"/>
      <c r="AY1647" s="32"/>
      <c r="AZ1647" s="32">
        <v>15.5</v>
      </c>
      <c r="BA1647" s="32"/>
      <c r="BB1647" s="32"/>
      <c r="BC1647" s="32"/>
      <c r="BD1647" s="32"/>
      <c r="BE1647" s="32"/>
      <c r="BF1647" s="32"/>
      <c r="BG1647" s="32"/>
      <c r="BH1647" s="32"/>
      <c r="BI1647" s="32"/>
      <c r="BJ1647" s="6"/>
      <c r="BK1647" s="6"/>
      <c r="BL1647" s="6" t="s">
        <v>111</v>
      </c>
      <c r="BO1647" s="15"/>
    </row>
    <row r="1648" spans="1:67">
      <c r="A1648" s="6" t="s">
        <v>66</v>
      </c>
      <c r="B1648" s="6"/>
      <c r="C1648" s="17">
        <v>37240</v>
      </c>
      <c r="D1648" s="18">
        <v>16.829928195591854</v>
      </c>
      <c r="E1648" s="6"/>
      <c r="F1648" s="6"/>
      <c r="G1648" s="22"/>
      <c r="H1648" s="22"/>
      <c r="I1648" s="22"/>
      <c r="J1648" s="22"/>
      <c r="K1648" s="22"/>
      <c r="L1648" s="22"/>
      <c r="M1648" s="22"/>
      <c r="N1648" s="18">
        <v>125.39</v>
      </c>
      <c r="O1648" s="18"/>
      <c r="P1648" s="22"/>
      <c r="Q1648" s="22"/>
      <c r="R1648" s="22"/>
      <c r="S1648" s="22"/>
      <c r="T1648" s="22"/>
      <c r="U1648" s="22"/>
      <c r="V1648" s="6"/>
      <c r="W1648" s="6"/>
      <c r="X1648" s="19"/>
      <c r="Y1648" s="6"/>
      <c r="Z1648" s="6"/>
      <c r="AA1648" s="6"/>
      <c r="AB1648" s="6"/>
      <c r="AC1648" s="6"/>
      <c r="AD1648" s="6"/>
      <c r="AE1648" s="6"/>
      <c r="AF1648" s="18"/>
      <c r="AG1648" s="18"/>
      <c r="AH1648" s="18"/>
      <c r="AI1648" s="51">
        <v>23</v>
      </c>
      <c r="AK1648" s="18"/>
      <c r="AL1648" s="18"/>
      <c r="AM1648" s="18"/>
      <c r="AN1648" s="18"/>
      <c r="AO1648" s="6"/>
      <c r="AP1648" s="32"/>
      <c r="AQ1648" s="32"/>
      <c r="AR1648" s="32"/>
      <c r="AS1648" s="32"/>
      <c r="AT1648" s="32"/>
      <c r="AU1648" s="32"/>
      <c r="AV1648" s="32"/>
      <c r="AW1648" s="32"/>
      <c r="AX1648" s="32"/>
      <c r="AY1648" s="32"/>
      <c r="AZ1648" s="32">
        <v>16.5</v>
      </c>
      <c r="BA1648" s="32"/>
      <c r="BB1648" s="32"/>
      <c r="BC1648" s="32"/>
      <c r="BD1648" s="32"/>
      <c r="BE1648" s="32"/>
      <c r="BF1648" s="32"/>
      <c r="BG1648" s="32"/>
      <c r="BH1648" s="32"/>
      <c r="BI1648" s="32"/>
      <c r="BJ1648" s="6"/>
      <c r="BK1648" s="6"/>
      <c r="BL1648" s="6" t="s">
        <v>111</v>
      </c>
      <c r="BO1648" s="15"/>
    </row>
    <row r="1649" spans="1:67">
      <c r="A1649" s="6" t="s">
        <v>66</v>
      </c>
      <c r="B1649" s="6"/>
      <c r="C1649" s="17">
        <v>37605</v>
      </c>
      <c r="D1649" s="18">
        <v>17.829265073970092</v>
      </c>
      <c r="E1649" s="6"/>
      <c r="F1649" s="6"/>
      <c r="G1649" s="22"/>
      <c r="H1649" s="22"/>
      <c r="I1649" s="22"/>
      <c r="J1649" s="22"/>
      <c r="K1649" s="22"/>
      <c r="L1649" s="22"/>
      <c r="M1649" s="22"/>
      <c r="N1649" s="18">
        <v>136.38999999999999</v>
      </c>
      <c r="O1649" s="18"/>
      <c r="P1649" s="22"/>
      <c r="Q1649" s="22"/>
      <c r="R1649" s="22"/>
      <c r="S1649" s="22"/>
      <c r="T1649" s="22"/>
      <c r="U1649" s="22"/>
      <c r="V1649" s="6"/>
      <c r="W1649" s="6"/>
      <c r="X1649" s="19"/>
      <c r="Y1649" s="6"/>
      <c r="Z1649" s="6"/>
      <c r="AA1649" s="6"/>
      <c r="AB1649" s="6"/>
      <c r="AC1649" s="6"/>
      <c r="AD1649" s="6"/>
      <c r="AE1649" s="6"/>
      <c r="AF1649" s="18"/>
      <c r="AG1649" s="18"/>
      <c r="AH1649" s="18"/>
      <c r="AI1649" s="51">
        <v>24</v>
      </c>
      <c r="AK1649" s="18"/>
      <c r="AL1649" s="18"/>
      <c r="AM1649" s="18"/>
      <c r="AN1649" s="18"/>
      <c r="AO1649" s="6"/>
      <c r="AP1649" s="32"/>
      <c r="AQ1649" s="32"/>
      <c r="AR1649" s="32"/>
      <c r="AS1649" s="32"/>
      <c r="AT1649" s="32"/>
      <c r="AU1649" s="32"/>
      <c r="AV1649" s="32"/>
      <c r="AW1649" s="32"/>
      <c r="AX1649" s="32"/>
      <c r="AY1649" s="32"/>
      <c r="AZ1649" s="32">
        <v>17.5</v>
      </c>
      <c r="BA1649" s="32"/>
      <c r="BB1649" s="32"/>
      <c r="BC1649" s="32"/>
      <c r="BD1649" s="32"/>
      <c r="BE1649" s="32"/>
      <c r="BF1649" s="32"/>
      <c r="BG1649" s="32"/>
      <c r="BH1649" s="32"/>
      <c r="BI1649" s="32"/>
      <c r="BJ1649" s="6"/>
      <c r="BK1649" s="6"/>
      <c r="BL1649" s="6" t="s">
        <v>111</v>
      </c>
      <c r="BO1649" s="15"/>
    </row>
    <row r="1650" spans="1:67">
      <c r="A1650" s="6" t="s">
        <v>66</v>
      </c>
      <c r="B1650" s="6"/>
      <c r="C1650" s="17">
        <v>37970</v>
      </c>
      <c r="D1650" s="18">
        <v>18.828601952348333</v>
      </c>
      <c r="E1650" s="6"/>
      <c r="F1650" s="6"/>
      <c r="G1650" s="22"/>
      <c r="H1650" s="22"/>
      <c r="I1650" s="22"/>
      <c r="J1650" s="22"/>
      <c r="K1650" s="22"/>
      <c r="L1650" s="22"/>
      <c r="M1650" s="22"/>
      <c r="N1650" s="18">
        <v>151.38999999999999</v>
      </c>
      <c r="O1650" s="18"/>
      <c r="P1650" s="22"/>
      <c r="Q1650" s="22"/>
      <c r="R1650" s="22"/>
      <c r="S1650" s="22"/>
      <c r="T1650" s="22"/>
      <c r="U1650" s="22"/>
      <c r="V1650" s="6"/>
      <c r="W1650" s="6"/>
      <c r="X1650" s="19"/>
      <c r="Y1650" s="6"/>
      <c r="Z1650" s="6"/>
      <c r="AA1650" s="6"/>
      <c r="AB1650" s="6"/>
      <c r="AC1650" s="6"/>
      <c r="AD1650" s="6"/>
      <c r="AE1650" s="6"/>
      <c r="AF1650" s="18"/>
      <c r="AG1650" s="18"/>
      <c r="AH1650" s="18"/>
      <c r="AI1650" s="51">
        <v>25</v>
      </c>
      <c r="AK1650" s="18"/>
      <c r="AL1650" s="18"/>
      <c r="AM1650" s="18"/>
      <c r="AN1650" s="18"/>
      <c r="AO1650" s="6"/>
      <c r="AP1650" s="32"/>
      <c r="AQ1650" s="32"/>
      <c r="AR1650" s="32"/>
      <c r="AS1650" s="32"/>
      <c r="AT1650" s="32"/>
      <c r="AU1650" s="32"/>
      <c r="AV1650" s="32"/>
      <c r="AW1650" s="32"/>
      <c r="AX1650" s="32"/>
      <c r="AY1650" s="32"/>
      <c r="AZ1650" s="32">
        <v>18.5</v>
      </c>
      <c r="BA1650" s="32"/>
      <c r="BB1650" s="32"/>
      <c r="BC1650" s="32"/>
      <c r="BD1650" s="32"/>
      <c r="BE1650" s="32"/>
      <c r="BF1650" s="32"/>
      <c r="BG1650" s="32"/>
      <c r="BH1650" s="32"/>
      <c r="BI1650" s="32"/>
      <c r="BJ1650" s="6"/>
      <c r="BK1650" s="6"/>
      <c r="BL1650" s="6" t="s">
        <v>111</v>
      </c>
      <c r="BO1650" s="15"/>
    </row>
    <row r="1651" spans="1:67">
      <c r="A1651" s="6" t="s">
        <v>66</v>
      </c>
      <c r="B1651" s="6"/>
      <c r="C1651" s="17">
        <v>38336</v>
      </c>
      <c r="D1651" s="18">
        <v>19.830676739982401</v>
      </c>
      <c r="E1651" s="6"/>
      <c r="F1651" s="6"/>
      <c r="G1651" s="22"/>
      <c r="H1651" s="22"/>
      <c r="I1651" s="22"/>
      <c r="J1651" s="22"/>
      <c r="K1651" s="22"/>
      <c r="L1651" s="22"/>
      <c r="M1651" s="22"/>
      <c r="N1651" s="18">
        <v>165.39</v>
      </c>
      <c r="O1651" s="18"/>
      <c r="P1651" s="22"/>
      <c r="Q1651" s="22"/>
      <c r="R1651" s="22"/>
      <c r="S1651" s="22"/>
      <c r="T1651" s="22"/>
      <c r="U1651" s="22"/>
      <c r="V1651" s="6"/>
      <c r="W1651" s="6"/>
      <c r="X1651" s="19"/>
      <c r="Y1651" s="6"/>
      <c r="Z1651" s="6"/>
      <c r="AA1651" s="6"/>
      <c r="AB1651" s="6"/>
      <c r="AC1651" s="6"/>
      <c r="AD1651" s="6"/>
      <c r="AE1651" s="6"/>
      <c r="AF1651" s="18"/>
      <c r="AG1651" s="18"/>
      <c r="AH1651" s="18"/>
      <c r="AI1651" s="51">
        <v>26</v>
      </c>
      <c r="AK1651" s="18"/>
      <c r="AL1651" s="18"/>
      <c r="AM1651" s="18"/>
      <c r="AN1651" s="18"/>
      <c r="AO1651" s="6"/>
      <c r="AP1651" s="32"/>
      <c r="AQ1651" s="32"/>
      <c r="AR1651" s="32"/>
      <c r="AS1651" s="32"/>
      <c r="AT1651" s="32"/>
      <c r="AU1651" s="32"/>
      <c r="AV1651" s="32"/>
      <c r="AW1651" s="32"/>
      <c r="AX1651" s="32"/>
      <c r="AY1651" s="32"/>
      <c r="AZ1651" s="32">
        <v>20</v>
      </c>
      <c r="BA1651" s="32"/>
      <c r="BB1651" s="32"/>
      <c r="BC1651" s="32"/>
      <c r="BD1651" s="32"/>
      <c r="BE1651" s="32"/>
      <c r="BF1651" s="32"/>
      <c r="BG1651" s="32"/>
      <c r="BH1651" s="32"/>
      <c r="BI1651" s="32"/>
      <c r="BJ1651" s="6"/>
      <c r="BK1651" s="6"/>
      <c r="BL1651" s="6" t="s">
        <v>111</v>
      </c>
      <c r="BO1651" s="15"/>
    </row>
    <row r="1652" spans="1:67">
      <c r="A1652" s="6" t="s">
        <v>66</v>
      </c>
      <c r="B1652" s="6"/>
      <c r="C1652" s="17">
        <v>38701</v>
      </c>
      <c r="D1652" s="18">
        <v>20.830013618360638</v>
      </c>
      <c r="E1652" s="6"/>
      <c r="F1652" s="6"/>
      <c r="G1652" s="22"/>
      <c r="H1652" s="22"/>
      <c r="I1652" s="22"/>
      <c r="J1652" s="22"/>
      <c r="K1652" s="22"/>
      <c r="L1652" s="22"/>
      <c r="M1652" s="22"/>
      <c r="N1652" s="18">
        <v>179.39</v>
      </c>
      <c r="O1652" s="18"/>
      <c r="P1652" s="22"/>
      <c r="Q1652" s="22"/>
      <c r="R1652" s="22"/>
      <c r="S1652" s="22"/>
      <c r="T1652" s="22"/>
      <c r="U1652" s="22"/>
      <c r="V1652" s="6"/>
      <c r="W1652" s="6"/>
      <c r="X1652" s="19"/>
      <c r="Y1652" s="6"/>
      <c r="Z1652" s="6"/>
      <c r="AA1652" s="6"/>
      <c r="AB1652" s="6"/>
      <c r="AC1652" s="6"/>
      <c r="AD1652" s="6"/>
      <c r="AE1652" s="6"/>
      <c r="AF1652" s="18"/>
      <c r="AG1652" s="18"/>
      <c r="AH1652" s="18"/>
      <c r="AI1652" s="51">
        <v>27</v>
      </c>
      <c r="AK1652" s="18"/>
      <c r="AL1652" s="18"/>
      <c r="AM1652" s="18"/>
      <c r="AN1652" s="18"/>
      <c r="AO1652" s="6"/>
      <c r="AP1652" s="32"/>
      <c r="AQ1652" s="32"/>
      <c r="AR1652" s="32"/>
      <c r="AS1652" s="32"/>
      <c r="AT1652" s="32"/>
      <c r="AU1652" s="32"/>
      <c r="AV1652" s="32"/>
      <c r="AW1652" s="32"/>
      <c r="AX1652" s="32">
        <f>BA1652+BB1652+BF1652</f>
        <v>19.18</v>
      </c>
      <c r="AY1652" s="32">
        <v>5.1499999999999995</v>
      </c>
      <c r="AZ1652" s="32">
        <v>21</v>
      </c>
      <c r="BA1652" s="32">
        <v>6.29</v>
      </c>
      <c r="BB1652" s="32">
        <v>3.73</v>
      </c>
      <c r="BC1652" s="32"/>
      <c r="BD1652" s="32"/>
      <c r="BE1652" s="32"/>
      <c r="BF1652" s="32">
        <v>9.16</v>
      </c>
      <c r="BG1652" s="32">
        <v>4.2699999999999996</v>
      </c>
      <c r="BH1652" s="32">
        <v>0.88</v>
      </c>
      <c r="BI1652" s="32"/>
      <c r="BJ1652" s="6"/>
      <c r="BK1652" s="6"/>
      <c r="BL1652" s="6" t="s">
        <v>111</v>
      </c>
      <c r="BO1652" s="15"/>
    </row>
    <row r="1653" spans="1:67">
      <c r="A1653" s="6" t="s">
        <v>90</v>
      </c>
      <c r="B1653" s="6"/>
      <c r="C1653" s="17">
        <v>36905.906400000007</v>
      </c>
      <c r="D1653" s="22">
        <v>18.001497088781107</v>
      </c>
      <c r="E1653" s="6"/>
      <c r="F1653" s="22"/>
      <c r="G1653" s="22"/>
      <c r="H1653" s="22"/>
      <c r="I1653" s="22"/>
      <c r="J1653" s="22"/>
      <c r="K1653" s="22"/>
      <c r="L1653" s="22"/>
      <c r="M1653" s="22"/>
      <c r="N1653" s="18"/>
      <c r="O1653" s="18"/>
      <c r="P1653" s="22"/>
      <c r="Q1653" s="22"/>
      <c r="R1653" s="22"/>
      <c r="S1653" s="22"/>
      <c r="T1653" s="22"/>
      <c r="U1653" s="22"/>
      <c r="V1653" s="22"/>
      <c r="W1653" s="18">
        <v>1.9014829201137007</v>
      </c>
      <c r="X1653" s="19"/>
      <c r="Y1653" s="18">
        <v>2.5851634121575384</v>
      </c>
      <c r="Z1653" s="22"/>
      <c r="AA1653" s="22"/>
      <c r="AB1653" s="22"/>
      <c r="AC1653" s="22"/>
      <c r="AD1653" s="22"/>
      <c r="AE1653" s="22"/>
      <c r="AF1653" s="18"/>
      <c r="AG1653" s="18"/>
      <c r="AH1653" s="18"/>
      <c r="AI1653" s="18"/>
      <c r="AK1653" s="18"/>
      <c r="AL1653" s="18"/>
      <c r="AM1653" s="40" t="s">
        <v>118</v>
      </c>
      <c r="AN1653" s="18"/>
      <c r="AO1653" s="22"/>
      <c r="AP1653" s="32"/>
      <c r="AQ1653" s="32"/>
      <c r="AR1653" s="32"/>
      <c r="AS1653" s="32"/>
      <c r="AT1653" s="32"/>
      <c r="AU1653" s="32"/>
      <c r="AV1653" s="32"/>
      <c r="AW1653" s="32"/>
      <c r="AX1653" s="32"/>
      <c r="AY1653" s="32"/>
      <c r="AZ1653" s="32"/>
      <c r="BA1653" s="32"/>
      <c r="BB1653" s="32"/>
      <c r="BC1653" s="32"/>
      <c r="BD1653" s="32"/>
      <c r="BE1653" s="32"/>
      <c r="BF1653" s="32"/>
      <c r="BG1653" s="32"/>
      <c r="BH1653" s="32"/>
      <c r="BI1653" s="32"/>
      <c r="BJ1653" s="22"/>
      <c r="BK1653" s="22"/>
      <c r="BL1653" s="22" t="s">
        <v>86</v>
      </c>
      <c r="BO1653" s="15"/>
    </row>
    <row r="1654" spans="1:67">
      <c r="A1654" s="6" t="s">
        <v>92</v>
      </c>
      <c r="B1654" s="6"/>
      <c r="C1654" s="17">
        <v>36905.906400000007</v>
      </c>
      <c r="D1654" s="22">
        <v>18.001497088781107</v>
      </c>
      <c r="E1654" s="6"/>
      <c r="F1654" s="22"/>
      <c r="G1654" s="22"/>
      <c r="H1654" s="22"/>
      <c r="I1654" s="22"/>
      <c r="J1654" s="22"/>
      <c r="K1654" s="22"/>
      <c r="L1654" s="22"/>
      <c r="M1654" s="22"/>
      <c r="N1654" s="18"/>
      <c r="O1654" s="18"/>
      <c r="P1654" s="22"/>
      <c r="Q1654" s="22"/>
      <c r="R1654" s="22"/>
      <c r="S1654" s="22"/>
      <c r="T1654" s="22"/>
      <c r="U1654" s="22"/>
      <c r="V1654" s="22"/>
      <c r="W1654" s="18">
        <v>2.8234082404132939</v>
      </c>
      <c r="X1654" s="19"/>
      <c r="Y1654" s="18">
        <v>3.8156355603372818</v>
      </c>
      <c r="Z1654" s="22"/>
      <c r="AA1654" s="22"/>
      <c r="AB1654" s="22"/>
      <c r="AC1654" s="22"/>
      <c r="AD1654" s="22"/>
      <c r="AE1654" s="22"/>
      <c r="AF1654" s="18"/>
      <c r="AG1654" s="18"/>
      <c r="AH1654" s="18"/>
      <c r="AI1654" s="18"/>
      <c r="AK1654" s="18"/>
      <c r="AL1654" s="18"/>
      <c r="AM1654" s="40" t="s">
        <v>118</v>
      </c>
      <c r="AN1654" s="18"/>
      <c r="AO1654" s="22"/>
      <c r="AP1654" s="32"/>
      <c r="AQ1654" s="32"/>
      <c r="AR1654" s="32"/>
      <c r="AS1654" s="32"/>
      <c r="AT1654" s="32"/>
      <c r="AU1654" s="32"/>
      <c r="AV1654" s="32"/>
      <c r="AW1654" s="32"/>
      <c r="AX1654" s="32"/>
      <c r="AY1654" s="32"/>
      <c r="AZ1654" s="32"/>
      <c r="BA1654" s="32"/>
      <c r="BB1654" s="32"/>
      <c r="BC1654" s="32"/>
      <c r="BD1654" s="32"/>
      <c r="BE1654" s="32"/>
      <c r="BF1654" s="32"/>
      <c r="BG1654" s="32"/>
      <c r="BH1654" s="32"/>
      <c r="BI1654" s="32"/>
      <c r="BJ1654" s="22"/>
      <c r="BK1654" s="22"/>
      <c r="BL1654" s="22" t="s">
        <v>86</v>
      </c>
      <c r="BO1654" s="15"/>
    </row>
    <row r="1655" spans="1:67">
      <c r="A1655" s="6" t="s">
        <v>91</v>
      </c>
      <c r="B1655" s="6"/>
      <c r="C1655" s="17">
        <v>36905.906400000007</v>
      </c>
      <c r="D1655" s="22">
        <v>18.001497088781107</v>
      </c>
      <c r="E1655" s="6"/>
      <c r="F1655" s="22"/>
      <c r="G1655" s="22"/>
      <c r="H1655" s="22"/>
      <c r="I1655" s="22"/>
      <c r="J1655" s="22"/>
      <c r="K1655" s="22"/>
      <c r="L1655" s="22"/>
      <c r="M1655" s="22"/>
      <c r="N1655" s="18"/>
      <c r="O1655" s="18"/>
      <c r="P1655" s="22"/>
      <c r="Q1655" s="22"/>
      <c r="R1655" s="22"/>
      <c r="S1655" s="22"/>
      <c r="T1655" s="22"/>
      <c r="U1655" s="22"/>
      <c r="V1655" s="22"/>
      <c r="W1655" s="18">
        <v>2.1372379002352311</v>
      </c>
      <c r="X1655" s="19"/>
      <c r="Y1655" s="18">
        <v>2.761356691038614</v>
      </c>
      <c r="Z1655" s="22"/>
      <c r="AA1655" s="22"/>
      <c r="AB1655" s="22"/>
      <c r="AC1655" s="22"/>
      <c r="AD1655" s="22"/>
      <c r="AE1655" s="22"/>
      <c r="AF1655" s="18"/>
      <c r="AG1655" s="18"/>
      <c r="AH1655" s="18"/>
      <c r="AI1655" s="18"/>
      <c r="AK1655" s="18"/>
      <c r="AL1655" s="18"/>
      <c r="AM1655" s="40" t="s">
        <v>118</v>
      </c>
      <c r="AN1655" s="18"/>
      <c r="AO1655" s="22"/>
      <c r="AP1655" s="32"/>
      <c r="AQ1655" s="32"/>
      <c r="AR1655" s="32"/>
      <c r="AS1655" s="32"/>
      <c r="AT1655" s="32"/>
      <c r="AU1655" s="32"/>
      <c r="AV1655" s="32"/>
      <c r="AW1655" s="32"/>
      <c r="AX1655" s="32"/>
      <c r="AY1655" s="32"/>
      <c r="AZ1655" s="32"/>
      <c r="BA1655" s="32"/>
      <c r="BB1655" s="32"/>
      <c r="BC1655" s="32"/>
      <c r="BD1655" s="32"/>
      <c r="BE1655" s="32"/>
      <c r="BF1655" s="32"/>
      <c r="BG1655" s="32"/>
      <c r="BH1655" s="32"/>
      <c r="BI1655" s="32"/>
      <c r="BJ1655" s="22"/>
      <c r="BK1655" s="22"/>
      <c r="BL1655" s="22" t="s">
        <v>86</v>
      </c>
      <c r="BO1655" s="15"/>
    </row>
    <row r="1656" spans="1:67">
      <c r="A1656" s="6" t="s">
        <v>93</v>
      </c>
      <c r="B1656" s="6"/>
      <c r="C1656" s="17">
        <v>36905.906400000007</v>
      </c>
      <c r="D1656" s="22">
        <v>18.001497088781107</v>
      </c>
      <c r="E1656" s="6"/>
      <c r="F1656" s="22"/>
      <c r="G1656" s="22"/>
      <c r="H1656" s="22"/>
      <c r="I1656" s="22"/>
      <c r="J1656" s="22"/>
      <c r="K1656" s="22"/>
      <c r="L1656" s="22"/>
      <c r="M1656" s="22"/>
      <c r="N1656" s="18"/>
      <c r="O1656" s="18"/>
      <c r="P1656" s="22"/>
      <c r="Q1656" s="22"/>
      <c r="R1656" s="22"/>
      <c r="S1656" s="22"/>
      <c r="T1656" s="22"/>
      <c r="U1656" s="22"/>
      <c r="V1656" s="22"/>
      <c r="W1656" s="18">
        <v>2.930487556301109</v>
      </c>
      <c r="X1656" s="19"/>
      <c r="Y1656" s="18">
        <v>4.1673846841885798</v>
      </c>
      <c r="Z1656" s="22"/>
      <c r="AA1656" s="22"/>
      <c r="AB1656" s="22"/>
      <c r="AC1656" s="22"/>
      <c r="AD1656" s="22"/>
      <c r="AE1656" s="22"/>
      <c r="AF1656" s="18"/>
      <c r="AG1656" s="18"/>
      <c r="AH1656" s="18"/>
      <c r="AI1656" s="18"/>
      <c r="AK1656" s="18"/>
      <c r="AL1656" s="18"/>
      <c r="AM1656" s="40" t="s">
        <v>118</v>
      </c>
      <c r="AN1656" s="18"/>
      <c r="AO1656" s="22"/>
      <c r="AP1656" s="32"/>
      <c r="AQ1656" s="32"/>
      <c r="AR1656" s="32"/>
      <c r="AS1656" s="32"/>
      <c r="AT1656" s="32"/>
      <c r="AU1656" s="32"/>
      <c r="AV1656" s="32"/>
      <c r="AW1656" s="32"/>
      <c r="AX1656" s="32"/>
      <c r="AY1656" s="32"/>
      <c r="AZ1656" s="32"/>
      <c r="BA1656" s="32"/>
      <c r="BB1656" s="32"/>
      <c r="BC1656" s="32"/>
      <c r="BD1656" s="32"/>
      <c r="BE1656" s="32"/>
      <c r="BF1656" s="32"/>
      <c r="BG1656" s="32"/>
      <c r="BH1656" s="32"/>
      <c r="BI1656" s="32"/>
      <c r="BJ1656" s="22"/>
      <c r="BK1656" s="22"/>
      <c r="BL1656" s="22" t="s">
        <v>86</v>
      </c>
      <c r="BO1656" s="15"/>
    </row>
    <row r="1657" spans="1:67">
      <c r="A1657" s="6" t="s">
        <v>85</v>
      </c>
      <c r="B1657" s="6"/>
      <c r="C1657" s="17">
        <v>37271.148600000008</v>
      </c>
      <c r="D1657" s="22">
        <v>19.001497088781107</v>
      </c>
      <c r="E1657" s="6"/>
      <c r="F1657" s="22"/>
      <c r="G1657" s="22"/>
      <c r="H1657" s="22"/>
      <c r="I1657" s="22"/>
      <c r="J1657" s="22"/>
      <c r="K1657" s="22"/>
      <c r="L1657" s="22"/>
      <c r="M1657" s="22"/>
      <c r="N1657" s="18"/>
      <c r="O1657" s="18"/>
      <c r="P1657" s="22"/>
      <c r="Q1657" s="22"/>
      <c r="R1657" s="22"/>
      <c r="S1657" s="22"/>
      <c r="T1657" s="22"/>
      <c r="U1657" s="22"/>
      <c r="V1657" s="22"/>
      <c r="W1657" s="18">
        <v>1.9121802857788572</v>
      </c>
      <c r="X1657" s="19"/>
      <c r="Y1657" s="18">
        <v>2.7661140966835269</v>
      </c>
      <c r="Z1657" s="22"/>
      <c r="AA1657" s="22"/>
      <c r="AB1657" s="22"/>
      <c r="AC1657" s="22"/>
      <c r="AD1657" s="22"/>
      <c r="AE1657" s="22"/>
      <c r="AF1657" s="18"/>
      <c r="AG1657" s="18"/>
      <c r="AH1657" s="18"/>
      <c r="AI1657" s="18"/>
      <c r="AK1657" s="18"/>
      <c r="AL1657" s="18"/>
      <c r="AM1657" s="40" t="s">
        <v>118</v>
      </c>
      <c r="AN1657" s="18"/>
      <c r="AO1657" s="22"/>
      <c r="AP1657" s="32"/>
      <c r="AQ1657" s="32"/>
      <c r="AR1657" s="32"/>
      <c r="AS1657" s="32"/>
      <c r="AT1657" s="32"/>
      <c r="AU1657" s="32"/>
      <c r="AV1657" s="32"/>
      <c r="AW1657" s="32"/>
      <c r="AX1657" s="32"/>
      <c r="AY1657" s="32"/>
      <c r="AZ1657" s="32"/>
      <c r="BA1657" s="32"/>
      <c r="BB1657" s="32"/>
      <c r="BC1657" s="32"/>
      <c r="BD1657" s="32"/>
      <c r="BE1657" s="32"/>
      <c r="BF1657" s="32"/>
      <c r="BG1657" s="32"/>
      <c r="BH1657" s="32"/>
      <c r="BI1657" s="32"/>
      <c r="BJ1657" s="22"/>
      <c r="BK1657" s="22"/>
      <c r="BL1657" s="22" t="s">
        <v>86</v>
      </c>
      <c r="BO1657" s="15"/>
    </row>
    <row r="1658" spans="1:67">
      <c r="A1658" s="6" t="s">
        <v>88</v>
      </c>
      <c r="B1658" s="6"/>
      <c r="C1658" s="17">
        <v>37271.148600000008</v>
      </c>
      <c r="D1658" s="22">
        <v>19.001497088781107</v>
      </c>
      <c r="E1658" s="6"/>
      <c r="F1658" s="22"/>
      <c r="G1658" s="22"/>
      <c r="H1658" s="22"/>
      <c r="I1658" s="22"/>
      <c r="J1658" s="22"/>
      <c r="K1658" s="22"/>
      <c r="L1658" s="22"/>
      <c r="M1658" s="22"/>
      <c r="N1658" s="18"/>
      <c r="O1658" s="18"/>
      <c r="P1658" s="22"/>
      <c r="Q1658" s="22"/>
      <c r="R1658" s="22"/>
      <c r="S1658" s="22"/>
      <c r="T1658" s="22"/>
      <c r="U1658" s="22"/>
      <c r="V1658" s="22"/>
      <c r="W1658" s="18">
        <v>3.8691310737556459</v>
      </c>
      <c r="X1658" s="19"/>
      <c r="Y1658" s="18">
        <v>5.6365685910637611</v>
      </c>
      <c r="Z1658" s="22"/>
      <c r="AA1658" s="22"/>
      <c r="AB1658" s="22"/>
      <c r="AC1658" s="22"/>
      <c r="AD1658" s="22"/>
      <c r="AE1658" s="22"/>
      <c r="AF1658" s="18"/>
      <c r="AG1658" s="18"/>
      <c r="AH1658" s="18"/>
      <c r="AI1658" s="18"/>
      <c r="AK1658" s="18"/>
      <c r="AL1658" s="18"/>
      <c r="AM1658" s="40" t="s">
        <v>118</v>
      </c>
      <c r="AN1658" s="18"/>
      <c r="AO1658" s="22"/>
      <c r="AP1658" s="32"/>
      <c r="AQ1658" s="32"/>
      <c r="AR1658" s="32"/>
      <c r="AS1658" s="32"/>
      <c r="AT1658" s="32"/>
      <c r="AU1658" s="32"/>
      <c r="AV1658" s="32"/>
      <c r="AW1658" s="32"/>
      <c r="AX1658" s="32"/>
      <c r="AY1658" s="32"/>
      <c r="AZ1658" s="32"/>
      <c r="BA1658" s="32"/>
      <c r="BB1658" s="32"/>
      <c r="BC1658" s="32"/>
      <c r="BD1658" s="32"/>
      <c r="BE1658" s="32"/>
      <c r="BF1658" s="32"/>
      <c r="BG1658" s="32"/>
      <c r="BH1658" s="32"/>
      <c r="BI1658" s="32"/>
      <c r="BJ1658" s="22"/>
      <c r="BK1658" s="22"/>
      <c r="BL1658" s="22" t="s">
        <v>86</v>
      </c>
      <c r="BO1658" s="15"/>
    </row>
    <row r="1659" spans="1:67">
      <c r="A1659" s="6" t="s">
        <v>87</v>
      </c>
      <c r="B1659" s="6"/>
      <c r="C1659" s="17">
        <v>37271.148600000008</v>
      </c>
      <c r="D1659" s="22">
        <v>19.001497088781107</v>
      </c>
      <c r="E1659" s="6"/>
      <c r="F1659" s="22"/>
      <c r="G1659" s="22"/>
      <c r="H1659" s="22"/>
      <c r="I1659" s="22"/>
      <c r="J1659" s="22"/>
      <c r="K1659" s="22"/>
      <c r="L1659" s="22"/>
      <c r="M1659" s="22"/>
      <c r="N1659" s="18"/>
      <c r="O1659" s="18"/>
      <c r="P1659" s="22"/>
      <c r="Q1659" s="22"/>
      <c r="R1659" s="22"/>
      <c r="S1659" s="22"/>
      <c r="T1659" s="22"/>
      <c r="U1659" s="22"/>
      <c r="V1659" s="22"/>
      <c r="W1659" s="18">
        <v>2.4432299590334834</v>
      </c>
      <c r="X1659" s="19"/>
      <c r="Y1659" s="18">
        <v>3.5052331462730657</v>
      </c>
      <c r="Z1659" s="22"/>
      <c r="AA1659" s="22"/>
      <c r="AB1659" s="22"/>
      <c r="AC1659" s="22"/>
      <c r="AD1659" s="22"/>
      <c r="AE1659" s="22"/>
      <c r="AF1659" s="18"/>
      <c r="AG1659" s="18"/>
      <c r="AH1659" s="18"/>
      <c r="AI1659" s="18"/>
      <c r="AK1659" s="18"/>
      <c r="AL1659" s="18"/>
      <c r="AM1659" s="40" t="s">
        <v>118</v>
      </c>
      <c r="AN1659" s="18"/>
      <c r="AO1659" s="22"/>
      <c r="AP1659" s="32"/>
      <c r="AQ1659" s="32"/>
      <c r="AR1659" s="32"/>
      <c r="AS1659" s="32"/>
      <c r="AT1659" s="32"/>
      <c r="AU1659" s="32"/>
      <c r="AV1659" s="32"/>
      <c r="AW1659" s="32"/>
      <c r="AX1659" s="32"/>
      <c r="AY1659" s="32"/>
      <c r="AZ1659" s="32"/>
      <c r="BA1659" s="32"/>
      <c r="BB1659" s="32"/>
      <c r="BC1659" s="32"/>
      <c r="BD1659" s="32"/>
      <c r="BE1659" s="32"/>
      <c r="BF1659" s="32"/>
      <c r="BG1659" s="32"/>
      <c r="BH1659" s="32"/>
      <c r="BI1659" s="32"/>
      <c r="BJ1659" s="22"/>
      <c r="BK1659" s="22"/>
      <c r="BL1659" s="22" t="s">
        <v>86</v>
      </c>
      <c r="BO1659" s="15"/>
    </row>
    <row r="1660" spans="1:67">
      <c r="A1660" s="6" t="s">
        <v>89</v>
      </c>
      <c r="B1660" s="6"/>
      <c r="C1660" s="17">
        <v>37271.148600000008</v>
      </c>
      <c r="D1660" s="22">
        <v>19.001497088781107</v>
      </c>
      <c r="E1660" s="6"/>
      <c r="F1660" s="22"/>
      <c r="G1660" s="22"/>
      <c r="H1660" s="22"/>
      <c r="I1660" s="22"/>
      <c r="J1660" s="22"/>
      <c r="K1660" s="22"/>
      <c r="L1660" s="22"/>
      <c r="M1660" s="22"/>
      <c r="N1660" s="18"/>
      <c r="O1660" s="18"/>
      <c r="P1660" s="22"/>
      <c r="Q1660" s="22"/>
      <c r="R1660" s="22"/>
      <c r="S1660" s="22"/>
      <c r="T1660" s="22"/>
      <c r="U1660" s="22"/>
      <c r="V1660" s="22"/>
      <c r="W1660" s="18">
        <v>3.6643512711716046</v>
      </c>
      <c r="X1660" s="19"/>
      <c r="Y1660" s="18">
        <v>5.3095629665233215</v>
      </c>
      <c r="Z1660" s="22"/>
      <c r="AA1660" s="22"/>
      <c r="AB1660" s="22"/>
      <c r="AC1660" s="22"/>
      <c r="AD1660" s="22"/>
      <c r="AE1660" s="22"/>
      <c r="AF1660" s="18"/>
      <c r="AG1660" s="18"/>
      <c r="AH1660" s="18"/>
      <c r="AI1660" s="18"/>
      <c r="AK1660" s="18"/>
      <c r="AL1660" s="18"/>
      <c r="AM1660" s="40" t="s">
        <v>118</v>
      </c>
      <c r="AN1660" s="18"/>
      <c r="AO1660" s="22"/>
      <c r="AP1660" s="32"/>
      <c r="AQ1660" s="32"/>
      <c r="AR1660" s="32"/>
      <c r="AS1660" s="32"/>
      <c r="AT1660" s="32"/>
      <c r="AU1660" s="32"/>
      <c r="AV1660" s="32"/>
      <c r="AW1660" s="32"/>
      <c r="AX1660" s="32"/>
      <c r="AY1660" s="32"/>
      <c r="AZ1660" s="32"/>
      <c r="BA1660" s="32"/>
      <c r="BB1660" s="32"/>
      <c r="BC1660" s="32"/>
      <c r="BD1660" s="32"/>
      <c r="BE1660" s="32"/>
      <c r="BF1660" s="32"/>
      <c r="BG1660" s="32"/>
      <c r="BH1660" s="32"/>
      <c r="BI1660" s="32"/>
      <c r="BJ1660" s="22"/>
      <c r="BK1660" s="22"/>
      <c r="BL1660" s="22" t="s">
        <v>86</v>
      </c>
      <c r="BO1660" s="15"/>
    </row>
    <row r="1661" spans="1:67">
      <c r="A1661" s="6" t="s">
        <v>90</v>
      </c>
      <c r="B1661" s="6"/>
      <c r="C1661" s="17">
        <v>37271.148600000008</v>
      </c>
      <c r="D1661" s="22">
        <v>19.001497088781107</v>
      </c>
      <c r="E1661" s="6"/>
      <c r="F1661" s="22"/>
      <c r="G1661" s="22"/>
      <c r="H1661" s="22"/>
      <c r="I1661" s="22"/>
      <c r="J1661" s="22"/>
      <c r="K1661" s="22"/>
      <c r="L1661" s="22"/>
      <c r="M1661" s="22"/>
      <c r="N1661" s="18"/>
      <c r="O1661" s="18"/>
      <c r="P1661" s="22"/>
      <c r="Q1661" s="22"/>
      <c r="R1661" s="22"/>
      <c r="S1661" s="22"/>
      <c r="T1661" s="22"/>
      <c r="U1661" s="22"/>
      <c r="V1661" s="22"/>
      <c r="W1661" s="18">
        <v>2.0033356345035478</v>
      </c>
      <c r="X1661" s="19"/>
      <c r="Y1661" s="18">
        <v>2.6702117762024966</v>
      </c>
      <c r="Z1661" s="22"/>
      <c r="AA1661" s="22"/>
      <c r="AB1661" s="22"/>
      <c r="AC1661" s="22"/>
      <c r="AD1661" s="22"/>
      <c r="AE1661" s="22"/>
      <c r="AF1661" s="18"/>
      <c r="AG1661" s="18"/>
      <c r="AH1661" s="18"/>
      <c r="AI1661" s="18"/>
      <c r="AK1661" s="18"/>
      <c r="AL1661" s="18"/>
      <c r="AM1661" s="40" t="s">
        <v>118</v>
      </c>
      <c r="AN1661" s="18"/>
      <c r="AO1661" s="22"/>
      <c r="AP1661" s="32"/>
      <c r="AQ1661" s="32"/>
      <c r="AR1661" s="32"/>
      <c r="AS1661" s="32"/>
      <c r="AT1661" s="32"/>
      <c r="AU1661" s="32"/>
      <c r="AV1661" s="32"/>
      <c r="AW1661" s="32"/>
      <c r="AX1661" s="32"/>
      <c r="AY1661" s="32"/>
      <c r="AZ1661" s="32"/>
      <c r="BA1661" s="32"/>
      <c r="BB1661" s="32"/>
      <c r="BC1661" s="32"/>
      <c r="BD1661" s="32"/>
      <c r="BE1661" s="32"/>
      <c r="BF1661" s="32"/>
      <c r="BG1661" s="32"/>
      <c r="BH1661" s="32"/>
      <c r="BI1661" s="32"/>
      <c r="BJ1661" s="22"/>
      <c r="BK1661" s="22"/>
      <c r="BL1661" s="22" t="s">
        <v>86</v>
      </c>
      <c r="BO1661" s="15"/>
    </row>
    <row r="1662" spans="1:67" ht="13.25" customHeight="1">
      <c r="A1662" s="6" t="s">
        <v>92</v>
      </c>
      <c r="B1662" s="6"/>
      <c r="C1662" s="17">
        <v>37271.148600000008</v>
      </c>
      <c r="D1662" s="22">
        <v>19.001497088781107</v>
      </c>
      <c r="E1662" s="6"/>
      <c r="F1662" s="22"/>
      <c r="G1662" s="22"/>
      <c r="H1662" s="22"/>
      <c r="I1662" s="22"/>
      <c r="J1662" s="22"/>
      <c r="K1662" s="22"/>
      <c r="L1662" s="22"/>
      <c r="M1662" s="22"/>
      <c r="N1662" s="18"/>
      <c r="O1662" s="18"/>
      <c r="P1662" s="22"/>
      <c r="Q1662" s="22"/>
      <c r="R1662" s="22"/>
      <c r="S1662" s="22"/>
      <c r="T1662" s="22"/>
      <c r="U1662" s="22"/>
      <c r="V1662" s="22"/>
      <c r="W1662" s="18">
        <v>2.6931052024611741</v>
      </c>
      <c r="X1662" s="19"/>
      <c r="Y1662" s="18">
        <v>3.4134625460356065</v>
      </c>
      <c r="Z1662" s="22"/>
      <c r="AA1662" s="22"/>
      <c r="AB1662" s="22"/>
      <c r="AC1662" s="22"/>
      <c r="AD1662" s="22"/>
      <c r="AE1662" s="22"/>
      <c r="AF1662" s="18"/>
      <c r="AG1662" s="18"/>
      <c r="AH1662" s="18"/>
      <c r="AI1662" s="18"/>
      <c r="AK1662" s="18"/>
      <c r="AL1662" s="18"/>
      <c r="AM1662" s="40" t="s">
        <v>118</v>
      </c>
      <c r="AN1662" s="18"/>
      <c r="AO1662" s="22"/>
      <c r="AP1662" s="32"/>
      <c r="AQ1662" s="32"/>
      <c r="AR1662" s="32"/>
      <c r="AS1662" s="32"/>
      <c r="AT1662" s="32"/>
      <c r="AU1662" s="32"/>
      <c r="AV1662" s="32"/>
      <c r="AW1662" s="32"/>
      <c r="AX1662" s="32"/>
      <c r="AY1662" s="32"/>
      <c r="AZ1662" s="32"/>
      <c r="BA1662" s="32"/>
      <c r="BB1662" s="32"/>
      <c r="BC1662" s="32"/>
      <c r="BD1662" s="32"/>
      <c r="BE1662" s="32"/>
      <c r="BF1662" s="32"/>
      <c r="BG1662" s="32"/>
      <c r="BH1662" s="32"/>
      <c r="BI1662" s="32"/>
      <c r="BJ1662" s="22"/>
      <c r="BK1662" s="22"/>
      <c r="BL1662" s="22" t="s">
        <v>86</v>
      </c>
      <c r="BO1662" s="15"/>
    </row>
    <row r="1663" spans="1:67">
      <c r="A1663" s="6" t="s">
        <v>91</v>
      </c>
      <c r="B1663" s="6"/>
      <c r="C1663" s="17">
        <v>37271.148600000008</v>
      </c>
      <c r="D1663" s="22">
        <v>19.001497088781107</v>
      </c>
      <c r="E1663" s="6"/>
      <c r="F1663" s="22"/>
      <c r="G1663" s="22"/>
      <c r="H1663" s="22"/>
      <c r="I1663" s="22"/>
      <c r="J1663" s="22"/>
      <c r="K1663" s="22"/>
      <c r="L1663" s="22"/>
      <c r="M1663" s="22"/>
      <c r="N1663" s="18"/>
      <c r="O1663" s="18"/>
      <c r="P1663" s="22"/>
      <c r="Q1663" s="22"/>
      <c r="R1663" s="22"/>
      <c r="S1663" s="22"/>
      <c r="T1663" s="22"/>
      <c r="U1663" s="22"/>
      <c r="V1663" s="22"/>
      <c r="W1663" s="18">
        <v>2.2183083215823833</v>
      </c>
      <c r="X1663" s="19"/>
      <c r="Y1663" s="18">
        <v>2.8130605161717477</v>
      </c>
      <c r="Z1663" s="22"/>
      <c r="AA1663" s="22"/>
      <c r="AB1663" s="22"/>
      <c r="AC1663" s="22"/>
      <c r="AD1663" s="22"/>
      <c r="AE1663" s="22"/>
      <c r="AF1663" s="18"/>
      <c r="AG1663" s="18"/>
      <c r="AH1663" s="18"/>
      <c r="AI1663" s="18"/>
      <c r="AK1663" s="18"/>
      <c r="AL1663" s="18"/>
      <c r="AM1663" s="40" t="s">
        <v>118</v>
      </c>
      <c r="AN1663" s="18"/>
      <c r="AO1663" s="22"/>
      <c r="AP1663" s="32"/>
      <c r="AQ1663" s="32"/>
      <c r="AR1663" s="32"/>
      <c r="AS1663" s="32"/>
      <c r="AT1663" s="32"/>
      <c r="AU1663" s="32"/>
      <c r="AV1663" s="32"/>
      <c r="AW1663" s="32"/>
      <c r="AX1663" s="32"/>
      <c r="AY1663" s="32"/>
      <c r="AZ1663" s="32"/>
      <c r="BA1663" s="32"/>
      <c r="BB1663" s="32"/>
      <c r="BC1663" s="32"/>
      <c r="BD1663" s="32"/>
      <c r="BE1663" s="32"/>
      <c r="BF1663" s="32"/>
      <c r="BG1663" s="32"/>
      <c r="BH1663" s="32"/>
      <c r="BI1663" s="32"/>
      <c r="BJ1663" s="22"/>
      <c r="BK1663" s="22"/>
      <c r="BL1663" s="22" t="s">
        <v>86</v>
      </c>
      <c r="BO1663" s="15"/>
    </row>
    <row r="1664" spans="1:67">
      <c r="A1664" s="6" t="s">
        <v>93</v>
      </c>
      <c r="B1664" s="6"/>
      <c r="C1664" s="17">
        <v>37271.148600000008</v>
      </c>
      <c r="D1664" s="22">
        <v>19.001497088781107</v>
      </c>
      <c r="E1664" s="6"/>
      <c r="F1664" s="22"/>
      <c r="G1664" s="22"/>
      <c r="H1664" s="22"/>
      <c r="I1664" s="22"/>
      <c r="J1664" s="22"/>
      <c r="K1664" s="22"/>
      <c r="L1664" s="22"/>
      <c r="M1664" s="22"/>
      <c r="N1664" s="18"/>
      <c r="O1664" s="18"/>
      <c r="P1664" s="22"/>
      <c r="Q1664" s="22"/>
      <c r="R1664" s="22"/>
      <c r="S1664" s="22"/>
      <c r="T1664" s="22"/>
      <c r="U1664" s="22"/>
      <c r="V1664" s="22"/>
      <c r="W1664" s="18">
        <v>2.9301642868738442</v>
      </c>
      <c r="X1664" s="19"/>
      <c r="Y1664" s="18">
        <v>4.1904467960491347</v>
      </c>
      <c r="Z1664" s="22"/>
      <c r="AA1664" s="22"/>
      <c r="AB1664" s="22"/>
      <c r="AC1664" s="22"/>
      <c r="AD1664" s="22"/>
      <c r="AE1664" s="22"/>
      <c r="AF1664" s="18"/>
      <c r="AG1664" s="18"/>
      <c r="AH1664" s="18"/>
      <c r="AI1664" s="18"/>
      <c r="AK1664" s="18"/>
      <c r="AL1664" s="18"/>
      <c r="AM1664" s="40" t="s">
        <v>118</v>
      </c>
      <c r="AN1664" s="18"/>
      <c r="AO1664" s="22"/>
      <c r="AP1664" s="32"/>
      <c r="AQ1664" s="32"/>
      <c r="AR1664" s="32"/>
      <c r="AS1664" s="32"/>
      <c r="AT1664" s="32"/>
      <c r="AU1664" s="32"/>
      <c r="AV1664" s="32"/>
      <c r="AW1664" s="32"/>
      <c r="AX1664" s="32"/>
      <c r="AY1664" s="32"/>
      <c r="AZ1664" s="32"/>
      <c r="BA1664" s="32"/>
      <c r="BB1664" s="32"/>
      <c r="BC1664" s="32"/>
      <c r="BD1664" s="32"/>
      <c r="BE1664" s="32"/>
      <c r="BF1664" s="32"/>
      <c r="BG1664" s="32"/>
      <c r="BH1664" s="32"/>
      <c r="BI1664" s="32"/>
      <c r="BJ1664" s="22"/>
      <c r="BK1664" s="22"/>
      <c r="BL1664" s="22" t="s">
        <v>86</v>
      </c>
      <c r="BO1664" s="15"/>
    </row>
    <row r="1665" spans="1:67">
      <c r="A1665" s="6" t="s">
        <v>85</v>
      </c>
      <c r="B1665" s="6"/>
      <c r="C1665" s="17">
        <v>38366.359600000011</v>
      </c>
      <c r="D1665" s="22">
        <v>22.000085422768809</v>
      </c>
      <c r="E1665" s="6">
        <v>72.90682290682291</v>
      </c>
      <c r="F1665" s="22">
        <v>1350.125</v>
      </c>
      <c r="G1665" s="22"/>
      <c r="H1665" s="22">
        <v>416.05487400684569</v>
      </c>
      <c r="I1665" s="22"/>
      <c r="J1665" s="22">
        <v>953.25288120738969</v>
      </c>
      <c r="K1665" s="22"/>
      <c r="L1665" s="22"/>
      <c r="M1665" s="22"/>
      <c r="N1665" s="18">
        <v>143.07972027972028</v>
      </c>
      <c r="O1665" s="18"/>
      <c r="P1665" s="22">
        <v>7591.7531595138598</v>
      </c>
      <c r="Q1665" s="22"/>
      <c r="R1665" s="22"/>
      <c r="S1665" s="22"/>
      <c r="T1665" s="22">
        <v>8961.0609147280957</v>
      </c>
      <c r="U1665" s="22"/>
      <c r="V1665" s="22"/>
      <c r="W1665" s="22"/>
      <c r="X1665" s="19"/>
      <c r="Y1665" s="22"/>
      <c r="Z1665" s="22"/>
      <c r="AA1665" s="22"/>
      <c r="AB1665" s="22"/>
      <c r="AC1665" s="22"/>
      <c r="AD1665" s="22"/>
      <c r="AE1665" s="22"/>
      <c r="AF1665" s="18"/>
      <c r="AG1665" s="18">
        <v>15.377028897193838</v>
      </c>
      <c r="AH1665" s="18"/>
      <c r="AI1665" s="18">
        <v>25.073198391759014</v>
      </c>
      <c r="AK1665" s="18"/>
      <c r="AL1665" s="18"/>
      <c r="AM1665" s="40">
        <v>6.5035983965608191</v>
      </c>
      <c r="AN1665" s="18"/>
      <c r="AO1665" s="22"/>
      <c r="AP1665" s="32"/>
      <c r="AQ1665" s="32"/>
      <c r="AR1665" s="32"/>
      <c r="AS1665" s="32"/>
      <c r="AT1665" s="32"/>
      <c r="AU1665" s="32"/>
      <c r="AV1665" s="32"/>
      <c r="AW1665" s="32"/>
      <c r="AX1665" s="32"/>
      <c r="AY1665" s="32"/>
      <c r="AZ1665" s="32"/>
      <c r="BA1665" s="32"/>
      <c r="BB1665" s="32"/>
      <c r="BC1665" s="32"/>
      <c r="BD1665" s="32"/>
      <c r="BE1665" s="32"/>
      <c r="BF1665" s="32"/>
      <c r="BG1665" s="32"/>
      <c r="BH1665" s="32"/>
      <c r="BI1665" s="32"/>
      <c r="BJ1665" s="22"/>
      <c r="BK1665" s="22"/>
      <c r="BL1665" s="22" t="s">
        <v>86</v>
      </c>
      <c r="BO1665" s="15"/>
    </row>
    <row r="1666" spans="1:67">
      <c r="A1666" s="6" t="s">
        <v>88</v>
      </c>
      <c r="B1666" s="6"/>
      <c r="C1666" s="17">
        <v>38366.359600000011</v>
      </c>
      <c r="D1666" s="22">
        <v>22.000085422768809</v>
      </c>
      <c r="E1666" s="6">
        <v>50.687531252531258</v>
      </c>
      <c r="F1666" s="22">
        <v>938.65704750000009</v>
      </c>
      <c r="G1666" s="22"/>
      <c r="H1666" s="22">
        <v>648.52995417253067</v>
      </c>
      <c r="I1666" s="22"/>
      <c r="J1666" s="22">
        <v>1936.1217974750671</v>
      </c>
      <c r="K1666" s="22"/>
      <c r="L1666" s="22"/>
      <c r="M1666" s="22"/>
      <c r="N1666" s="18">
        <v>297.75314685314686</v>
      </c>
      <c r="O1666" s="18"/>
      <c r="P1666" s="22">
        <v>14948.293626075396</v>
      </c>
      <c r="Q1666" s="22"/>
      <c r="R1666" s="22"/>
      <c r="S1666" s="22"/>
      <c r="T1666" s="22">
        <v>17532.945377722994</v>
      </c>
      <c r="U1666" s="22"/>
      <c r="V1666" s="22"/>
      <c r="W1666" s="22"/>
      <c r="X1666" s="19"/>
      <c r="Y1666" s="22"/>
      <c r="Z1666" s="22"/>
      <c r="AA1666" s="22"/>
      <c r="AB1666" s="22"/>
      <c r="AC1666" s="22"/>
      <c r="AD1666" s="22"/>
      <c r="AE1666" s="22"/>
      <c r="AF1666" s="18"/>
      <c r="AG1666" s="18">
        <v>22.686740871324051</v>
      </c>
      <c r="AH1666" s="18"/>
      <c r="AI1666" s="18">
        <v>37.943908402237724</v>
      </c>
      <c r="AK1666" s="18"/>
      <c r="AL1666" s="18"/>
      <c r="AM1666" s="40">
        <v>13.534181396631745</v>
      </c>
      <c r="AN1666" s="18"/>
      <c r="AO1666" s="22"/>
      <c r="AP1666" s="32"/>
      <c r="AQ1666" s="32"/>
      <c r="AR1666" s="32"/>
      <c r="AS1666" s="32"/>
      <c r="AT1666" s="32"/>
      <c r="AU1666" s="32"/>
      <c r="AV1666" s="32"/>
      <c r="AW1666" s="32"/>
      <c r="AX1666" s="32"/>
      <c r="AY1666" s="32"/>
      <c r="AZ1666" s="32"/>
      <c r="BA1666" s="32"/>
      <c r="BB1666" s="32"/>
      <c r="BC1666" s="32"/>
      <c r="BD1666" s="32"/>
      <c r="BE1666" s="32"/>
      <c r="BF1666" s="32"/>
      <c r="BG1666" s="32"/>
      <c r="BH1666" s="32"/>
      <c r="BI1666" s="32"/>
      <c r="BJ1666" s="22"/>
      <c r="BK1666" s="22"/>
      <c r="BL1666" s="22" t="s">
        <v>86</v>
      </c>
      <c r="BO1666" s="15"/>
    </row>
    <row r="1667" spans="1:67">
      <c r="A1667" s="6" t="s">
        <v>87</v>
      </c>
      <c r="B1667" s="6"/>
      <c r="C1667" s="17">
        <v>38366.359600000011</v>
      </c>
      <c r="D1667" s="22">
        <v>22.000085422768809</v>
      </c>
      <c r="E1667" s="6">
        <v>66.657666657666667</v>
      </c>
      <c r="F1667" s="22">
        <v>1234.4000000000001</v>
      </c>
      <c r="G1667" s="22"/>
      <c r="H1667" s="22">
        <v>635.3909718323514</v>
      </c>
      <c r="I1667" s="22"/>
      <c r="J1667" s="22">
        <v>1754.229338094809</v>
      </c>
      <c r="K1667" s="22"/>
      <c r="L1667" s="22"/>
      <c r="M1667" s="22"/>
      <c r="N1667" s="18">
        <v>256.84895104895105</v>
      </c>
      <c r="O1667" s="18"/>
      <c r="P1667" s="22">
        <v>13907.557504285225</v>
      </c>
      <c r="Q1667" s="22"/>
      <c r="R1667" s="22"/>
      <c r="S1667" s="22"/>
      <c r="T1667" s="22">
        <v>16297.177814212386</v>
      </c>
      <c r="U1667" s="22"/>
      <c r="V1667" s="22"/>
      <c r="W1667" s="22"/>
      <c r="X1667" s="19"/>
      <c r="Y1667" s="22"/>
      <c r="Z1667" s="22"/>
      <c r="AA1667" s="22"/>
      <c r="AB1667" s="22"/>
      <c r="AC1667" s="22"/>
      <c r="AD1667" s="22"/>
      <c r="AE1667" s="22"/>
      <c r="AF1667" s="18"/>
      <c r="AG1667" s="18">
        <v>19.935519179371862</v>
      </c>
      <c r="AH1667" s="18"/>
      <c r="AI1667" s="18">
        <v>38.530257450826291</v>
      </c>
      <c r="AK1667" s="18"/>
      <c r="AL1667" s="18"/>
      <c r="AM1667" s="40">
        <v>11.674906988457751</v>
      </c>
      <c r="AN1667" s="18"/>
      <c r="AO1667" s="22"/>
      <c r="AP1667" s="32"/>
      <c r="AQ1667" s="32"/>
      <c r="AR1667" s="32"/>
      <c r="AS1667" s="32"/>
      <c r="AT1667" s="32"/>
      <c r="AU1667" s="32"/>
      <c r="AV1667" s="32"/>
      <c r="AW1667" s="32"/>
      <c r="AX1667" s="32"/>
      <c r="AY1667" s="32"/>
      <c r="AZ1667" s="32"/>
      <c r="BA1667" s="32"/>
      <c r="BB1667" s="32"/>
      <c r="BC1667" s="32"/>
      <c r="BD1667" s="32"/>
      <c r="BE1667" s="32"/>
      <c r="BF1667" s="32"/>
      <c r="BG1667" s="32"/>
      <c r="BH1667" s="32"/>
      <c r="BI1667" s="32"/>
      <c r="BJ1667" s="22"/>
      <c r="BK1667" s="22"/>
      <c r="BL1667" s="22" t="s">
        <v>86</v>
      </c>
      <c r="BO1667" s="15"/>
    </row>
    <row r="1668" spans="1:67">
      <c r="A1668" s="6" t="s">
        <v>89</v>
      </c>
      <c r="B1668" s="6"/>
      <c r="C1668" s="17">
        <v>38366.359600000011</v>
      </c>
      <c r="D1668" s="22">
        <v>22.000085422768809</v>
      </c>
      <c r="E1668" s="6">
        <v>59.714229149229162</v>
      </c>
      <c r="F1668" s="22">
        <v>1105.8179525</v>
      </c>
      <c r="G1668" s="22"/>
      <c r="H1668" s="22">
        <v>744.58171651736643</v>
      </c>
      <c r="I1668" s="22"/>
      <c r="J1668" s="22">
        <v>2209.3001943767872</v>
      </c>
      <c r="K1668" s="22"/>
      <c r="L1668" s="22"/>
      <c r="M1668" s="22"/>
      <c r="N1668" s="18">
        <v>342.53916083916084</v>
      </c>
      <c r="O1668" s="18"/>
      <c r="P1668" s="22">
        <v>17107.281154599888</v>
      </c>
      <c r="Q1668" s="22"/>
      <c r="R1668" s="22"/>
      <c r="S1668" s="22"/>
      <c r="T1668" s="22">
        <v>20061.163065494042</v>
      </c>
      <c r="U1668" s="22"/>
      <c r="V1668" s="22"/>
      <c r="W1668" s="22"/>
      <c r="X1668" s="19"/>
      <c r="Y1668" s="22"/>
      <c r="Z1668" s="22"/>
      <c r="AA1668" s="22"/>
      <c r="AB1668" s="22"/>
      <c r="AC1668" s="22"/>
      <c r="AD1668" s="22"/>
      <c r="AE1668" s="22"/>
      <c r="AF1668" s="18"/>
      <c r="AG1668" s="18">
        <v>22.442425738219335</v>
      </c>
      <c r="AH1668" s="18"/>
      <c r="AI1668" s="18">
        <v>43.743560226080859</v>
      </c>
      <c r="AK1668" s="18"/>
      <c r="AL1668" s="18"/>
      <c r="AM1668" s="40">
        <v>15.569901400685142</v>
      </c>
      <c r="AN1668" s="18"/>
      <c r="AO1668" s="22"/>
      <c r="AP1668" s="32"/>
      <c r="AQ1668" s="32"/>
      <c r="AR1668" s="32"/>
      <c r="AS1668" s="32"/>
      <c r="AT1668" s="32"/>
      <c r="AU1668" s="32"/>
      <c r="AV1668" s="32"/>
      <c r="AW1668" s="32"/>
      <c r="AX1668" s="32"/>
      <c r="AY1668" s="32"/>
      <c r="AZ1668" s="32"/>
      <c r="BA1668" s="32"/>
      <c r="BB1668" s="32"/>
      <c r="BC1668" s="32"/>
      <c r="BD1668" s="32"/>
      <c r="BE1668" s="32"/>
      <c r="BF1668" s="32"/>
      <c r="BG1668" s="32"/>
      <c r="BH1668" s="32"/>
      <c r="BI1668" s="32"/>
      <c r="BJ1668" s="22"/>
      <c r="BK1668" s="22"/>
      <c r="BL1668" s="22" t="s">
        <v>86</v>
      </c>
      <c r="BO1668" s="15"/>
    </row>
    <row r="1669" spans="1:67">
      <c r="A1669" s="6" t="s">
        <v>90</v>
      </c>
      <c r="B1669" s="6"/>
      <c r="C1669" s="17">
        <v>38366.359600000011</v>
      </c>
      <c r="D1669" s="22">
        <v>22.000085422768809</v>
      </c>
      <c r="E1669" s="6">
        <v>59.019739584739597</v>
      </c>
      <c r="F1669" s="22">
        <v>1092.9570475</v>
      </c>
      <c r="G1669" s="22"/>
      <c r="H1669" s="22">
        <v>663.27336339479314</v>
      </c>
      <c r="I1669" s="22"/>
      <c r="J1669" s="22">
        <v>1152.2359091762964</v>
      </c>
      <c r="K1669" s="22"/>
      <c r="L1669" s="22"/>
      <c r="M1669" s="22"/>
      <c r="N1669" s="18">
        <v>178.81398601398601</v>
      </c>
      <c r="O1669" s="18"/>
      <c r="P1669" s="22">
        <v>11419.859896590158</v>
      </c>
      <c r="Q1669" s="22"/>
      <c r="R1669" s="22"/>
      <c r="S1669" s="22"/>
      <c r="T1669" s="22">
        <v>13235.369169161248</v>
      </c>
      <c r="U1669" s="22"/>
      <c r="V1669" s="22"/>
      <c r="W1669" s="22"/>
      <c r="X1669" s="19"/>
      <c r="Y1669" s="22"/>
      <c r="Z1669" s="22"/>
      <c r="AA1669" s="22"/>
      <c r="AB1669" s="22"/>
      <c r="AC1669" s="22"/>
      <c r="AD1669" s="22"/>
      <c r="AE1669" s="22"/>
      <c r="AF1669" s="18"/>
      <c r="AG1669" s="18">
        <v>17.790917984772715</v>
      </c>
      <c r="AH1669" s="18"/>
      <c r="AI1669" s="18">
        <v>27.170066848490222</v>
      </c>
      <c r="AK1669" s="18"/>
      <c r="AL1669" s="18"/>
      <c r="AM1669" s="40">
        <v>8.1278768958289564</v>
      </c>
      <c r="AN1669" s="18"/>
      <c r="AO1669" s="22"/>
      <c r="AP1669" s="32"/>
      <c r="AQ1669" s="32"/>
      <c r="AR1669" s="32"/>
      <c r="AS1669" s="32"/>
      <c r="AT1669" s="32"/>
      <c r="AU1669" s="32"/>
      <c r="AV1669" s="32"/>
      <c r="AW1669" s="32"/>
      <c r="AX1669" s="32"/>
      <c r="AY1669" s="32"/>
      <c r="AZ1669" s="32"/>
      <c r="BA1669" s="32"/>
      <c r="BB1669" s="32"/>
      <c r="BC1669" s="32"/>
      <c r="BD1669" s="32"/>
      <c r="BE1669" s="32"/>
      <c r="BF1669" s="32"/>
      <c r="BG1669" s="32"/>
      <c r="BH1669" s="32"/>
      <c r="BI1669" s="32"/>
      <c r="BJ1669" s="22"/>
      <c r="BK1669" s="22"/>
      <c r="BL1669" s="22" t="s">
        <v>86</v>
      </c>
      <c r="BO1669" s="15"/>
    </row>
    <row r="1670" spans="1:67">
      <c r="A1670" s="6" t="s">
        <v>92</v>
      </c>
      <c r="B1670" s="6"/>
      <c r="C1670" s="17">
        <v>38366.359600000011</v>
      </c>
      <c r="D1670" s="22">
        <v>22.000085422768809</v>
      </c>
      <c r="E1670" s="6">
        <v>43.049812484812485</v>
      </c>
      <c r="F1670" s="22">
        <v>797.21795249999991</v>
      </c>
      <c r="G1670" s="22"/>
      <c r="H1670" s="22">
        <v>820.82646187594003</v>
      </c>
      <c r="I1670" s="22"/>
      <c r="J1670" s="22">
        <v>1748.0102032622551</v>
      </c>
      <c r="K1670" s="22"/>
      <c r="L1670" s="22"/>
      <c r="M1670" s="22"/>
      <c r="N1670" s="18">
        <v>239.58041958041957</v>
      </c>
      <c r="O1670" s="18"/>
      <c r="P1670" s="22">
        <v>14779.668551260407</v>
      </c>
      <c r="Q1670" s="22"/>
      <c r="R1670" s="22"/>
      <c r="S1670" s="22"/>
      <c r="T1670" s="22">
        <v>17348.505216398604</v>
      </c>
      <c r="U1670" s="22"/>
      <c r="V1670" s="22"/>
      <c r="W1670" s="22"/>
      <c r="X1670" s="19"/>
      <c r="Y1670" s="22"/>
      <c r="Z1670" s="22"/>
      <c r="AA1670" s="22"/>
      <c r="AB1670" s="22"/>
      <c r="AC1670" s="22"/>
      <c r="AD1670" s="22"/>
      <c r="AE1670" s="22"/>
      <c r="AF1670" s="18"/>
      <c r="AG1670" s="18">
        <v>21.962360773484836</v>
      </c>
      <c r="AH1670" s="18"/>
      <c r="AI1670" s="18">
        <v>30.201325892216051</v>
      </c>
      <c r="AK1670" s="18"/>
      <c r="AL1670" s="18"/>
      <c r="AM1670" s="40">
        <v>10.889976787656822</v>
      </c>
      <c r="AN1670" s="18"/>
      <c r="AO1670" s="22"/>
      <c r="AP1670" s="32"/>
      <c r="AQ1670" s="32"/>
      <c r="AR1670" s="32"/>
      <c r="AS1670" s="32"/>
      <c r="AT1670" s="32"/>
      <c r="AU1670" s="32"/>
      <c r="AV1670" s="32"/>
      <c r="AW1670" s="32"/>
      <c r="AX1670" s="32"/>
      <c r="AY1670" s="32"/>
      <c r="AZ1670" s="32"/>
      <c r="BA1670" s="32"/>
      <c r="BB1670" s="32"/>
      <c r="BC1670" s="32"/>
      <c r="BD1670" s="32"/>
      <c r="BE1670" s="32"/>
      <c r="BF1670" s="32"/>
      <c r="BG1670" s="32"/>
      <c r="BH1670" s="32"/>
      <c r="BI1670" s="32"/>
      <c r="BJ1670" s="22"/>
      <c r="BK1670" s="22"/>
      <c r="BL1670" s="22" t="s">
        <v>86</v>
      </c>
      <c r="BO1670" s="15"/>
    </row>
    <row r="1671" spans="1:67">
      <c r="A1671" s="6" t="s">
        <v>91</v>
      </c>
      <c r="B1671" s="6"/>
      <c r="C1671" s="17">
        <v>38366.359600000011</v>
      </c>
      <c r="D1671" s="22">
        <v>22.000085422768809</v>
      </c>
      <c r="E1671" s="6">
        <v>62.49156249156249</v>
      </c>
      <c r="F1671" s="22">
        <v>1157.25</v>
      </c>
      <c r="G1671" s="22"/>
      <c r="H1671" s="22">
        <v>1046.7786911092576</v>
      </c>
      <c r="I1671" s="22"/>
      <c r="J1671" s="22">
        <v>2141.2228493011398</v>
      </c>
      <c r="K1671" s="22"/>
      <c r="L1671" s="22"/>
      <c r="M1671" s="22"/>
      <c r="N1671" s="18">
        <v>305.06503496503495</v>
      </c>
      <c r="O1671" s="18"/>
      <c r="P1671" s="22">
        <v>18809.480392659403</v>
      </c>
      <c r="Q1671" s="22"/>
      <c r="R1671" s="22"/>
      <c r="S1671" s="22"/>
      <c r="T1671" s="22">
        <v>21997.481933069801</v>
      </c>
      <c r="U1671" s="22"/>
      <c r="V1671" s="22"/>
      <c r="W1671" s="22"/>
      <c r="X1671" s="19"/>
      <c r="Y1671" s="22"/>
      <c r="Z1671" s="22"/>
      <c r="AA1671" s="22"/>
      <c r="AB1671" s="22"/>
      <c r="AC1671" s="22"/>
      <c r="AD1671" s="22"/>
      <c r="AE1671" s="22"/>
      <c r="AF1671" s="18"/>
      <c r="AG1671" s="18">
        <v>20.926157168669477</v>
      </c>
      <c r="AH1671" s="18"/>
      <c r="AI1671" s="18">
        <v>39.801281184414066</v>
      </c>
      <c r="AK1671" s="18"/>
      <c r="AL1671" s="18"/>
      <c r="AM1671" s="40">
        <v>13.866538656677687</v>
      </c>
      <c r="AN1671" s="18"/>
      <c r="AO1671" s="22"/>
      <c r="AP1671" s="32"/>
      <c r="AQ1671" s="32"/>
      <c r="AR1671" s="32"/>
      <c r="AS1671" s="32"/>
      <c r="AT1671" s="32"/>
      <c r="AU1671" s="32"/>
      <c r="AV1671" s="32"/>
      <c r="AW1671" s="32"/>
      <c r="AX1671" s="32"/>
      <c r="AY1671" s="32"/>
      <c r="AZ1671" s="32"/>
      <c r="BA1671" s="32"/>
      <c r="BB1671" s="32"/>
      <c r="BC1671" s="32"/>
      <c r="BD1671" s="32"/>
      <c r="BE1671" s="32"/>
      <c r="BF1671" s="32"/>
      <c r="BG1671" s="32"/>
      <c r="BH1671" s="32"/>
      <c r="BI1671" s="32"/>
      <c r="BJ1671" s="22"/>
      <c r="BK1671" s="22"/>
      <c r="BL1671" s="22" t="s">
        <v>86</v>
      </c>
      <c r="BO1671" s="15"/>
    </row>
    <row r="1672" spans="1:67">
      <c r="A1672" s="6" t="s">
        <v>93</v>
      </c>
      <c r="B1672" s="6"/>
      <c r="C1672" s="17">
        <v>38366.359600000011</v>
      </c>
      <c r="D1672" s="22">
        <v>22.000085422768809</v>
      </c>
      <c r="E1672" s="6">
        <v>41.661041661041665</v>
      </c>
      <c r="F1672" s="22">
        <v>771.5</v>
      </c>
      <c r="G1672" s="22"/>
      <c r="H1672" s="22">
        <v>1024.1372563076695</v>
      </c>
      <c r="I1672" s="22"/>
      <c r="J1672" s="22">
        <v>2323.5541733837708</v>
      </c>
      <c r="K1672" s="22"/>
      <c r="L1672" s="22"/>
      <c r="M1672" s="22"/>
      <c r="N1672" s="18">
        <v>280.4328671328671</v>
      </c>
      <c r="O1672" s="18"/>
      <c r="P1672" s="22">
        <v>18248.289312811725</v>
      </c>
      <c r="Q1672" s="22"/>
      <c r="R1672" s="22"/>
      <c r="S1672" s="22"/>
      <c r="T1672" s="22">
        <v>21595.980742503165</v>
      </c>
      <c r="U1672" s="22"/>
      <c r="V1672" s="22"/>
      <c r="W1672" s="22"/>
      <c r="X1672" s="19"/>
      <c r="Y1672" s="22"/>
      <c r="Z1672" s="22"/>
      <c r="AA1672" s="22"/>
      <c r="AB1672" s="22"/>
      <c r="AC1672" s="22"/>
      <c r="AD1672" s="22"/>
      <c r="AE1672" s="22"/>
      <c r="AF1672" s="18"/>
      <c r="AG1672" s="18">
        <v>24.018392164895271</v>
      </c>
      <c r="AH1672" s="18"/>
      <c r="AI1672" s="18">
        <v>34.955433345107799</v>
      </c>
      <c r="AK1672" s="18"/>
      <c r="AL1672" s="18"/>
      <c r="AM1672" s="40">
        <v>12.746899011702718</v>
      </c>
      <c r="AN1672" s="18"/>
      <c r="AO1672" s="22"/>
      <c r="AP1672" s="32"/>
      <c r="AQ1672" s="32"/>
      <c r="AR1672" s="32"/>
      <c r="AS1672" s="32"/>
      <c r="AT1672" s="32"/>
      <c r="AU1672" s="32"/>
      <c r="AV1672" s="32"/>
      <c r="AW1672" s="32"/>
      <c r="AX1672" s="32"/>
      <c r="AY1672" s="32"/>
      <c r="AZ1672" s="32"/>
      <c r="BA1672" s="32"/>
      <c r="BB1672" s="32"/>
      <c r="BC1672" s="32"/>
      <c r="BD1672" s="32"/>
      <c r="BE1672" s="32"/>
      <c r="BF1672" s="32"/>
      <c r="BG1672" s="32"/>
      <c r="BH1672" s="32"/>
      <c r="BI1672" s="32"/>
      <c r="BJ1672" s="22"/>
      <c r="BK1672" s="22"/>
      <c r="BL1672" s="22" t="s">
        <v>86</v>
      </c>
      <c r="BO1672" s="15"/>
    </row>
    <row r="1673" spans="1:67">
      <c r="A1673" s="6" t="s">
        <v>85</v>
      </c>
      <c r="B1673" s="6"/>
      <c r="C1673" s="17">
        <v>39462.086200000012</v>
      </c>
      <c r="D1673" s="22">
        <v>25.000085422768816</v>
      </c>
      <c r="E1673" s="6">
        <v>70.823770823770829</v>
      </c>
      <c r="F1673" s="22">
        <v>1311.55</v>
      </c>
      <c r="G1673" s="22"/>
      <c r="H1673" s="22">
        <v>405.1815451926239</v>
      </c>
      <c r="I1673" s="22"/>
      <c r="J1673" s="22">
        <v>976.75664654677223</v>
      </c>
      <c r="K1673" s="22"/>
      <c r="L1673" s="22"/>
      <c r="M1673" s="22"/>
      <c r="N1673" s="18">
        <v>179.52797202797203</v>
      </c>
      <c r="O1673" s="18"/>
      <c r="P1673" s="22">
        <v>8142.0592028426936</v>
      </c>
      <c r="Q1673" s="22"/>
      <c r="R1673" s="22"/>
      <c r="S1673" s="22"/>
      <c r="T1673" s="22">
        <v>9523.9973945820893</v>
      </c>
      <c r="U1673" s="22"/>
      <c r="V1673" s="22"/>
      <c r="W1673" s="22"/>
      <c r="X1673" s="19"/>
      <c r="Y1673" s="22"/>
      <c r="Z1673" s="22"/>
      <c r="AA1673" s="22"/>
      <c r="AB1673" s="22"/>
      <c r="AC1673" s="22"/>
      <c r="AD1673" s="22"/>
      <c r="AE1673" s="22"/>
      <c r="AF1673" s="18"/>
      <c r="AG1673" s="18">
        <v>15.956189784087831</v>
      </c>
      <c r="AH1673" s="18"/>
      <c r="AI1673" s="18">
        <v>26.22612549999117</v>
      </c>
      <c r="AK1673" s="18"/>
      <c r="AL1673" s="18"/>
      <c r="AM1673" s="40">
        <v>7.1810943439604014</v>
      </c>
      <c r="AN1673" s="18"/>
      <c r="AO1673" s="22"/>
      <c r="AP1673" s="32"/>
      <c r="AQ1673" s="32"/>
      <c r="AR1673" s="32"/>
      <c r="AS1673" s="32"/>
      <c r="AT1673" s="32"/>
      <c r="AU1673" s="32"/>
      <c r="AV1673" s="32"/>
      <c r="AW1673" s="32"/>
      <c r="AX1673" s="32"/>
      <c r="AY1673" s="32"/>
      <c r="AZ1673" s="32"/>
      <c r="BA1673" s="32"/>
      <c r="BB1673" s="32"/>
      <c r="BC1673" s="32"/>
      <c r="BD1673" s="32"/>
      <c r="BE1673" s="32"/>
      <c r="BF1673" s="32"/>
      <c r="BG1673" s="32"/>
      <c r="BH1673" s="32"/>
      <c r="BI1673" s="32"/>
      <c r="BJ1673" s="22"/>
      <c r="BK1673" s="22"/>
      <c r="BL1673" s="22" t="s">
        <v>86</v>
      </c>
      <c r="BO1673" s="15"/>
    </row>
    <row r="1674" spans="1:67">
      <c r="A1674" s="6" t="s">
        <v>88</v>
      </c>
      <c r="B1674" s="6"/>
      <c r="C1674" s="17">
        <v>39462.086200000012</v>
      </c>
      <c r="D1674" s="22">
        <v>25.000085422768816</v>
      </c>
      <c r="E1674" s="6">
        <v>44.438375003375</v>
      </c>
      <c r="F1674" s="22">
        <v>822.93204749999995</v>
      </c>
      <c r="G1674" s="22"/>
      <c r="H1674" s="22">
        <v>560.71289474302898</v>
      </c>
      <c r="I1674" s="22"/>
      <c r="J1674" s="22">
        <v>1731.6428747642422</v>
      </c>
      <c r="K1674" s="22"/>
      <c r="L1674" s="22"/>
      <c r="M1674" s="22"/>
      <c r="N1674" s="18">
        <v>319.10209790209785</v>
      </c>
      <c r="O1674" s="18"/>
      <c r="P1674" s="22">
        <v>13868.757690435388</v>
      </c>
      <c r="Q1674" s="22"/>
      <c r="R1674" s="22"/>
      <c r="S1674" s="22"/>
      <c r="T1674" s="22">
        <v>16161.113459942659</v>
      </c>
      <c r="U1674" s="22"/>
      <c r="V1674" s="22"/>
      <c r="W1674" s="22"/>
      <c r="X1674" s="19"/>
      <c r="Y1674" s="22"/>
      <c r="Z1674" s="22"/>
      <c r="AA1674" s="22"/>
      <c r="AB1674" s="22"/>
      <c r="AC1674" s="22"/>
      <c r="AD1674" s="22"/>
      <c r="AE1674" s="22"/>
      <c r="AF1674" s="18"/>
      <c r="AG1674" s="18">
        <v>23.171701498256411</v>
      </c>
      <c r="AH1674" s="18"/>
      <c r="AI1674" s="18">
        <v>34.703295857431939</v>
      </c>
      <c r="AK1674" s="18"/>
      <c r="AL1674" s="18"/>
      <c r="AM1674" s="40">
        <v>12.764040302497358</v>
      </c>
      <c r="AN1674" s="18"/>
      <c r="AO1674" s="22"/>
      <c r="AP1674" s="32"/>
      <c r="AQ1674" s="32"/>
      <c r="AR1674" s="32"/>
      <c r="AS1674" s="32"/>
      <c r="AT1674" s="32"/>
      <c r="AU1674" s="32"/>
      <c r="AV1674" s="32"/>
      <c r="AW1674" s="32"/>
      <c r="AX1674" s="32"/>
      <c r="AY1674" s="32"/>
      <c r="AZ1674" s="32"/>
      <c r="BA1674" s="32"/>
      <c r="BB1674" s="32"/>
      <c r="BC1674" s="32"/>
      <c r="BD1674" s="32"/>
      <c r="BE1674" s="32"/>
      <c r="BF1674" s="32"/>
      <c r="BG1674" s="32"/>
      <c r="BH1674" s="32"/>
      <c r="BI1674" s="32"/>
      <c r="BJ1674" s="22"/>
      <c r="BK1674" s="22"/>
      <c r="BL1674" s="22" t="s">
        <v>86</v>
      </c>
      <c r="BO1674" s="15"/>
    </row>
    <row r="1675" spans="1:67">
      <c r="A1675" s="6" t="s">
        <v>87</v>
      </c>
      <c r="B1675" s="6"/>
      <c r="C1675" s="17">
        <v>39462.086200000012</v>
      </c>
      <c r="D1675" s="22">
        <v>25.000085422768816</v>
      </c>
      <c r="E1675" s="6">
        <v>60.408510408510409</v>
      </c>
      <c r="F1675" s="22">
        <v>1118.675</v>
      </c>
      <c r="G1675" s="22"/>
      <c r="H1675" s="22">
        <v>563.23579983876857</v>
      </c>
      <c r="I1675" s="22"/>
      <c r="J1675" s="22">
        <v>1609.9064860878987</v>
      </c>
      <c r="K1675" s="22"/>
      <c r="L1675" s="22"/>
      <c r="M1675" s="22"/>
      <c r="N1675" s="18">
        <v>278.52377622377622</v>
      </c>
      <c r="O1675" s="18"/>
      <c r="P1675" s="22">
        <v>13282.442366801992</v>
      </c>
      <c r="Q1675" s="22"/>
      <c r="R1675" s="22"/>
      <c r="S1675" s="22"/>
      <c r="T1675" s="22">
        <v>15455.584652728659</v>
      </c>
      <c r="U1675" s="22"/>
      <c r="V1675" s="22"/>
      <c r="W1675" s="22"/>
      <c r="X1675" s="19"/>
      <c r="Y1675" s="22"/>
      <c r="Z1675" s="22"/>
      <c r="AA1675" s="22"/>
      <c r="AB1675" s="22"/>
      <c r="AC1675" s="22"/>
      <c r="AD1675" s="22"/>
      <c r="AE1675" s="22"/>
      <c r="AF1675" s="18"/>
      <c r="AG1675" s="18">
        <v>20.329993884919617</v>
      </c>
      <c r="AH1675" s="18"/>
      <c r="AI1675" s="18">
        <v>36.313601683770372</v>
      </c>
      <c r="AK1675" s="18"/>
      <c r="AL1675" s="18"/>
      <c r="AM1675" s="40">
        <v>11.140912981445689</v>
      </c>
      <c r="AN1675" s="18"/>
      <c r="AO1675" s="22"/>
      <c r="AP1675" s="32"/>
      <c r="AQ1675" s="32"/>
      <c r="AR1675" s="32"/>
      <c r="AS1675" s="32"/>
      <c r="AT1675" s="32"/>
      <c r="AU1675" s="32"/>
      <c r="AV1675" s="32"/>
      <c r="AW1675" s="32"/>
      <c r="AX1675" s="32"/>
      <c r="AY1675" s="32"/>
      <c r="AZ1675" s="32"/>
      <c r="BA1675" s="32"/>
      <c r="BB1675" s="32"/>
      <c r="BC1675" s="32"/>
      <c r="BD1675" s="32"/>
      <c r="BE1675" s="32"/>
      <c r="BF1675" s="32"/>
      <c r="BG1675" s="32"/>
      <c r="BH1675" s="32"/>
      <c r="BI1675" s="32"/>
      <c r="BJ1675" s="22"/>
      <c r="BK1675" s="22"/>
      <c r="BL1675" s="22" t="s">
        <v>86</v>
      </c>
      <c r="BO1675" s="15"/>
    </row>
    <row r="1676" spans="1:67">
      <c r="A1676" s="6" t="s">
        <v>89</v>
      </c>
      <c r="B1676" s="6"/>
      <c r="C1676" s="17">
        <v>39462.086200000012</v>
      </c>
      <c r="D1676" s="22">
        <v>25.000085422768816</v>
      </c>
      <c r="E1676" s="6">
        <v>52.770583335583346</v>
      </c>
      <c r="F1676" s="22">
        <v>977.23204750000014</v>
      </c>
      <c r="G1676" s="22"/>
      <c r="H1676" s="22">
        <v>644.41278876720992</v>
      </c>
      <c r="I1676" s="22"/>
      <c r="J1676" s="22">
        <v>1975.3167378342655</v>
      </c>
      <c r="K1676" s="22"/>
      <c r="L1676" s="22"/>
      <c r="M1676" s="22"/>
      <c r="N1676" s="18">
        <v>368.04965034965034</v>
      </c>
      <c r="O1676" s="18"/>
      <c r="P1676" s="22">
        <v>15883.052759780923</v>
      </c>
      <c r="Q1676" s="22"/>
      <c r="R1676" s="22"/>
      <c r="S1676" s="22"/>
      <c r="T1676" s="22">
        <v>18502.7822863824</v>
      </c>
      <c r="U1676" s="22"/>
      <c r="V1676" s="22"/>
      <c r="W1676" s="22"/>
      <c r="X1676" s="19"/>
      <c r="Y1676" s="22"/>
      <c r="Z1676" s="22"/>
      <c r="AA1676" s="22"/>
      <c r="AB1676" s="22"/>
      <c r="AC1676" s="22"/>
      <c r="AD1676" s="22"/>
      <c r="AE1676" s="22"/>
      <c r="AF1676" s="18"/>
      <c r="AG1676" s="18">
        <v>22.860138254121857</v>
      </c>
      <c r="AH1676" s="18"/>
      <c r="AI1676" s="18">
        <v>40.109412709716104</v>
      </c>
      <c r="AK1676" s="18"/>
      <c r="AL1676" s="18"/>
      <c r="AM1676" s="40">
        <v>14.721935710445585</v>
      </c>
      <c r="AN1676" s="18"/>
      <c r="AO1676" s="22"/>
      <c r="AP1676" s="32"/>
      <c r="AQ1676" s="32"/>
      <c r="AR1676" s="32"/>
      <c r="AS1676" s="32"/>
      <c r="AT1676" s="32"/>
      <c r="AU1676" s="32"/>
      <c r="AV1676" s="32"/>
      <c r="AW1676" s="32"/>
      <c r="AX1676" s="32"/>
      <c r="AY1676" s="32"/>
      <c r="AZ1676" s="32"/>
      <c r="BA1676" s="32"/>
      <c r="BB1676" s="32"/>
      <c r="BC1676" s="32"/>
      <c r="BD1676" s="32"/>
      <c r="BE1676" s="32"/>
      <c r="BF1676" s="32"/>
      <c r="BG1676" s="32"/>
      <c r="BH1676" s="32"/>
      <c r="BI1676" s="32"/>
      <c r="BJ1676" s="22"/>
      <c r="BK1676" s="22"/>
      <c r="BL1676" s="22" t="s">
        <v>86</v>
      </c>
      <c r="BO1676" s="15"/>
    </row>
    <row r="1677" spans="1:67">
      <c r="A1677" s="6" t="s">
        <v>90</v>
      </c>
      <c r="B1677" s="6"/>
      <c r="C1677" s="17">
        <v>39462.086200000012</v>
      </c>
      <c r="D1677" s="22">
        <v>25.000085422768816</v>
      </c>
      <c r="E1677" s="6">
        <v>52.076302076302085</v>
      </c>
      <c r="F1677" s="22">
        <v>964.375</v>
      </c>
      <c r="G1677" s="22"/>
      <c r="H1677" s="22">
        <v>609.11476306985242</v>
      </c>
      <c r="I1677" s="22"/>
      <c r="J1677" s="22">
        <v>1086.2660660019485</v>
      </c>
      <c r="K1677" s="22"/>
      <c r="L1677" s="22"/>
      <c r="M1677" s="22"/>
      <c r="N1677" s="18">
        <v>195.52027972027972</v>
      </c>
      <c r="O1677" s="18"/>
      <c r="P1677" s="22">
        <v>11127.336784806028</v>
      </c>
      <c r="Q1677" s="22"/>
      <c r="R1677" s="22"/>
      <c r="S1677" s="22"/>
      <c r="T1677" s="22">
        <v>12822.717613877829</v>
      </c>
      <c r="U1677" s="22"/>
      <c r="V1677" s="22"/>
      <c r="W1677" s="22"/>
      <c r="X1677" s="19"/>
      <c r="Y1677" s="22"/>
      <c r="Z1677" s="22"/>
      <c r="AA1677" s="22"/>
      <c r="AB1677" s="22"/>
      <c r="AC1677" s="22"/>
      <c r="AD1677" s="22"/>
      <c r="AE1677" s="22"/>
      <c r="AF1677" s="18"/>
      <c r="AG1677" s="18">
        <v>18.451280300448524</v>
      </c>
      <c r="AH1677" s="18"/>
      <c r="AI1677" s="18">
        <v>25.786348820637279</v>
      </c>
      <c r="AK1677" s="18"/>
      <c r="AL1677" s="18"/>
      <c r="AM1677" s="40">
        <v>7.8207844658886527</v>
      </c>
      <c r="AN1677" s="18"/>
      <c r="AO1677" s="22"/>
      <c r="AP1677" s="32"/>
      <c r="AQ1677" s="32"/>
      <c r="AR1677" s="32"/>
      <c r="AS1677" s="32"/>
      <c r="AT1677" s="32"/>
      <c r="AU1677" s="32"/>
      <c r="AV1677" s="32"/>
      <c r="AW1677" s="32"/>
      <c r="AX1677" s="32"/>
      <c r="AY1677" s="32"/>
      <c r="AZ1677" s="32"/>
      <c r="BA1677" s="32"/>
      <c r="BB1677" s="32"/>
      <c r="BC1677" s="32"/>
      <c r="BD1677" s="32"/>
      <c r="BE1677" s="32"/>
      <c r="BF1677" s="32"/>
      <c r="BG1677" s="32"/>
      <c r="BH1677" s="32"/>
      <c r="BI1677" s="32"/>
      <c r="BJ1677" s="22"/>
      <c r="BK1677" s="22"/>
      <c r="BL1677" s="22" t="s">
        <v>86</v>
      </c>
      <c r="BO1677" s="15"/>
    </row>
    <row r="1678" spans="1:67">
      <c r="A1678" s="6" t="s">
        <v>92</v>
      </c>
      <c r="B1678" s="6"/>
      <c r="C1678" s="17">
        <v>39462.086200000012</v>
      </c>
      <c r="D1678" s="22">
        <v>25.000085422768816</v>
      </c>
      <c r="E1678" s="6">
        <v>36.106166671166676</v>
      </c>
      <c r="F1678" s="22">
        <v>668.6320475</v>
      </c>
      <c r="G1678" s="22"/>
      <c r="H1678" s="22">
        <v>766.99865091475169</v>
      </c>
      <c r="I1678" s="22"/>
      <c r="J1678" s="22">
        <v>1677.2500227380901</v>
      </c>
      <c r="K1678" s="22"/>
      <c r="L1678" s="22"/>
      <c r="M1678" s="22"/>
      <c r="N1678" s="18">
        <v>255.97622377622378</v>
      </c>
      <c r="O1678" s="18"/>
      <c r="P1678" s="22">
        <v>14388.072823044107</v>
      </c>
      <c r="Q1678" s="22"/>
      <c r="R1678" s="22"/>
      <c r="S1678" s="22"/>
      <c r="T1678" s="22">
        <v>16832.32149669695</v>
      </c>
      <c r="U1678" s="22"/>
      <c r="V1678" s="22"/>
      <c r="W1678" s="22"/>
      <c r="X1678" s="19"/>
      <c r="Y1678" s="22"/>
      <c r="Z1678" s="22"/>
      <c r="AA1678" s="22"/>
      <c r="AB1678" s="22"/>
      <c r="AC1678" s="22"/>
      <c r="AD1678" s="22"/>
      <c r="AE1678" s="22"/>
      <c r="AF1678" s="18"/>
      <c r="AG1678" s="18">
        <v>23.198326555253892</v>
      </c>
      <c r="AH1678" s="18"/>
      <c r="AI1678" s="18">
        <v>28.261252190931465</v>
      </c>
      <c r="AK1678" s="18"/>
      <c r="AL1678" s="18"/>
      <c r="AM1678" s="40">
        <v>10.239013965252036</v>
      </c>
      <c r="AN1678" s="18"/>
      <c r="AO1678" s="22"/>
      <c r="AP1678" s="32"/>
      <c r="AQ1678" s="32"/>
      <c r="AR1678" s="32"/>
      <c r="AS1678" s="32"/>
      <c r="AT1678" s="32"/>
      <c r="AU1678" s="32"/>
      <c r="AV1678" s="32"/>
      <c r="AW1678" s="32"/>
      <c r="AX1678" s="32"/>
      <c r="AY1678" s="32"/>
      <c r="AZ1678" s="32"/>
      <c r="BA1678" s="32"/>
      <c r="BB1678" s="32"/>
      <c r="BC1678" s="32"/>
      <c r="BD1678" s="32"/>
      <c r="BE1678" s="32"/>
      <c r="BF1678" s="32"/>
      <c r="BG1678" s="32"/>
      <c r="BH1678" s="32"/>
      <c r="BI1678" s="32"/>
      <c r="BJ1678" s="22"/>
      <c r="BK1678" s="22"/>
      <c r="BL1678" s="22" t="s">
        <v>86</v>
      </c>
      <c r="BO1678" s="15"/>
    </row>
    <row r="1679" spans="1:67">
      <c r="A1679" s="6" t="s">
        <v>91</v>
      </c>
      <c r="B1679" s="6"/>
      <c r="C1679" s="17">
        <v>39462.086200000012</v>
      </c>
      <c r="D1679" s="22">
        <v>25.000085422768816</v>
      </c>
      <c r="E1679" s="6">
        <v>59.714229149229162</v>
      </c>
      <c r="F1679" s="22">
        <v>1105.8179525</v>
      </c>
      <c r="G1679" s="22"/>
      <c r="H1679" s="22">
        <v>1060.6707621558141</v>
      </c>
      <c r="I1679" s="22"/>
      <c r="J1679" s="22">
        <v>2210.5382285326023</v>
      </c>
      <c r="K1679" s="22"/>
      <c r="L1679" s="22"/>
      <c r="M1679" s="22"/>
      <c r="N1679" s="18">
        <v>359.50909090909084</v>
      </c>
      <c r="O1679" s="18"/>
      <c r="P1679" s="22">
        <v>19979.606107119202</v>
      </c>
      <c r="Q1679" s="22"/>
      <c r="R1679" s="22"/>
      <c r="S1679" s="22"/>
      <c r="T1679" s="22">
        <v>23250.815097807616</v>
      </c>
      <c r="U1679" s="22"/>
      <c r="V1679" s="22"/>
      <c r="W1679" s="22"/>
      <c r="X1679" s="19"/>
      <c r="Y1679" s="22"/>
      <c r="Z1679" s="22"/>
      <c r="AA1679" s="22"/>
      <c r="AB1679" s="22"/>
      <c r="AC1679" s="22"/>
      <c r="AD1679" s="22"/>
      <c r="AE1679" s="22"/>
      <c r="AF1679" s="18"/>
      <c r="AG1679" s="18">
        <v>21.755570496371213</v>
      </c>
      <c r="AH1679" s="18"/>
      <c r="AI1679" s="18">
        <v>41.10697186414663</v>
      </c>
      <c r="AK1679" s="18"/>
      <c r="AL1679" s="18"/>
      <c r="AM1679" s="40">
        <v>14.380314500112393</v>
      </c>
      <c r="AN1679" s="18"/>
      <c r="AO1679" s="22"/>
      <c r="AP1679" s="32"/>
      <c r="AQ1679" s="32"/>
      <c r="AR1679" s="32"/>
      <c r="AS1679" s="32"/>
      <c r="AT1679" s="32"/>
      <c r="AU1679" s="32"/>
      <c r="AV1679" s="32"/>
      <c r="AW1679" s="32"/>
      <c r="AX1679" s="32"/>
      <c r="AY1679" s="32"/>
      <c r="AZ1679" s="32"/>
      <c r="BA1679" s="32"/>
      <c r="BB1679" s="32"/>
      <c r="BC1679" s="32"/>
      <c r="BD1679" s="32"/>
      <c r="BE1679" s="32"/>
      <c r="BF1679" s="32"/>
      <c r="BG1679" s="32"/>
      <c r="BH1679" s="32"/>
      <c r="BI1679" s="32"/>
      <c r="BJ1679" s="22"/>
      <c r="BK1679" s="22"/>
      <c r="BL1679" s="22" t="s">
        <v>86</v>
      </c>
      <c r="BO1679" s="15"/>
    </row>
    <row r="1680" spans="1:67">
      <c r="A1680" s="6" t="s">
        <v>93</v>
      </c>
      <c r="B1680" s="6"/>
      <c r="C1680" s="17">
        <v>39462.086200000012</v>
      </c>
      <c r="D1680" s="22">
        <v>25.000085422768816</v>
      </c>
      <c r="E1680" s="6">
        <v>35.411885411885414</v>
      </c>
      <c r="F1680" s="22">
        <v>655.77499999999998</v>
      </c>
      <c r="G1680" s="22"/>
      <c r="H1680" s="22">
        <v>998.75270666650488</v>
      </c>
      <c r="I1680" s="22"/>
      <c r="J1680" s="22">
        <v>2311.4643584868227</v>
      </c>
      <c r="K1680" s="22"/>
      <c r="L1680" s="22"/>
      <c r="M1680" s="22"/>
      <c r="N1680" s="18">
        <v>311.14335664335664</v>
      </c>
      <c r="O1680" s="18"/>
      <c r="P1680" s="22">
        <v>18280.436710786125</v>
      </c>
      <c r="Q1680" s="22"/>
      <c r="R1680" s="22"/>
      <c r="S1680" s="22"/>
      <c r="T1680" s="22">
        <v>21590.653775939456</v>
      </c>
      <c r="U1680" s="22"/>
      <c r="V1680" s="22"/>
      <c r="W1680" s="22"/>
      <c r="X1680" s="19"/>
      <c r="Y1680" s="22"/>
      <c r="Z1680" s="22"/>
      <c r="AA1680" s="22"/>
      <c r="AB1680" s="22"/>
      <c r="AC1680" s="22"/>
      <c r="AD1680" s="22"/>
      <c r="AE1680" s="22"/>
      <c r="AF1680" s="18"/>
      <c r="AG1680" s="18">
        <v>25.512472850766766</v>
      </c>
      <c r="AH1680" s="18"/>
      <c r="AI1680" s="18">
        <v>33.523616528426118</v>
      </c>
      <c r="AK1680" s="18"/>
      <c r="AL1680" s="18"/>
      <c r="AM1680" s="40">
        <v>12.445691739916336</v>
      </c>
      <c r="AN1680" s="18"/>
      <c r="AO1680" s="22"/>
      <c r="AP1680" s="32"/>
      <c r="AQ1680" s="32"/>
      <c r="AR1680" s="32"/>
      <c r="AS1680" s="32"/>
      <c r="AT1680" s="32"/>
      <c r="AU1680" s="32"/>
      <c r="AV1680" s="32"/>
      <c r="AW1680" s="32"/>
      <c r="AX1680" s="32"/>
      <c r="AY1680" s="32"/>
      <c r="AZ1680" s="32"/>
      <c r="BA1680" s="32"/>
      <c r="BB1680" s="32"/>
      <c r="BC1680" s="32"/>
      <c r="BD1680" s="32"/>
      <c r="BE1680" s="32"/>
      <c r="BF1680" s="32"/>
      <c r="BG1680" s="32"/>
      <c r="BH1680" s="32"/>
      <c r="BI1680" s="32"/>
      <c r="BJ1680" s="22"/>
      <c r="BK1680" s="22"/>
      <c r="BL1680" s="22" t="s">
        <v>86</v>
      </c>
      <c r="BO1680" s="15"/>
    </row>
    <row r="1681" spans="1:71">
      <c r="A1681" s="6" t="s">
        <v>85</v>
      </c>
      <c r="B1681" s="6"/>
      <c r="C1681" s="17">
        <v>39948.0862037037</v>
      </c>
      <c r="D1681" s="18">
        <v>26.330709331242939</v>
      </c>
      <c r="E1681" s="6"/>
      <c r="F1681" s="6"/>
      <c r="G1681" s="22"/>
      <c r="H1681" s="22"/>
      <c r="I1681" s="22"/>
      <c r="J1681" s="22"/>
      <c r="K1681" s="22"/>
      <c r="L1681" s="22"/>
      <c r="M1681" s="22"/>
      <c r="N1681" s="18"/>
      <c r="O1681" s="18"/>
      <c r="P1681" s="22"/>
      <c r="Q1681" s="22"/>
      <c r="R1681" s="22"/>
      <c r="S1681" s="22"/>
      <c r="T1681" s="22"/>
      <c r="U1681" s="22"/>
      <c r="V1681" s="6"/>
      <c r="W1681" s="6"/>
      <c r="X1681" s="19"/>
      <c r="Y1681" s="6"/>
      <c r="Z1681" s="6"/>
      <c r="AA1681" s="6"/>
      <c r="AB1681" s="6"/>
      <c r="AC1681" s="6"/>
      <c r="AD1681" s="6"/>
      <c r="AE1681" s="6"/>
      <c r="AF1681" s="18"/>
      <c r="AG1681" s="18"/>
      <c r="AH1681" s="18"/>
      <c r="AI1681" s="18"/>
      <c r="AK1681" s="18"/>
      <c r="AL1681" s="18"/>
      <c r="AM1681" s="18"/>
      <c r="AN1681" s="18"/>
      <c r="AO1681" s="6"/>
      <c r="AP1681" s="32"/>
      <c r="AQ1681" s="32">
        <v>9.9000000000000008E-3</v>
      </c>
      <c r="AR1681" s="32">
        <v>2.3999999999999998E-3</v>
      </c>
      <c r="AS1681" s="32">
        <v>2.3999999999999998E-3</v>
      </c>
      <c r="AT1681" s="32"/>
      <c r="AU1681" s="32"/>
      <c r="AV1681" s="32"/>
      <c r="AW1681" s="32"/>
      <c r="AX1681" s="18">
        <v>18.599999999999998</v>
      </c>
      <c r="AY1681" s="18">
        <v>16.700000000000003</v>
      </c>
      <c r="AZ1681" s="18">
        <v>35.300000000000004</v>
      </c>
      <c r="BA1681" s="18">
        <v>7.1</v>
      </c>
      <c r="BB1681" s="18">
        <v>4.3</v>
      </c>
      <c r="BC1681" s="18"/>
      <c r="BD1681" s="18">
        <v>4.6000000000000005</v>
      </c>
      <c r="BE1681" s="18">
        <v>2.6</v>
      </c>
      <c r="BF1681" s="18">
        <v>7.1999999999999993</v>
      </c>
      <c r="BG1681" s="18">
        <v>14.100000000000001</v>
      </c>
      <c r="BH1681" s="18">
        <v>2.6</v>
      </c>
      <c r="BI1681" s="18"/>
      <c r="BJ1681" s="6"/>
      <c r="BK1681" s="6"/>
      <c r="BL1681" s="6" t="s">
        <v>116</v>
      </c>
      <c r="BO1681" s="15"/>
    </row>
    <row r="1682" spans="1:71">
      <c r="A1682" s="6" t="s">
        <v>88</v>
      </c>
      <c r="B1682" s="6"/>
      <c r="C1682" s="17">
        <v>39948.0862037037</v>
      </c>
      <c r="D1682" s="18">
        <v>26.330709331242939</v>
      </c>
      <c r="E1682" s="6"/>
      <c r="F1682" s="6"/>
      <c r="G1682" s="22"/>
      <c r="H1682" s="22"/>
      <c r="I1682" s="22"/>
      <c r="J1682" s="22"/>
      <c r="K1682" s="22"/>
      <c r="L1682" s="22"/>
      <c r="M1682" s="22"/>
      <c r="N1682" s="18"/>
      <c r="O1682" s="18"/>
      <c r="P1682" s="22"/>
      <c r="Q1682" s="22"/>
      <c r="R1682" s="22"/>
      <c r="S1682" s="22"/>
      <c r="T1682" s="22"/>
      <c r="U1682" s="22"/>
      <c r="V1682" s="6"/>
      <c r="W1682" s="6"/>
      <c r="X1682" s="19"/>
      <c r="Y1682" s="6"/>
      <c r="Z1682" s="6"/>
      <c r="AA1682" s="6"/>
      <c r="AB1682" s="6"/>
      <c r="AC1682" s="6"/>
      <c r="AD1682" s="6"/>
      <c r="AE1682" s="6"/>
      <c r="AF1682" s="18"/>
      <c r="AG1682" s="18"/>
      <c r="AH1682" s="18"/>
      <c r="AI1682" s="18"/>
      <c r="AK1682" s="18"/>
      <c r="AL1682" s="18"/>
      <c r="AM1682" s="18"/>
      <c r="AN1682" s="18"/>
      <c r="AO1682" s="6"/>
      <c r="AP1682" s="32"/>
      <c r="AQ1682" s="32">
        <v>1.11E-2</v>
      </c>
      <c r="AR1682" s="32">
        <v>2.7000000000000001E-3</v>
      </c>
      <c r="AS1682" s="32">
        <v>2.3999999999999998E-3</v>
      </c>
      <c r="AT1682" s="32"/>
      <c r="AU1682" s="32"/>
      <c r="AV1682" s="32"/>
      <c r="AW1682" s="32"/>
      <c r="AX1682" s="18">
        <v>27.9</v>
      </c>
      <c r="AY1682" s="18">
        <v>23.2</v>
      </c>
      <c r="AZ1682" s="18">
        <v>51.099999999999994</v>
      </c>
      <c r="BA1682" s="18">
        <v>11.5</v>
      </c>
      <c r="BB1682" s="18">
        <v>6.4</v>
      </c>
      <c r="BC1682" s="18"/>
      <c r="BD1682" s="18">
        <v>7.5</v>
      </c>
      <c r="BE1682" s="18">
        <v>2.5</v>
      </c>
      <c r="BF1682" s="18">
        <v>10</v>
      </c>
      <c r="BG1682" s="18">
        <v>21.099999999999998</v>
      </c>
      <c r="BH1682" s="18">
        <v>2.1</v>
      </c>
      <c r="BI1682" s="18"/>
      <c r="BJ1682" s="6"/>
      <c r="BK1682" s="6"/>
      <c r="BL1682" s="6" t="s">
        <v>116</v>
      </c>
      <c r="BO1682" s="15"/>
    </row>
    <row r="1683" spans="1:71">
      <c r="A1683" s="6" t="s">
        <v>87</v>
      </c>
      <c r="B1683" s="6"/>
      <c r="C1683" s="17">
        <v>39948.0862037037</v>
      </c>
      <c r="D1683" s="18">
        <v>26.330709331242939</v>
      </c>
      <c r="E1683" s="6"/>
      <c r="F1683" s="6"/>
      <c r="G1683" s="22"/>
      <c r="H1683" s="22"/>
      <c r="I1683" s="22"/>
      <c r="J1683" s="22"/>
      <c r="K1683" s="22"/>
      <c r="L1683" s="22"/>
      <c r="M1683" s="22"/>
      <c r="N1683" s="18"/>
      <c r="O1683" s="18"/>
      <c r="P1683" s="22"/>
      <c r="Q1683" s="22"/>
      <c r="R1683" s="22"/>
      <c r="S1683" s="22"/>
      <c r="T1683" s="22"/>
      <c r="U1683" s="22"/>
      <c r="V1683" s="6"/>
      <c r="W1683" s="6"/>
      <c r="X1683" s="19"/>
      <c r="Y1683" s="6"/>
      <c r="Z1683" s="6"/>
      <c r="AA1683" s="6"/>
      <c r="AB1683" s="6"/>
      <c r="AC1683" s="6"/>
      <c r="AD1683" s="6"/>
      <c r="AE1683" s="6"/>
      <c r="AF1683" s="18"/>
      <c r="AG1683" s="18"/>
      <c r="AH1683" s="18"/>
      <c r="AI1683" s="18"/>
      <c r="AK1683" s="18"/>
      <c r="AL1683" s="18"/>
      <c r="AM1683" s="18"/>
      <c r="AN1683" s="18"/>
      <c r="AO1683" s="6"/>
      <c r="AP1683" s="32"/>
      <c r="AQ1683" s="32">
        <v>1.09E-2</v>
      </c>
      <c r="AR1683" s="32">
        <v>2.5999999999999999E-3</v>
      </c>
      <c r="AS1683" s="32">
        <v>2.5999999999999999E-3</v>
      </c>
      <c r="AT1683" s="32"/>
      <c r="AU1683" s="32"/>
      <c r="AV1683" s="32"/>
      <c r="AW1683" s="32"/>
      <c r="AX1683" s="18">
        <v>27.100000000000005</v>
      </c>
      <c r="AY1683" s="18">
        <v>16.600000000000001</v>
      </c>
      <c r="AZ1683" s="18">
        <v>43.70000000000001</v>
      </c>
      <c r="BA1683" s="18">
        <v>11.200000000000001</v>
      </c>
      <c r="BB1683" s="18">
        <v>6.6000000000000005</v>
      </c>
      <c r="BC1683" s="18"/>
      <c r="BD1683" s="18">
        <v>6.5</v>
      </c>
      <c r="BE1683" s="18">
        <v>2.8000000000000003</v>
      </c>
      <c r="BF1683" s="18">
        <v>9.3000000000000007</v>
      </c>
      <c r="BG1683" s="18">
        <v>15.600000000000001</v>
      </c>
      <c r="BH1683" s="18">
        <v>1</v>
      </c>
      <c r="BI1683" s="18"/>
      <c r="BJ1683" s="6"/>
      <c r="BK1683" s="6"/>
      <c r="BL1683" s="6" t="s">
        <v>116</v>
      </c>
      <c r="BO1683" s="15"/>
    </row>
    <row r="1684" spans="1:71">
      <c r="A1684" s="6" t="s">
        <v>89</v>
      </c>
      <c r="B1684" s="6"/>
      <c r="C1684" s="17">
        <v>39948.0862037037</v>
      </c>
      <c r="D1684" s="18">
        <v>26.330709331242939</v>
      </c>
      <c r="E1684" s="6"/>
      <c r="F1684" s="6"/>
      <c r="G1684" s="22"/>
      <c r="H1684" s="22"/>
      <c r="I1684" s="22"/>
      <c r="J1684" s="22"/>
      <c r="K1684" s="22"/>
      <c r="L1684" s="22"/>
      <c r="M1684" s="22"/>
      <c r="N1684" s="18"/>
      <c r="O1684" s="18"/>
      <c r="P1684" s="22"/>
      <c r="Q1684" s="22"/>
      <c r="R1684" s="22"/>
      <c r="S1684" s="22"/>
      <c r="T1684" s="22"/>
      <c r="U1684" s="22"/>
      <c r="V1684" s="6"/>
      <c r="W1684" s="6"/>
      <c r="X1684" s="19"/>
      <c r="Y1684" s="6"/>
      <c r="Z1684" s="6"/>
      <c r="AA1684" s="6"/>
      <c r="AB1684" s="6"/>
      <c r="AC1684" s="6"/>
      <c r="AD1684" s="6"/>
      <c r="AE1684" s="6"/>
      <c r="AF1684" s="18"/>
      <c r="AG1684" s="18"/>
      <c r="AH1684" s="18"/>
      <c r="AI1684" s="18"/>
      <c r="AK1684" s="18"/>
      <c r="AL1684" s="18"/>
      <c r="AM1684" s="18"/>
      <c r="AN1684" s="18"/>
      <c r="AO1684" s="6"/>
      <c r="AP1684" s="32"/>
      <c r="AQ1684" s="32">
        <v>1.09E-2</v>
      </c>
      <c r="AR1684" s="32">
        <v>2.7000000000000001E-3</v>
      </c>
      <c r="AS1684" s="32">
        <v>2.3999999999999998E-3</v>
      </c>
      <c r="AT1684" s="32"/>
      <c r="AU1684" s="32"/>
      <c r="AV1684" s="32"/>
      <c r="AW1684" s="32"/>
      <c r="AX1684" s="18">
        <v>33.700000000000003</v>
      </c>
      <c r="AY1684" s="18">
        <v>25.500000000000004</v>
      </c>
      <c r="AZ1684" s="18">
        <v>59.2</v>
      </c>
      <c r="BA1684" s="18">
        <v>13.100000000000001</v>
      </c>
      <c r="BB1684" s="18">
        <v>7.4</v>
      </c>
      <c r="BC1684" s="18"/>
      <c r="BD1684" s="18">
        <v>9.8000000000000007</v>
      </c>
      <c r="BE1684" s="18">
        <v>3.4000000000000004</v>
      </c>
      <c r="BF1684" s="18">
        <v>13.200000000000001</v>
      </c>
      <c r="BG1684" s="18">
        <v>24.700000000000003</v>
      </c>
      <c r="BH1684" s="18">
        <v>0.8</v>
      </c>
      <c r="BI1684" s="18"/>
      <c r="BJ1684" s="6"/>
      <c r="BK1684" s="6"/>
      <c r="BL1684" s="6" t="s">
        <v>116</v>
      </c>
      <c r="BO1684" s="15"/>
    </row>
    <row r="1685" spans="1:71">
      <c r="A1685" s="6" t="s">
        <v>90</v>
      </c>
      <c r="B1685" s="6"/>
      <c r="C1685" s="17">
        <v>39948.0862037037</v>
      </c>
      <c r="D1685" s="18">
        <v>26.330709331242939</v>
      </c>
      <c r="E1685" s="6"/>
      <c r="F1685" s="6"/>
      <c r="G1685" s="22"/>
      <c r="H1685" s="22"/>
      <c r="I1685" s="22"/>
      <c r="J1685" s="22"/>
      <c r="K1685" s="22"/>
      <c r="L1685" s="22"/>
      <c r="M1685" s="22"/>
      <c r="N1685" s="18"/>
      <c r="O1685" s="18"/>
      <c r="P1685" s="22"/>
      <c r="Q1685" s="22"/>
      <c r="R1685" s="22"/>
      <c r="S1685" s="22"/>
      <c r="T1685" s="22"/>
      <c r="U1685" s="22"/>
      <c r="V1685" s="6"/>
      <c r="W1685" s="6"/>
      <c r="X1685" s="19"/>
      <c r="Y1685" s="6"/>
      <c r="Z1685" s="6"/>
      <c r="AA1685" s="6"/>
      <c r="AB1685" s="6"/>
      <c r="AC1685" s="6"/>
      <c r="AD1685" s="6"/>
      <c r="AE1685" s="6"/>
      <c r="AF1685" s="18"/>
      <c r="AG1685" s="18"/>
      <c r="AH1685" s="18"/>
      <c r="AI1685" s="18"/>
      <c r="AK1685" s="18"/>
      <c r="AL1685" s="18"/>
      <c r="AM1685" s="18"/>
      <c r="AN1685" s="18"/>
      <c r="AO1685" s="6"/>
      <c r="AP1685" s="32"/>
      <c r="AQ1685" s="32">
        <v>1.0199999999999999E-2</v>
      </c>
      <c r="AR1685" s="32">
        <v>2.5999999999999999E-3</v>
      </c>
      <c r="AS1685" s="32">
        <v>2.2000000000000001E-3</v>
      </c>
      <c r="AT1685" s="32"/>
      <c r="AU1685" s="32"/>
      <c r="AV1685" s="32"/>
      <c r="AW1685" s="32"/>
      <c r="AX1685" s="18">
        <v>19.600000000000001</v>
      </c>
      <c r="AY1685" s="18">
        <v>21.299999999999997</v>
      </c>
      <c r="AZ1685" s="18">
        <v>40.9</v>
      </c>
      <c r="BA1685" s="18">
        <v>6.5</v>
      </c>
      <c r="BB1685" s="18">
        <v>3.2</v>
      </c>
      <c r="BC1685" s="18"/>
      <c r="BD1685" s="18">
        <v>5.4</v>
      </c>
      <c r="BE1685" s="18">
        <v>4.5</v>
      </c>
      <c r="BF1685" s="18">
        <v>9.9</v>
      </c>
      <c r="BG1685" s="18">
        <v>19.3</v>
      </c>
      <c r="BH1685" s="18">
        <v>2</v>
      </c>
      <c r="BI1685" s="18"/>
      <c r="BJ1685" s="6"/>
      <c r="BK1685" s="6"/>
      <c r="BL1685" s="6" t="s">
        <v>116</v>
      </c>
      <c r="BO1685" s="15"/>
    </row>
    <row r="1686" spans="1:71">
      <c r="A1686" s="6" t="s">
        <v>92</v>
      </c>
      <c r="B1686" s="6"/>
      <c r="C1686" s="17">
        <v>39948.0862037037</v>
      </c>
      <c r="D1686" s="18">
        <v>26.330709331242939</v>
      </c>
      <c r="E1686" s="6"/>
      <c r="F1686" s="6"/>
      <c r="G1686" s="22"/>
      <c r="H1686" s="22"/>
      <c r="I1686" s="22"/>
      <c r="J1686" s="22"/>
      <c r="K1686" s="22"/>
      <c r="L1686" s="22"/>
      <c r="M1686" s="22"/>
      <c r="N1686" s="18"/>
      <c r="O1686" s="18"/>
      <c r="P1686" s="22"/>
      <c r="Q1686" s="22"/>
      <c r="R1686" s="22"/>
      <c r="S1686" s="22"/>
      <c r="T1686" s="22"/>
      <c r="U1686" s="22"/>
      <c r="V1686" s="6"/>
      <c r="W1686" s="6"/>
      <c r="X1686" s="19"/>
      <c r="Y1686" s="6"/>
      <c r="Z1686" s="6"/>
      <c r="AA1686" s="6"/>
      <c r="AB1686" s="6"/>
      <c r="AC1686" s="6"/>
      <c r="AD1686" s="6"/>
      <c r="AE1686" s="6"/>
      <c r="AF1686" s="18"/>
      <c r="AG1686" s="18"/>
      <c r="AH1686" s="18"/>
      <c r="AI1686" s="18"/>
      <c r="AK1686" s="18"/>
      <c r="AL1686" s="18"/>
      <c r="AM1686" s="18"/>
      <c r="AN1686" s="18"/>
      <c r="AO1686" s="6"/>
      <c r="AP1686" s="32"/>
      <c r="AQ1686" s="32">
        <v>1.03E-2</v>
      </c>
      <c r="AR1686" s="32">
        <v>2.7000000000000001E-3</v>
      </c>
      <c r="AS1686" s="32">
        <v>2.1000000000000003E-3</v>
      </c>
      <c r="AT1686" s="32"/>
      <c r="AU1686" s="32"/>
      <c r="AV1686" s="32"/>
      <c r="AW1686" s="32"/>
      <c r="AX1686" s="18">
        <v>23.6</v>
      </c>
      <c r="AY1686" s="18">
        <v>21.9</v>
      </c>
      <c r="AZ1686" s="18">
        <v>45.500000000000007</v>
      </c>
      <c r="BA1686" s="18">
        <v>6.7</v>
      </c>
      <c r="BB1686" s="18">
        <v>4.2</v>
      </c>
      <c r="BC1686" s="18"/>
      <c r="BD1686" s="18">
        <v>7.7</v>
      </c>
      <c r="BE1686" s="18">
        <v>5</v>
      </c>
      <c r="BF1686" s="18">
        <v>12.7</v>
      </c>
      <c r="BG1686" s="18">
        <v>19.8</v>
      </c>
      <c r="BH1686" s="18">
        <v>2.1</v>
      </c>
      <c r="BI1686" s="18"/>
      <c r="BJ1686" s="6"/>
      <c r="BK1686" s="6"/>
      <c r="BL1686" s="6" t="s">
        <v>116</v>
      </c>
      <c r="BO1686" s="15"/>
    </row>
    <row r="1687" spans="1:71">
      <c r="A1687" s="6" t="s">
        <v>91</v>
      </c>
      <c r="B1687" s="6"/>
      <c r="C1687" s="17">
        <v>39948.0862037037</v>
      </c>
      <c r="D1687" s="18">
        <v>26.330709331242939</v>
      </c>
      <c r="E1687" s="6"/>
      <c r="F1687" s="6"/>
      <c r="G1687" s="22"/>
      <c r="H1687" s="22"/>
      <c r="I1687" s="22"/>
      <c r="J1687" s="22"/>
      <c r="K1687" s="22"/>
      <c r="L1687" s="22"/>
      <c r="M1687" s="22"/>
      <c r="N1687" s="18"/>
      <c r="O1687" s="18"/>
      <c r="P1687" s="22"/>
      <c r="Q1687" s="22"/>
      <c r="R1687" s="22"/>
      <c r="S1687" s="22"/>
      <c r="T1687" s="22"/>
      <c r="U1687" s="22"/>
      <c r="V1687" s="6"/>
      <c r="W1687" s="6"/>
      <c r="X1687" s="19"/>
      <c r="Y1687" s="6"/>
      <c r="Z1687" s="6"/>
      <c r="AA1687" s="6"/>
      <c r="AB1687" s="6"/>
      <c r="AC1687" s="6"/>
      <c r="AD1687" s="6"/>
      <c r="AE1687" s="6"/>
      <c r="AF1687" s="18"/>
      <c r="AG1687" s="18"/>
      <c r="AH1687" s="18"/>
      <c r="AI1687" s="18"/>
      <c r="AK1687" s="18"/>
      <c r="AL1687" s="18"/>
      <c r="AM1687" s="18"/>
      <c r="AN1687" s="18"/>
      <c r="AO1687" s="6"/>
      <c r="AP1687" s="32"/>
      <c r="AQ1687" s="32">
        <v>9.8000000000000014E-3</v>
      </c>
      <c r="AR1687" s="32">
        <v>2.8999999999999998E-3</v>
      </c>
      <c r="AS1687" s="32">
        <v>2.1000000000000003E-3</v>
      </c>
      <c r="AT1687" s="32"/>
      <c r="AU1687" s="32"/>
      <c r="AV1687" s="32"/>
      <c r="AW1687" s="32"/>
      <c r="AX1687" s="18">
        <v>32.1</v>
      </c>
      <c r="AY1687" s="18">
        <v>17.899999999999999</v>
      </c>
      <c r="AZ1687" s="18">
        <v>50</v>
      </c>
      <c r="BA1687" s="18">
        <v>10.3</v>
      </c>
      <c r="BB1687" s="18">
        <v>6.1</v>
      </c>
      <c r="BC1687" s="18"/>
      <c r="BD1687" s="18">
        <v>8.4</v>
      </c>
      <c r="BE1687" s="18">
        <v>7.3</v>
      </c>
      <c r="BF1687" s="18">
        <v>15.7</v>
      </c>
      <c r="BG1687" s="18">
        <v>17.100000000000001</v>
      </c>
      <c r="BH1687" s="18">
        <v>0.8</v>
      </c>
      <c r="BI1687" s="18"/>
      <c r="BJ1687" s="6"/>
      <c r="BK1687" s="6"/>
      <c r="BL1687" s="6" t="s">
        <v>116</v>
      </c>
      <c r="BO1687" s="15"/>
    </row>
    <row r="1688" spans="1:71">
      <c r="A1688" s="6" t="s">
        <v>93</v>
      </c>
      <c r="B1688" s="6"/>
      <c r="C1688" s="17">
        <v>39948.0862037037</v>
      </c>
      <c r="D1688" s="18">
        <v>26.330709331242939</v>
      </c>
      <c r="E1688" s="6"/>
      <c r="F1688" s="6"/>
      <c r="G1688" s="22"/>
      <c r="H1688" s="22"/>
      <c r="I1688" s="22"/>
      <c r="J1688" s="22"/>
      <c r="K1688" s="22"/>
      <c r="L1688" s="22"/>
      <c r="M1688" s="22"/>
      <c r="N1688" s="18"/>
      <c r="O1688" s="18"/>
      <c r="P1688" s="22"/>
      <c r="Q1688" s="22"/>
      <c r="R1688" s="22"/>
      <c r="S1688" s="22"/>
      <c r="T1688" s="22"/>
      <c r="U1688" s="22"/>
      <c r="V1688" s="6"/>
      <c r="W1688" s="6"/>
      <c r="X1688" s="19"/>
      <c r="Y1688" s="6"/>
      <c r="Z1688" s="6"/>
      <c r="AA1688" s="6"/>
      <c r="AB1688" s="6"/>
      <c r="AC1688" s="6"/>
      <c r="AD1688" s="6"/>
      <c r="AE1688" s="6"/>
      <c r="AF1688" s="18"/>
      <c r="AG1688" s="18"/>
      <c r="AH1688" s="18"/>
      <c r="AI1688" s="18"/>
      <c r="AK1688" s="18"/>
      <c r="AL1688" s="18"/>
      <c r="AM1688" s="18"/>
      <c r="AN1688" s="18"/>
      <c r="AO1688" s="6"/>
      <c r="AP1688" s="32"/>
      <c r="AQ1688" s="32">
        <v>1.12E-2</v>
      </c>
      <c r="AR1688" s="32">
        <v>2.5999999999999999E-3</v>
      </c>
      <c r="AS1688" s="32">
        <v>2.1000000000000003E-3</v>
      </c>
      <c r="AT1688" s="32"/>
      <c r="AU1688" s="32"/>
      <c r="AV1688" s="32"/>
      <c r="AW1688" s="32"/>
      <c r="AX1688" s="18">
        <v>30.099999999999998</v>
      </c>
      <c r="AY1688" s="18">
        <v>26.400000000000002</v>
      </c>
      <c r="AZ1688" s="18">
        <v>56.5</v>
      </c>
      <c r="BA1688" s="18">
        <v>9</v>
      </c>
      <c r="BB1688" s="18">
        <v>4.8</v>
      </c>
      <c r="BC1688" s="18"/>
      <c r="BD1688" s="18">
        <v>10.5</v>
      </c>
      <c r="BE1688" s="18">
        <v>5.8</v>
      </c>
      <c r="BF1688" s="18">
        <v>16.299999999999997</v>
      </c>
      <c r="BG1688" s="18">
        <v>25.900000000000002</v>
      </c>
      <c r="BH1688" s="18">
        <v>0.5</v>
      </c>
      <c r="BI1688" s="18"/>
      <c r="BJ1688" s="6"/>
      <c r="BK1688" s="6"/>
      <c r="BL1688" s="6" t="s">
        <v>116</v>
      </c>
      <c r="BO1688" s="15"/>
    </row>
    <row r="1689" spans="1:71" customFormat="1">
      <c r="A1689" t="s">
        <v>129</v>
      </c>
      <c r="B1689" s="1" t="s">
        <v>136</v>
      </c>
      <c r="C1689" s="54">
        <v>30368</v>
      </c>
      <c r="D1689" s="55">
        <v>9.6837782340862422</v>
      </c>
      <c r="F1689">
        <v>625.20840280093364</v>
      </c>
      <c r="N1689">
        <v>43.572046861013426</v>
      </c>
      <c r="X1689" s="19"/>
      <c r="AF1689" s="2">
        <v>9.0818065764579661</v>
      </c>
      <c r="AG1689">
        <v>15.251999999999995</v>
      </c>
      <c r="AH1689" s="2"/>
      <c r="AI1689">
        <v>11.751503651916611</v>
      </c>
      <c r="BM1689">
        <v>15.2</v>
      </c>
      <c r="BN1689">
        <v>12.2</v>
      </c>
      <c r="BO1689">
        <v>18.12</v>
      </c>
      <c r="BP1689">
        <v>6.1</v>
      </c>
      <c r="BQ1689">
        <v>21.3</v>
      </c>
      <c r="BR1689">
        <v>6.7</v>
      </c>
      <c r="BS1689">
        <v>16.3</v>
      </c>
    </row>
    <row r="1690" spans="1:71" customFormat="1">
      <c r="A1690" t="s">
        <v>129</v>
      </c>
      <c r="B1690" s="1" t="s">
        <v>136</v>
      </c>
      <c r="C1690" s="54">
        <v>30788</v>
      </c>
      <c r="D1690" s="55">
        <v>10.833675564681725</v>
      </c>
      <c r="F1690">
        <v>625.20840280093364</v>
      </c>
      <c r="N1690">
        <v>67.737700721132654</v>
      </c>
      <c r="X1690" s="19"/>
      <c r="AF1690" s="2">
        <v>10.918634888110645</v>
      </c>
      <c r="AG1690">
        <v>17.842666666666666</v>
      </c>
      <c r="AH1690" s="2"/>
      <c r="AI1690">
        <v>16.05718916020988</v>
      </c>
      <c r="BM1690">
        <v>17.8</v>
      </c>
      <c r="BN1690">
        <v>14.04</v>
      </c>
      <c r="BO1690">
        <v>21.380000000000003</v>
      </c>
      <c r="BP1690">
        <v>8.5</v>
      </c>
      <c r="BQ1690">
        <v>24.5</v>
      </c>
      <c r="BR1690">
        <v>6.79</v>
      </c>
      <c r="BS1690">
        <v>19.100000000000001</v>
      </c>
    </row>
    <row r="1691" spans="1:71" customFormat="1">
      <c r="A1691" t="s">
        <v>129</v>
      </c>
      <c r="B1691" s="1" t="s">
        <v>136</v>
      </c>
      <c r="C1691" s="54">
        <v>30921</v>
      </c>
      <c r="D1691" s="55">
        <v>11.197809719370294</v>
      </c>
      <c r="F1691">
        <v>625.20840280093364</v>
      </c>
      <c r="N1691">
        <v>72.415615581694382</v>
      </c>
      <c r="X1691" s="19"/>
      <c r="AF1691" s="2">
        <v>11.21897785051198</v>
      </c>
      <c r="AG1691">
        <v>18.266666666666662</v>
      </c>
      <c r="AH1691" s="2"/>
      <c r="AI1691">
        <v>16.828183556022523</v>
      </c>
      <c r="BM1691">
        <v>18.3</v>
      </c>
      <c r="BN1691">
        <v>14.34</v>
      </c>
      <c r="BO1691">
        <v>22.020000000000003</v>
      </c>
      <c r="BP1691">
        <v>8.9</v>
      </c>
      <c r="BQ1691">
        <v>24.9</v>
      </c>
      <c r="BR1691">
        <v>6.79</v>
      </c>
      <c r="BS1691">
        <v>19.5</v>
      </c>
    </row>
    <row r="1692" spans="1:71" customFormat="1">
      <c r="A1692" t="s">
        <v>129</v>
      </c>
      <c r="B1692" s="1" t="s">
        <v>136</v>
      </c>
      <c r="C1692" s="54">
        <v>31091</v>
      </c>
      <c r="D1692" s="55">
        <v>11.663244353182751</v>
      </c>
      <c r="F1692">
        <v>625.20840280093364</v>
      </c>
      <c r="N1692">
        <v>80.590392513933239</v>
      </c>
      <c r="X1692" s="19"/>
      <c r="AF1692" s="2">
        <v>11.713788293497965</v>
      </c>
      <c r="AG1692">
        <v>18.972000000000005</v>
      </c>
      <c r="AH1692" s="2"/>
      <c r="AI1692">
        <v>18.142533895303963</v>
      </c>
      <c r="BM1692">
        <v>19.100000000000001</v>
      </c>
      <c r="BN1692">
        <v>15.08</v>
      </c>
      <c r="BO1692">
        <v>22.76</v>
      </c>
      <c r="BP1692">
        <v>9.4</v>
      </c>
      <c r="BQ1692">
        <v>25.6</v>
      </c>
      <c r="BR1692">
        <v>6.83</v>
      </c>
      <c r="BS1692">
        <v>20.3</v>
      </c>
    </row>
    <row r="1693" spans="1:71" customFormat="1">
      <c r="A1693" t="s">
        <v>129</v>
      </c>
      <c r="B1693" s="1" t="s">
        <v>136</v>
      </c>
      <c r="C1693" s="54">
        <v>31126</v>
      </c>
      <c r="D1693" s="55">
        <v>11.759069130732374</v>
      </c>
      <c r="F1693">
        <v>625.20840280093364</v>
      </c>
      <c r="N1693">
        <v>82.083461951794035</v>
      </c>
      <c r="X1693" s="19"/>
      <c r="AF1693" s="2">
        <v>11.800260754078728</v>
      </c>
      <c r="AG1693">
        <v>19.096</v>
      </c>
      <c r="AH1693" s="2"/>
      <c r="AI1693">
        <v>18.378015853814425</v>
      </c>
      <c r="BM1693">
        <v>19.2</v>
      </c>
      <c r="BN1693">
        <v>15.24</v>
      </c>
      <c r="BO1693">
        <v>22.86</v>
      </c>
      <c r="BP1693">
        <v>9.5</v>
      </c>
      <c r="BQ1693">
        <v>25.7</v>
      </c>
      <c r="BR1693">
        <v>6.88</v>
      </c>
      <c r="BS1693">
        <v>20.399999999999999</v>
      </c>
    </row>
    <row r="1694" spans="1:71" customFormat="1">
      <c r="A1694" t="s">
        <v>129</v>
      </c>
      <c r="B1694" s="1" t="s">
        <v>136</v>
      </c>
      <c r="C1694" s="54">
        <v>31201</v>
      </c>
      <c r="D1694" s="55">
        <v>11.964407939767282</v>
      </c>
      <c r="F1694">
        <v>625.20840280093364</v>
      </c>
      <c r="N1694">
        <v>87.732142668399504</v>
      </c>
      <c r="X1694" s="19"/>
      <c r="AF1694" s="2">
        <v>12.113688677273194</v>
      </c>
      <c r="AG1694">
        <v>19.536000000000001</v>
      </c>
      <c r="AH1694" s="2"/>
      <c r="AI1694">
        <v>19.246366624166239</v>
      </c>
      <c r="BM1694">
        <v>19.7</v>
      </c>
      <c r="BN1694">
        <v>15.44</v>
      </c>
      <c r="BO1694">
        <v>23.5</v>
      </c>
      <c r="BP1694">
        <v>9.8000000000000007</v>
      </c>
      <c r="BQ1694">
        <v>26.4</v>
      </c>
      <c r="BR1694">
        <v>6.78</v>
      </c>
      <c r="BS1694">
        <v>20.9</v>
      </c>
    </row>
    <row r="1695" spans="1:71" customFormat="1">
      <c r="A1695" t="s">
        <v>129</v>
      </c>
      <c r="B1695" s="1" t="s">
        <v>136</v>
      </c>
      <c r="C1695" s="54">
        <v>31338</v>
      </c>
      <c r="D1695" s="55">
        <v>12.33949349760438</v>
      </c>
      <c r="F1695">
        <v>625.20840280093364</v>
      </c>
      <c r="N1695">
        <v>93.674824476151301</v>
      </c>
      <c r="X1695" s="19"/>
      <c r="AF1695" s="2">
        <v>12.434121999842633</v>
      </c>
      <c r="AG1695">
        <v>20.001333333333331</v>
      </c>
      <c r="AH1695" s="2"/>
      <c r="AI1695">
        <v>20.158681621487155</v>
      </c>
      <c r="BM1695">
        <v>20.2</v>
      </c>
      <c r="BN1695">
        <v>15.98</v>
      </c>
      <c r="BO1695">
        <v>24.060000000000002</v>
      </c>
      <c r="BP1695">
        <v>10.3</v>
      </c>
      <c r="BQ1695">
        <v>27</v>
      </c>
      <c r="BR1695">
        <v>6.88</v>
      </c>
      <c r="BS1695">
        <v>21.4</v>
      </c>
    </row>
    <row r="1696" spans="1:71" customFormat="1">
      <c r="A1696" t="s">
        <v>129</v>
      </c>
      <c r="B1696" s="1" t="s">
        <v>136</v>
      </c>
      <c r="C1696" s="54">
        <v>31447</v>
      </c>
      <c r="D1696" s="55">
        <v>12.63791923340178</v>
      </c>
      <c r="F1696">
        <v>625.20840280093364</v>
      </c>
      <c r="N1696">
        <v>99.555435502634793</v>
      </c>
      <c r="X1696" s="19"/>
      <c r="AF1696" s="2">
        <v>12.734914596332482</v>
      </c>
      <c r="AG1696">
        <v>20.435999999999996</v>
      </c>
      <c r="AH1696" s="2"/>
      <c r="AI1696">
        <v>21.038332802225977</v>
      </c>
      <c r="BM1696">
        <v>20.7</v>
      </c>
      <c r="BN1696">
        <v>16.12</v>
      </c>
      <c r="BO1696">
        <v>24.560000000000002</v>
      </c>
      <c r="BP1696">
        <v>10.8</v>
      </c>
      <c r="BQ1696">
        <v>27.5</v>
      </c>
      <c r="BR1696">
        <v>6.92</v>
      </c>
      <c r="BS1696">
        <v>21.8</v>
      </c>
    </row>
    <row r="1697" spans="1:71" customFormat="1">
      <c r="A1697" t="s">
        <v>129</v>
      </c>
      <c r="B1697" s="1" t="s">
        <v>136</v>
      </c>
      <c r="C1697" s="54">
        <v>31517</v>
      </c>
      <c r="D1697" s="55">
        <v>12.829568788501026</v>
      </c>
      <c r="F1697">
        <v>625.20840280093364</v>
      </c>
      <c r="N1697">
        <v>100.42357986920636</v>
      </c>
      <c r="X1697" s="19"/>
      <c r="AF1697" s="2">
        <v>12.778357372324963</v>
      </c>
      <c r="AG1697">
        <v>20.498666666666661</v>
      </c>
      <c r="AH1697" s="2"/>
      <c r="AI1697">
        <v>21.167279257945477</v>
      </c>
      <c r="BM1697">
        <v>20.8</v>
      </c>
      <c r="BN1697">
        <v>16.16</v>
      </c>
      <c r="BO1697">
        <v>24.680000000000003</v>
      </c>
      <c r="BP1697">
        <v>10.8</v>
      </c>
      <c r="BQ1697">
        <v>27.5</v>
      </c>
      <c r="BR1697">
        <v>6.95</v>
      </c>
      <c r="BS1697">
        <v>21.9</v>
      </c>
    </row>
    <row r="1698" spans="1:71" customFormat="1">
      <c r="A1698" t="s">
        <v>129</v>
      </c>
      <c r="B1698" s="1" t="s">
        <v>136</v>
      </c>
      <c r="C1698" s="54">
        <v>31583</v>
      </c>
      <c r="D1698" s="55">
        <v>13.010266940451745</v>
      </c>
      <c r="F1698">
        <v>625.20840280093364</v>
      </c>
      <c r="N1698">
        <v>102.82727480318073</v>
      </c>
      <c r="X1698" s="19"/>
      <c r="AF1698" s="2">
        <v>12.895618258371325</v>
      </c>
      <c r="AG1698">
        <v>20.666666666666664</v>
      </c>
      <c r="AH1698" s="2"/>
      <c r="AI1698">
        <v>21.517762206286534</v>
      </c>
      <c r="BM1698">
        <v>21</v>
      </c>
      <c r="BN1698">
        <v>16.32</v>
      </c>
      <c r="BO1698">
        <v>24.92</v>
      </c>
      <c r="BP1698">
        <v>10.9</v>
      </c>
      <c r="BQ1698">
        <v>27.8</v>
      </c>
      <c r="BR1698">
        <v>6.91</v>
      </c>
      <c r="BS1698">
        <v>22.1</v>
      </c>
    </row>
    <row r="1699" spans="1:71" customFormat="1">
      <c r="A1699" t="s">
        <v>129</v>
      </c>
      <c r="B1699" s="1" t="s">
        <v>136</v>
      </c>
      <c r="C1699" s="54">
        <v>31705</v>
      </c>
      <c r="D1699" s="55">
        <v>13.344284736481862</v>
      </c>
      <c r="F1699">
        <v>625.20840280093364</v>
      </c>
      <c r="N1699">
        <v>110.9875844393632</v>
      </c>
      <c r="X1699" s="19"/>
      <c r="AF1699" s="2">
        <v>13.282544000538742</v>
      </c>
      <c r="AG1699">
        <v>21.228000000000012</v>
      </c>
      <c r="AH1699" s="2"/>
      <c r="AI1699">
        <v>22.699859770471033</v>
      </c>
      <c r="BM1699">
        <v>21.5</v>
      </c>
      <c r="BN1699">
        <v>16.62</v>
      </c>
      <c r="BO1699">
        <v>25.560000000000002</v>
      </c>
      <c r="BP1699">
        <v>11.4</v>
      </c>
      <c r="BQ1699">
        <v>28.4</v>
      </c>
      <c r="BR1699">
        <v>6.96</v>
      </c>
      <c r="BS1699">
        <v>22.7</v>
      </c>
    </row>
    <row r="1700" spans="1:71" customFormat="1">
      <c r="A1700" t="s">
        <v>129</v>
      </c>
      <c r="B1700" s="1" t="s">
        <v>136</v>
      </c>
      <c r="C1700" s="54">
        <v>31795</v>
      </c>
      <c r="D1700" s="55">
        <v>13.59069130732375</v>
      </c>
      <c r="F1700">
        <v>608.53617872624204</v>
      </c>
      <c r="N1700">
        <v>113.44291319049366</v>
      </c>
      <c r="X1700" s="19"/>
      <c r="AF1700" s="2">
        <v>13.532730537705296</v>
      </c>
      <c r="AG1700">
        <v>21.591780821917801</v>
      </c>
      <c r="AH1700" s="2"/>
      <c r="AI1700">
        <v>22.859368402138681</v>
      </c>
      <c r="BM1700">
        <v>22</v>
      </c>
      <c r="BN1700">
        <v>16.939999999999998</v>
      </c>
      <c r="BO1700">
        <v>26.119999999999997</v>
      </c>
      <c r="BP1700">
        <v>12.1</v>
      </c>
      <c r="BQ1700">
        <v>28.9</v>
      </c>
      <c r="BR1700">
        <v>6.94</v>
      </c>
      <c r="BS1700">
        <v>23.1</v>
      </c>
    </row>
    <row r="1701" spans="1:71" customFormat="1">
      <c r="A1701" t="s">
        <v>129</v>
      </c>
      <c r="B1701" s="1" t="s">
        <v>136</v>
      </c>
      <c r="C1701" s="54">
        <v>31880</v>
      </c>
      <c r="D1701" s="55">
        <v>13.82340862422998</v>
      </c>
      <c r="F1701">
        <v>625.20840280093364</v>
      </c>
      <c r="N1701">
        <v>118.7272632761612</v>
      </c>
      <c r="X1701" s="19"/>
      <c r="AF1701" s="2">
        <v>13.627322815685028</v>
      </c>
      <c r="AG1701">
        <v>21.725333333333321</v>
      </c>
      <c r="AH1701" s="2"/>
      <c r="AI1701">
        <v>23.787246015618283</v>
      </c>
      <c r="BM1701">
        <v>22.2</v>
      </c>
      <c r="BN1701">
        <v>16.98</v>
      </c>
      <c r="BO1701">
        <v>26.46</v>
      </c>
      <c r="BP1701">
        <v>12.2</v>
      </c>
      <c r="BQ1701">
        <v>29.1</v>
      </c>
      <c r="BR1701">
        <v>6.9</v>
      </c>
      <c r="BS1701">
        <v>23.2</v>
      </c>
    </row>
    <row r="1702" spans="1:71" customFormat="1">
      <c r="A1702" t="s">
        <v>129</v>
      </c>
      <c r="B1702" s="1" t="s">
        <v>136</v>
      </c>
      <c r="C1702" s="54">
        <v>31944</v>
      </c>
      <c r="D1702" s="55">
        <v>13.998631074606434</v>
      </c>
      <c r="F1702">
        <v>625.20840280093364</v>
      </c>
      <c r="N1702">
        <v>120.0772239970391</v>
      </c>
      <c r="X1702" s="19"/>
      <c r="AF1702" s="2">
        <v>13.684081975357074</v>
      </c>
      <c r="AG1702">
        <v>21.80533333333333</v>
      </c>
      <c r="AH1702" s="2"/>
      <c r="AI1702">
        <v>23.969414392563699</v>
      </c>
      <c r="BM1702">
        <v>22.3</v>
      </c>
      <c r="BN1702">
        <v>17.04</v>
      </c>
      <c r="BO1702">
        <v>26.5</v>
      </c>
      <c r="BP1702">
        <v>12.2</v>
      </c>
      <c r="BQ1702">
        <v>29.3</v>
      </c>
      <c r="BR1702">
        <v>6.87</v>
      </c>
      <c r="BS1702">
        <v>23.3</v>
      </c>
    </row>
    <row r="1703" spans="1:71" customFormat="1">
      <c r="A1703" t="s">
        <v>129</v>
      </c>
      <c r="B1703" s="1" t="s">
        <v>136</v>
      </c>
      <c r="C1703" s="54">
        <v>32072</v>
      </c>
      <c r="D1703" s="55">
        <v>14.349075975359343</v>
      </c>
      <c r="F1703">
        <v>608.53617872624204</v>
      </c>
      <c r="N1703">
        <v>122.76913197682579</v>
      </c>
      <c r="X1703" s="19"/>
      <c r="AF1703" s="2">
        <v>13.943243904554206</v>
      </c>
      <c r="AG1703">
        <v>22.190410958904103</v>
      </c>
      <c r="AH1703" s="2"/>
      <c r="AI1703">
        <v>24.151117920646126</v>
      </c>
      <c r="BM1703">
        <v>22.8</v>
      </c>
      <c r="BN1703">
        <v>17.259999999999998</v>
      </c>
      <c r="BO1703">
        <v>26.98</v>
      </c>
      <c r="BP1703">
        <v>12.8</v>
      </c>
      <c r="BQ1703">
        <v>29.8</v>
      </c>
      <c r="BR1703">
        <v>6.93</v>
      </c>
      <c r="BS1703">
        <v>23.7</v>
      </c>
    </row>
    <row r="1704" spans="1:71" customFormat="1">
      <c r="A1704" t="s">
        <v>129</v>
      </c>
      <c r="B1704" s="1" t="s">
        <v>136</v>
      </c>
      <c r="C1704" s="54">
        <v>32152</v>
      </c>
      <c r="D1704" s="55">
        <v>14.568104038329912</v>
      </c>
      <c r="F1704">
        <v>608.53617872624204</v>
      </c>
      <c r="N1704">
        <v>127.63386281289634</v>
      </c>
      <c r="X1704" s="19"/>
      <c r="AF1704" s="2">
        <v>14.147267609090868</v>
      </c>
      <c r="AG1704">
        <v>22.487671232876707</v>
      </c>
      <c r="AH1704" s="2"/>
      <c r="AI1704">
        <v>24.810620608185214</v>
      </c>
      <c r="BM1704">
        <v>23.1</v>
      </c>
      <c r="BN1704">
        <v>17.52</v>
      </c>
      <c r="BO1704">
        <v>27.38</v>
      </c>
      <c r="BP1704">
        <v>13</v>
      </c>
      <c r="BQ1704">
        <v>30.3</v>
      </c>
      <c r="BR1704">
        <v>6.9</v>
      </c>
      <c r="BS1704">
        <v>24</v>
      </c>
    </row>
    <row r="1705" spans="1:71" customFormat="1">
      <c r="A1705" t="s">
        <v>129</v>
      </c>
      <c r="B1705" s="1" t="s">
        <v>136</v>
      </c>
      <c r="C1705" s="54">
        <v>32248</v>
      </c>
      <c r="D1705" s="55">
        <v>14.830937713894592</v>
      </c>
      <c r="F1705">
        <v>608.53617872624204</v>
      </c>
      <c r="N1705">
        <v>129.37753608061277</v>
      </c>
      <c r="X1705" s="19"/>
      <c r="AF1705" s="2">
        <v>14.219582907274338</v>
      </c>
      <c r="AG1705">
        <v>22.594520547945205</v>
      </c>
      <c r="AH1705" s="2"/>
      <c r="AI1705">
        <v>25.04723522660122</v>
      </c>
      <c r="BM1705">
        <v>23.2</v>
      </c>
      <c r="BN1705">
        <v>17.54</v>
      </c>
      <c r="BO1705">
        <v>27.48</v>
      </c>
      <c r="BP1705">
        <v>13</v>
      </c>
      <c r="BQ1705">
        <v>30.4</v>
      </c>
      <c r="BR1705">
        <v>6.91</v>
      </c>
      <c r="BS1705">
        <v>24.1</v>
      </c>
    </row>
    <row r="1706" spans="1:71" customFormat="1">
      <c r="A1706" t="s">
        <v>129</v>
      </c>
      <c r="B1706" s="1" t="s">
        <v>136</v>
      </c>
      <c r="C1706" s="54">
        <v>32309</v>
      </c>
      <c r="D1706" s="55">
        <v>14.997946611909651</v>
      </c>
      <c r="F1706">
        <v>608.53617872624204</v>
      </c>
      <c r="N1706">
        <v>133.73173953910893</v>
      </c>
      <c r="X1706" s="19"/>
      <c r="AF1706" s="2">
        <v>14.395633119608299</v>
      </c>
      <c r="AG1706">
        <v>22.852054794520541</v>
      </c>
      <c r="AH1706" s="2"/>
      <c r="AI1706">
        <v>25.629618833057801</v>
      </c>
      <c r="BM1706">
        <v>23.5</v>
      </c>
      <c r="BN1706">
        <v>17.739999999999998</v>
      </c>
      <c r="BO1706">
        <v>27.8</v>
      </c>
      <c r="BP1706">
        <v>13.1</v>
      </c>
      <c r="BQ1706">
        <v>30.6</v>
      </c>
      <c r="BR1706">
        <v>6.89</v>
      </c>
      <c r="BS1706">
        <v>24.4</v>
      </c>
    </row>
    <row r="1707" spans="1:71" customFormat="1">
      <c r="A1707" t="s">
        <v>129</v>
      </c>
      <c r="B1707" s="1" t="s">
        <v>136</v>
      </c>
      <c r="C1707" s="54">
        <v>32426</v>
      </c>
      <c r="D1707" s="55">
        <v>15.318275154004107</v>
      </c>
      <c r="F1707">
        <v>275.09169723241081</v>
      </c>
      <c r="N1707">
        <v>75.480768330027331</v>
      </c>
      <c r="X1707" s="19"/>
      <c r="AF1707" s="2">
        <v>15.701535805570195</v>
      </c>
      <c r="AG1707">
        <v>24.896969696969702</v>
      </c>
      <c r="AH1707" s="2"/>
      <c r="AI1707">
        <v>13.673234681581352</v>
      </c>
      <c r="BM1707">
        <v>24.8</v>
      </c>
      <c r="BN1707">
        <v>20.34</v>
      </c>
      <c r="BO1707">
        <v>29.740000000000002</v>
      </c>
      <c r="BP1707">
        <v>17.8</v>
      </c>
      <c r="BQ1707">
        <v>31.1</v>
      </c>
      <c r="BR1707">
        <v>7.94</v>
      </c>
      <c r="BS1707">
        <v>26.4</v>
      </c>
    </row>
    <row r="1708" spans="1:71" customFormat="1">
      <c r="A1708" t="s">
        <v>129</v>
      </c>
      <c r="B1708" s="1" t="s">
        <v>136</v>
      </c>
      <c r="C1708" s="54">
        <v>32477</v>
      </c>
      <c r="D1708" s="55">
        <v>15.457905544147843</v>
      </c>
      <c r="F1708">
        <v>275.09169723241081</v>
      </c>
      <c r="N1708">
        <v>79.314580234246037</v>
      </c>
      <c r="X1708" s="19"/>
      <c r="AF1708" s="2">
        <v>15.984910270719556</v>
      </c>
      <c r="AG1708">
        <v>25.336363636363629</v>
      </c>
      <c r="AH1708" s="2"/>
      <c r="AI1708">
        <v>14.159512422411785</v>
      </c>
      <c r="BM1708">
        <v>25.1</v>
      </c>
      <c r="BN1708">
        <v>20.84</v>
      </c>
      <c r="BO1708">
        <v>30.1</v>
      </c>
      <c r="BP1708">
        <v>18</v>
      </c>
      <c r="BQ1708">
        <v>31.6</v>
      </c>
      <c r="BR1708">
        <v>7.97</v>
      </c>
      <c r="BS1708">
        <v>26.9</v>
      </c>
    </row>
    <row r="1709" spans="1:71" customFormat="1">
      <c r="A1709" t="s">
        <v>129</v>
      </c>
      <c r="B1709" s="1" t="s">
        <v>136</v>
      </c>
      <c r="C1709" s="54">
        <v>32567</v>
      </c>
      <c r="D1709" s="55">
        <v>15.704312114989733</v>
      </c>
      <c r="F1709">
        <v>275.09169723241081</v>
      </c>
      <c r="N1709">
        <v>84.513850898622934</v>
      </c>
      <c r="X1709" s="19"/>
      <c r="AF1709" s="2">
        <v>16.351941845967737</v>
      </c>
      <c r="AG1709">
        <v>25.90909090909091</v>
      </c>
      <c r="AH1709" s="2"/>
      <c r="AI1709">
        <v>14.808369416272273</v>
      </c>
      <c r="BM1709">
        <v>25.6</v>
      </c>
      <c r="BN1709">
        <v>21.4</v>
      </c>
      <c r="BO1709">
        <v>30.66</v>
      </c>
      <c r="BP1709">
        <v>18.5</v>
      </c>
      <c r="BQ1709">
        <v>32.5</v>
      </c>
      <c r="BR1709">
        <v>7.97</v>
      </c>
      <c r="BS1709">
        <v>27.5</v>
      </c>
    </row>
    <row r="1710" spans="1:71" customFormat="1">
      <c r="A1710" t="s">
        <v>129</v>
      </c>
      <c r="B1710" s="1" t="s">
        <v>136</v>
      </c>
      <c r="C1710" s="54">
        <v>32659</v>
      </c>
      <c r="D1710" s="55">
        <v>15.956194387405887</v>
      </c>
      <c r="F1710">
        <v>275.09169723241081</v>
      </c>
      <c r="N1710">
        <v>90.506846119678841</v>
      </c>
      <c r="X1710" s="19"/>
      <c r="AF1710" s="2">
        <v>16.750885032363911</v>
      </c>
      <c r="AG1710">
        <v>26.533333333333339</v>
      </c>
      <c r="AH1710" s="2"/>
      <c r="AI1710">
        <v>15.539007074179088</v>
      </c>
      <c r="BM1710">
        <v>26.3</v>
      </c>
      <c r="BN1710">
        <v>21.54</v>
      </c>
      <c r="BO1710">
        <v>31.42</v>
      </c>
      <c r="BP1710">
        <v>18.8</v>
      </c>
      <c r="BQ1710">
        <v>33.5</v>
      </c>
      <c r="BR1710">
        <v>7.88</v>
      </c>
      <c r="BS1710">
        <v>28.2</v>
      </c>
    </row>
    <row r="1711" spans="1:71" customFormat="1">
      <c r="A1711" t="s">
        <v>129</v>
      </c>
      <c r="B1711" s="1" t="s">
        <v>136</v>
      </c>
      <c r="C1711" s="54">
        <v>32689</v>
      </c>
      <c r="D1711" s="55">
        <v>16.038329911019851</v>
      </c>
      <c r="F1711">
        <v>275.09169723241081</v>
      </c>
      <c r="N1711">
        <v>91.791248237733583</v>
      </c>
      <c r="X1711" s="19"/>
      <c r="AF1711" s="2">
        <v>16.834163833089935</v>
      </c>
      <c r="AG1711">
        <v>26.666666666666671</v>
      </c>
      <c r="AH1711" s="2"/>
      <c r="AI1711">
        <v>15.694973688454292</v>
      </c>
      <c r="BM1711">
        <v>26.4</v>
      </c>
      <c r="BN1711">
        <v>21.64</v>
      </c>
      <c r="BO1711">
        <v>31.34</v>
      </c>
      <c r="BP1711">
        <v>18.899999999999999</v>
      </c>
      <c r="BQ1711">
        <v>33.6</v>
      </c>
      <c r="BR1711">
        <v>7.9</v>
      </c>
      <c r="BS1711">
        <v>28.3</v>
      </c>
    </row>
    <row r="1712" spans="1:71" customFormat="1">
      <c r="A1712" t="s">
        <v>129</v>
      </c>
      <c r="B1712" s="1" t="s">
        <v>136</v>
      </c>
      <c r="C1712" s="54">
        <v>32751</v>
      </c>
      <c r="D1712" s="55">
        <v>16.208076659822041</v>
      </c>
      <c r="F1712">
        <v>275.09169723241081</v>
      </c>
      <c r="N1712">
        <v>99.327687808440416</v>
      </c>
      <c r="X1712" s="19"/>
      <c r="AF1712" s="2">
        <v>17.304501075338859</v>
      </c>
      <c r="AG1712">
        <v>27.424242424242433</v>
      </c>
      <c r="AH1712" s="2"/>
      <c r="AI1712">
        <v>16.599058896750616</v>
      </c>
      <c r="BM1712">
        <v>27.2</v>
      </c>
      <c r="BN1712">
        <v>22.12</v>
      </c>
      <c r="BO1712">
        <v>32.1</v>
      </c>
      <c r="BP1712">
        <v>19.5</v>
      </c>
      <c r="BQ1712">
        <v>34.5</v>
      </c>
      <c r="BR1712">
        <v>7.98</v>
      </c>
      <c r="BS1712">
        <v>29.1</v>
      </c>
    </row>
    <row r="1713" spans="1:71" customFormat="1">
      <c r="A1713" t="s">
        <v>129</v>
      </c>
      <c r="B1713" s="1" t="s">
        <v>136</v>
      </c>
      <c r="C1713" s="54">
        <v>32843</v>
      </c>
      <c r="D1713" s="55">
        <v>16.459958932238195</v>
      </c>
      <c r="F1713">
        <v>275.09169723241081</v>
      </c>
      <c r="N1713">
        <v>105.73559163698246</v>
      </c>
      <c r="X1713" s="19"/>
      <c r="AF1713" s="2">
        <v>17.680694414917209</v>
      </c>
      <c r="AG1713">
        <v>28.036363636363635</v>
      </c>
      <c r="AH1713" s="2"/>
      <c r="AI1713">
        <v>17.351695036059702</v>
      </c>
      <c r="BM1713">
        <v>27.9</v>
      </c>
      <c r="BN1713">
        <v>22.48</v>
      </c>
      <c r="BO1713">
        <v>33.020000000000003</v>
      </c>
      <c r="BP1713">
        <v>19.8</v>
      </c>
      <c r="BQ1713">
        <v>35.299999999999997</v>
      </c>
      <c r="BR1713">
        <v>7.96</v>
      </c>
      <c r="BS1713">
        <v>29.8</v>
      </c>
    </row>
    <row r="1714" spans="1:71" customFormat="1">
      <c r="A1714" t="s">
        <v>129</v>
      </c>
      <c r="B1714" s="1" t="s">
        <v>136</v>
      </c>
      <c r="C1714" s="54">
        <v>32933</v>
      </c>
      <c r="D1714" s="55">
        <v>16.706365503080082</v>
      </c>
      <c r="F1714">
        <v>275.09169723241081</v>
      </c>
      <c r="N1714">
        <v>111.26336530246661</v>
      </c>
      <c r="X1714" s="19"/>
      <c r="AF1714" s="2">
        <v>17.988616360040609</v>
      </c>
      <c r="AG1714">
        <v>28.536363636363635</v>
      </c>
      <c r="AH1714" s="2"/>
      <c r="AI1714">
        <v>17.988230261468082</v>
      </c>
      <c r="BM1714">
        <v>28.7</v>
      </c>
      <c r="BN1714">
        <v>22.78</v>
      </c>
      <c r="BO1714">
        <v>33.699999999999996</v>
      </c>
      <c r="BP1714">
        <v>20.100000000000001</v>
      </c>
      <c r="BQ1714">
        <v>36.200000000000003</v>
      </c>
      <c r="BR1714">
        <v>7.85</v>
      </c>
      <c r="BS1714">
        <v>30.3</v>
      </c>
    </row>
    <row r="1715" spans="1:71" customFormat="1">
      <c r="A1715" t="s">
        <v>129</v>
      </c>
      <c r="B1715" s="1" t="s">
        <v>136</v>
      </c>
      <c r="C1715" s="54">
        <v>33025</v>
      </c>
      <c r="D1715" s="55">
        <v>16.958247775496236</v>
      </c>
      <c r="F1715">
        <v>275.09169723241081</v>
      </c>
      <c r="N1715">
        <v>112.8250979826485</v>
      </c>
      <c r="X1715" s="19"/>
      <c r="AF1715" s="2">
        <v>18.072596821885494</v>
      </c>
      <c r="AG1715">
        <v>28.672727272727272</v>
      </c>
      <c r="AH1715" s="2"/>
      <c r="AI1715">
        <v>18.165141263245026</v>
      </c>
      <c r="BM1715">
        <v>28.9</v>
      </c>
      <c r="BN1715">
        <v>22.8</v>
      </c>
      <c r="BO1715">
        <v>33.739999999999995</v>
      </c>
      <c r="BP1715">
        <v>20.100000000000001</v>
      </c>
      <c r="BQ1715">
        <v>36.4</v>
      </c>
      <c r="BR1715">
        <v>7.81</v>
      </c>
      <c r="BS1715">
        <v>30.5</v>
      </c>
    </row>
    <row r="1716" spans="1:71" customFormat="1">
      <c r="A1716" t="s">
        <v>129</v>
      </c>
      <c r="B1716" s="1" t="s">
        <v>136</v>
      </c>
      <c r="C1716" s="54">
        <v>33119</v>
      </c>
      <c r="D1716" s="55">
        <v>17.215605749486652</v>
      </c>
      <c r="F1716">
        <v>275.09169723241081</v>
      </c>
      <c r="N1716">
        <v>121.959051606637</v>
      </c>
      <c r="X1716" s="19"/>
      <c r="AF1716" s="2">
        <v>18.554353022041152</v>
      </c>
      <c r="AG1716">
        <v>29.487878787878792</v>
      </c>
      <c r="AH1716" s="2"/>
      <c r="AI1716">
        <v>19.20843888524859</v>
      </c>
      <c r="BM1716">
        <v>29.7</v>
      </c>
      <c r="BN1716">
        <v>23.4</v>
      </c>
      <c r="BO1716">
        <v>34.739999999999995</v>
      </c>
      <c r="BP1716">
        <v>20.8</v>
      </c>
      <c r="BQ1716">
        <v>37</v>
      </c>
      <c r="BR1716">
        <v>7.89</v>
      </c>
      <c r="BS1716">
        <v>31.4</v>
      </c>
    </row>
    <row r="1717" spans="1:71" customFormat="1">
      <c r="A1717" t="s">
        <v>129</v>
      </c>
      <c r="B1717" s="1" t="s">
        <v>136</v>
      </c>
      <c r="C1717" s="54">
        <v>34408</v>
      </c>
      <c r="D1717" s="55">
        <v>20.744695414099933</v>
      </c>
      <c r="F1717">
        <v>275.09169723241081</v>
      </c>
      <c r="N1717">
        <v>174.6112207983897</v>
      </c>
      <c r="X1717" s="19"/>
      <c r="AF1717" s="2">
        <v>20.839691443712343</v>
      </c>
      <c r="AG1717">
        <v>33.587878787878793</v>
      </c>
      <c r="AH1717" s="2"/>
      <c r="AI1717">
        <v>24.911420792610581</v>
      </c>
      <c r="BM1717">
        <v>34.1</v>
      </c>
      <c r="BN1717">
        <v>26.36</v>
      </c>
      <c r="BO1717">
        <v>39.96</v>
      </c>
      <c r="BP1717">
        <v>23.5</v>
      </c>
      <c r="BQ1717">
        <v>42</v>
      </c>
      <c r="BR1717">
        <v>8.26</v>
      </c>
      <c r="BS1717">
        <v>36.4</v>
      </c>
    </row>
    <row r="1718" spans="1:71" customFormat="1">
      <c r="A1718" t="s">
        <v>129</v>
      </c>
      <c r="B1718" s="1" t="s">
        <v>136</v>
      </c>
      <c r="C1718" s="54">
        <v>34530</v>
      </c>
      <c r="D1718" s="55">
        <v>21.078713210130047</v>
      </c>
      <c r="F1718">
        <v>275.09169723241081</v>
      </c>
      <c r="N1718">
        <v>180.03393762682461</v>
      </c>
      <c r="X1718" s="19"/>
      <c r="AF1718" s="2">
        <v>21.040195012383922</v>
      </c>
      <c r="AG1718">
        <v>33.972727272727269</v>
      </c>
      <c r="AH1718" s="2"/>
      <c r="AI1718">
        <v>25.48017974436533</v>
      </c>
      <c r="BM1718">
        <v>34.4</v>
      </c>
      <c r="BN1718">
        <v>26.62</v>
      </c>
      <c r="BO1718">
        <v>40.18</v>
      </c>
      <c r="BP1718">
        <v>23.8</v>
      </c>
      <c r="BQ1718">
        <v>43</v>
      </c>
      <c r="BR1718">
        <v>8.26</v>
      </c>
      <c r="BS1718">
        <v>36.700000000000003</v>
      </c>
    </row>
    <row r="1719" spans="1:71" customFormat="1">
      <c r="A1719" t="s">
        <v>129</v>
      </c>
      <c r="B1719" s="1" t="s">
        <v>136</v>
      </c>
      <c r="C1719" s="54">
        <v>34919</v>
      </c>
      <c r="D1719" s="55">
        <v>22.143737166324435</v>
      </c>
      <c r="F1719">
        <v>275.09169723241081</v>
      </c>
      <c r="N1719">
        <v>196.22242153792484</v>
      </c>
      <c r="X1719" s="19"/>
      <c r="AF1719" s="2">
        <v>21.60145453365941</v>
      </c>
      <c r="AG1719">
        <v>35.056060606060605</v>
      </c>
      <c r="AH1719" s="2"/>
      <c r="AI1719">
        <v>27.140477481990366</v>
      </c>
      <c r="BM1719">
        <v>35.700000000000003</v>
      </c>
      <c r="BN1719">
        <v>27.3</v>
      </c>
      <c r="BO1719">
        <v>41.339999999999996</v>
      </c>
      <c r="BP1719">
        <v>24.3</v>
      </c>
      <c r="BQ1719">
        <v>44.35</v>
      </c>
      <c r="BR1719">
        <v>8.4</v>
      </c>
      <c r="BS1719">
        <v>37.799999999999997</v>
      </c>
    </row>
    <row r="1720" spans="1:71" customFormat="1">
      <c r="A1720" t="s">
        <v>129</v>
      </c>
      <c r="B1720" s="1" t="s">
        <v>136</v>
      </c>
      <c r="C1720" s="54">
        <v>35299</v>
      </c>
      <c r="D1720" s="55">
        <v>23.184120465434635</v>
      </c>
      <c r="F1720">
        <v>275.09169723241081</v>
      </c>
      <c r="N1720">
        <v>213.44508205023865</v>
      </c>
      <c r="X1720" s="19"/>
      <c r="AF1720" s="2">
        <v>22.156388379748616</v>
      </c>
      <c r="AG1720">
        <v>36.172727272727272</v>
      </c>
      <c r="AH1720" s="2"/>
      <c r="AI1720">
        <v>28.888098060598345</v>
      </c>
      <c r="BM1720">
        <v>36.799999999999997</v>
      </c>
      <c r="BN1720">
        <v>28.04</v>
      </c>
      <c r="BO1720">
        <v>42.46</v>
      </c>
      <c r="BP1720">
        <v>25</v>
      </c>
      <c r="BQ1720">
        <v>45.5</v>
      </c>
      <c r="BR1720">
        <v>8.6300000000000008</v>
      </c>
      <c r="BS1720">
        <v>38.799999999999997</v>
      </c>
    </row>
    <row r="1721" spans="1:71" customFormat="1">
      <c r="A1721" t="s">
        <v>129</v>
      </c>
      <c r="B1721" s="1" t="s">
        <v>136</v>
      </c>
      <c r="C1721" s="54">
        <v>35681</v>
      </c>
      <c r="D1721" s="55">
        <v>24.229979466119097</v>
      </c>
      <c r="F1721">
        <v>275.09169723241081</v>
      </c>
      <c r="N1721">
        <v>226.14075465917784</v>
      </c>
      <c r="X1721" s="19"/>
      <c r="AF1721" s="2">
        <v>22.537446940866637</v>
      </c>
      <c r="AG1721">
        <v>36.95454545454546</v>
      </c>
      <c r="AH1721" s="2"/>
      <c r="AI1721">
        <v>30.154424929318594</v>
      </c>
      <c r="BM1721">
        <v>37.6</v>
      </c>
      <c r="BN1721">
        <v>28.54</v>
      </c>
      <c r="BO1721">
        <v>43.339999999999996</v>
      </c>
      <c r="BP1721">
        <v>25.4</v>
      </c>
      <c r="BQ1721">
        <v>46.7</v>
      </c>
      <c r="BR1721">
        <v>8.74</v>
      </c>
      <c r="BS1721">
        <v>39.5</v>
      </c>
    </row>
    <row r="1722" spans="1:71" customFormat="1">
      <c r="A1722" t="s">
        <v>129</v>
      </c>
      <c r="B1722" s="1" t="s">
        <v>136</v>
      </c>
      <c r="C1722" s="54">
        <v>36035</v>
      </c>
      <c r="D1722" s="55">
        <v>25.199178644763862</v>
      </c>
      <c r="F1722">
        <v>275.09169723241081</v>
      </c>
      <c r="N1722">
        <v>233.88414207805451</v>
      </c>
      <c r="X1722" s="19"/>
      <c r="AF1722" s="2">
        <v>22.761236872714925</v>
      </c>
      <c r="AG1722">
        <v>37.427272727272722</v>
      </c>
      <c r="AH1722" s="2"/>
      <c r="AI1722">
        <v>30.924974117769519</v>
      </c>
      <c r="BM1722">
        <v>38.299999999999997</v>
      </c>
      <c r="BN1722">
        <v>28.92</v>
      </c>
      <c r="BO1722">
        <v>43.72</v>
      </c>
      <c r="BP1722">
        <v>25.6</v>
      </c>
      <c r="BQ1722">
        <v>47.1</v>
      </c>
      <c r="BR1722">
        <v>8.83</v>
      </c>
      <c r="BS1722">
        <v>40.1</v>
      </c>
    </row>
    <row r="1723" spans="1:71" customFormat="1">
      <c r="A1723" t="s">
        <v>129</v>
      </c>
      <c r="B1723" s="1" t="s">
        <v>136</v>
      </c>
      <c r="C1723" s="54">
        <v>36409</v>
      </c>
      <c r="D1723" s="55">
        <v>26.223134839151268</v>
      </c>
      <c r="F1723">
        <v>275.09169723241081</v>
      </c>
      <c r="N1723">
        <v>245.62422418172869</v>
      </c>
      <c r="X1723" s="19"/>
      <c r="AF1723" s="2">
        <v>23.085059143684333</v>
      </c>
      <c r="AG1723">
        <v>38.115151515151517</v>
      </c>
      <c r="AH1723" s="2"/>
      <c r="AI1723">
        <v>32.077085656709265</v>
      </c>
      <c r="BM1723">
        <v>38.6</v>
      </c>
      <c r="BN1723">
        <v>29.38</v>
      </c>
      <c r="BO1723">
        <v>44.46</v>
      </c>
      <c r="BP1723">
        <v>25.9</v>
      </c>
      <c r="BQ1723">
        <v>48.2</v>
      </c>
      <c r="BR1723">
        <v>8.99</v>
      </c>
      <c r="BS1723">
        <v>40.700000000000003</v>
      </c>
    </row>
    <row r="1724" spans="1:71" customFormat="1">
      <c r="A1724" t="s">
        <v>129</v>
      </c>
      <c r="B1724" s="1" t="s">
        <v>136</v>
      </c>
      <c r="C1724" s="54">
        <v>36774</v>
      </c>
      <c r="D1724" s="55">
        <v>27.222450376454482</v>
      </c>
      <c r="F1724">
        <v>275.09169723241081</v>
      </c>
      <c r="N1724">
        <v>258.37229741712952</v>
      </c>
      <c r="X1724" s="19"/>
      <c r="AF1724" s="2">
        <v>23.419564119857384</v>
      </c>
      <c r="AG1724">
        <v>38.842424242424244</v>
      </c>
      <c r="AH1724" s="2"/>
      <c r="AI1724">
        <v>33.315809669003336</v>
      </c>
      <c r="BM1724">
        <v>39.4</v>
      </c>
      <c r="BN1724">
        <v>29.86</v>
      </c>
      <c r="BO1724">
        <v>45.22</v>
      </c>
      <c r="BP1724">
        <v>26.4</v>
      </c>
      <c r="BQ1724">
        <v>49.2</v>
      </c>
      <c r="BR1724">
        <v>9.39</v>
      </c>
      <c r="BS1724">
        <v>41.3</v>
      </c>
    </row>
    <row r="1725" spans="1:71" customFormat="1">
      <c r="A1725" t="s">
        <v>130</v>
      </c>
      <c r="B1725" s="1" t="s">
        <v>137</v>
      </c>
      <c r="C1725" s="54">
        <v>30368</v>
      </c>
      <c r="D1725" s="55">
        <v>9.6837782340862422</v>
      </c>
      <c r="F1725">
        <v>599.24478739123299</v>
      </c>
      <c r="N1725">
        <v>42.886149628560126</v>
      </c>
      <c r="X1725" s="19"/>
      <c r="AF1725" s="2">
        <v>9.1672804287107112</v>
      </c>
      <c r="AG1725">
        <v>15.34657534246575</v>
      </c>
      <c r="AH1725" s="2"/>
      <c r="AI1725">
        <v>11.441353184393948</v>
      </c>
      <c r="BM1725">
        <v>15.5</v>
      </c>
      <c r="BN1725">
        <v>12.02</v>
      </c>
      <c r="BO1725">
        <v>18.100000000000001</v>
      </c>
      <c r="BP1725">
        <v>6.9</v>
      </c>
      <c r="BQ1725">
        <v>22</v>
      </c>
      <c r="BR1725">
        <v>6.57</v>
      </c>
      <c r="BS1725">
        <v>16.399999999999999</v>
      </c>
    </row>
    <row r="1726" spans="1:71" customFormat="1">
      <c r="A1726" t="s">
        <v>130</v>
      </c>
      <c r="B1726" s="1" t="s">
        <v>137</v>
      </c>
      <c r="C1726" s="54">
        <v>30788</v>
      </c>
      <c r="D1726" s="55">
        <v>10.833675564681725</v>
      </c>
      <c r="F1726">
        <v>599.24478739123299</v>
      </c>
      <c r="N1726">
        <v>74.96031080876223</v>
      </c>
      <c r="X1726" s="19"/>
      <c r="AF1726" s="2">
        <v>11.530305374110322</v>
      </c>
      <c r="AG1726">
        <v>18.712328767123282</v>
      </c>
      <c r="AH1726" s="2"/>
      <c r="AI1726">
        <v>16.91571764284015</v>
      </c>
      <c r="BM1726">
        <v>19.100000000000001</v>
      </c>
      <c r="BN1726">
        <v>14.92</v>
      </c>
      <c r="BO1726">
        <v>22.16</v>
      </c>
      <c r="BP1726">
        <v>9.4</v>
      </c>
      <c r="BQ1726">
        <v>25.9</v>
      </c>
      <c r="BR1726">
        <v>7.07</v>
      </c>
      <c r="BS1726">
        <v>20</v>
      </c>
    </row>
    <row r="1727" spans="1:71" customFormat="1">
      <c r="A1727" t="s">
        <v>130</v>
      </c>
      <c r="B1727" s="1" t="s">
        <v>137</v>
      </c>
      <c r="C1727" s="54">
        <v>30921</v>
      </c>
      <c r="D1727" s="55">
        <v>11.197809719370294</v>
      </c>
      <c r="F1727">
        <v>599.24478739123299</v>
      </c>
      <c r="N1727">
        <v>81.319051459817032</v>
      </c>
      <c r="X1727" s="19"/>
      <c r="AF1727" s="2">
        <v>11.909842200681883</v>
      </c>
      <c r="AG1727">
        <v>19.256164383561643</v>
      </c>
      <c r="AH1727" s="2"/>
      <c r="AI1727">
        <v>17.903254934599115</v>
      </c>
      <c r="BM1727">
        <v>19.7</v>
      </c>
      <c r="BN1727">
        <v>15.5</v>
      </c>
      <c r="BO1727">
        <v>22.76</v>
      </c>
      <c r="BP1727">
        <v>9.6999999999999993</v>
      </c>
      <c r="BQ1727">
        <v>26.5</v>
      </c>
      <c r="BR1727">
        <v>7.15</v>
      </c>
      <c r="BS1727">
        <v>20.5</v>
      </c>
    </row>
    <row r="1728" spans="1:71" customFormat="1">
      <c r="A1728" t="s">
        <v>130</v>
      </c>
      <c r="B1728" s="1" t="s">
        <v>137</v>
      </c>
      <c r="C1728" s="54">
        <v>31091</v>
      </c>
      <c r="D1728" s="55">
        <v>11.663244353182751</v>
      </c>
      <c r="F1728">
        <v>599.24478739123299</v>
      </c>
      <c r="N1728">
        <v>89.25207939175236</v>
      </c>
      <c r="X1728" s="19"/>
      <c r="AF1728" s="2">
        <v>12.351478653538644</v>
      </c>
      <c r="AG1728">
        <v>19.886301369863013</v>
      </c>
      <c r="AH1728" s="2"/>
      <c r="AI1728">
        <v>19.093692124570872</v>
      </c>
      <c r="BM1728">
        <v>20.5</v>
      </c>
      <c r="BN1728">
        <v>16.239999999999998</v>
      </c>
      <c r="BO1728">
        <v>23.599999999999998</v>
      </c>
      <c r="BP1728">
        <v>9.9</v>
      </c>
      <c r="BQ1728">
        <v>27.4</v>
      </c>
      <c r="BR1728">
        <v>7.19</v>
      </c>
      <c r="BS1728">
        <v>21.2</v>
      </c>
    </row>
    <row r="1729" spans="1:71" customFormat="1">
      <c r="A1729" t="s">
        <v>130</v>
      </c>
      <c r="B1729" s="1" t="s">
        <v>137</v>
      </c>
      <c r="C1729" s="54">
        <v>31126</v>
      </c>
      <c r="D1729" s="55">
        <v>11.759069130732374</v>
      </c>
      <c r="F1729">
        <v>591.03595468724347</v>
      </c>
      <c r="N1729">
        <v>88.773654165537039</v>
      </c>
      <c r="X1729" s="19"/>
      <c r="AF1729" s="2">
        <v>12.40646008774263</v>
      </c>
      <c r="AG1729">
        <v>19.965277777777782</v>
      </c>
      <c r="AH1729" s="2"/>
      <c r="AI1729">
        <v>18.981459229903141</v>
      </c>
      <c r="BM1729">
        <v>20.55</v>
      </c>
      <c r="BN1729">
        <v>16.22</v>
      </c>
      <c r="BO1729">
        <v>23.580000000000002</v>
      </c>
      <c r="BP1729">
        <v>10</v>
      </c>
      <c r="BQ1729">
        <v>27.3</v>
      </c>
      <c r="BR1729">
        <v>7.24</v>
      </c>
      <c r="BS1729">
        <v>21.3</v>
      </c>
    </row>
    <row r="1730" spans="1:71" customFormat="1">
      <c r="A1730" t="s">
        <v>130</v>
      </c>
      <c r="B1730" s="1" t="s">
        <v>137</v>
      </c>
      <c r="C1730" s="54">
        <v>31201</v>
      </c>
      <c r="D1730" s="55">
        <v>11.964407939767282</v>
      </c>
      <c r="F1730">
        <v>558.20062387128553</v>
      </c>
      <c r="N1730">
        <v>90.89368813218536</v>
      </c>
      <c r="X1730" s="19"/>
      <c r="AF1730" s="2">
        <v>12.89330584542229</v>
      </c>
      <c r="AG1730">
        <v>20.680882352941186</v>
      </c>
      <c r="AH1730" s="2"/>
      <c r="AI1730">
        <v>19.20535766545121</v>
      </c>
      <c r="BM1730">
        <v>21.4</v>
      </c>
      <c r="BN1730">
        <v>17.04</v>
      </c>
      <c r="BO1730">
        <v>24.23</v>
      </c>
      <c r="BP1730">
        <v>10.1</v>
      </c>
      <c r="BQ1730">
        <v>27.8</v>
      </c>
      <c r="BR1730">
        <v>7.55</v>
      </c>
      <c r="BS1730">
        <v>22</v>
      </c>
    </row>
    <row r="1731" spans="1:71" customFormat="1">
      <c r="A1731" t="s">
        <v>130</v>
      </c>
      <c r="B1731" s="1" t="s">
        <v>137</v>
      </c>
      <c r="C1731" s="54">
        <v>31338</v>
      </c>
      <c r="D1731" s="55">
        <v>12.33949349760438</v>
      </c>
      <c r="F1731">
        <v>549.99179116729601</v>
      </c>
      <c r="N1731">
        <v>98.300326625145715</v>
      </c>
      <c r="X1731" s="19"/>
      <c r="AF1731" s="2">
        <v>13.362835631562284</v>
      </c>
      <c r="AG1731">
        <v>21.356716417910448</v>
      </c>
      <c r="AH1731" s="2"/>
      <c r="AI1731">
        <v>20.1891233439645</v>
      </c>
      <c r="BM1731">
        <v>22</v>
      </c>
      <c r="BN1731">
        <v>17.600000000000001</v>
      </c>
      <c r="BO1731">
        <v>24.9</v>
      </c>
      <c r="BP1731">
        <v>10.1</v>
      </c>
      <c r="BQ1731">
        <v>28.8</v>
      </c>
      <c r="BR1731">
        <v>7.51</v>
      </c>
      <c r="BS1731">
        <v>22.7</v>
      </c>
    </row>
    <row r="1732" spans="1:71" customFormat="1">
      <c r="A1732" t="s">
        <v>130</v>
      </c>
      <c r="B1732" s="1" t="s">
        <v>137</v>
      </c>
      <c r="C1732" s="54">
        <v>31447</v>
      </c>
      <c r="D1732" s="55">
        <v>12.63791923340178</v>
      </c>
      <c r="F1732">
        <v>549.99179116729601</v>
      </c>
      <c r="N1732">
        <v>107.99471611478508</v>
      </c>
      <c r="X1732" s="19"/>
      <c r="AF1732" s="2">
        <v>13.845923297444557</v>
      </c>
      <c r="AG1732">
        <v>22.052238805970145</v>
      </c>
      <c r="AH1732" s="2"/>
      <c r="AI1732">
        <v>21.547071739661039</v>
      </c>
      <c r="BM1732">
        <v>22.8</v>
      </c>
      <c r="BN1732">
        <v>18.060000000000002</v>
      </c>
      <c r="BO1732">
        <v>25.76</v>
      </c>
      <c r="BP1732">
        <v>10</v>
      </c>
      <c r="BQ1732">
        <v>30</v>
      </c>
      <c r="BR1732">
        <v>7.34</v>
      </c>
      <c r="BS1732">
        <v>23.5</v>
      </c>
    </row>
    <row r="1733" spans="1:71" customFormat="1">
      <c r="A1733" t="s">
        <v>130</v>
      </c>
      <c r="B1733" s="1" t="s">
        <v>137</v>
      </c>
      <c r="C1733" s="54">
        <v>31517</v>
      </c>
      <c r="D1733" s="55">
        <v>12.829568788501026</v>
      </c>
      <c r="F1733">
        <v>549.99179116729601</v>
      </c>
      <c r="N1733">
        <v>108.21851900240571</v>
      </c>
      <c r="X1733" s="19"/>
      <c r="AF1733" s="2">
        <v>13.856852880893236</v>
      </c>
      <c r="AG1733">
        <v>22.068656716417905</v>
      </c>
      <c r="AH1733" s="2"/>
      <c r="AI1733">
        <v>21.578463166828847</v>
      </c>
      <c r="BM1733">
        <v>22.8</v>
      </c>
      <c r="BN1733">
        <v>18.060000000000002</v>
      </c>
      <c r="BO1733">
        <v>25.82</v>
      </c>
      <c r="BP1733">
        <v>10</v>
      </c>
      <c r="BQ1733">
        <v>30</v>
      </c>
      <c r="BR1733">
        <v>7.35</v>
      </c>
      <c r="BS1733">
        <v>23.5</v>
      </c>
    </row>
    <row r="1734" spans="1:71" customFormat="1">
      <c r="A1734" t="s">
        <v>130</v>
      </c>
      <c r="B1734" s="1" t="s">
        <v>137</v>
      </c>
      <c r="C1734" s="54">
        <v>31583</v>
      </c>
      <c r="D1734" s="55">
        <v>13.010266940451745</v>
      </c>
      <c r="F1734">
        <v>541.7829584633065</v>
      </c>
      <c r="N1734">
        <v>110.86617885824018</v>
      </c>
      <c r="X1734" s="19"/>
      <c r="AF1734" s="2">
        <v>14.080395752490203</v>
      </c>
      <c r="AG1734">
        <v>22.446969696969695</v>
      </c>
      <c r="AH1734" s="2"/>
      <c r="AI1734">
        <v>21.895414070709833</v>
      </c>
      <c r="BM1734">
        <v>22.95</v>
      </c>
      <c r="BN1734">
        <v>18.350000000000001</v>
      </c>
      <c r="BO1734">
        <v>26.1</v>
      </c>
      <c r="BP1734">
        <v>14.3</v>
      </c>
      <c r="BQ1734">
        <v>30.2</v>
      </c>
      <c r="BR1734">
        <v>7.68</v>
      </c>
      <c r="BS1734">
        <v>23.8</v>
      </c>
    </row>
    <row r="1735" spans="1:71" customFormat="1">
      <c r="A1735" t="s">
        <v>130</v>
      </c>
      <c r="B1735" s="1" t="s">
        <v>137</v>
      </c>
      <c r="C1735" s="54">
        <v>31705</v>
      </c>
      <c r="D1735" s="55">
        <v>13.344284736481862</v>
      </c>
      <c r="F1735">
        <v>533.57412575931698</v>
      </c>
      <c r="N1735">
        <v>118.92878357426875</v>
      </c>
      <c r="X1735" s="19"/>
      <c r="AF1735" s="2">
        <v>14.537623170572177</v>
      </c>
      <c r="AG1735">
        <v>23.126153846153844</v>
      </c>
      <c r="AH1735" s="2"/>
      <c r="AI1735">
        <v>22.890133545640886</v>
      </c>
      <c r="BM1735">
        <v>23.8</v>
      </c>
      <c r="BN1735">
        <v>19.02</v>
      </c>
      <c r="BO1735">
        <v>26.8</v>
      </c>
      <c r="BP1735">
        <v>14.5</v>
      </c>
      <c r="BQ1735">
        <v>31</v>
      </c>
      <c r="BR1735">
        <v>7.68</v>
      </c>
      <c r="BS1735">
        <v>24.6</v>
      </c>
    </row>
    <row r="1736" spans="1:71" customFormat="1">
      <c r="A1736" t="s">
        <v>130</v>
      </c>
      <c r="B1736" s="1" t="s">
        <v>137</v>
      </c>
      <c r="C1736" s="54">
        <v>31795</v>
      </c>
      <c r="D1736" s="55">
        <v>13.59069130732375</v>
      </c>
      <c r="F1736">
        <v>533.57412575931698</v>
      </c>
      <c r="N1736">
        <v>128.18250186642962</v>
      </c>
      <c r="X1736" s="19"/>
      <c r="AF1736" s="2">
        <v>14.94402689257678</v>
      </c>
      <c r="AG1736">
        <v>23.730769230769223</v>
      </c>
      <c r="AH1736" s="2"/>
      <c r="AI1736">
        <v>24.115134186228097</v>
      </c>
      <c r="BM1736">
        <v>24.3</v>
      </c>
      <c r="BN1736">
        <v>19.28</v>
      </c>
      <c r="BO1736">
        <v>27.48</v>
      </c>
      <c r="BP1736">
        <v>14.6</v>
      </c>
      <c r="BQ1736">
        <v>31.5</v>
      </c>
      <c r="BR1736">
        <v>7.63</v>
      </c>
      <c r="BS1736">
        <v>25.2</v>
      </c>
    </row>
    <row r="1737" spans="1:71" customFormat="1">
      <c r="A1737" t="s">
        <v>130</v>
      </c>
      <c r="B1737" s="1" t="s">
        <v>137</v>
      </c>
      <c r="C1737" s="54">
        <v>31880</v>
      </c>
      <c r="D1737" s="55">
        <v>13.82340862422998</v>
      </c>
      <c r="F1737">
        <v>533.57412575931698</v>
      </c>
      <c r="N1737">
        <v>130.47412403132358</v>
      </c>
      <c r="X1737" s="19"/>
      <c r="AF1737" s="2">
        <v>15.038679980596283</v>
      </c>
      <c r="AG1737">
        <v>23.866153846153846</v>
      </c>
      <c r="AH1737" s="2"/>
      <c r="AI1737">
        <v>24.406870082581186</v>
      </c>
      <c r="BM1737">
        <v>24.5</v>
      </c>
      <c r="BN1737">
        <v>19.240000000000002</v>
      </c>
      <c r="BO1737">
        <v>27.76</v>
      </c>
      <c r="BP1737">
        <v>14.8</v>
      </c>
      <c r="BQ1737">
        <v>32</v>
      </c>
      <c r="BR1737">
        <v>7.53</v>
      </c>
      <c r="BS1737">
        <v>25.4</v>
      </c>
    </row>
    <row r="1738" spans="1:71" customFormat="1">
      <c r="A1738" t="s">
        <v>130</v>
      </c>
      <c r="B1738" s="1" t="s">
        <v>137</v>
      </c>
      <c r="C1738" s="54">
        <v>31944</v>
      </c>
      <c r="D1738" s="55">
        <v>13.998631074606434</v>
      </c>
      <c r="F1738">
        <v>533.57412575931698</v>
      </c>
      <c r="N1738">
        <v>132.26830844524713</v>
      </c>
      <c r="X1738" s="19"/>
      <c r="AF1738" s="2">
        <v>15.116078250818894</v>
      </c>
      <c r="AG1738">
        <v>23.987692307692313</v>
      </c>
      <c r="AH1738" s="2"/>
      <c r="AI1738">
        <v>24.647266908378278</v>
      </c>
      <c r="BM1738">
        <v>24.5</v>
      </c>
      <c r="BN1738">
        <v>19.399999999999999</v>
      </c>
      <c r="BO1738">
        <v>27.84</v>
      </c>
      <c r="BP1738">
        <v>15</v>
      </c>
      <c r="BQ1738">
        <v>32</v>
      </c>
      <c r="BR1738">
        <v>7.58</v>
      </c>
      <c r="BS1738">
        <v>25.5</v>
      </c>
    </row>
    <row r="1739" spans="1:71" customFormat="1">
      <c r="A1739" t="s">
        <v>130</v>
      </c>
      <c r="B1739" s="1" t="s">
        <v>137</v>
      </c>
      <c r="C1739" s="54">
        <v>32072</v>
      </c>
      <c r="D1739" s="55">
        <v>14.349075975359343</v>
      </c>
      <c r="F1739">
        <v>525.36529305532758</v>
      </c>
      <c r="N1739">
        <v>138.90456374650685</v>
      </c>
      <c r="X1739" s="19"/>
      <c r="AF1739" s="2">
        <v>15.471423244757561</v>
      </c>
      <c r="AG1739">
        <v>24.514062500000001</v>
      </c>
      <c r="AH1739" s="2"/>
      <c r="AI1739">
        <v>25.376155345111972</v>
      </c>
      <c r="BM1739">
        <v>25.05</v>
      </c>
      <c r="BN1739">
        <v>19.62</v>
      </c>
      <c r="BO1739">
        <v>28.590000000000003</v>
      </c>
      <c r="BP1739">
        <v>15</v>
      </c>
      <c r="BQ1739">
        <v>32.9</v>
      </c>
      <c r="BR1739">
        <v>7.38</v>
      </c>
      <c r="BS1739">
        <v>26.1</v>
      </c>
    </row>
    <row r="1740" spans="1:71" customFormat="1">
      <c r="A1740" t="s">
        <v>130</v>
      </c>
      <c r="B1740" s="1" t="s">
        <v>137</v>
      </c>
      <c r="C1740" s="54">
        <v>32152</v>
      </c>
      <c r="D1740" s="55">
        <v>14.568104038329912</v>
      </c>
      <c r="F1740">
        <v>517.15646035133807</v>
      </c>
      <c r="N1740">
        <v>144.33056912348172</v>
      </c>
      <c r="X1740" s="19"/>
      <c r="AF1740" s="2">
        <v>15.779141943320555</v>
      </c>
      <c r="AG1740">
        <v>24.985714285714288</v>
      </c>
      <c r="AH1740" s="2"/>
      <c r="AI1740">
        <v>25.952909153199393</v>
      </c>
      <c r="BM1740">
        <v>25.5</v>
      </c>
      <c r="BN1740">
        <v>19.759999999999998</v>
      </c>
      <c r="BO1740">
        <v>29.12</v>
      </c>
      <c r="BP1740">
        <v>15.3</v>
      </c>
      <c r="BQ1740">
        <v>33.4</v>
      </c>
      <c r="BR1740">
        <v>7.41</v>
      </c>
      <c r="BS1740">
        <v>26.6</v>
      </c>
    </row>
    <row r="1741" spans="1:71" customFormat="1">
      <c r="A1741" t="s">
        <v>130</v>
      </c>
      <c r="B1741" s="1" t="s">
        <v>137</v>
      </c>
      <c r="C1741" s="54">
        <v>32248</v>
      </c>
      <c r="D1741" s="55">
        <v>14.830937713894592</v>
      </c>
      <c r="F1741">
        <v>517.15646035133807</v>
      </c>
      <c r="N1741">
        <v>146.60173949255693</v>
      </c>
      <c r="X1741" s="19"/>
      <c r="AF1741" s="2">
        <v>15.867252989388517</v>
      </c>
      <c r="AG1741">
        <v>25.120634920634927</v>
      </c>
      <c r="AH1741" s="2"/>
      <c r="AI1741">
        <v>26.236631177305703</v>
      </c>
      <c r="BM1741">
        <v>25.7</v>
      </c>
      <c r="BN1741">
        <v>19.86</v>
      </c>
      <c r="BO1741">
        <v>29.14</v>
      </c>
      <c r="BP1741">
        <v>15.4</v>
      </c>
      <c r="BQ1741">
        <v>33.4</v>
      </c>
      <c r="BR1741">
        <v>7.4</v>
      </c>
      <c r="BS1741">
        <v>26.8</v>
      </c>
    </row>
    <row r="1742" spans="1:71" customFormat="1">
      <c r="A1742" t="s">
        <v>130</v>
      </c>
      <c r="B1742" s="1" t="s">
        <v>137</v>
      </c>
      <c r="C1742" s="54">
        <v>32309</v>
      </c>
      <c r="D1742" s="55">
        <v>14.997946611909651</v>
      </c>
      <c r="F1742">
        <v>517.15646035133807</v>
      </c>
      <c r="N1742">
        <v>150.86224146643636</v>
      </c>
      <c r="X1742" s="19"/>
      <c r="AF1742" s="2">
        <v>16.0304475257524</v>
      </c>
      <c r="AG1742">
        <v>25.373015873015866</v>
      </c>
      <c r="AH1742" s="2"/>
      <c r="AI1742">
        <v>26.768183651264241</v>
      </c>
      <c r="BM1742">
        <v>25.9</v>
      </c>
      <c r="BN1742">
        <v>20.04</v>
      </c>
      <c r="BO1742">
        <v>29.520000000000003</v>
      </c>
      <c r="BP1742">
        <v>15.4</v>
      </c>
      <c r="BQ1742">
        <v>33.700000000000003</v>
      </c>
      <c r="BR1742">
        <v>7.41</v>
      </c>
      <c r="BS1742">
        <v>27</v>
      </c>
    </row>
    <row r="1743" spans="1:71" customFormat="1">
      <c r="A1743" t="s">
        <v>130</v>
      </c>
      <c r="B1743" s="1" t="s">
        <v>137</v>
      </c>
      <c r="C1743" s="54">
        <v>32426</v>
      </c>
      <c r="D1743" s="55">
        <v>15.318275154004107</v>
      </c>
      <c r="F1743">
        <v>279.10031193564276</v>
      </c>
      <c r="N1743">
        <v>84.341130118866317</v>
      </c>
      <c r="X1743" s="19"/>
      <c r="AF1743" s="2">
        <v>16.254120076903117</v>
      </c>
      <c r="AG1743">
        <v>25.752941176470593</v>
      </c>
      <c r="AH1743" s="2"/>
      <c r="AI1743">
        <v>14.846526802637959</v>
      </c>
      <c r="BM1743">
        <v>25.75</v>
      </c>
      <c r="BN1743">
        <v>20.16</v>
      </c>
      <c r="BO1743">
        <v>30.73</v>
      </c>
      <c r="BP1743">
        <v>18.3</v>
      </c>
      <c r="BQ1743">
        <v>34.1</v>
      </c>
      <c r="BR1743">
        <v>7.59</v>
      </c>
      <c r="BS1743">
        <v>27.4</v>
      </c>
    </row>
    <row r="1744" spans="1:71" customFormat="1">
      <c r="A1744" t="s">
        <v>130</v>
      </c>
      <c r="B1744" s="1" t="s">
        <v>137</v>
      </c>
      <c r="C1744" s="54">
        <v>32477</v>
      </c>
      <c r="D1744" s="55">
        <v>15.457905544147843</v>
      </c>
      <c r="F1744">
        <v>279.10031193564276</v>
      </c>
      <c r="N1744">
        <v>88.637645879522992</v>
      </c>
      <c r="X1744" s="19"/>
      <c r="AF1744" s="2">
        <v>16.543468499957999</v>
      </c>
      <c r="AG1744">
        <v>26.211764705882359</v>
      </c>
      <c r="AH1744" s="2"/>
      <c r="AI1744">
        <v>15.376615761713142</v>
      </c>
      <c r="BM1744">
        <v>26.15</v>
      </c>
      <c r="BN1744">
        <v>20.7</v>
      </c>
      <c r="BO1744">
        <v>31.369999999999997</v>
      </c>
      <c r="BP1744">
        <v>18.8</v>
      </c>
      <c r="BQ1744">
        <v>34.6</v>
      </c>
      <c r="BR1744">
        <v>7.65</v>
      </c>
      <c r="BS1744">
        <v>27.9</v>
      </c>
    </row>
    <row r="1745" spans="1:71" customFormat="1">
      <c r="A1745" t="s">
        <v>130</v>
      </c>
      <c r="B1745" s="1" t="s">
        <v>137</v>
      </c>
      <c r="C1745" s="54">
        <v>32567</v>
      </c>
      <c r="D1745" s="55">
        <v>15.704312114989733</v>
      </c>
      <c r="F1745">
        <v>279.10031193564276</v>
      </c>
      <c r="N1745">
        <v>94.6274470380054</v>
      </c>
      <c r="X1745" s="19"/>
      <c r="AF1745" s="2">
        <v>16.926344880300707</v>
      </c>
      <c r="AG1745">
        <v>26.817647058823532</v>
      </c>
      <c r="AH1745" s="2"/>
      <c r="AI1745">
        <v>16.100275517519933</v>
      </c>
      <c r="BM1745">
        <v>26.75</v>
      </c>
      <c r="BN1745">
        <v>21.25</v>
      </c>
      <c r="BO1745">
        <v>32.14</v>
      </c>
      <c r="BP1745">
        <v>19.5</v>
      </c>
      <c r="BQ1745">
        <v>35.299999999999997</v>
      </c>
      <c r="BR1745">
        <v>7.62</v>
      </c>
      <c r="BS1745">
        <v>28.5</v>
      </c>
    </row>
    <row r="1746" spans="1:71" customFormat="1">
      <c r="A1746" t="s">
        <v>130</v>
      </c>
      <c r="B1746" s="1" t="s">
        <v>137</v>
      </c>
      <c r="C1746" s="54">
        <v>32659</v>
      </c>
      <c r="D1746" s="55">
        <v>15.956194387405887</v>
      </c>
      <c r="F1746">
        <v>279.10031193564276</v>
      </c>
      <c r="N1746">
        <v>101.12976256644828</v>
      </c>
      <c r="X1746" s="19"/>
      <c r="AF1746" s="2">
        <v>17.319826120517106</v>
      </c>
      <c r="AG1746">
        <v>27.447058823529407</v>
      </c>
      <c r="AH1746" s="2"/>
      <c r="AI1746">
        <v>16.871515625041326</v>
      </c>
      <c r="BM1746">
        <v>27.450000000000003</v>
      </c>
      <c r="BN1746">
        <v>21.56</v>
      </c>
      <c r="BO1746">
        <v>32.799999999999997</v>
      </c>
      <c r="BP1746">
        <v>20.3</v>
      </c>
      <c r="BQ1746">
        <v>36.1</v>
      </c>
      <c r="BR1746">
        <v>7.6</v>
      </c>
      <c r="BS1746">
        <v>29.2</v>
      </c>
    </row>
    <row r="1747" spans="1:71" customFormat="1">
      <c r="A1747" t="s">
        <v>130</v>
      </c>
      <c r="B1747" s="1" t="s">
        <v>137</v>
      </c>
      <c r="C1747" s="54">
        <v>32689</v>
      </c>
      <c r="D1747" s="55">
        <v>16.038329911019851</v>
      </c>
      <c r="F1747">
        <v>279.10031193564276</v>
      </c>
      <c r="N1747">
        <v>102.50469246492015</v>
      </c>
      <c r="X1747" s="19"/>
      <c r="AF1747" s="2">
        <v>17.402224344252804</v>
      </c>
      <c r="AG1747">
        <v>27.58235294117647</v>
      </c>
      <c r="AH1747" s="2"/>
      <c r="AI1747">
        <v>17.03668004919102</v>
      </c>
      <c r="BM1747">
        <v>27.65</v>
      </c>
      <c r="BN1747">
        <v>21.66</v>
      </c>
      <c r="BO1747">
        <v>33.14</v>
      </c>
      <c r="BP1747">
        <v>20.5</v>
      </c>
      <c r="BQ1747">
        <v>36.200000000000003</v>
      </c>
      <c r="BR1747">
        <v>7.61</v>
      </c>
      <c r="BS1747">
        <v>29.3</v>
      </c>
    </row>
    <row r="1748" spans="1:71" customFormat="1">
      <c r="A1748" t="s">
        <v>130</v>
      </c>
      <c r="B1748" s="1" t="s">
        <v>137</v>
      </c>
      <c r="C1748" s="54">
        <v>32751</v>
      </c>
      <c r="D1748" s="55">
        <v>16.208076659822041</v>
      </c>
      <c r="F1748">
        <v>279.10031193564276</v>
      </c>
      <c r="N1748">
        <v>110.7504073623824</v>
      </c>
      <c r="X1748" s="19"/>
      <c r="AF1748" s="2">
        <v>17.869413673017686</v>
      </c>
      <c r="AG1748">
        <v>28.347058823529409</v>
      </c>
      <c r="AH1748" s="2"/>
      <c r="AI1748">
        <v>17.998073936315464</v>
      </c>
      <c r="BM1748">
        <v>28.35</v>
      </c>
      <c r="BN1748">
        <v>22.330000000000002</v>
      </c>
      <c r="BO1748">
        <v>33.94</v>
      </c>
      <c r="BP1748">
        <v>20.9</v>
      </c>
      <c r="BQ1748">
        <v>37.1</v>
      </c>
      <c r="BR1748">
        <v>7.61</v>
      </c>
      <c r="BS1748">
        <v>30.2</v>
      </c>
    </row>
    <row r="1749" spans="1:71" customFormat="1">
      <c r="A1749" t="s">
        <v>130</v>
      </c>
      <c r="B1749" s="1" t="s">
        <v>137</v>
      </c>
      <c r="C1749" s="54">
        <v>32843</v>
      </c>
      <c r="D1749" s="55">
        <v>16.459958932238195</v>
      </c>
      <c r="F1749">
        <v>279.10031193564276</v>
      </c>
      <c r="N1749">
        <v>118.25597026200784</v>
      </c>
      <c r="X1749" s="19"/>
      <c r="AF1749" s="2">
        <v>18.269240838267507</v>
      </c>
      <c r="AG1749">
        <v>29.008823529411764</v>
      </c>
      <c r="AH1749" s="2"/>
      <c r="AI1749">
        <v>18.855893521231909</v>
      </c>
      <c r="BM1749">
        <v>29.15</v>
      </c>
      <c r="BN1749">
        <v>22.740000000000002</v>
      </c>
      <c r="BO1749">
        <v>34.82</v>
      </c>
      <c r="BP1749">
        <v>21.1</v>
      </c>
      <c r="BQ1749">
        <v>38</v>
      </c>
      <c r="BR1749">
        <v>7.56</v>
      </c>
      <c r="BS1749">
        <v>30.9</v>
      </c>
    </row>
    <row r="1750" spans="1:71" customFormat="1">
      <c r="A1750" t="s">
        <v>130</v>
      </c>
      <c r="B1750" s="1" t="s">
        <v>137</v>
      </c>
      <c r="C1750" s="54">
        <v>32933</v>
      </c>
      <c r="D1750" s="55">
        <v>16.706365503080082</v>
      </c>
      <c r="F1750">
        <v>279.10031193564276</v>
      </c>
      <c r="N1750">
        <v>122.68646445175929</v>
      </c>
      <c r="X1750" s="19"/>
      <c r="AF1750" s="2">
        <v>18.495168475920945</v>
      </c>
      <c r="AG1750">
        <v>29.388235294117646</v>
      </c>
      <c r="AH1750" s="2"/>
      <c r="AI1750">
        <v>19.355596816671461</v>
      </c>
      <c r="BM1750">
        <v>29.35</v>
      </c>
      <c r="BN1750">
        <v>22.900000000000002</v>
      </c>
      <c r="BO1750">
        <v>35.07</v>
      </c>
      <c r="BP1750">
        <v>21.3</v>
      </c>
      <c r="BQ1750">
        <v>38.4</v>
      </c>
      <c r="BR1750">
        <v>7.57</v>
      </c>
      <c r="BS1750">
        <v>31.3</v>
      </c>
    </row>
    <row r="1751" spans="1:71" customFormat="1">
      <c r="A1751" t="s">
        <v>130</v>
      </c>
      <c r="B1751" s="1" t="s">
        <v>137</v>
      </c>
      <c r="C1751" s="54">
        <v>33025</v>
      </c>
      <c r="D1751" s="55">
        <v>16.958247775496236</v>
      </c>
      <c r="F1751">
        <v>279.10031193564276</v>
      </c>
      <c r="N1751">
        <v>124.05453949958682</v>
      </c>
      <c r="X1751" s="19"/>
      <c r="AF1751" s="2">
        <v>18.563879236227095</v>
      </c>
      <c r="AG1751">
        <v>29.502941176470593</v>
      </c>
      <c r="AH1751" s="2"/>
      <c r="AI1751">
        <v>19.509781655594868</v>
      </c>
      <c r="BM1751">
        <v>29.5</v>
      </c>
      <c r="BN1751">
        <v>22.900000000000002</v>
      </c>
      <c r="BO1751">
        <v>35.340000000000003</v>
      </c>
      <c r="BP1751">
        <v>21.3</v>
      </c>
      <c r="BQ1751">
        <v>38.6</v>
      </c>
      <c r="BR1751">
        <v>7.54</v>
      </c>
      <c r="BS1751">
        <v>31.4</v>
      </c>
    </row>
    <row r="1752" spans="1:71" customFormat="1">
      <c r="A1752" t="s">
        <v>130</v>
      </c>
      <c r="B1752" s="1" t="s">
        <v>137</v>
      </c>
      <c r="C1752" s="54">
        <v>33119</v>
      </c>
      <c r="D1752" s="55">
        <v>17.215605749486652</v>
      </c>
      <c r="F1752">
        <v>279.10031193564276</v>
      </c>
      <c r="N1752">
        <v>132.42546567578358</v>
      </c>
      <c r="X1752" s="19"/>
      <c r="AF1752" s="2">
        <v>18.97168336163454</v>
      </c>
      <c r="AG1752">
        <v>30.205882352941185</v>
      </c>
      <c r="AH1752" s="2"/>
      <c r="AI1752">
        <v>20.44678577706399</v>
      </c>
      <c r="BM1752">
        <v>30.1</v>
      </c>
      <c r="BN1752">
        <v>23.68</v>
      </c>
      <c r="BO1752">
        <v>36.01</v>
      </c>
      <c r="BP1752">
        <v>21.8</v>
      </c>
      <c r="BQ1752">
        <v>39.299999999999997</v>
      </c>
      <c r="BR1752">
        <v>7.57</v>
      </c>
      <c r="BS1752">
        <v>32.1</v>
      </c>
    </row>
    <row r="1753" spans="1:71" customFormat="1">
      <c r="A1753" t="s">
        <v>130</v>
      </c>
      <c r="B1753" s="1" t="s">
        <v>137</v>
      </c>
      <c r="C1753" s="54">
        <v>34408</v>
      </c>
      <c r="D1753" s="55">
        <v>20.744695414099933</v>
      </c>
      <c r="F1753">
        <v>279.10031193564276</v>
      </c>
      <c r="N1753">
        <v>187.88865023825537</v>
      </c>
      <c r="X1753" s="19"/>
      <c r="AF1753" s="2">
        <v>21.208856563954338</v>
      </c>
      <c r="AG1753">
        <v>34.28235294117647</v>
      </c>
      <c r="AH1753" s="2"/>
      <c r="AI1753">
        <v>26.346749389674997</v>
      </c>
      <c r="BM1753">
        <v>33.75</v>
      </c>
      <c r="BN1753">
        <v>27.58</v>
      </c>
      <c r="BO1753">
        <v>40.880000000000003</v>
      </c>
      <c r="BP1753">
        <v>23.5</v>
      </c>
      <c r="BQ1753">
        <v>43.2</v>
      </c>
      <c r="BR1753">
        <v>8.26</v>
      </c>
      <c r="BS1753">
        <v>36.4</v>
      </c>
    </row>
    <row r="1754" spans="1:71" customFormat="1">
      <c r="A1754" t="s">
        <v>130</v>
      </c>
      <c r="B1754" s="1" t="s">
        <v>137</v>
      </c>
      <c r="C1754" s="54">
        <v>34530</v>
      </c>
      <c r="D1754" s="55">
        <v>21.078713210130047</v>
      </c>
      <c r="F1754">
        <v>279.10031193564276</v>
      </c>
      <c r="N1754">
        <v>194.1721779137344</v>
      </c>
      <c r="X1754" s="19"/>
      <c r="AF1754" s="2">
        <v>21.423640742000877</v>
      </c>
      <c r="AG1754">
        <v>34.697058823529396</v>
      </c>
      <c r="AH1754" s="2"/>
      <c r="AI1754">
        <v>26.990921590429032</v>
      </c>
      <c r="BM1754">
        <v>34.25</v>
      </c>
      <c r="BN1754">
        <v>27.94</v>
      </c>
      <c r="BO1754">
        <v>41.45</v>
      </c>
      <c r="BP1754">
        <v>23.7</v>
      </c>
      <c r="BQ1754">
        <v>43.5</v>
      </c>
      <c r="BR1754">
        <v>8.26</v>
      </c>
      <c r="BS1754">
        <v>36.700000000000003</v>
      </c>
    </row>
    <row r="1755" spans="1:71" customFormat="1">
      <c r="A1755" t="s">
        <v>130</v>
      </c>
      <c r="B1755" s="1" t="s">
        <v>137</v>
      </c>
      <c r="C1755" s="54">
        <v>34919</v>
      </c>
      <c r="D1755" s="55">
        <v>22.143737166324435</v>
      </c>
      <c r="F1755">
        <v>279.10031193564276</v>
      </c>
      <c r="N1755">
        <v>210.12831819712352</v>
      </c>
      <c r="X1755" s="19"/>
      <c r="AF1755" s="2">
        <v>21.937418761200639</v>
      </c>
      <c r="AG1755">
        <v>35.702941176470574</v>
      </c>
      <c r="AH1755" s="2"/>
      <c r="AI1755">
        <v>28.596007361748885</v>
      </c>
      <c r="BM1755">
        <v>35.150000000000006</v>
      </c>
      <c r="BN1755">
        <v>28.91</v>
      </c>
      <c r="BO1755">
        <v>42.64</v>
      </c>
      <c r="BP1755">
        <v>23.9</v>
      </c>
      <c r="BQ1755">
        <v>44.9</v>
      </c>
      <c r="BR1755">
        <v>8.4</v>
      </c>
      <c r="BS1755">
        <v>37.799999999999997</v>
      </c>
    </row>
    <row r="1756" spans="1:71" customFormat="1">
      <c r="A1756" t="s">
        <v>130</v>
      </c>
      <c r="B1756" s="1" t="s">
        <v>137</v>
      </c>
      <c r="C1756" s="54">
        <v>35299</v>
      </c>
      <c r="D1756" s="55">
        <v>23.184120465434635</v>
      </c>
      <c r="F1756">
        <v>279.10031193564276</v>
      </c>
      <c r="N1756">
        <v>227.08625486465797</v>
      </c>
      <c r="X1756" s="19"/>
      <c r="AF1756" s="2">
        <v>22.446452494126397</v>
      </c>
      <c r="AG1756">
        <v>36.73235294117648</v>
      </c>
      <c r="AH1756" s="2"/>
      <c r="AI1756">
        <v>30.281818550930314</v>
      </c>
      <c r="BM1756">
        <v>36.299999999999997</v>
      </c>
      <c r="BN1756">
        <v>29.82</v>
      </c>
      <c r="BO1756">
        <v>44.11</v>
      </c>
      <c r="BP1756">
        <v>24.1</v>
      </c>
      <c r="BQ1756">
        <v>46</v>
      </c>
      <c r="BR1756">
        <v>8.6300000000000008</v>
      </c>
      <c r="BS1756">
        <v>38.799999999999997</v>
      </c>
    </row>
    <row r="1757" spans="1:71" customFormat="1">
      <c r="A1757" t="s">
        <v>130</v>
      </c>
      <c r="B1757" s="1" t="s">
        <v>137</v>
      </c>
      <c r="C1757" s="54">
        <v>35681</v>
      </c>
      <c r="D1757" s="55">
        <v>24.229979466119097</v>
      </c>
      <c r="F1757">
        <v>279.10031193564276</v>
      </c>
      <c r="N1757">
        <v>240.05448523690509</v>
      </c>
      <c r="X1757" s="19"/>
      <c r="AF1757" s="2">
        <v>22.811217728438876</v>
      </c>
      <c r="AG1757">
        <v>37.488235294117651</v>
      </c>
      <c r="AH1757" s="2"/>
      <c r="AI1757">
        <v>31.553071419593469</v>
      </c>
      <c r="BM1757">
        <v>37</v>
      </c>
      <c r="BN1757">
        <v>30.5</v>
      </c>
      <c r="BO1757">
        <v>45.22</v>
      </c>
      <c r="BP1757">
        <v>24.2</v>
      </c>
      <c r="BQ1757">
        <v>46.8</v>
      </c>
      <c r="BR1757">
        <v>8.74</v>
      </c>
      <c r="BS1757">
        <v>39.5</v>
      </c>
    </row>
    <row r="1758" spans="1:71" customFormat="1">
      <c r="A1758" t="s">
        <v>130</v>
      </c>
      <c r="B1758" s="1" t="s">
        <v>137</v>
      </c>
      <c r="C1758" s="54">
        <v>36035</v>
      </c>
      <c r="D1758" s="55">
        <v>25.199178644763862</v>
      </c>
      <c r="F1758">
        <v>279.10031193564276</v>
      </c>
      <c r="N1758">
        <v>248.47098375763156</v>
      </c>
      <c r="X1758" s="19"/>
      <c r="AF1758" s="2">
        <v>23.038668659553345</v>
      </c>
      <c r="AG1758">
        <v>37.970588235294116</v>
      </c>
      <c r="AH1758" s="2"/>
      <c r="AI1758">
        <v>32.374238660404558</v>
      </c>
      <c r="BM1758">
        <v>37.75</v>
      </c>
      <c r="BN1758">
        <v>30.93</v>
      </c>
      <c r="BO1758">
        <v>45.85</v>
      </c>
      <c r="BP1758">
        <v>24.3</v>
      </c>
      <c r="BQ1758">
        <v>47.4</v>
      </c>
      <c r="BR1758">
        <v>8.83</v>
      </c>
      <c r="BS1758">
        <v>40.1</v>
      </c>
    </row>
    <row r="1759" spans="1:71" customFormat="1">
      <c r="A1759" t="s">
        <v>130</v>
      </c>
      <c r="B1759" s="1" t="s">
        <v>137</v>
      </c>
      <c r="C1759" s="54">
        <v>36409</v>
      </c>
      <c r="D1759" s="55">
        <v>26.223134839151268</v>
      </c>
      <c r="F1759">
        <v>279.10031193564276</v>
      </c>
      <c r="N1759">
        <v>260.40902801070052</v>
      </c>
      <c r="X1759" s="19"/>
      <c r="AF1759" s="2">
        <v>23.346357428808165</v>
      </c>
      <c r="AG1759">
        <v>38.629411764705871</v>
      </c>
      <c r="AH1759" s="2"/>
      <c r="AI1759">
        <v>33.521801956216123</v>
      </c>
      <c r="BM1759">
        <v>38.200000000000003</v>
      </c>
      <c r="BN1759">
        <v>31.35</v>
      </c>
      <c r="BO1759">
        <v>46.8</v>
      </c>
      <c r="BP1759">
        <v>24.3</v>
      </c>
      <c r="BQ1759">
        <v>48.4</v>
      </c>
      <c r="BR1759">
        <v>8.99</v>
      </c>
      <c r="BS1759">
        <v>40.700000000000003</v>
      </c>
    </row>
    <row r="1760" spans="1:71" customFormat="1">
      <c r="A1760" t="s">
        <v>130</v>
      </c>
      <c r="B1760" s="1" t="s">
        <v>137</v>
      </c>
      <c r="C1760" s="54">
        <v>36774</v>
      </c>
      <c r="D1760" s="55">
        <v>27.222450376454482</v>
      </c>
      <c r="F1760">
        <v>279.10031193564276</v>
      </c>
      <c r="N1760">
        <v>272.12094970428939</v>
      </c>
      <c r="X1760" s="19"/>
      <c r="AF1760" s="2">
        <v>23.634773406208094</v>
      </c>
      <c r="AG1760">
        <v>39.25882352941175</v>
      </c>
      <c r="AH1760" s="2"/>
      <c r="AI1760">
        <v>34.637786855998122</v>
      </c>
      <c r="BM1760">
        <v>38.799999999999997</v>
      </c>
      <c r="BN1760">
        <v>31.99</v>
      </c>
      <c r="BO1760">
        <v>47.84</v>
      </c>
      <c r="BP1760">
        <v>24.3</v>
      </c>
      <c r="BQ1760">
        <v>49.1</v>
      </c>
      <c r="BR1760">
        <v>9.39</v>
      </c>
      <c r="BS1760">
        <v>41.3</v>
      </c>
    </row>
    <row r="1761" spans="1:71" customFormat="1">
      <c r="A1761" t="s">
        <v>132</v>
      </c>
      <c r="B1761" s="1" t="s">
        <v>139</v>
      </c>
      <c r="C1761" s="54">
        <v>30368</v>
      </c>
      <c r="D1761" s="55">
        <v>9.6837782340862422</v>
      </c>
      <c r="F1761">
        <v>731.77596397410639</v>
      </c>
      <c r="N1761">
        <v>42.739798709058981</v>
      </c>
      <c r="X1761" s="19"/>
      <c r="AF1761" s="2">
        <v>8.4552604444632831</v>
      </c>
      <c r="AG1761">
        <v>14.317948717948715</v>
      </c>
      <c r="AH1761" s="2"/>
      <c r="AI1761">
        <v>12.210889340365872</v>
      </c>
      <c r="BM1761">
        <v>14.7</v>
      </c>
      <c r="BN1761">
        <v>10.74</v>
      </c>
      <c r="BO1761">
        <v>17.52</v>
      </c>
      <c r="BP1761">
        <v>6.8</v>
      </c>
      <c r="BQ1761">
        <v>19.5</v>
      </c>
      <c r="BR1761">
        <v>6.45</v>
      </c>
      <c r="BS1761">
        <v>15.4</v>
      </c>
    </row>
    <row r="1762" spans="1:71" customFormat="1">
      <c r="A1762" t="s">
        <v>132</v>
      </c>
      <c r="B1762" s="1" t="s">
        <v>139</v>
      </c>
      <c r="C1762" s="54">
        <v>30788</v>
      </c>
      <c r="D1762" s="55">
        <v>10.833675564681725</v>
      </c>
      <c r="F1762">
        <v>731.77596397410639</v>
      </c>
      <c r="N1762">
        <v>73.150940330786469</v>
      </c>
      <c r="X1762" s="19"/>
      <c r="AF1762" s="2">
        <v>10.596575937950783</v>
      </c>
      <c r="AG1762">
        <v>17.333333333333329</v>
      </c>
      <c r="AH1762" s="2"/>
      <c r="AI1762">
        <v>17.851991938487814</v>
      </c>
      <c r="BM1762">
        <v>17.450000000000003</v>
      </c>
      <c r="BN1762">
        <v>12.81</v>
      </c>
      <c r="BO1762">
        <v>21.13</v>
      </c>
      <c r="BP1762">
        <v>9.3000000000000007</v>
      </c>
      <c r="BQ1762">
        <v>23.5</v>
      </c>
      <c r="BR1762">
        <v>6.49</v>
      </c>
      <c r="BS1762">
        <v>18.600000000000001</v>
      </c>
    </row>
    <row r="1763" spans="1:71" customFormat="1">
      <c r="A1763" t="s">
        <v>132</v>
      </c>
      <c r="B1763" s="1" t="s">
        <v>139</v>
      </c>
      <c r="C1763" s="54">
        <v>30921</v>
      </c>
      <c r="D1763" s="55">
        <v>11.197809719370294</v>
      </c>
      <c r="F1763">
        <v>731.77596397410639</v>
      </c>
      <c r="N1763">
        <v>80.960684051936241</v>
      </c>
      <c r="X1763" s="19"/>
      <c r="AF1763" s="2">
        <v>11.039184213359958</v>
      </c>
      <c r="AG1763">
        <v>17.950000000000006</v>
      </c>
      <c r="AH1763" s="2"/>
      <c r="AI1763">
        <v>19.153568894834706</v>
      </c>
      <c r="BM1763">
        <v>18.299999999999997</v>
      </c>
      <c r="BN1763">
        <v>13.17</v>
      </c>
      <c r="BO1763">
        <v>21.73</v>
      </c>
      <c r="BP1763">
        <v>9.6</v>
      </c>
      <c r="BQ1763">
        <v>24.6</v>
      </c>
      <c r="BR1763">
        <v>6.39</v>
      </c>
      <c r="BS1763">
        <v>19.3</v>
      </c>
    </row>
    <row r="1764" spans="1:71" customFormat="1">
      <c r="A1764" t="s">
        <v>132</v>
      </c>
      <c r="B1764" s="1" t="s">
        <v>139</v>
      </c>
      <c r="C1764" s="54">
        <v>31091</v>
      </c>
      <c r="D1764" s="55">
        <v>11.663244353182751</v>
      </c>
      <c r="F1764">
        <v>731.77596397410639</v>
      </c>
      <c r="N1764">
        <v>103.67083051235289</v>
      </c>
      <c r="X1764" s="19"/>
      <c r="AF1764" s="2">
        <v>12.172580330036768</v>
      </c>
      <c r="AG1764">
        <v>19.537179487179476</v>
      </c>
      <c r="AH1764" s="2"/>
      <c r="AI1764">
        <v>22.720981605303557</v>
      </c>
      <c r="BM1764">
        <v>19.95</v>
      </c>
      <c r="BN1764">
        <v>14.54</v>
      </c>
      <c r="BO1764">
        <v>23.959999999999997</v>
      </c>
      <c r="BP1764">
        <v>10</v>
      </c>
      <c r="BQ1764">
        <v>26.6</v>
      </c>
      <c r="BR1764">
        <v>6.24</v>
      </c>
      <c r="BS1764">
        <v>21</v>
      </c>
    </row>
    <row r="1765" spans="1:71" customFormat="1">
      <c r="A1765" t="s">
        <v>132</v>
      </c>
      <c r="B1765" s="1" t="s">
        <v>139</v>
      </c>
      <c r="C1765" s="54">
        <v>31126</v>
      </c>
      <c r="D1765" s="55">
        <v>11.759069130732374</v>
      </c>
      <c r="F1765">
        <v>731.77596397410639</v>
      </c>
      <c r="N1765">
        <v>111.789786494045</v>
      </c>
      <c r="X1765" s="19"/>
      <c r="AF1765" s="2">
        <v>12.537037194973635</v>
      </c>
      <c r="AG1765">
        <v>20.057692307692303</v>
      </c>
      <c r="AH1765" s="2"/>
      <c r="AI1765">
        <v>23.944018745310707</v>
      </c>
      <c r="BM1765">
        <v>20.45</v>
      </c>
      <c r="BN1765">
        <v>14.94</v>
      </c>
      <c r="BO1765">
        <v>24.63</v>
      </c>
      <c r="BP1765">
        <v>10.199999999999999</v>
      </c>
      <c r="BQ1765">
        <v>27.1</v>
      </c>
      <c r="BR1765">
        <v>6.28</v>
      </c>
      <c r="BS1765">
        <v>21.6</v>
      </c>
    </row>
    <row r="1766" spans="1:71" customFormat="1">
      <c r="A1766" t="s">
        <v>132</v>
      </c>
      <c r="B1766" s="1" t="s">
        <v>139</v>
      </c>
      <c r="C1766" s="54">
        <v>31201</v>
      </c>
      <c r="D1766" s="55">
        <v>11.964407939767282</v>
      </c>
      <c r="F1766">
        <v>731.77596397410639</v>
      </c>
      <c r="N1766">
        <v>119.95076444624515</v>
      </c>
      <c r="X1766" s="19"/>
      <c r="AF1766" s="2">
        <v>12.877143476627557</v>
      </c>
      <c r="AG1766">
        <v>20.530769230769234</v>
      </c>
      <c r="AH1766" s="2"/>
      <c r="AI1766">
        <v>25.120583362411889</v>
      </c>
      <c r="BM1766">
        <v>20.9</v>
      </c>
      <c r="BN1766">
        <v>15.2</v>
      </c>
      <c r="BO1766">
        <v>25.25</v>
      </c>
      <c r="BP1766">
        <v>10.199999999999999</v>
      </c>
      <c r="BQ1766">
        <v>27.8</v>
      </c>
      <c r="BR1766">
        <v>6.14</v>
      </c>
      <c r="BS1766">
        <v>22.1</v>
      </c>
    </row>
    <row r="1767" spans="1:71" customFormat="1">
      <c r="A1767" t="s">
        <v>132</v>
      </c>
      <c r="B1767" s="1" t="s">
        <v>139</v>
      </c>
      <c r="C1767" s="54">
        <v>31338</v>
      </c>
      <c r="D1767" s="55">
        <v>12.33949349760438</v>
      </c>
      <c r="F1767">
        <v>731.77596397410639</v>
      </c>
      <c r="N1767">
        <v>132.14483137944183</v>
      </c>
      <c r="X1767" s="19"/>
      <c r="AF1767" s="2">
        <v>13.362251104686738</v>
      </c>
      <c r="AG1767">
        <v>21.228205128205143</v>
      </c>
      <c r="AH1767" s="2"/>
      <c r="AI1767">
        <v>26.859924558233459</v>
      </c>
      <c r="BM1767">
        <v>21.65</v>
      </c>
      <c r="BN1767">
        <v>15.7</v>
      </c>
      <c r="BO1767">
        <v>26.16</v>
      </c>
      <c r="BP1767">
        <v>10.4</v>
      </c>
      <c r="BQ1767">
        <v>28.7</v>
      </c>
      <c r="BR1767">
        <v>6.14</v>
      </c>
      <c r="BS1767">
        <v>22.9</v>
      </c>
    </row>
    <row r="1768" spans="1:71" customFormat="1">
      <c r="A1768" t="s">
        <v>132</v>
      </c>
      <c r="B1768" s="1" t="s">
        <v>139</v>
      </c>
      <c r="C1768" s="54">
        <v>31447</v>
      </c>
      <c r="D1768" s="55">
        <v>12.63791923340178</v>
      </c>
      <c r="F1768">
        <v>731.77596397410639</v>
      </c>
      <c r="N1768">
        <v>148.54059933092717</v>
      </c>
      <c r="X1768" s="19"/>
      <c r="AF1768" s="2">
        <v>13.959853485938648</v>
      </c>
      <c r="AG1768">
        <v>22.08717948717949</v>
      </c>
      <c r="AH1768" s="2"/>
      <c r="AI1768">
        <v>29.106197200207735</v>
      </c>
      <c r="BM1768">
        <v>22.1</v>
      </c>
      <c r="BN1768">
        <v>16.169999999999998</v>
      </c>
      <c r="BO1768">
        <v>27.29</v>
      </c>
      <c r="BP1768">
        <v>10.5</v>
      </c>
      <c r="BQ1768">
        <v>30</v>
      </c>
      <c r="BR1768">
        <v>6.07</v>
      </c>
      <c r="BS1768">
        <v>23.8</v>
      </c>
    </row>
    <row r="1769" spans="1:71" customFormat="1">
      <c r="A1769" t="s">
        <v>132</v>
      </c>
      <c r="B1769" s="1" t="s">
        <v>139</v>
      </c>
      <c r="C1769" s="54">
        <v>31517</v>
      </c>
      <c r="D1769" s="55">
        <v>12.829568788501026</v>
      </c>
      <c r="F1769">
        <v>731.77596397410639</v>
      </c>
      <c r="N1769">
        <v>158.63117631160048</v>
      </c>
      <c r="X1769" s="19"/>
      <c r="AF1769" s="2">
        <v>14.298989371958246</v>
      </c>
      <c r="AG1769">
        <v>22.571794871794868</v>
      </c>
      <c r="AH1769" s="2"/>
      <c r="AI1769">
        <v>30.434293041910362</v>
      </c>
      <c r="BM1769">
        <v>22.7</v>
      </c>
      <c r="BN1769">
        <v>16.440000000000001</v>
      </c>
      <c r="BO1769">
        <v>28</v>
      </c>
      <c r="BP1769">
        <v>10.7</v>
      </c>
      <c r="BQ1769">
        <v>31.2</v>
      </c>
      <c r="BR1769">
        <v>5.89</v>
      </c>
      <c r="BS1769">
        <v>24.4</v>
      </c>
    </row>
    <row r="1770" spans="1:71" customFormat="1">
      <c r="A1770" t="s">
        <v>132</v>
      </c>
      <c r="B1770" s="1" t="s">
        <v>139</v>
      </c>
      <c r="C1770" s="54">
        <v>31583</v>
      </c>
      <c r="D1770" s="55">
        <v>13.010266940451745</v>
      </c>
      <c r="F1770">
        <v>731.77596397410639</v>
      </c>
      <c r="N1770">
        <v>162.2582750026383</v>
      </c>
      <c r="X1770" s="19"/>
      <c r="AF1770" s="2">
        <v>14.415940692212676</v>
      </c>
      <c r="AG1770">
        <v>22.737179487179485</v>
      </c>
      <c r="AH1770" s="2"/>
      <c r="AI1770">
        <v>30.90157510709636</v>
      </c>
      <c r="BM1770">
        <v>22.8</v>
      </c>
      <c r="BN1770">
        <v>16.54</v>
      </c>
      <c r="BO1770">
        <v>28.259999999999998</v>
      </c>
      <c r="BP1770">
        <v>10.7</v>
      </c>
      <c r="BQ1770">
        <v>31.6</v>
      </c>
      <c r="BR1770">
        <v>5.84</v>
      </c>
      <c r="BS1770">
        <v>24.6</v>
      </c>
    </row>
    <row r="1771" spans="1:71" customFormat="1">
      <c r="A1771" t="s">
        <v>132</v>
      </c>
      <c r="B1771" s="1" t="s">
        <v>139</v>
      </c>
      <c r="C1771" s="54">
        <v>31705</v>
      </c>
      <c r="D1771" s="55">
        <v>13.344284736481862</v>
      </c>
      <c r="F1771">
        <v>731.77596397410639</v>
      </c>
      <c r="N1771">
        <v>176.45980371543391</v>
      </c>
      <c r="X1771" s="19"/>
      <c r="AF1771" s="2">
        <v>14.870713458608996</v>
      </c>
      <c r="AG1771">
        <v>23.417948717948711</v>
      </c>
      <c r="AH1771" s="2"/>
      <c r="AI1771">
        <v>32.765376011876988</v>
      </c>
      <c r="BM1771">
        <v>23.6</v>
      </c>
      <c r="BN1771">
        <v>16.97</v>
      </c>
      <c r="BO1771">
        <v>29.03</v>
      </c>
      <c r="BP1771">
        <v>10.9</v>
      </c>
      <c r="BQ1771">
        <v>32.299999999999997</v>
      </c>
      <c r="BR1771">
        <v>5.89</v>
      </c>
      <c r="BS1771">
        <v>25.3</v>
      </c>
    </row>
    <row r="1772" spans="1:71" customFormat="1">
      <c r="A1772" t="s">
        <v>132</v>
      </c>
      <c r="B1772" s="1" t="s">
        <v>139</v>
      </c>
      <c r="C1772" s="54">
        <v>31795</v>
      </c>
      <c r="D1772" s="55">
        <v>13.59069130732375</v>
      </c>
      <c r="F1772">
        <v>731.77596397410639</v>
      </c>
      <c r="N1772">
        <v>192.40213182592043</v>
      </c>
      <c r="X1772" s="19"/>
      <c r="AF1772" s="2">
        <v>15.337996059943855</v>
      </c>
      <c r="AG1772">
        <v>24.102564102564113</v>
      </c>
      <c r="AH1772" s="2"/>
      <c r="AI1772">
        <v>34.760857661362344</v>
      </c>
      <c r="BM1772">
        <v>24.35</v>
      </c>
      <c r="BN1772">
        <v>17.279999999999998</v>
      </c>
      <c r="BO1772">
        <v>29.909999999999997</v>
      </c>
      <c r="BP1772">
        <v>11.1</v>
      </c>
      <c r="BQ1772">
        <v>33.700000000000003</v>
      </c>
      <c r="BR1772">
        <v>5.74</v>
      </c>
      <c r="BS1772">
        <v>26.1</v>
      </c>
    </row>
    <row r="1773" spans="1:71" customFormat="1">
      <c r="A1773" t="s">
        <v>132</v>
      </c>
      <c r="B1773" s="1" t="s">
        <v>139</v>
      </c>
      <c r="C1773" s="54">
        <v>31880</v>
      </c>
      <c r="D1773" s="55">
        <v>13.82340862422998</v>
      </c>
      <c r="F1773">
        <v>731.77596397410639</v>
      </c>
      <c r="N1773">
        <v>201.21133988207566</v>
      </c>
      <c r="X1773" s="19"/>
      <c r="AF1773" s="2">
        <v>15.58153635945739</v>
      </c>
      <c r="AG1773">
        <v>24.461538461538453</v>
      </c>
      <c r="AH1773" s="2"/>
      <c r="AI1773">
        <v>35.834581466318504</v>
      </c>
      <c r="BM1773">
        <v>24.85</v>
      </c>
      <c r="BN1773">
        <v>17.38</v>
      </c>
      <c r="BO1773">
        <v>30.509999999999998</v>
      </c>
      <c r="BP1773">
        <v>11.1</v>
      </c>
      <c r="BQ1773">
        <v>34.5</v>
      </c>
      <c r="BR1773">
        <v>5.68</v>
      </c>
      <c r="BS1773">
        <v>26.5</v>
      </c>
    </row>
    <row r="1774" spans="1:71" customFormat="1">
      <c r="A1774" t="s">
        <v>132</v>
      </c>
      <c r="B1774" s="1" t="s">
        <v>139</v>
      </c>
      <c r="C1774" s="54">
        <v>31944</v>
      </c>
      <c r="D1774" s="55">
        <v>13.998631074606434</v>
      </c>
      <c r="F1774">
        <v>731.77596397410639</v>
      </c>
      <c r="N1774">
        <v>203.07557583605131</v>
      </c>
      <c r="X1774" s="19"/>
      <c r="AF1774" s="2">
        <v>15.632372323746688</v>
      </c>
      <c r="AG1774">
        <v>24.538461538461537</v>
      </c>
      <c r="AH1774" s="2"/>
      <c r="AI1774">
        <v>36.061705145730855</v>
      </c>
      <c r="BM1774">
        <v>24.95</v>
      </c>
      <c r="BN1774">
        <v>17.38</v>
      </c>
      <c r="BO1774">
        <v>30.669999999999998</v>
      </c>
      <c r="BP1774">
        <v>11.1</v>
      </c>
      <c r="BQ1774">
        <v>34.1</v>
      </c>
      <c r="BR1774">
        <v>5.69</v>
      </c>
      <c r="BS1774">
        <v>26.5</v>
      </c>
    </row>
    <row r="1775" spans="1:71" customFormat="1">
      <c r="A1775" t="s">
        <v>132</v>
      </c>
      <c r="B1775" s="1" t="s">
        <v>139</v>
      </c>
      <c r="C1775" s="54">
        <v>32072</v>
      </c>
      <c r="D1775" s="55">
        <v>14.349075975359343</v>
      </c>
      <c r="F1775">
        <v>731.77596397410639</v>
      </c>
      <c r="N1775">
        <v>217.25353694097481</v>
      </c>
      <c r="X1775" s="19"/>
      <c r="AF1775" s="2">
        <v>16.011661348492854</v>
      </c>
      <c r="AG1775">
        <v>25.115384615384613</v>
      </c>
      <c r="AH1775" s="2"/>
      <c r="AI1775">
        <v>37.789802157319912</v>
      </c>
      <c r="BM1775">
        <v>25.6</v>
      </c>
      <c r="BN1775">
        <v>17.98</v>
      </c>
      <c r="BO1775">
        <v>31.58</v>
      </c>
      <c r="BP1775">
        <v>11.3</v>
      </c>
      <c r="BQ1775">
        <v>35</v>
      </c>
      <c r="BR1775">
        <v>5.66</v>
      </c>
      <c r="BS1775">
        <v>27.2</v>
      </c>
    </row>
    <row r="1776" spans="1:71" customFormat="1">
      <c r="A1776" t="s">
        <v>132</v>
      </c>
      <c r="B1776" s="1" t="s">
        <v>139</v>
      </c>
      <c r="C1776" s="54">
        <v>32152</v>
      </c>
      <c r="D1776" s="55">
        <v>14.568104038329912</v>
      </c>
      <c r="F1776">
        <v>731.77596397410639</v>
      </c>
      <c r="N1776">
        <v>226.69919201351729</v>
      </c>
      <c r="X1776" s="19"/>
      <c r="AF1776" s="2">
        <v>16.250764614017761</v>
      </c>
      <c r="AG1776">
        <v>25.476923076923079</v>
      </c>
      <c r="AH1776" s="2"/>
      <c r="AI1776">
        <v>38.910359536969302</v>
      </c>
      <c r="BM1776">
        <v>26.1</v>
      </c>
      <c r="BN1776">
        <v>18.14</v>
      </c>
      <c r="BO1776">
        <v>31.759999999999994</v>
      </c>
      <c r="BP1776">
        <v>11.5</v>
      </c>
      <c r="BQ1776">
        <v>35.700000000000003</v>
      </c>
      <c r="BR1776">
        <v>5.6</v>
      </c>
      <c r="BS1776">
        <v>27.6</v>
      </c>
    </row>
    <row r="1777" spans="1:71" customFormat="1">
      <c r="A1777" t="s">
        <v>132</v>
      </c>
      <c r="B1777" s="1" t="s">
        <v>139</v>
      </c>
      <c r="C1777" s="54">
        <v>32248</v>
      </c>
      <c r="D1777" s="55">
        <v>14.830937713894592</v>
      </c>
      <c r="F1777">
        <v>731.77596397410639</v>
      </c>
      <c r="N1777">
        <v>238.59006610401423</v>
      </c>
      <c r="X1777" s="19"/>
      <c r="AF1777" s="2">
        <v>16.538311148402482</v>
      </c>
      <c r="AG1777">
        <v>25.912820512820513</v>
      </c>
      <c r="AH1777" s="2"/>
      <c r="AI1777">
        <v>40.291006834731149</v>
      </c>
      <c r="BM1777">
        <v>26.700000000000003</v>
      </c>
      <c r="BN1777">
        <v>18.350000000000001</v>
      </c>
      <c r="BO1777">
        <v>32.389999999999993</v>
      </c>
      <c r="BP1777">
        <v>11.5</v>
      </c>
      <c r="BQ1777">
        <v>36.700000000000003</v>
      </c>
      <c r="BR1777">
        <v>5.54</v>
      </c>
      <c r="BS1777">
        <v>28.1</v>
      </c>
    </row>
    <row r="1778" spans="1:71" customFormat="1">
      <c r="A1778" t="s">
        <v>132</v>
      </c>
      <c r="B1778" s="1" t="s">
        <v>139</v>
      </c>
      <c r="C1778" s="54">
        <v>32309</v>
      </c>
      <c r="D1778" s="55">
        <v>14.997946611909651</v>
      </c>
      <c r="F1778">
        <v>731.77596397410639</v>
      </c>
      <c r="N1778">
        <v>241.26403611925329</v>
      </c>
      <c r="X1778" s="19"/>
      <c r="AF1778" s="2">
        <v>16.601319692275567</v>
      </c>
      <c r="AG1778">
        <v>26.007692307692309</v>
      </c>
      <c r="AH1778" s="2"/>
      <c r="AI1778">
        <v>40.598475589419664</v>
      </c>
      <c r="BM1778">
        <v>26.799999999999997</v>
      </c>
      <c r="BN1778">
        <v>18.41</v>
      </c>
      <c r="BO1778">
        <v>32.549999999999997</v>
      </c>
      <c r="BP1778">
        <v>11.5</v>
      </c>
      <c r="BQ1778">
        <v>37</v>
      </c>
      <c r="BR1778">
        <v>5.51</v>
      </c>
      <c r="BS1778">
        <v>28.2</v>
      </c>
    </row>
    <row r="1779" spans="1:71" customFormat="1">
      <c r="A1779" t="s">
        <v>132</v>
      </c>
      <c r="B1779" s="1" t="s">
        <v>139</v>
      </c>
      <c r="C1779" s="54">
        <v>32426</v>
      </c>
      <c r="D1779" s="55">
        <v>15.318275154004107</v>
      </c>
      <c r="F1779">
        <v>384.65146824279952</v>
      </c>
      <c r="N1779">
        <v>154.02897367592251</v>
      </c>
      <c r="X1779" s="19"/>
      <c r="AF1779" s="2">
        <v>17.880809903543842</v>
      </c>
      <c r="AG1779">
        <v>28.290243902439016</v>
      </c>
      <c r="AH1779" s="2"/>
      <c r="AI1779">
        <v>24.83771770808535</v>
      </c>
      <c r="BM1779">
        <v>28</v>
      </c>
      <c r="BN1779">
        <v>22.9</v>
      </c>
      <c r="BO1779">
        <v>34.799999999999997</v>
      </c>
      <c r="BP1779">
        <v>18.8</v>
      </c>
      <c r="BQ1779">
        <v>37.700000000000003</v>
      </c>
      <c r="BR1779">
        <v>6.67</v>
      </c>
      <c r="BS1779">
        <v>30.3</v>
      </c>
    </row>
    <row r="1780" spans="1:71" customFormat="1">
      <c r="A1780" t="s">
        <v>132</v>
      </c>
      <c r="B1780" s="1" t="s">
        <v>139</v>
      </c>
      <c r="C1780" s="54">
        <v>32477</v>
      </c>
      <c r="D1780" s="55">
        <v>15.457905544147843</v>
      </c>
      <c r="F1780">
        <v>394.03321137067263</v>
      </c>
      <c r="N1780">
        <v>163.94272250163647</v>
      </c>
      <c r="X1780" s="19"/>
      <c r="AF1780" s="2">
        <v>18.114794516724441</v>
      </c>
      <c r="AG1780">
        <v>28.683333333333341</v>
      </c>
      <c r="AH1780" s="2"/>
      <c r="AI1780">
        <v>26.147318856194516</v>
      </c>
      <c r="BM1780">
        <v>28</v>
      </c>
      <c r="BN1780">
        <v>23.3</v>
      </c>
      <c r="BO1780">
        <v>34.97</v>
      </c>
      <c r="BP1780">
        <v>19</v>
      </c>
      <c r="BQ1780">
        <v>38.200000000000003</v>
      </c>
      <c r="BR1780">
        <v>6.67</v>
      </c>
      <c r="BS1780">
        <v>30.7</v>
      </c>
    </row>
    <row r="1781" spans="1:71" customFormat="1">
      <c r="A1781" t="s">
        <v>132</v>
      </c>
      <c r="B1781" s="1" t="s">
        <v>139</v>
      </c>
      <c r="C1781" s="54">
        <v>32567</v>
      </c>
      <c r="D1781" s="55">
        <v>15.704312114989733</v>
      </c>
      <c r="F1781">
        <v>394.03321137067263</v>
      </c>
      <c r="N1781">
        <v>171.45007225507723</v>
      </c>
      <c r="X1781" s="19"/>
      <c r="AF1781" s="2">
        <v>18.387699003913124</v>
      </c>
      <c r="AG1781">
        <v>29.140476190476182</v>
      </c>
      <c r="AH1781" s="2"/>
      <c r="AI1781">
        <v>26.988657941409326</v>
      </c>
      <c r="BM1781">
        <v>28.55</v>
      </c>
      <c r="BN1781">
        <v>23.71</v>
      </c>
      <c r="BO1781">
        <v>35.369999999999997</v>
      </c>
      <c r="BP1781">
        <v>19.2</v>
      </c>
      <c r="BQ1781">
        <v>39</v>
      </c>
      <c r="BR1781">
        <v>6.66</v>
      </c>
      <c r="BS1781">
        <v>31.2</v>
      </c>
    </row>
    <row r="1782" spans="1:71" customFormat="1">
      <c r="A1782" t="s">
        <v>132</v>
      </c>
      <c r="B1782" s="1" t="s">
        <v>139</v>
      </c>
      <c r="C1782" s="54">
        <v>32659</v>
      </c>
      <c r="D1782" s="55">
        <v>15.956194387405887</v>
      </c>
      <c r="F1782">
        <v>394.03321137067263</v>
      </c>
      <c r="N1782">
        <v>177.6291370875164</v>
      </c>
      <c r="X1782" s="19"/>
      <c r="AF1782" s="2">
        <v>18.60199203455743</v>
      </c>
      <c r="AG1782">
        <v>29.49523809523809</v>
      </c>
      <c r="AH1782" s="2"/>
      <c r="AI1782">
        <v>27.665246885565853</v>
      </c>
      <c r="BM1782">
        <v>28.9</v>
      </c>
      <c r="BN1782">
        <v>24</v>
      </c>
      <c r="BO1782">
        <v>35.86</v>
      </c>
      <c r="BP1782">
        <v>19.3</v>
      </c>
      <c r="BQ1782">
        <v>39.799999999999997</v>
      </c>
      <c r="BR1782">
        <v>6.59</v>
      </c>
      <c r="BS1782">
        <v>31.6</v>
      </c>
    </row>
    <row r="1783" spans="1:71" customFormat="1">
      <c r="A1783" t="s">
        <v>132</v>
      </c>
      <c r="B1783" s="1" t="s">
        <v>139</v>
      </c>
      <c r="C1783" s="54">
        <v>32689</v>
      </c>
      <c r="D1783" s="55">
        <v>16.038329911019851</v>
      </c>
      <c r="F1783">
        <v>394.03321137067263</v>
      </c>
      <c r="N1783">
        <v>178.43786847011148</v>
      </c>
      <c r="X1783" s="19"/>
      <c r="AF1783" s="2">
        <v>18.628716978644405</v>
      </c>
      <c r="AG1783">
        <v>29.538095238095242</v>
      </c>
      <c r="AH1783" s="2"/>
      <c r="AI1783">
        <v>27.750631949056324</v>
      </c>
      <c r="BM1783">
        <v>29</v>
      </c>
      <c r="BN1783">
        <v>24</v>
      </c>
      <c r="BO1783">
        <v>35.950000000000003</v>
      </c>
      <c r="BP1783">
        <v>19.3</v>
      </c>
      <c r="BQ1783">
        <v>39.799999999999997</v>
      </c>
      <c r="BR1783">
        <v>6.55</v>
      </c>
      <c r="BS1783">
        <v>31.6</v>
      </c>
    </row>
    <row r="1784" spans="1:71" customFormat="1">
      <c r="A1784" t="s">
        <v>132</v>
      </c>
      <c r="B1784" s="1" t="s">
        <v>139</v>
      </c>
      <c r="C1784" s="54">
        <v>32751</v>
      </c>
      <c r="D1784" s="55">
        <v>16.208076659822041</v>
      </c>
      <c r="F1784">
        <v>394.03321137067263</v>
      </c>
      <c r="N1784">
        <v>190.19241915487586</v>
      </c>
      <c r="X1784" s="19"/>
      <c r="AF1784" s="2">
        <v>19.026772523035021</v>
      </c>
      <c r="AG1784">
        <v>30.226190476190474</v>
      </c>
      <c r="AH1784" s="2"/>
      <c r="AI1784">
        <v>29.049585753642553</v>
      </c>
      <c r="BM1784">
        <v>29.65</v>
      </c>
      <c r="BN1784">
        <v>24.41</v>
      </c>
      <c r="BO1784">
        <v>36.79</v>
      </c>
      <c r="BP1784">
        <v>19.899999999999999</v>
      </c>
      <c r="BQ1784">
        <v>40.700000000000003</v>
      </c>
      <c r="BR1784">
        <v>6.58</v>
      </c>
      <c r="BS1784">
        <v>32.4</v>
      </c>
    </row>
    <row r="1785" spans="1:71" customFormat="1">
      <c r="A1785" t="s">
        <v>132</v>
      </c>
      <c r="B1785" s="1" t="s">
        <v>139</v>
      </c>
      <c r="C1785" s="54">
        <v>32843</v>
      </c>
      <c r="D1785" s="55">
        <v>16.459958932238195</v>
      </c>
      <c r="F1785">
        <v>394.03321137067263</v>
      </c>
      <c r="N1785">
        <v>197.81487128694368</v>
      </c>
      <c r="X1785" s="19"/>
      <c r="AF1785" s="2">
        <v>19.267760635075497</v>
      </c>
      <c r="AG1785">
        <v>30.635714285714283</v>
      </c>
      <c r="AH1785" s="2"/>
      <c r="AI1785">
        <v>29.861510170799548</v>
      </c>
      <c r="BM1785">
        <v>29.95</v>
      </c>
      <c r="BN1785">
        <v>24.6</v>
      </c>
      <c r="BO1785">
        <v>37.349999999999994</v>
      </c>
      <c r="BP1785">
        <v>20</v>
      </c>
      <c r="BQ1785">
        <v>41.3</v>
      </c>
      <c r="BR1785">
        <v>6.52</v>
      </c>
      <c r="BS1785">
        <v>32.799999999999997</v>
      </c>
    </row>
    <row r="1786" spans="1:71" customFormat="1">
      <c r="A1786" t="s">
        <v>132</v>
      </c>
      <c r="B1786" s="1" t="s">
        <v>139</v>
      </c>
      <c r="C1786" s="54">
        <v>32933</v>
      </c>
      <c r="D1786" s="55">
        <v>16.706365503080082</v>
      </c>
      <c r="F1786">
        <v>394.03321137067263</v>
      </c>
      <c r="N1786">
        <v>202.72873708933378</v>
      </c>
      <c r="X1786" s="19"/>
      <c r="AF1786" s="2">
        <v>19.421137235231072</v>
      </c>
      <c r="AG1786">
        <v>30.904761904761905</v>
      </c>
      <c r="AH1786" s="2"/>
      <c r="AI1786">
        <v>30.388653148636283</v>
      </c>
      <c r="BM1786">
        <v>30.05</v>
      </c>
      <c r="BN1786">
        <v>24.73</v>
      </c>
      <c r="BO1786">
        <v>37.679999999999993</v>
      </c>
      <c r="BP1786">
        <v>20.100000000000001</v>
      </c>
      <c r="BQ1786">
        <v>42</v>
      </c>
      <c r="BR1786">
        <v>6.51</v>
      </c>
      <c r="BS1786">
        <v>33.1</v>
      </c>
    </row>
    <row r="1787" spans="1:71" customFormat="1">
      <c r="A1787" t="s">
        <v>132</v>
      </c>
      <c r="B1787" s="1" t="s">
        <v>139</v>
      </c>
      <c r="C1787" s="54">
        <v>33025</v>
      </c>
      <c r="D1787" s="55">
        <v>16.958247775496236</v>
      </c>
      <c r="F1787">
        <v>394.03321137067263</v>
      </c>
      <c r="N1787">
        <v>203.73804644129387</v>
      </c>
      <c r="X1787" s="19"/>
      <c r="AF1787" s="2">
        <v>19.452065962937823</v>
      </c>
      <c r="AG1787">
        <v>30.957142857142859</v>
      </c>
      <c r="AH1787" s="2"/>
      <c r="AI1787">
        <v>30.495951845093675</v>
      </c>
      <c r="BM1787">
        <v>30.1</v>
      </c>
      <c r="BN1787">
        <v>24.73</v>
      </c>
      <c r="BO1787">
        <v>37.79</v>
      </c>
      <c r="BP1787">
        <v>20.100000000000001</v>
      </c>
      <c r="BQ1787">
        <v>41.9</v>
      </c>
      <c r="BR1787">
        <v>6.52</v>
      </c>
      <c r="BS1787">
        <v>33.200000000000003</v>
      </c>
    </row>
    <row r="1788" spans="1:71" customFormat="1">
      <c r="A1788" t="s">
        <v>132</v>
      </c>
      <c r="B1788" s="1" t="s">
        <v>139</v>
      </c>
      <c r="C1788" s="54">
        <v>33119</v>
      </c>
      <c r="D1788" s="55">
        <v>17.215605749486652</v>
      </c>
      <c r="F1788">
        <v>394.03321137067263</v>
      </c>
      <c r="N1788">
        <v>217.54955378038139</v>
      </c>
      <c r="X1788" s="19"/>
      <c r="AF1788" s="2">
        <v>19.86794165193195</v>
      </c>
      <c r="AG1788">
        <v>31.700000000000003</v>
      </c>
      <c r="AH1788" s="2"/>
      <c r="AI1788">
        <v>31.972226287658696</v>
      </c>
      <c r="BM1788">
        <v>30.700000000000003</v>
      </c>
      <c r="BN1788">
        <v>25.23</v>
      </c>
      <c r="BO1788">
        <v>38.58</v>
      </c>
      <c r="BP1788">
        <v>20.7</v>
      </c>
      <c r="BQ1788">
        <v>42.8</v>
      </c>
      <c r="BR1788">
        <v>6.54</v>
      </c>
      <c r="BS1788">
        <v>34</v>
      </c>
    </row>
    <row r="1789" spans="1:71" customFormat="1">
      <c r="A1789" t="s">
        <v>132</v>
      </c>
      <c r="B1789" s="1" t="s">
        <v>139</v>
      </c>
      <c r="C1789" s="54">
        <v>34408</v>
      </c>
      <c r="D1789" s="55">
        <v>20.744695414099933</v>
      </c>
      <c r="F1789">
        <v>394.03321137067263</v>
      </c>
      <c r="N1789">
        <v>307.30010952202605</v>
      </c>
      <c r="X1789" s="19"/>
      <c r="AF1789" s="2">
        <v>22.075779222617413</v>
      </c>
      <c r="AG1789">
        <v>35.85</v>
      </c>
      <c r="AH1789" s="2"/>
      <c r="AI1789">
        <v>41.004924112650407</v>
      </c>
      <c r="BM1789">
        <v>35.4</v>
      </c>
      <c r="BN1789">
        <v>27.900000000000002</v>
      </c>
      <c r="BO1789">
        <v>44.36</v>
      </c>
      <c r="BP1789">
        <v>22.2</v>
      </c>
      <c r="BQ1789">
        <v>48</v>
      </c>
      <c r="BR1789">
        <v>8.26</v>
      </c>
      <c r="BS1789">
        <v>36.4</v>
      </c>
    </row>
    <row r="1790" spans="1:71" customFormat="1">
      <c r="A1790" t="s">
        <v>132</v>
      </c>
      <c r="B1790" s="1" t="s">
        <v>139</v>
      </c>
      <c r="C1790" s="54">
        <v>34530</v>
      </c>
      <c r="D1790" s="55">
        <v>21.078713210130047</v>
      </c>
      <c r="F1790">
        <v>394.03321137067263</v>
      </c>
      <c r="N1790">
        <v>316.18362116947276</v>
      </c>
      <c r="X1790" s="19"/>
      <c r="AF1790" s="2">
        <v>22.25769071870257</v>
      </c>
      <c r="AG1790">
        <v>36.207142857142848</v>
      </c>
      <c r="AH1790" s="2"/>
      <c r="AI1790">
        <v>41.852835814074545</v>
      </c>
      <c r="BM1790">
        <v>35.75</v>
      </c>
      <c r="BN1790">
        <v>28.11</v>
      </c>
      <c r="BO1790">
        <v>44.89</v>
      </c>
      <c r="BP1790">
        <v>22.3</v>
      </c>
      <c r="BQ1790">
        <v>48.6</v>
      </c>
      <c r="BR1790">
        <v>8.26</v>
      </c>
      <c r="BS1790">
        <v>36.700000000000003</v>
      </c>
    </row>
    <row r="1791" spans="1:71" customFormat="1">
      <c r="A1791" t="s">
        <v>132</v>
      </c>
      <c r="B1791" s="1" t="s">
        <v>139</v>
      </c>
      <c r="C1791" s="54">
        <v>34919</v>
      </c>
      <c r="D1791" s="55">
        <v>22.143737166324435</v>
      </c>
      <c r="F1791">
        <v>394.03321137067263</v>
      </c>
      <c r="N1791">
        <v>345.3413185611351</v>
      </c>
      <c r="X1791" s="19"/>
      <c r="AF1791" s="2">
        <v>22.830687992655051</v>
      </c>
      <c r="AG1791">
        <v>37.380952380952387</v>
      </c>
      <c r="AH1791" s="2"/>
      <c r="AI1791">
        <v>44.644561917383463</v>
      </c>
      <c r="BM1791">
        <v>37.125</v>
      </c>
      <c r="BN1791">
        <v>28.82</v>
      </c>
      <c r="BO1791">
        <v>46.3</v>
      </c>
      <c r="BP1791">
        <v>22.5</v>
      </c>
      <c r="BQ1791">
        <v>50.05</v>
      </c>
      <c r="BR1791">
        <v>8.4</v>
      </c>
      <c r="BS1791">
        <v>37.799999999999997</v>
      </c>
    </row>
    <row r="1792" spans="1:71" customFormat="1">
      <c r="A1792" t="s">
        <v>132</v>
      </c>
      <c r="B1792" s="1" t="s">
        <v>139</v>
      </c>
      <c r="C1792" s="54">
        <v>35299</v>
      </c>
      <c r="D1792" s="55">
        <v>23.184120465434635</v>
      </c>
      <c r="F1792">
        <v>394.03321137067263</v>
      </c>
      <c r="N1792">
        <v>375.10722680766662</v>
      </c>
      <c r="X1792" s="19"/>
      <c r="AF1792" s="2">
        <v>23.366178280567592</v>
      </c>
      <c r="AG1792">
        <v>38.507142857142867</v>
      </c>
      <c r="AH1792" s="2"/>
      <c r="AI1792">
        <v>47.432485924320176</v>
      </c>
      <c r="BM1792">
        <v>38.450000000000003</v>
      </c>
      <c r="BN1792">
        <v>29.55</v>
      </c>
      <c r="BO1792">
        <v>48.26</v>
      </c>
      <c r="BP1792">
        <v>22.6</v>
      </c>
      <c r="BQ1792">
        <v>51.2</v>
      </c>
      <c r="BR1792">
        <v>8.6300000000000008</v>
      </c>
      <c r="BS1792">
        <v>38.799999999999997</v>
      </c>
    </row>
    <row r="1793" spans="1:71" customFormat="1">
      <c r="A1793" t="s">
        <v>132</v>
      </c>
      <c r="B1793" s="1" t="s">
        <v>139</v>
      </c>
      <c r="C1793" s="54">
        <v>35681</v>
      </c>
      <c r="D1793" s="55">
        <v>24.229979466119097</v>
      </c>
      <c r="F1793">
        <v>394.03321137067263</v>
      </c>
      <c r="N1793">
        <v>403.3599346551664</v>
      </c>
      <c r="X1793" s="19"/>
      <c r="AF1793" s="2">
        <v>23.83096248018677</v>
      </c>
      <c r="AG1793">
        <v>39.502380952380953</v>
      </c>
      <c r="AH1793" s="2"/>
      <c r="AI1793">
        <v>50.006328326609669</v>
      </c>
      <c r="BM1793">
        <v>39.75</v>
      </c>
      <c r="BN1793">
        <v>29.990000000000002</v>
      </c>
      <c r="BO1793">
        <v>49.79</v>
      </c>
      <c r="BP1793">
        <v>22.5</v>
      </c>
      <c r="BQ1793">
        <v>52.4</v>
      </c>
      <c r="BR1793">
        <v>8.74</v>
      </c>
      <c r="BS1793">
        <v>39.5</v>
      </c>
    </row>
    <row r="1794" spans="1:71" customFormat="1">
      <c r="A1794" t="s">
        <v>132</v>
      </c>
      <c r="B1794" s="1" t="s">
        <v>139</v>
      </c>
      <c r="C1794" s="54">
        <v>36035</v>
      </c>
      <c r="D1794" s="55">
        <v>25.199178644763862</v>
      </c>
      <c r="F1794">
        <v>394.03321137067263</v>
      </c>
      <c r="N1794">
        <v>427.37098980616025</v>
      </c>
      <c r="X1794" s="19"/>
      <c r="AF1794" s="2">
        <v>24.208325729765484</v>
      </c>
      <c r="AG1794">
        <v>40.352380952380948</v>
      </c>
      <c r="AH1794" s="2"/>
      <c r="AI1794">
        <v>52.210785276893539</v>
      </c>
      <c r="BM1794">
        <v>40.700000000000003</v>
      </c>
      <c r="BN1794">
        <v>30.51</v>
      </c>
      <c r="BO1794">
        <v>50.87</v>
      </c>
      <c r="BP1794">
        <v>22.6</v>
      </c>
      <c r="BQ1794">
        <v>53.3</v>
      </c>
      <c r="BR1794">
        <v>8.83</v>
      </c>
      <c r="BS1794">
        <v>40.1</v>
      </c>
    </row>
    <row r="1795" spans="1:71" customFormat="1">
      <c r="A1795" t="s">
        <v>132</v>
      </c>
      <c r="B1795" s="1" t="s">
        <v>139</v>
      </c>
      <c r="C1795" s="54">
        <v>36409</v>
      </c>
      <c r="D1795" s="55">
        <v>26.223134839151268</v>
      </c>
      <c r="F1795">
        <v>394.03321137067263</v>
      </c>
      <c r="N1795">
        <v>448.29696321971289</v>
      </c>
      <c r="X1795" s="19"/>
      <c r="AF1795" s="2">
        <v>24.511940661783679</v>
      </c>
      <c r="AG1795">
        <v>41.033333333333324</v>
      </c>
      <c r="AH1795" s="2"/>
      <c r="AI1795">
        <v>54.064778836186967</v>
      </c>
      <c r="BM1795">
        <v>41.4</v>
      </c>
      <c r="BN1795">
        <v>30.720000000000002</v>
      </c>
      <c r="BO1795">
        <v>51.879999999999995</v>
      </c>
      <c r="BP1795">
        <v>22.5</v>
      </c>
      <c r="BQ1795">
        <v>54.1</v>
      </c>
      <c r="BR1795">
        <v>8.99</v>
      </c>
      <c r="BS1795">
        <v>40.700000000000003</v>
      </c>
    </row>
    <row r="1796" spans="1:71" customFormat="1">
      <c r="A1796" t="s">
        <v>132</v>
      </c>
      <c r="B1796" s="1" t="s">
        <v>139</v>
      </c>
      <c r="C1796" s="54">
        <v>36774</v>
      </c>
      <c r="D1796" s="55">
        <v>27.222450376454482</v>
      </c>
      <c r="F1796">
        <v>394.03321137067263</v>
      </c>
      <c r="N1796">
        <v>468.8725082418282</v>
      </c>
      <c r="X1796" s="19"/>
      <c r="AF1796" s="2">
        <v>24.799125390979501</v>
      </c>
      <c r="AG1796">
        <v>41.69761904761905</v>
      </c>
      <c r="AH1796" s="2"/>
      <c r="AI1796">
        <v>55.88876088671298</v>
      </c>
      <c r="BM1796">
        <v>41.849999999999994</v>
      </c>
      <c r="BN1796">
        <v>31.08</v>
      </c>
      <c r="BO1796">
        <v>52.779999999999994</v>
      </c>
      <c r="BP1796">
        <v>22.5</v>
      </c>
      <c r="BQ1796">
        <v>55.2</v>
      </c>
      <c r="BR1796">
        <v>9.39</v>
      </c>
      <c r="BS1796">
        <v>41.3</v>
      </c>
    </row>
    <row r="1797" spans="1:71" customFormat="1">
      <c r="A1797" t="s">
        <v>134</v>
      </c>
      <c r="B1797" s="1" t="s">
        <v>141</v>
      </c>
      <c r="C1797" s="54">
        <v>30368</v>
      </c>
      <c r="D1797" s="55">
        <v>9.6837782340862422</v>
      </c>
      <c r="F1797">
        <v>693.1530008453085</v>
      </c>
      <c r="N1797">
        <v>43.096784772153754</v>
      </c>
      <c r="X1797" s="19"/>
      <c r="AF1797" s="2">
        <v>8.6725760887028116</v>
      </c>
      <c r="AG1797">
        <v>14.575609756097561</v>
      </c>
      <c r="AH1797" s="2"/>
      <c r="AI1797">
        <v>12.064512474312343</v>
      </c>
      <c r="BM1797">
        <v>15.3</v>
      </c>
      <c r="BN1797">
        <v>11.129999999999999</v>
      </c>
      <c r="BO1797">
        <v>18.18</v>
      </c>
      <c r="BP1797">
        <v>4.3</v>
      </c>
      <c r="BQ1797">
        <v>19.2</v>
      </c>
      <c r="BR1797">
        <v>6.03</v>
      </c>
      <c r="BS1797">
        <v>15.7</v>
      </c>
    </row>
    <row r="1798" spans="1:71" customFormat="1">
      <c r="A1798" t="s">
        <v>134</v>
      </c>
      <c r="B1798" s="1" t="s">
        <v>141</v>
      </c>
      <c r="C1798" s="54">
        <v>30788</v>
      </c>
      <c r="D1798" s="55">
        <v>10.833675564681725</v>
      </c>
      <c r="F1798">
        <v>693.1530008453085</v>
      </c>
      <c r="N1798">
        <v>71.067044055661071</v>
      </c>
      <c r="X1798" s="19"/>
      <c r="AF1798" s="2">
        <v>10.695989542406675</v>
      </c>
      <c r="AG1798">
        <v>17.430487804878044</v>
      </c>
      <c r="AH1798" s="2"/>
      <c r="AI1798">
        <v>17.182619689383269</v>
      </c>
      <c r="BM1798">
        <v>18.25</v>
      </c>
      <c r="BN1798">
        <v>13.139999999999999</v>
      </c>
      <c r="BO1798">
        <v>20.990000000000002</v>
      </c>
      <c r="BP1798">
        <v>6.1</v>
      </c>
      <c r="BQ1798">
        <v>23.1</v>
      </c>
      <c r="BR1798">
        <v>6.49</v>
      </c>
      <c r="BS1798">
        <v>18.7</v>
      </c>
    </row>
    <row r="1799" spans="1:71" customFormat="1">
      <c r="A1799" t="s">
        <v>134</v>
      </c>
      <c r="B1799" s="1" t="s">
        <v>141</v>
      </c>
      <c r="C1799" s="54">
        <v>30921</v>
      </c>
      <c r="D1799" s="55">
        <v>11.197809719370294</v>
      </c>
      <c r="F1799">
        <v>693.1530008453085</v>
      </c>
      <c r="N1799">
        <v>75.976969446529793</v>
      </c>
      <c r="X1799" s="19"/>
      <c r="AF1799" s="2">
        <v>10.990623134516115</v>
      </c>
      <c r="AG1799">
        <v>17.846341463414635</v>
      </c>
      <c r="AH1799" s="2"/>
      <c r="AI1799">
        <v>18.005083600424406</v>
      </c>
      <c r="BM1799">
        <v>18.8</v>
      </c>
      <c r="BN1799">
        <v>13.52</v>
      </c>
      <c r="BO1799">
        <v>21.490000000000002</v>
      </c>
      <c r="BP1799">
        <v>6.3</v>
      </c>
      <c r="BQ1799">
        <v>23.5</v>
      </c>
      <c r="BR1799">
        <v>6.56</v>
      </c>
      <c r="BS1799">
        <v>19.2</v>
      </c>
    </row>
    <row r="1800" spans="1:71" customFormat="1">
      <c r="A1800" t="s">
        <v>134</v>
      </c>
      <c r="B1800" s="1" t="s">
        <v>141</v>
      </c>
      <c r="C1800" s="54">
        <v>31091</v>
      </c>
      <c r="D1800" s="55">
        <v>11.663244353182751</v>
      </c>
      <c r="F1800">
        <v>693.1530008453085</v>
      </c>
      <c r="N1800">
        <v>100.38678636987406</v>
      </c>
      <c r="X1800" s="19"/>
      <c r="AF1800" s="2">
        <v>12.284514806114323</v>
      </c>
      <c r="AG1800">
        <v>19.689024390243897</v>
      </c>
      <c r="AH1800" s="2"/>
      <c r="AI1800">
        <v>21.873710636731786</v>
      </c>
      <c r="BM1800">
        <v>20.75</v>
      </c>
      <c r="BN1800">
        <v>14.82</v>
      </c>
      <c r="BO1800">
        <v>23.4</v>
      </c>
      <c r="BP1800">
        <v>7.5</v>
      </c>
      <c r="BQ1800">
        <v>25.7</v>
      </c>
      <c r="BR1800">
        <v>6.78</v>
      </c>
      <c r="BS1800">
        <v>21.1</v>
      </c>
    </row>
    <row r="1801" spans="1:71" customFormat="1">
      <c r="A1801" t="s">
        <v>134</v>
      </c>
      <c r="B1801" s="1" t="s">
        <v>141</v>
      </c>
      <c r="C1801" s="54">
        <v>31126</v>
      </c>
      <c r="D1801" s="55">
        <v>11.759069130732374</v>
      </c>
      <c r="F1801">
        <v>693.1530008453085</v>
      </c>
      <c r="N1801">
        <v>108.50789263068431</v>
      </c>
      <c r="X1801" s="19"/>
      <c r="AF1801" s="2">
        <v>12.662352930753896</v>
      </c>
      <c r="AG1801">
        <v>20.228048780487807</v>
      </c>
      <c r="AH1801" s="2"/>
      <c r="AI1801">
        <v>23.087087728322416</v>
      </c>
      <c r="BM1801">
        <v>21.35</v>
      </c>
      <c r="BN1801">
        <v>15.31</v>
      </c>
      <c r="BO1801">
        <v>24.1</v>
      </c>
      <c r="BP1801">
        <v>7.7</v>
      </c>
      <c r="BQ1801">
        <v>26.2</v>
      </c>
      <c r="BR1801">
        <v>6.81</v>
      </c>
      <c r="BS1801">
        <v>21.7</v>
      </c>
    </row>
    <row r="1802" spans="1:71" customFormat="1">
      <c r="A1802" t="s">
        <v>134</v>
      </c>
      <c r="B1802" s="1" t="s">
        <v>141</v>
      </c>
      <c r="C1802" s="54">
        <v>31201</v>
      </c>
      <c r="D1802" s="55">
        <v>11.964407939767282</v>
      </c>
      <c r="F1802">
        <v>693.1530008453085</v>
      </c>
      <c r="N1802">
        <v>118.52729215314478</v>
      </c>
      <c r="X1802" s="19"/>
      <c r="AF1802" s="2">
        <v>13.099597591081785</v>
      </c>
      <c r="AG1802">
        <v>20.849999999999998</v>
      </c>
      <c r="AH1802" s="2"/>
      <c r="AI1802">
        <v>24.541621226398664</v>
      </c>
      <c r="BM1802">
        <v>22</v>
      </c>
      <c r="BN1802">
        <v>15.61</v>
      </c>
      <c r="BO1802">
        <v>24.89</v>
      </c>
      <c r="BP1802">
        <v>8</v>
      </c>
      <c r="BQ1802">
        <v>27.1</v>
      </c>
      <c r="BR1802">
        <v>6.76</v>
      </c>
      <c r="BS1802">
        <v>22.4</v>
      </c>
    </row>
    <row r="1803" spans="1:71" customFormat="1">
      <c r="A1803" t="s">
        <v>134</v>
      </c>
      <c r="B1803" s="1" t="s">
        <v>141</v>
      </c>
      <c r="C1803" s="54">
        <v>31338</v>
      </c>
      <c r="D1803" s="55">
        <v>12.33949349760438</v>
      </c>
      <c r="F1803">
        <v>693.1530008453085</v>
      </c>
      <c r="N1803">
        <v>129.77992436825747</v>
      </c>
      <c r="X1803" s="19"/>
      <c r="AF1803" s="2">
        <v>13.561886575085278</v>
      </c>
      <c r="AG1803">
        <v>21.520731707317065</v>
      </c>
      <c r="AH1803" s="2"/>
      <c r="AI1803">
        <v>26.140726410072066</v>
      </c>
      <c r="BM1803">
        <v>22.65</v>
      </c>
      <c r="BN1803">
        <v>16.02</v>
      </c>
      <c r="BO1803">
        <v>25.790000000000003</v>
      </c>
      <c r="BP1803">
        <v>8.1999999999999993</v>
      </c>
      <c r="BQ1803">
        <v>27.9</v>
      </c>
      <c r="BR1803">
        <v>6.79</v>
      </c>
      <c r="BS1803">
        <v>23.1</v>
      </c>
    </row>
    <row r="1804" spans="1:71" customFormat="1">
      <c r="A1804" t="s">
        <v>134</v>
      </c>
      <c r="B1804" s="1" t="s">
        <v>141</v>
      </c>
      <c r="C1804" s="54">
        <v>31447</v>
      </c>
      <c r="D1804" s="55">
        <v>12.63791923340178</v>
      </c>
      <c r="F1804">
        <v>693.1530008453085</v>
      </c>
      <c r="N1804">
        <v>148.17959971611438</v>
      </c>
      <c r="X1804" s="19"/>
      <c r="AF1804" s="2">
        <v>14.252958127009462</v>
      </c>
      <c r="AG1804">
        <v>22.526829268292687</v>
      </c>
      <c r="AH1804" s="2"/>
      <c r="AI1804">
        <v>28.655016305716511</v>
      </c>
      <c r="BM1804">
        <v>23.5</v>
      </c>
      <c r="BN1804">
        <v>16.7</v>
      </c>
      <c r="BO1804">
        <v>27.2</v>
      </c>
      <c r="BP1804">
        <v>8.8000000000000007</v>
      </c>
      <c r="BQ1804">
        <v>29.2</v>
      </c>
      <c r="BR1804">
        <v>6.74</v>
      </c>
      <c r="BS1804">
        <v>24.2</v>
      </c>
    </row>
    <row r="1805" spans="1:71" customFormat="1">
      <c r="A1805" t="s">
        <v>134</v>
      </c>
      <c r="B1805" s="1" t="s">
        <v>141</v>
      </c>
      <c r="C1805" s="54">
        <v>31517</v>
      </c>
      <c r="D1805" s="55">
        <v>12.829568788501026</v>
      </c>
      <c r="F1805">
        <v>693.1530008453085</v>
      </c>
      <c r="N1805">
        <v>160.88595018627191</v>
      </c>
      <c r="X1805" s="19"/>
      <c r="AF1805" s="2">
        <v>14.689963610731638</v>
      </c>
      <c r="AG1805">
        <v>23.16463414634147</v>
      </c>
      <c r="AH1805" s="2"/>
      <c r="AI1805">
        <v>30.325803179755102</v>
      </c>
      <c r="BM1805">
        <v>24.15</v>
      </c>
      <c r="BN1805">
        <v>17</v>
      </c>
      <c r="BO1805">
        <v>28.28</v>
      </c>
      <c r="BP1805">
        <v>9.1999999999999993</v>
      </c>
      <c r="BQ1805">
        <v>30.2</v>
      </c>
      <c r="BR1805">
        <v>6.65</v>
      </c>
      <c r="BS1805">
        <v>24.9</v>
      </c>
    </row>
    <row r="1806" spans="1:71" customFormat="1">
      <c r="A1806" t="s">
        <v>134</v>
      </c>
      <c r="B1806" s="1" t="s">
        <v>141</v>
      </c>
      <c r="C1806" s="54">
        <v>31583</v>
      </c>
      <c r="D1806" s="55">
        <v>13.010266940451745</v>
      </c>
      <c r="F1806">
        <v>693.1530008453085</v>
      </c>
      <c r="N1806">
        <v>165.03298253162836</v>
      </c>
      <c r="X1806" s="19"/>
      <c r="AF1806" s="2">
        <v>14.82533912168685</v>
      </c>
      <c r="AG1806">
        <v>23.359756097560972</v>
      </c>
      <c r="AH1806" s="2"/>
      <c r="AI1806">
        <v>30.856660636604289</v>
      </c>
      <c r="BM1806">
        <v>24.45</v>
      </c>
      <c r="BN1806">
        <v>17.010000000000002</v>
      </c>
      <c r="BO1806">
        <v>28.5</v>
      </c>
      <c r="BP1806">
        <v>9.1999999999999993</v>
      </c>
      <c r="BQ1806">
        <v>30.4</v>
      </c>
      <c r="BR1806">
        <v>6.59</v>
      </c>
      <c r="BS1806">
        <v>25.1</v>
      </c>
    </row>
    <row r="1807" spans="1:71" customFormat="1">
      <c r="A1807" t="s">
        <v>134</v>
      </c>
      <c r="B1807" s="1" t="s">
        <v>141</v>
      </c>
      <c r="C1807" s="54">
        <v>31705</v>
      </c>
      <c r="D1807" s="55">
        <v>13.344284736481862</v>
      </c>
      <c r="F1807">
        <v>693.1530008453085</v>
      </c>
      <c r="N1807">
        <v>180.93309916678092</v>
      </c>
      <c r="X1807" s="19"/>
      <c r="AF1807" s="2">
        <v>15.331741780957516</v>
      </c>
      <c r="AG1807">
        <v>24.119512195121953</v>
      </c>
      <c r="AH1807" s="2"/>
      <c r="AI1807">
        <v>32.900362259907745</v>
      </c>
      <c r="BM1807">
        <v>25.15</v>
      </c>
      <c r="BN1807">
        <v>17.23</v>
      </c>
      <c r="BO1807">
        <v>29.490000000000002</v>
      </c>
      <c r="BP1807">
        <v>9.5</v>
      </c>
      <c r="BQ1807">
        <v>31.3</v>
      </c>
      <c r="BR1807">
        <v>6.59</v>
      </c>
      <c r="BS1807">
        <v>25.9</v>
      </c>
    </row>
    <row r="1808" spans="1:71" customFormat="1">
      <c r="A1808" t="s">
        <v>134</v>
      </c>
      <c r="B1808" s="1" t="s">
        <v>141</v>
      </c>
      <c r="C1808" s="54">
        <v>31795</v>
      </c>
      <c r="D1808" s="55">
        <v>13.59069130732375</v>
      </c>
      <c r="F1808">
        <v>693.1530008453085</v>
      </c>
      <c r="N1808">
        <v>202.61952008192901</v>
      </c>
      <c r="X1808" s="19"/>
      <c r="AF1808" s="2">
        <v>15.963202047964021</v>
      </c>
      <c r="AG1808">
        <v>25.069512195121956</v>
      </c>
      <c r="AH1808" s="2"/>
      <c r="AI1808">
        <v>35.582965040069972</v>
      </c>
      <c r="BM1808">
        <v>26.2</v>
      </c>
      <c r="BN1808">
        <v>17.66</v>
      </c>
      <c r="BO1808">
        <v>30.590000000000003</v>
      </c>
      <c r="BP1808">
        <v>9.6</v>
      </c>
      <c r="BQ1808">
        <v>32.700000000000003</v>
      </c>
      <c r="BR1808">
        <v>6.44</v>
      </c>
      <c r="BS1808">
        <v>27</v>
      </c>
    </row>
    <row r="1809" spans="1:71" customFormat="1">
      <c r="A1809" t="s">
        <v>134</v>
      </c>
      <c r="B1809" s="1" t="s">
        <v>141</v>
      </c>
      <c r="C1809" s="54">
        <v>31880</v>
      </c>
      <c r="D1809" s="55">
        <v>13.82340862422998</v>
      </c>
      <c r="F1809">
        <v>693.1530008453085</v>
      </c>
      <c r="N1809">
        <v>216.44687108907115</v>
      </c>
      <c r="X1809" s="19"/>
      <c r="AF1809" s="2">
        <v>16.332989824236375</v>
      </c>
      <c r="AG1809">
        <v>25.623170731707315</v>
      </c>
      <c r="AH1809" s="2"/>
      <c r="AI1809">
        <v>37.227109455700152</v>
      </c>
      <c r="BM1809">
        <v>26.8</v>
      </c>
      <c r="BN1809">
        <v>17.690000000000001</v>
      </c>
      <c r="BO1809">
        <v>31.39</v>
      </c>
      <c r="BP1809">
        <v>9.6</v>
      </c>
      <c r="BQ1809">
        <v>33.5</v>
      </c>
      <c r="BR1809">
        <v>6.31</v>
      </c>
      <c r="BS1809">
        <v>27.6</v>
      </c>
    </row>
    <row r="1810" spans="1:71" customFormat="1">
      <c r="A1810" t="s">
        <v>134</v>
      </c>
      <c r="B1810" s="1" t="s">
        <v>141</v>
      </c>
      <c r="C1810" s="54">
        <v>31944</v>
      </c>
      <c r="D1810" s="55">
        <v>13.998631074606434</v>
      </c>
      <c r="F1810">
        <v>693.1530008453085</v>
      </c>
      <c r="N1810">
        <v>224.30490867688141</v>
      </c>
      <c r="X1810" s="19"/>
      <c r="AF1810" s="2">
        <v>16.537993858280185</v>
      </c>
      <c r="AG1810">
        <v>25.94146341463415</v>
      </c>
      <c r="AH1810" s="2"/>
      <c r="AI1810">
        <v>38.162994687311716</v>
      </c>
      <c r="BM1810">
        <v>27.1</v>
      </c>
      <c r="BN1810">
        <v>17.979999999999997</v>
      </c>
      <c r="BO1810">
        <v>31.68</v>
      </c>
      <c r="BP1810">
        <v>9.8000000000000007</v>
      </c>
      <c r="BQ1810">
        <v>34</v>
      </c>
      <c r="BR1810">
        <v>6.27</v>
      </c>
      <c r="BS1810">
        <v>28</v>
      </c>
    </row>
    <row r="1811" spans="1:71" customFormat="1">
      <c r="A1811" t="s">
        <v>134</v>
      </c>
      <c r="B1811" s="1" t="s">
        <v>141</v>
      </c>
      <c r="C1811" s="54">
        <v>32072</v>
      </c>
      <c r="D1811" s="55">
        <v>14.349075975359343</v>
      </c>
      <c r="F1811">
        <v>693.1530008453085</v>
      </c>
      <c r="N1811">
        <v>237.48532581085789</v>
      </c>
      <c r="X1811" s="19"/>
      <c r="AF1811" s="2">
        <v>16.866591916860038</v>
      </c>
      <c r="AG1811">
        <v>26.447560975609747</v>
      </c>
      <c r="AH1811" s="2"/>
      <c r="AI1811">
        <v>39.700735245251543</v>
      </c>
      <c r="BM1811">
        <v>27.5</v>
      </c>
      <c r="BN1811">
        <v>18.200000000000003</v>
      </c>
      <c r="BO1811">
        <v>32.4</v>
      </c>
      <c r="BP1811">
        <v>9.8000000000000007</v>
      </c>
      <c r="BQ1811">
        <v>35.1</v>
      </c>
      <c r="BR1811">
        <v>6.2</v>
      </c>
      <c r="BS1811">
        <v>28.5</v>
      </c>
    </row>
    <row r="1812" spans="1:71" customFormat="1">
      <c r="A1812" t="s">
        <v>134</v>
      </c>
      <c r="B1812" s="1" t="s">
        <v>141</v>
      </c>
      <c r="C1812" s="54">
        <v>32152</v>
      </c>
      <c r="D1812" s="55">
        <v>14.568104038329912</v>
      </c>
      <c r="F1812">
        <v>693.1530008453085</v>
      </c>
      <c r="N1812">
        <v>252.96607540361563</v>
      </c>
      <c r="X1812" s="19"/>
      <c r="AF1812" s="2">
        <v>17.230255064843099</v>
      </c>
      <c r="AG1812">
        <v>27.007317073170736</v>
      </c>
      <c r="AH1812" s="2"/>
      <c r="AI1812">
        <v>41.458573181999085</v>
      </c>
      <c r="BM1812">
        <v>28</v>
      </c>
      <c r="BN1812">
        <v>18.579999999999998</v>
      </c>
      <c r="BO1812">
        <v>33.1</v>
      </c>
      <c r="BP1812">
        <v>9.9</v>
      </c>
      <c r="BQ1812">
        <v>36.1</v>
      </c>
      <c r="BR1812">
        <v>6.06</v>
      </c>
      <c r="BS1812">
        <v>29.2</v>
      </c>
    </row>
    <row r="1813" spans="1:71" customFormat="1">
      <c r="A1813" t="s">
        <v>134</v>
      </c>
      <c r="B1813" s="1" t="s">
        <v>141</v>
      </c>
      <c r="C1813" s="54">
        <v>32248</v>
      </c>
      <c r="D1813" s="55">
        <v>14.830937713894592</v>
      </c>
      <c r="F1813">
        <v>693.1530008453085</v>
      </c>
      <c r="N1813">
        <v>270.09638456367531</v>
      </c>
      <c r="X1813" s="19"/>
      <c r="AF1813" s="2">
        <v>17.60944780690992</v>
      </c>
      <c r="AG1813">
        <v>27.593902439024394</v>
      </c>
      <c r="AH1813" s="2"/>
      <c r="AI1813">
        <v>43.356946269404233</v>
      </c>
      <c r="BM1813">
        <v>28.55</v>
      </c>
      <c r="BN1813">
        <v>18.959999999999997</v>
      </c>
      <c r="BO1813">
        <v>34</v>
      </c>
      <c r="BP1813">
        <v>9.9</v>
      </c>
      <c r="BQ1813">
        <v>37.200000000000003</v>
      </c>
      <c r="BR1813">
        <v>5.89</v>
      </c>
      <c r="BS1813">
        <v>29.8</v>
      </c>
    </row>
    <row r="1814" spans="1:71" customFormat="1">
      <c r="A1814" t="s">
        <v>134</v>
      </c>
      <c r="B1814" s="1" t="s">
        <v>141</v>
      </c>
      <c r="C1814" s="54">
        <v>32309</v>
      </c>
      <c r="D1814" s="55">
        <v>14.997946611909651</v>
      </c>
      <c r="F1814">
        <v>693.1530008453085</v>
      </c>
      <c r="N1814">
        <v>275.92083341482208</v>
      </c>
      <c r="X1814" s="19"/>
      <c r="AF1814" s="2">
        <v>17.733034581572046</v>
      </c>
      <c r="AG1814">
        <v>27.785365853658536</v>
      </c>
      <c r="AH1814" s="2"/>
      <c r="AI1814">
        <v>43.990635781645324</v>
      </c>
      <c r="BM1814">
        <v>28.85</v>
      </c>
      <c r="BN1814">
        <v>18.959999999999997</v>
      </c>
      <c r="BO1814">
        <v>34.190000000000005</v>
      </c>
      <c r="BP1814">
        <v>9.9</v>
      </c>
      <c r="BQ1814">
        <v>37.700000000000003</v>
      </c>
      <c r="BR1814">
        <v>5.83</v>
      </c>
      <c r="BS1814">
        <v>30.1</v>
      </c>
    </row>
    <row r="1815" spans="1:71" customFormat="1">
      <c r="A1815" t="s">
        <v>134</v>
      </c>
      <c r="B1815" s="1" t="s">
        <v>141</v>
      </c>
      <c r="C1815" s="54">
        <v>32426</v>
      </c>
      <c r="D1815" s="55">
        <v>15.318275154004107</v>
      </c>
      <c r="F1815">
        <v>397.29501267962803</v>
      </c>
      <c r="N1815">
        <v>188.69560084491337</v>
      </c>
      <c r="X1815" s="19"/>
      <c r="AF1815" s="2">
        <v>18.988035457255908</v>
      </c>
      <c r="AG1815">
        <v>30.304255319148925</v>
      </c>
      <c r="AH1815" s="2"/>
      <c r="AI1815">
        <v>29.16030682826948</v>
      </c>
      <c r="BM1815">
        <v>30.1</v>
      </c>
      <c r="BN1815">
        <v>26.220000000000002</v>
      </c>
      <c r="BO1815">
        <v>35</v>
      </c>
      <c r="BP1815">
        <v>19.399999999999999</v>
      </c>
      <c r="BQ1815">
        <v>38.5</v>
      </c>
      <c r="BR1815">
        <v>8.49</v>
      </c>
      <c r="BS1815">
        <v>32</v>
      </c>
    </row>
    <row r="1816" spans="1:71" customFormat="1">
      <c r="A1816" t="s">
        <v>134</v>
      </c>
      <c r="B1816" s="1" t="s">
        <v>141</v>
      </c>
      <c r="C1816" s="54">
        <v>32477</v>
      </c>
      <c r="D1816" s="55">
        <v>15.457905544147843</v>
      </c>
      <c r="F1816">
        <v>397.29501267962803</v>
      </c>
      <c r="N1816">
        <v>194.45501363559677</v>
      </c>
      <c r="X1816" s="19"/>
      <c r="AF1816" s="2">
        <v>19.174644633080646</v>
      </c>
      <c r="AG1816">
        <v>30.625531914893617</v>
      </c>
      <c r="AH1816" s="2"/>
      <c r="AI1816">
        <v>29.790026195948343</v>
      </c>
      <c r="BM1816">
        <v>30.3</v>
      </c>
      <c r="BN1816">
        <v>26.48</v>
      </c>
      <c r="BO1816">
        <v>35.520000000000003</v>
      </c>
      <c r="BP1816">
        <v>19.399999999999999</v>
      </c>
      <c r="BQ1816">
        <v>39.299999999999997</v>
      </c>
      <c r="BR1816">
        <v>8.41</v>
      </c>
      <c r="BS1816">
        <v>32.4</v>
      </c>
    </row>
    <row r="1817" spans="1:71" customFormat="1">
      <c r="A1817" t="s">
        <v>134</v>
      </c>
      <c r="B1817" s="1" t="s">
        <v>141</v>
      </c>
      <c r="C1817" s="54">
        <v>32567</v>
      </c>
      <c r="D1817" s="55">
        <v>15.704312114989733</v>
      </c>
      <c r="F1817">
        <v>397.29501267962803</v>
      </c>
      <c r="N1817">
        <v>198.25949701136125</v>
      </c>
      <c r="X1817" s="19"/>
      <c r="AF1817" s="2">
        <v>19.296550270762765</v>
      </c>
      <c r="AG1817">
        <v>30.840425531914899</v>
      </c>
      <c r="AH1817" s="2"/>
      <c r="AI1817">
        <v>30.207840757377699</v>
      </c>
      <c r="BM1817">
        <v>30.6</v>
      </c>
      <c r="BN1817">
        <v>26.560000000000002</v>
      </c>
      <c r="BO1817">
        <v>35.700000000000003</v>
      </c>
      <c r="BP1817">
        <v>19.5</v>
      </c>
      <c r="BQ1817">
        <v>39.4</v>
      </c>
      <c r="BR1817">
        <v>8.48</v>
      </c>
      <c r="BS1817">
        <v>32.6</v>
      </c>
    </row>
    <row r="1818" spans="1:71" customFormat="1">
      <c r="A1818" t="s">
        <v>134</v>
      </c>
      <c r="B1818" s="1" t="s">
        <v>141</v>
      </c>
      <c r="C1818" s="54">
        <v>32659</v>
      </c>
      <c r="D1818" s="55">
        <v>15.956194387405887</v>
      </c>
      <c r="F1818">
        <v>388.84192730346575</v>
      </c>
      <c r="N1818">
        <v>203.27199473944634</v>
      </c>
      <c r="X1818" s="19"/>
      <c r="AF1818" s="2">
        <v>19.587765887791928</v>
      </c>
      <c r="AG1818">
        <v>31.35217391304348</v>
      </c>
      <c r="AH1818" s="2"/>
      <c r="AI1818">
        <v>30.562717241131573</v>
      </c>
      <c r="BM1818">
        <v>31.2</v>
      </c>
      <c r="BN1818">
        <v>27</v>
      </c>
      <c r="BO1818">
        <v>36.5</v>
      </c>
      <c r="BP1818">
        <v>20</v>
      </c>
      <c r="BQ1818">
        <v>40</v>
      </c>
      <c r="BR1818">
        <v>8.36</v>
      </c>
      <c r="BS1818">
        <v>33.200000000000003</v>
      </c>
    </row>
    <row r="1819" spans="1:71" customFormat="1">
      <c r="A1819" t="s">
        <v>134</v>
      </c>
      <c r="B1819" s="1" t="s">
        <v>141</v>
      </c>
      <c r="C1819" s="54">
        <v>32689</v>
      </c>
      <c r="D1819" s="55">
        <v>16.038329911019851</v>
      </c>
      <c r="F1819">
        <v>388.84192730346575</v>
      </c>
      <c r="N1819">
        <v>204.55162301774726</v>
      </c>
      <c r="X1819" s="19"/>
      <c r="AF1819" s="2">
        <v>19.628869623389466</v>
      </c>
      <c r="AG1819">
        <v>31.428260869565218</v>
      </c>
      <c r="AH1819" s="2"/>
      <c r="AI1819">
        <v>30.705927923994174</v>
      </c>
      <c r="BM1819">
        <v>31.3</v>
      </c>
      <c r="BN1819">
        <v>27.05</v>
      </c>
      <c r="BO1819">
        <v>36.700000000000003</v>
      </c>
      <c r="BP1819">
        <v>20</v>
      </c>
      <c r="BQ1819">
        <v>40.200000000000003</v>
      </c>
      <c r="BR1819">
        <v>8.39</v>
      </c>
      <c r="BS1819">
        <v>33.299999999999997</v>
      </c>
    </row>
    <row r="1820" spans="1:71" customFormat="1">
      <c r="A1820" t="s">
        <v>134</v>
      </c>
      <c r="B1820" s="1" t="s">
        <v>141</v>
      </c>
      <c r="C1820" s="54">
        <v>32751</v>
      </c>
      <c r="D1820" s="55">
        <v>16.208076659822041</v>
      </c>
      <c r="F1820">
        <v>388.84192730346575</v>
      </c>
      <c r="N1820">
        <v>217.05458300693076</v>
      </c>
      <c r="X1820" s="19"/>
      <c r="AF1820" s="2">
        <v>20.009790864209261</v>
      </c>
      <c r="AG1820">
        <v>32.126086956521732</v>
      </c>
      <c r="AH1820" s="2"/>
      <c r="AI1820">
        <v>32.062382917692823</v>
      </c>
      <c r="BM1820">
        <v>32.299999999999997</v>
      </c>
      <c r="BN1820">
        <v>27.549999999999997</v>
      </c>
      <c r="BO1820">
        <v>37.549999999999997</v>
      </c>
      <c r="BP1820">
        <v>20.7</v>
      </c>
      <c r="BQ1820">
        <v>41.1</v>
      </c>
      <c r="BR1820">
        <v>8.65</v>
      </c>
      <c r="BS1820">
        <v>33.9</v>
      </c>
    </row>
    <row r="1821" spans="1:71" customFormat="1">
      <c r="A1821" t="s">
        <v>134</v>
      </c>
      <c r="B1821" s="1" t="s">
        <v>141</v>
      </c>
      <c r="C1821" s="54">
        <v>32843</v>
      </c>
      <c r="D1821" s="55">
        <v>16.459958932238195</v>
      </c>
      <c r="F1821">
        <v>388.84192730346575</v>
      </c>
      <c r="N1821">
        <v>225.85425452506951</v>
      </c>
      <c r="X1821" s="19"/>
      <c r="AF1821" s="2">
        <v>20.263685621276188</v>
      </c>
      <c r="AG1821">
        <v>32.591304347826096</v>
      </c>
      <c r="AH1821" s="2"/>
      <c r="AI1821">
        <v>32.99682747811709</v>
      </c>
      <c r="BM1821">
        <v>32.75</v>
      </c>
      <c r="BN1821">
        <v>28.05</v>
      </c>
      <c r="BO1821">
        <v>38.150000000000006</v>
      </c>
      <c r="BP1821">
        <v>21</v>
      </c>
      <c r="BQ1821">
        <v>41.6</v>
      </c>
      <c r="BR1821">
        <v>8.65</v>
      </c>
      <c r="BS1821">
        <v>34.4</v>
      </c>
    </row>
    <row r="1822" spans="1:71" customFormat="1">
      <c r="A1822" t="s">
        <v>134</v>
      </c>
      <c r="B1822" s="1" t="s">
        <v>141</v>
      </c>
      <c r="C1822" s="54">
        <v>32933</v>
      </c>
      <c r="D1822" s="55">
        <v>16.706365503080082</v>
      </c>
      <c r="F1822">
        <v>388.84192730346575</v>
      </c>
      <c r="N1822">
        <v>233.27924069365937</v>
      </c>
      <c r="X1822" s="19"/>
      <c r="AF1822" s="2">
        <v>20.469567713250687</v>
      </c>
      <c r="AG1822">
        <v>32.967391304347828</v>
      </c>
      <c r="AH1822" s="2"/>
      <c r="AI1822">
        <v>33.773123520787422</v>
      </c>
      <c r="BM1822">
        <v>33.049999999999997</v>
      </c>
      <c r="BN1822">
        <v>28.450000000000003</v>
      </c>
      <c r="BO1822">
        <v>38.950000000000003</v>
      </c>
      <c r="BP1822">
        <v>21.2</v>
      </c>
      <c r="BQ1822">
        <v>42</v>
      </c>
      <c r="BR1822">
        <v>8.57</v>
      </c>
      <c r="BS1822">
        <v>34.9</v>
      </c>
    </row>
    <row r="1823" spans="1:71" customFormat="1">
      <c r="A1823" t="s">
        <v>134</v>
      </c>
      <c r="B1823" s="1" t="s">
        <v>141</v>
      </c>
      <c r="C1823" s="54">
        <v>33025</v>
      </c>
      <c r="D1823" s="55">
        <v>16.958247775496236</v>
      </c>
      <c r="F1823">
        <v>388.84192730346575</v>
      </c>
      <c r="N1823">
        <v>234.63895218508165</v>
      </c>
      <c r="X1823" s="19"/>
      <c r="AF1823" s="2">
        <v>20.50918895195257</v>
      </c>
      <c r="AG1823">
        <v>33.047826086956526</v>
      </c>
      <c r="AH1823" s="2"/>
      <c r="AI1823">
        <v>33.924473663906376</v>
      </c>
      <c r="BM1823">
        <v>33.25</v>
      </c>
      <c r="BN1823">
        <v>28.700000000000003</v>
      </c>
      <c r="BO1823">
        <v>39.049999999999997</v>
      </c>
      <c r="BP1823">
        <v>21.3</v>
      </c>
      <c r="BQ1823">
        <v>42.1</v>
      </c>
      <c r="BR1823">
        <v>8.65</v>
      </c>
      <c r="BS1823">
        <v>34.9</v>
      </c>
    </row>
    <row r="1824" spans="1:71" customFormat="1">
      <c r="A1824" t="s">
        <v>134</v>
      </c>
      <c r="B1824" s="1" t="s">
        <v>141</v>
      </c>
      <c r="C1824" s="54">
        <v>33119</v>
      </c>
      <c r="D1824" s="55">
        <v>17.215605749486652</v>
      </c>
      <c r="F1824">
        <v>388.84192730346575</v>
      </c>
      <c r="N1824">
        <v>247.79294932241339</v>
      </c>
      <c r="X1824" s="19"/>
      <c r="AF1824" s="2">
        <v>20.861870474881361</v>
      </c>
      <c r="AG1824">
        <v>33.713043478260879</v>
      </c>
      <c r="AH1824" s="2"/>
      <c r="AI1824">
        <v>35.300347842963738</v>
      </c>
      <c r="BM1824">
        <v>33.9</v>
      </c>
      <c r="BN1824">
        <v>29.15</v>
      </c>
      <c r="BO1824">
        <v>39.650000000000006</v>
      </c>
      <c r="BP1824">
        <v>21.8</v>
      </c>
      <c r="BQ1824">
        <v>43.3</v>
      </c>
      <c r="BR1824">
        <v>8.67</v>
      </c>
      <c r="BS1824">
        <v>35.6</v>
      </c>
    </row>
    <row r="1825" spans="1:71" customFormat="1">
      <c r="A1825" t="s">
        <v>134</v>
      </c>
      <c r="B1825" s="1" t="s">
        <v>141</v>
      </c>
      <c r="C1825" s="54">
        <v>34408</v>
      </c>
      <c r="D1825" s="55">
        <v>20.744695414099933</v>
      </c>
      <c r="F1825">
        <v>380.38884192730347</v>
      </c>
      <c r="N1825">
        <v>326.98350153491651</v>
      </c>
      <c r="X1825" s="19"/>
      <c r="AF1825" s="2">
        <v>22.80956349908611</v>
      </c>
      <c r="AG1825">
        <v>37.597777777777772</v>
      </c>
      <c r="AH1825" s="2"/>
      <c r="AI1825">
        <v>42.995995066127875</v>
      </c>
      <c r="BM1825">
        <v>37.4</v>
      </c>
      <c r="BN1825">
        <v>32.82</v>
      </c>
      <c r="BO1825">
        <v>43.96</v>
      </c>
      <c r="BP1825">
        <v>24.1</v>
      </c>
      <c r="BQ1825">
        <v>48.1</v>
      </c>
      <c r="BR1825">
        <v>7.99</v>
      </c>
      <c r="BS1825">
        <v>42.9</v>
      </c>
    </row>
    <row r="1826" spans="1:71" customFormat="1">
      <c r="A1826" t="s">
        <v>134</v>
      </c>
      <c r="B1826" s="1" t="s">
        <v>141</v>
      </c>
      <c r="C1826" s="54">
        <v>34530</v>
      </c>
      <c r="D1826" s="55">
        <v>21.078713210130047</v>
      </c>
      <c r="F1826">
        <v>380.38884192730347</v>
      </c>
      <c r="N1826">
        <v>336.67315332316247</v>
      </c>
      <c r="X1826" s="19"/>
      <c r="AF1826" s="2">
        <v>22.998047487427371</v>
      </c>
      <c r="AG1826">
        <v>37.988888888888901</v>
      </c>
      <c r="AH1826" s="2"/>
      <c r="AI1826">
        <v>43.921065305278098</v>
      </c>
      <c r="BM1826">
        <v>37.700000000000003</v>
      </c>
      <c r="BN1826">
        <v>33.059999999999995</v>
      </c>
      <c r="BO1826">
        <v>44.440000000000005</v>
      </c>
      <c r="BP1826">
        <v>24.6</v>
      </c>
      <c r="BQ1826">
        <v>49</v>
      </c>
      <c r="BR1826">
        <v>7.81</v>
      </c>
      <c r="BS1826">
        <v>43.3</v>
      </c>
    </row>
    <row r="1827" spans="1:71" customFormat="1">
      <c r="A1827" t="s">
        <v>134</v>
      </c>
      <c r="B1827" s="1" t="s">
        <v>141</v>
      </c>
      <c r="C1827" s="54">
        <v>34919</v>
      </c>
      <c r="D1827" s="55">
        <v>22.143737166324435</v>
      </c>
      <c r="F1827">
        <v>380.38884192730347</v>
      </c>
      <c r="N1827">
        <v>355.81173411044654</v>
      </c>
      <c r="X1827" s="19"/>
      <c r="AF1827" s="2">
        <v>23.361659660216532</v>
      </c>
      <c r="AG1827">
        <v>38.776666666666671</v>
      </c>
      <c r="AH1827" s="2"/>
      <c r="AI1827">
        <v>45.766563436446241</v>
      </c>
      <c r="BM1827">
        <v>38.700000000000003</v>
      </c>
      <c r="BN1827">
        <v>33.869999999999997</v>
      </c>
      <c r="BO1827">
        <v>45.440000000000005</v>
      </c>
      <c r="BP1827">
        <v>24.9</v>
      </c>
      <c r="BQ1827">
        <v>49.75</v>
      </c>
      <c r="BR1827">
        <v>7.71</v>
      </c>
      <c r="BS1827">
        <v>44.5</v>
      </c>
    </row>
    <row r="1828" spans="1:71" customFormat="1">
      <c r="A1828" t="s">
        <v>134</v>
      </c>
      <c r="B1828" s="1" t="s">
        <v>141</v>
      </c>
      <c r="C1828" s="54">
        <v>35299</v>
      </c>
      <c r="D1828" s="55">
        <v>23.184120465434635</v>
      </c>
      <c r="F1828">
        <v>380.38884192730347</v>
      </c>
      <c r="N1828">
        <v>380.45210189984425</v>
      </c>
      <c r="X1828" s="19"/>
      <c r="AF1828" s="2">
        <v>23.800255064594609</v>
      </c>
      <c r="AG1828">
        <v>39.745555555555555</v>
      </c>
      <c r="AH1828" s="2"/>
      <c r="AI1828">
        <v>48.10605078819237</v>
      </c>
      <c r="BM1828">
        <v>39.700000000000003</v>
      </c>
      <c r="BN1828">
        <v>34.480000000000004</v>
      </c>
      <c r="BO1828">
        <v>46.36</v>
      </c>
      <c r="BP1828">
        <v>25.3</v>
      </c>
      <c r="BQ1828">
        <v>51.1</v>
      </c>
      <c r="BR1828">
        <v>7.69</v>
      </c>
      <c r="BS1828">
        <v>45.6</v>
      </c>
    </row>
    <row r="1829" spans="1:71" customFormat="1">
      <c r="A1829" t="s">
        <v>134</v>
      </c>
      <c r="B1829" s="1" t="s">
        <v>141</v>
      </c>
      <c r="C1829" s="54">
        <v>35681</v>
      </c>
      <c r="D1829" s="55">
        <v>24.229979466119097</v>
      </c>
      <c r="F1829">
        <v>380.38884192730347</v>
      </c>
      <c r="N1829">
        <v>395.39802176491321</v>
      </c>
      <c r="X1829" s="19"/>
      <c r="AF1829" s="2">
        <v>24.054173854378561</v>
      </c>
      <c r="AG1829">
        <v>40.326666666666668</v>
      </c>
      <c r="AH1829" s="2"/>
      <c r="AI1829">
        <v>49.521000683566029</v>
      </c>
      <c r="BM1829">
        <v>40.200000000000003</v>
      </c>
      <c r="BN1829">
        <v>34.92</v>
      </c>
      <c r="BO1829">
        <v>46.9</v>
      </c>
      <c r="BP1829">
        <v>25.6</v>
      </c>
      <c r="BQ1829">
        <v>51.8</v>
      </c>
      <c r="BR1829">
        <v>7.61</v>
      </c>
      <c r="BS1829">
        <v>46.5</v>
      </c>
    </row>
    <row r="1830" spans="1:71" customFormat="1">
      <c r="A1830" t="s">
        <v>134</v>
      </c>
      <c r="B1830" s="1" t="s">
        <v>141</v>
      </c>
      <c r="C1830" s="54">
        <v>36035</v>
      </c>
      <c r="D1830" s="55">
        <v>25.199178644763862</v>
      </c>
      <c r="F1830">
        <v>380.38884192730347</v>
      </c>
      <c r="N1830">
        <v>403.41181259856796</v>
      </c>
      <c r="X1830" s="19"/>
      <c r="AF1830" s="2">
        <v>24.183722150160641</v>
      </c>
      <c r="AG1830">
        <v>40.61999999999999</v>
      </c>
      <c r="AH1830" s="2"/>
      <c r="AI1830">
        <v>50.260921438516526</v>
      </c>
      <c r="BM1830">
        <v>40.5</v>
      </c>
      <c r="BN1830">
        <v>34.980000000000004</v>
      </c>
      <c r="BO1830">
        <v>47.22</v>
      </c>
      <c r="BP1830">
        <v>25.6</v>
      </c>
      <c r="BQ1830">
        <v>51.9</v>
      </c>
      <c r="BR1830">
        <v>7.58</v>
      </c>
      <c r="BS1830">
        <v>47.1</v>
      </c>
    </row>
    <row r="1831" spans="1:71" customFormat="1">
      <c r="A1831" t="s">
        <v>134</v>
      </c>
      <c r="B1831" s="1" t="s">
        <v>141</v>
      </c>
      <c r="C1831" s="54">
        <v>36409</v>
      </c>
      <c r="D1831" s="55">
        <v>26.223134839151268</v>
      </c>
      <c r="F1831">
        <v>380.38884192730347</v>
      </c>
      <c r="N1831">
        <v>415.48805651555591</v>
      </c>
      <c r="X1831" s="19"/>
      <c r="AF1831" s="2">
        <v>24.374992817209034</v>
      </c>
      <c r="AG1831">
        <v>41.059999999999995</v>
      </c>
      <c r="AH1831" s="2"/>
      <c r="AI1831">
        <v>51.376478948201012</v>
      </c>
      <c r="BM1831">
        <v>41.1</v>
      </c>
      <c r="BN1831">
        <v>35.46</v>
      </c>
      <c r="BO1831">
        <v>47.7</v>
      </c>
      <c r="BP1831">
        <v>25.6</v>
      </c>
      <c r="BQ1831">
        <v>52.9</v>
      </c>
      <c r="BR1831">
        <v>7.35</v>
      </c>
      <c r="BS1831">
        <v>47.8</v>
      </c>
    </row>
    <row r="1832" spans="1:71" customFormat="1">
      <c r="A1832" t="s">
        <v>134</v>
      </c>
      <c r="B1832" s="1" t="s">
        <v>141</v>
      </c>
      <c r="C1832" s="54">
        <v>36774</v>
      </c>
      <c r="D1832" s="55">
        <v>27.222450376454482</v>
      </c>
      <c r="F1832">
        <v>380.38884192730347</v>
      </c>
      <c r="N1832">
        <v>429.87418279276631</v>
      </c>
      <c r="X1832" s="19"/>
      <c r="AF1832" s="2">
        <v>24.593975354014802</v>
      </c>
      <c r="AG1832">
        <v>41.56666666666667</v>
      </c>
      <c r="AH1832" s="2"/>
      <c r="AI1832">
        <v>52.688724589659053</v>
      </c>
      <c r="BM1832">
        <v>41.9</v>
      </c>
      <c r="BN1832">
        <v>35.880000000000003</v>
      </c>
      <c r="BO1832">
        <v>48.42</v>
      </c>
      <c r="BP1832">
        <v>25.7</v>
      </c>
      <c r="BQ1832">
        <v>54.2</v>
      </c>
      <c r="BR1832">
        <v>7.19</v>
      </c>
      <c r="BS1832">
        <v>48.4</v>
      </c>
    </row>
    <row r="1833" spans="1:71" customFormat="1">
      <c r="A1833" t="s">
        <v>131</v>
      </c>
      <c r="B1833" s="1" t="s">
        <v>138</v>
      </c>
      <c r="C1833" s="54">
        <v>30368</v>
      </c>
      <c r="D1833" s="55">
        <v>9.6837782340862422</v>
      </c>
      <c r="F1833">
        <v>702.95430796998198</v>
      </c>
      <c r="N1833">
        <v>38.76210787496386</v>
      </c>
      <c r="X1833" s="19"/>
      <c r="AF1833" s="2">
        <v>8.2225687309244204</v>
      </c>
      <c r="AG1833">
        <v>13.944594594594601</v>
      </c>
      <c r="AH1833" s="2"/>
      <c r="AI1833">
        <v>11.199649484328882</v>
      </c>
      <c r="BM1833">
        <v>13.9</v>
      </c>
      <c r="BN1833">
        <v>10.029999999999999</v>
      </c>
      <c r="BO1833">
        <v>17.940000000000001</v>
      </c>
      <c r="BP1833">
        <v>8.1999999999999993</v>
      </c>
      <c r="BQ1833">
        <v>22.3</v>
      </c>
      <c r="BR1833">
        <v>5.19</v>
      </c>
      <c r="BS1833">
        <v>15.1</v>
      </c>
    </row>
    <row r="1834" spans="1:71" customFormat="1">
      <c r="A1834" t="s">
        <v>131</v>
      </c>
      <c r="B1834" s="1" t="s">
        <v>138</v>
      </c>
      <c r="C1834" s="54">
        <v>30788</v>
      </c>
      <c r="D1834" s="55">
        <v>10.833675564681725</v>
      </c>
      <c r="F1834">
        <v>702.95430796998198</v>
      </c>
      <c r="N1834">
        <v>60.404693696863767</v>
      </c>
      <c r="X1834" s="19"/>
      <c r="AF1834" s="2">
        <v>9.9176164434754686</v>
      </c>
      <c r="AG1834">
        <v>16.302702702702703</v>
      </c>
      <c r="AH1834" s="2"/>
      <c r="AI1834">
        <v>15.320941853224166</v>
      </c>
      <c r="BM1834">
        <v>16.149999999999999</v>
      </c>
      <c r="BN1834">
        <v>11.76</v>
      </c>
      <c r="BO1834">
        <v>20.64</v>
      </c>
      <c r="BP1834">
        <v>9.1999999999999993</v>
      </c>
      <c r="BQ1834">
        <v>26</v>
      </c>
      <c r="BR1834">
        <v>5.18</v>
      </c>
      <c r="BS1834">
        <v>17.7</v>
      </c>
    </row>
    <row r="1835" spans="1:71" customFormat="1">
      <c r="A1835" t="s">
        <v>131</v>
      </c>
      <c r="B1835" s="1" t="s">
        <v>138</v>
      </c>
      <c r="C1835" s="54">
        <v>30921</v>
      </c>
      <c r="D1835" s="55">
        <v>11.197809719370294</v>
      </c>
      <c r="F1835">
        <v>702.95430796998198</v>
      </c>
      <c r="N1835">
        <v>64.32881519305802</v>
      </c>
      <c r="X1835" s="19"/>
      <c r="AF1835" s="2">
        <v>10.177661355300749</v>
      </c>
      <c r="AG1835">
        <v>16.662162162162168</v>
      </c>
      <c r="AH1835" s="2"/>
      <c r="AI1835">
        <v>16.008469273699159</v>
      </c>
      <c r="BM1835">
        <v>16.45</v>
      </c>
      <c r="BN1835">
        <v>12.03</v>
      </c>
      <c r="BO1835">
        <v>21</v>
      </c>
      <c r="BP1835">
        <v>9.3000000000000007</v>
      </c>
      <c r="BQ1835">
        <v>26.5</v>
      </c>
      <c r="BR1835">
        <v>5.16</v>
      </c>
      <c r="BS1835">
        <v>18.100000000000001</v>
      </c>
    </row>
    <row r="1836" spans="1:71" customFormat="1">
      <c r="A1836" t="s">
        <v>131</v>
      </c>
      <c r="B1836" s="1" t="s">
        <v>138</v>
      </c>
      <c r="C1836" s="54">
        <v>31091</v>
      </c>
      <c r="D1836" s="55">
        <v>11.663244353182751</v>
      </c>
      <c r="F1836">
        <v>702.95430796998198</v>
      </c>
      <c r="N1836">
        <v>80.199444849698523</v>
      </c>
      <c r="X1836" s="19"/>
      <c r="AF1836" s="2">
        <v>11.134393960022551</v>
      </c>
      <c r="AG1836">
        <v>18.002702702702702</v>
      </c>
      <c r="AH1836" s="2"/>
      <c r="AI1836">
        <v>18.674406237071036</v>
      </c>
      <c r="BM1836">
        <v>17.700000000000003</v>
      </c>
      <c r="BN1836">
        <v>13.360000000000001</v>
      </c>
      <c r="BO1836">
        <v>22.6</v>
      </c>
      <c r="BP1836">
        <v>10</v>
      </c>
      <c r="BQ1836">
        <v>28.9</v>
      </c>
      <c r="BR1836">
        <v>5.17</v>
      </c>
      <c r="BS1836">
        <v>19.5</v>
      </c>
    </row>
    <row r="1837" spans="1:71" customFormat="1">
      <c r="A1837" t="s">
        <v>131</v>
      </c>
      <c r="B1837" s="1" t="s">
        <v>138</v>
      </c>
      <c r="C1837" s="54">
        <v>31126</v>
      </c>
      <c r="D1837" s="55">
        <v>11.759069130732374</v>
      </c>
      <c r="F1837">
        <v>702.95430796998198</v>
      </c>
      <c r="N1837">
        <v>84.64482051932211</v>
      </c>
      <c r="X1837" s="19"/>
      <c r="AF1837" s="2">
        <v>11.377679335320936</v>
      </c>
      <c r="AG1837">
        <v>18.34324324324324</v>
      </c>
      <c r="AH1837" s="2"/>
      <c r="AI1837">
        <v>19.387956919576311</v>
      </c>
      <c r="BM1837">
        <v>18.05</v>
      </c>
      <c r="BN1837">
        <v>13.49</v>
      </c>
      <c r="BO1837">
        <v>23</v>
      </c>
      <c r="BP1837">
        <v>10.199999999999999</v>
      </c>
      <c r="BQ1837">
        <v>29</v>
      </c>
      <c r="BR1837">
        <v>5.21</v>
      </c>
      <c r="BS1837">
        <v>19.899999999999999</v>
      </c>
    </row>
    <row r="1838" spans="1:71" customFormat="1">
      <c r="A1838" t="s">
        <v>131</v>
      </c>
      <c r="B1838" s="1" t="s">
        <v>138</v>
      </c>
      <c r="C1838" s="54">
        <v>31201</v>
      </c>
      <c r="D1838" s="55">
        <v>11.964407939767282</v>
      </c>
      <c r="F1838">
        <v>702.95430796998198</v>
      </c>
      <c r="N1838">
        <v>89.03529883921523</v>
      </c>
      <c r="X1838" s="19"/>
      <c r="AF1838" s="2">
        <v>11.6061680452927</v>
      </c>
      <c r="AG1838">
        <v>18.656756756756756</v>
      </c>
      <c r="AH1838" s="2"/>
      <c r="AI1838">
        <v>20.07181362763189</v>
      </c>
      <c r="BM1838">
        <v>18.45</v>
      </c>
      <c r="BN1838">
        <v>13.73</v>
      </c>
      <c r="BO1838">
        <v>23.4</v>
      </c>
      <c r="BP1838">
        <v>10.4</v>
      </c>
      <c r="BQ1838">
        <v>29.5</v>
      </c>
      <c r="BR1838">
        <v>5.17</v>
      </c>
      <c r="BS1838">
        <v>20.2</v>
      </c>
    </row>
    <row r="1839" spans="1:71" customFormat="1">
      <c r="A1839" t="s">
        <v>131</v>
      </c>
      <c r="B1839" s="1" t="s">
        <v>138</v>
      </c>
      <c r="C1839" s="54">
        <v>31338</v>
      </c>
      <c r="D1839" s="55">
        <v>12.33949349760438</v>
      </c>
      <c r="F1839">
        <v>702.95430796998198</v>
      </c>
      <c r="N1839">
        <v>96.930537755017369</v>
      </c>
      <c r="X1839" s="19"/>
      <c r="AF1839" s="2">
        <v>12.005922680041836</v>
      </c>
      <c r="AG1839">
        <v>19.227027027027024</v>
      </c>
      <c r="AH1839" s="2"/>
      <c r="AI1839">
        <v>21.301024797088619</v>
      </c>
      <c r="BM1839">
        <v>19.05</v>
      </c>
      <c r="BN1839">
        <v>14.23</v>
      </c>
      <c r="BO1839">
        <v>24.14</v>
      </c>
      <c r="BP1839">
        <v>10.6</v>
      </c>
      <c r="BQ1839">
        <v>30.1</v>
      </c>
      <c r="BR1839">
        <v>5.23</v>
      </c>
      <c r="BS1839">
        <v>20.9</v>
      </c>
    </row>
    <row r="1840" spans="1:71" customFormat="1">
      <c r="A1840" t="s">
        <v>131</v>
      </c>
      <c r="B1840" s="1" t="s">
        <v>138</v>
      </c>
      <c r="C1840" s="54">
        <v>31447</v>
      </c>
      <c r="D1840" s="55">
        <v>12.63791923340178</v>
      </c>
      <c r="F1840">
        <v>702.95430796998198</v>
      </c>
      <c r="N1840">
        <v>105.24335209464894</v>
      </c>
      <c r="X1840" s="19"/>
      <c r="AF1840" s="2">
        <v>12.39843247312888</v>
      </c>
      <c r="AG1840">
        <v>19.78108108108108</v>
      </c>
      <c r="AH1840" s="2"/>
      <c r="AI1840">
        <v>22.549798177853685</v>
      </c>
      <c r="BM1840">
        <v>19.5</v>
      </c>
      <c r="BN1840">
        <v>14.73</v>
      </c>
      <c r="BO1840">
        <v>24.67</v>
      </c>
      <c r="BP1840">
        <v>11</v>
      </c>
      <c r="BQ1840">
        <v>30.8</v>
      </c>
      <c r="BR1840">
        <v>5.24</v>
      </c>
      <c r="BS1840">
        <v>21.5</v>
      </c>
    </row>
    <row r="1841" spans="1:71" customFormat="1">
      <c r="A1841" t="s">
        <v>131</v>
      </c>
      <c r="B1841" s="1" t="s">
        <v>138</v>
      </c>
      <c r="C1841" s="54">
        <v>31517</v>
      </c>
      <c r="D1841" s="55">
        <v>12.829568788501026</v>
      </c>
      <c r="F1841">
        <v>702.95430796998198</v>
      </c>
      <c r="N1841">
        <v>111.71858552998943</v>
      </c>
      <c r="X1841" s="19"/>
      <c r="AF1841" s="2">
        <v>12.685467900261839</v>
      </c>
      <c r="AG1841">
        <v>20.179729729729729</v>
      </c>
      <c r="AH1841" s="2"/>
      <c r="AI1841">
        <v>23.490134725019285</v>
      </c>
      <c r="BM1841">
        <v>19.899999999999999</v>
      </c>
      <c r="BN1841">
        <v>15.03</v>
      </c>
      <c r="BO1841">
        <v>25.17</v>
      </c>
      <c r="BP1841">
        <v>11.1</v>
      </c>
      <c r="BQ1841">
        <v>31.5</v>
      </c>
      <c r="BR1841">
        <v>5.19</v>
      </c>
      <c r="BS1841">
        <v>21.9</v>
      </c>
    </row>
    <row r="1842" spans="1:71" customFormat="1">
      <c r="A1842" t="s">
        <v>131</v>
      </c>
      <c r="B1842" s="1" t="s">
        <v>138</v>
      </c>
      <c r="C1842" s="54">
        <v>31583</v>
      </c>
      <c r="D1842" s="55">
        <v>13.010266940451745</v>
      </c>
      <c r="F1842">
        <v>702.95430796998198</v>
      </c>
      <c r="N1842">
        <v>114.69231722772025</v>
      </c>
      <c r="X1842" s="19"/>
      <c r="AF1842" s="2">
        <v>12.81253016683347</v>
      </c>
      <c r="AG1842">
        <v>20.354054054054046</v>
      </c>
      <c r="AH1842" s="2"/>
      <c r="AI1842">
        <v>23.913900567926216</v>
      </c>
      <c r="BM1842">
        <v>20.05</v>
      </c>
      <c r="BN1842">
        <v>15.26</v>
      </c>
      <c r="BO1842">
        <v>25.5</v>
      </c>
      <c r="BP1842">
        <v>11.1</v>
      </c>
      <c r="BQ1842">
        <v>32.1</v>
      </c>
      <c r="BR1842">
        <v>5.12</v>
      </c>
      <c r="BS1842">
        <v>22.1</v>
      </c>
    </row>
    <row r="1843" spans="1:71" customFormat="1">
      <c r="A1843" t="s">
        <v>131</v>
      </c>
      <c r="B1843" s="1" t="s">
        <v>138</v>
      </c>
      <c r="C1843" s="54">
        <v>31705</v>
      </c>
      <c r="D1843" s="55">
        <v>13.344284736481862</v>
      </c>
      <c r="F1843">
        <v>702.95430796998198</v>
      </c>
      <c r="N1843">
        <v>122.93725996426153</v>
      </c>
      <c r="X1843" s="19"/>
      <c r="AF1843" s="2">
        <v>13.161667527208664</v>
      </c>
      <c r="AG1843">
        <v>20.862162162162154</v>
      </c>
      <c r="AH1843" s="2"/>
      <c r="AI1843">
        <v>25.102614528007809</v>
      </c>
      <c r="BM1843">
        <v>20.55</v>
      </c>
      <c r="BN1843">
        <v>15.6</v>
      </c>
      <c r="BO1843">
        <v>26</v>
      </c>
      <c r="BP1843">
        <v>11.4</v>
      </c>
      <c r="BQ1843">
        <v>32.4</v>
      </c>
      <c r="BR1843">
        <v>5.21</v>
      </c>
      <c r="BS1843">
        <v>22.6</v>
      </c>
    </row>
    <row r="1844" spans="1:71" customFormat="1">
      <c r="A1844" t="s">
        <v>131</v>
      </c>
      <c r="B1844" s="1" t="s">
        <v>138</v>
      </c>
      <c r="C1844" s="54">
        <v>31795</v>
      </c>
      <c r="D1844" s="55">
        <v>13.59069130732375</v>
      </c>
      <c r="F1844">
        <v>702.95430796998198</v>
      </c>
      <c r="N1844">
        <v>135.05995922915852</v>
      </c>
      <c r="X1844" s="19"/>
      <c r="AF1844" s="2">
        <v>13.640991634696832</v>
      </c>
      <c r="AG1844">
        <v>21.551351351351343</v>
      </c>
      <c r="AH1844" s="2"/>
      <c r="AI1844">
        <v>26.794469756667297</v>
      </c>
      <c r="BM1844">
        <v>21.200000000000003</v>
      </c>
      <c r="BN1844">
        <v>16.3</v>
      </c>
      <c r="BO1844">
        <v>26.77</v>
      </c>
      <c r="BP1844">
        <v>11.8</v>
      </c>
      <c r="BQ1844">
        <v>33.9</v>
      </c>
      <c r="BR1844">
        <v>5.16</v>
      </c>
      <c r="BS1844">
        <v>23.4</v>
      </c>
    </row>
    <row r="1845" spans="1:71" customFormat="1">
      <c r="A1845" t="s">
        <v>131</v>
      </c>
      <c r="B1845" s="1" t="s">
        <v>138</v>
      </c>
      <c r="C1845" s="54">
        <v>31880</v>
      </c>
      <c r="D1845" s="55">
        <v>13.82340862422998</v>
      </c>
      <c r="F1845">
        <v>702.95430796998198</v>
      </c>
      <c r="N1845">
        <v>141.11125033208347</v>
      </c>
      <c r="X1845" s="19"/>
      <c r="AF1845" s="2">
        <v>13.859752677026719</v>
      </c>
      <c r="AG1845">
        <v>21.849999999999998</v>
      </c>
      <c r="AH1845" s="2"/>
      <c r="AI1845">
        <v>27.590469713454965</v>
      </c>
      <c r="BM1845">
        <v>21.45</v>
      </c>
      <c r="BN1845">
        <v>16.43</v>
      </c>
      <c r="BO1845">
        <v>27.2</v>
      </c>
      <c r="BP1845">
        <v>11.8</v>
      </c>
      <c r="BQ1845">
        <v>34.1</v>
      </c>
      <c r="BR1845">
        <v>5.09</v>
      </c>
      <c r="BS1845">
        <v>23.7</v>
      </c>
    </row>
    <row r="1846" spans="1:71" customFormat="1">
      <c r="A1846" t="s">
        <v>131</v>
      </c>
      <c r="B1846" s="1" t="s">
        <v>138</v>
      </c>
      <c r="C1846" s="54">
        <v>31944</v>
      </c>
      <c r="D1846" s="55">
        <v>13.998631074606434</v>
      </c>
      <c r="F1846">
        <v>693.45492542984709</v>
      </c>
      <c r="N1846">
        <v>142.63886393970671</v>
      </c>
      <c r="X1846" s="19"/>
      <c r="AF1846" s="2">
        <v>13.999303267308687</v>
      </c>
      <c r="AG1846">
        <v>22.072602739726026</v>
      </c>
      <c r="AH1846" s="2"/>
      <c r="AI1846">
        <v>27.726465132115642</v>
      </c>
      <c r="BM1846">
        <v>21.6</v>
      </c>
      <c r="BN1846">
        <v>16.52</v>
      </c>
      <c r="BO1846">
        <v>27.38</v>
      </c>
      <c r="BP1846">
        <v>11.8</v>
      </c>
      <c r="BQ1846">
        <v>35</v>
      </c>
      <c r="BR1846">
        <v>5.12</v>
      </c>
      <c r="BS1846">
        <v>24</v>
      </c>
    </row>
    <row r="1847" spans="1:71" customFormat="1">
      <c r="A1847" t="s">
        <v>131</v>
      </c>
      <c r="B1847" s="1" t="s">
        <v>138</v>
      </c>
      <c r="C1847" s="54">
        <v>32072</v>
      </c>
      <c r="D1847" s="55">
        <v>14.349075975359343</v>
      </c>
      <c r="F1847">
        <v>683.95554288971221</v>
      </c>
      <c r="N1847">
        <v>149.07343106695652</v>
      </c>
      <c r="X1847" s="19"/>
      <c r="AF1847" s="2">
        <v>14.302196784816852</v>
      </c>
      <c r="AG1847">
        <v>22.516666666666669</v>
      </c>
      <c r="AH1847" s="2"/>
      <c r="AI1847">
        <v>28.45737709063712</v>
      </c>
      <c r="BM1847">
        <v>22.05</v>
      </c>
      <c r="BN1847">
        <v>17</v>
      </c>
      <c r="BO1847">
        <v>28</v>
      </c>
      <c r="BP1847">
        <v>12</v>
      </c>
      <c r="BQ1847">
        <v>35.4</v>
      </c>
      <c r="BR1847">
        <v>5.12</v>
      </c>
      <c r="BS1847">
        <v>24.4</v>
      </c>
    </row>
    <row r="1848" spans="1:71" customFormat="1">
      <c r="A1848" t="s">
        <v>131</v>
      </c>
      <c r="B1848" s="1" t="s">
        <v>138</v>
      </c>
      <c r="C1848" s="54">
        <v>32152</v>
      </c>
      <c r="D1848" s="55">
        <v>14.568104038329912</v>
      </c>
      <c r="F1848">
        <v>683.95554288971221</v>
      </c>
      <c r="N1848">
        <v>157.35416464968478</v>
      </c>
      <c r="X1848" s="19"/>
      <c r="AF1848" s="2">
        <v>14.587252998050618</v>
      </c>
      <c r="AG1848">
        <v>22.926388888888894</v>
      </c>
      <c r="AH1848" s="2"/>
      <c r="AI1848">
        <v>29.530172638400806</v>
      </c>
      <c r="BM1848">
        <v>22.4</v>
      </c>
      <c r="BN1848">
        <v>17.12</v>
      </c>
      <c r="BO1848">
        <v>28.590000000000003</v>
      </c>
      <c r="BP1848">
        <v>12</v>
      </c>
      <c r="BQ1848">
        <v>36.5</v>
      </c>
      <c r="BR1848">
        <v>5.0599999999999996</v>
      </c>
      <c r="BS1848">
        <v>24.9</v>
      </c>
    </row>
    <row r="1849" spans="1:71" customFormat="1">
      <c r="A1849" t="s">
        <v>131</v>
      </c>
      <c r="B1849" s="1" t="s">
        <v>138</v>
      </c>
      <c r="C1849" s="54">
        <v>32248</v>
      </c>
      <c r="D1849" s="55">
        <v>14.830937713894592</v>
      </c>
      <c r="F1849">
        <v>683.95554288971221</v>
      </c>
      <c r="N1849">
        <v>166.5983405630603</v>
      </c>
      <c r="X1849" s="19"/>
      <c r="AF1849" s="2">
        <v>14.887346342428877</v>
      </c>
      <c r="AG1849">
        <v>23.351388888888888</v>
      </c>
      <c r="AH1849" s="2"/>
      <c r="AI1849">
        <v>30.689267232008675</v>
      </c>
      <c r="BM1849">
        <v>22.9</v>
      </c>
      <c r="BN1849">
        <v>17.32</v>
      </c>
      <c r="BO1849">
        <v>29.1</v>
      </c>
      <c r="BP1849">
        <v>12.1</v>
      </c>
      <c r="BQ1849">
        <v>37.6</v>
      </c>
      <c r="BR1849">
        <v>4.95</v>
      </c>
      <c r="BS1849">
        <v>25.4</v>
      </c>
    </row>
    <row r="1850" spans="1:71" customFormat="1">
      <c r="A1850" t="s">
        <v>131</v>
      </c>
      <c r="B1850" s="1" t="s">
        <v>138</v>
      </c>
      <c r="C1850" s="54">
        <v>32309</v>
      </c>
      <c r="D1850" s="55">
        <v>14.997946611909651</v>
      </c>
      <c r="F1850">
        <v>683.95554288971221</v>
      </c>
      <c r="N1850">
        <v>168.88943749723791</v>
      </c>
      <c r="X1850" s="19"/>
      <c r="AF1850" s="2">
        <v>14.961006662648046</v>
      </c>
      <c r="AG1850">
        <v>23.458333333333329</v>
      </c>
      <c r="AH1850" s="2"/>
      <c r="AI1850">
        <v>30.978544737370218</v>
      </c>
      <c r="BM1850">
        <v>22.9</v>
      </c>
      <c r="BN1850">
        <v>17.41</v>
      </c>
      <c r="BO1850">
        <v>29.290000000000003</v>
      </c>
      <c r="BP1850">
        <v>12.1</v>
      </c>
      <c r="BQ1850">
        <v>37.6</v>
      </c>
      <c r="BR1850">
        <v>4.95</v>
      </c>
      <c r="BS1850">
        <v>25.5</v>
      </c>
    </row>
    <row r="1851" spans="1:71" customFormat="1">
      <c r="A1851" t="s">
        <v>131</v>
      </c>
      <c r="B1851" s="1" t="s">
        <v>138</v>
      </c>
      <c r="C1851" s="54">
        <v>32426</v>
      </c>
      <c r="D1851" s="55">
        <v>15.318275154004107</v>
      </c>
      <c r="F1851">
        <v>303.98024128431649</v>
      </c>
      <c r="N1851">
        <v>98.831871451029258</v>
      </c>
      <c r="X1851" s="19"/>
      <c r="AF1851" s="2">
        <v>16.64464223175986</v>
      </c>
      <c r="AG1851">
        <v>26.212500000000006</v>
      </c>
      <c r="AH1851" s="2"/>
      <c r="AI1851">
        <v>16.952886877152206</v>
      </c>
      <c r="BM1851">
        <v>25.9</v>
      </c>
      <c r="BN1851">
        <v>20.13</v>
      </c>
      <c r="BO1851">
        <v>31.5</v>
      </c>
      <c r="BP1851">
        <v>18.100000000000001</v>
      </c>
      <c r="BQ1851">
        <v>38.200000000000003</v>
      </c>
      <c r="BR1851">
        <v>5.71</v>
      </c>
      <c r="BS1851">
        <v>28.2</v>
      </c>
    </row>
    <row r="1852" spans="1:71" customFormat="1">
      <c r="A1852" t="s">
        <v>131</v>
      </c>
      <c r="B1852" s="1" t="s">
        <v>138</v>
      </c>
      <c r="C1852" s="54">
        <v>32477</v>
      </c>
      <c r="D1852" s="55">
        <v>15.457905544147843</v>
      </c>
      <c r="F1852">
        <v>303.98024128431649</v>
      </c>
      <c r="N1852">
        <v>103.34129594588053</v>
      </c>
      <c r="X1852" s="19"/>
      <c r="AF1852" s="2">
        <v>16.907597766140722</v>
      </c>
      <c r="AG1852">
        <v>26.631249999999994</v>
      </c>
      <c r="AH1852" s="2"/>
      <c r="AI1852">
        <v>17.49625676639165</v>
      </c>
      <c r="BM1852">
        <v>26.549999999999997</v>
      </c>
      <c r="BN1852">
        <v>20.45</v>
      </c>
      <c r="BO1852">
        <v>32.190000000000005</v>
      </c>
      <c r="BP1852">
        <v>18.3</v>
      </c>
      <c r="BQ1852">
        <v>38.5</v>
      </c>
      <c r="BR1852">
        <v>5.76</v>
      </c>
      <c r="BS1852">
        <v>28.7</v>
      </c>
    </row>
    <row r="1853" spans="1:71" customFormat="1">
      <c r="A1853" t="s">
        <v>131</v>
      </c>
      <c r="B1853" s="1" t="s">
        <v>138</v>
      </c>
      <c r="C1853" s="54">
        <v>32567</v>
      </c>
      <c r="D1853" s="55">
        <v>15.704312114989733</v>
      </c>
      <c r="F1853">
        <v>303.98024128431649</v>
      </c>
      <c r="N1853">
        <v>109.5664960010992</v>
      </c>
      <c r="X1853" s="19"/>
      <c r="AF1853" s="2">
        <v>17.253049879636574</v>
      </c>
      <c r="AG1853">
        <v>27.181249999999995</v>
      </c>
      <c r="AH1853" s="2"/>
      <c r="AI1853">
        <v>18.230742446963752</v>
      </c>
      <c r="BM1853">
        <v>27.1</v>
      </c>
      <c r="BN1853">
        <v>20.75</v>
      </c>
      <c r="BO1853">
        <v>32.99</v>
      </c>
      <c r="BP1853">
        <v>18.8</v>
      </c>
      <c r="BQ1853">
        <v>39.299999999999997</v>
      </c>
      <c r="BR1853">
        <v>5.75</v>
      </c>
      <c r="BS1853">
        <v>29.3</v>
      </c>
    </row>
    <row r="1854" spans="1:71" customFormat="1">
      <c r="A1854" t="s">
        <v>131</v>
      </c>
      <c r="B1854" s="1" t="s">
        <v>138</v>
      </c>
      <c r="C1854" s="54">
        <v>32659</v>
      </c>
      <c r="D1854" s="55">
        <v>15.956194387405887</v>
      </c>
      <c r="F1854">
        <v>303.98024128431649</v>
      </c>
      <c r="N1854">
        <v>114.40494162088798</v>
      </c>
      <c r="X1854" s="19"/>
      <c r="AF1854" s="2">
        <v>17.508054586406487</v>
      </c>
      <c r="AG1854">
        <v>27.584375000000001</v>
      </c>
      <c r="AH1854" s="2"/>
      <c r="AI1854">
        <v>18.788504214774427</v>
      </c>
      <c r="BM1854">
        <v>27.4</v>
      </c>
      <c r="BN1854">
        <v>21.069999999999997</v>
      </c>
      <c r="BO1854">
        <v>33.58</v>
      </c>
      <c r="BP1854">
        <v>18.8</v>
      </c>
      <c r="BQ1854">
        <v>39.799999999999997</v>
      </c>
      <c r="BR1854">
        <v>5.7</v>
      </c>
      <c r="BS1854">
        <v>29.7</v>
      </c>
    </row>
    <row r="1855" spans="1:71" customFormat="1">
      <c r="A1855" t="s">
        <v>131</v>
      </c>
      <c r="B1855" s="1" t="s">
        <v>138</v>
      </c>
      <c r="C1855" s="54">
        <v>32689</v>
      </c>
      <c r="D1855" s="55">
        <v>16.038329911019851</v>
      </c>
      <c r="F1855">
        <v>303.98024128431649</v>
      </c>
      <c r="N1855">
        <v>115.30966400168346</v>
      </c>
      <c r="X1855" s="19"/>
      <c r="AF1855" s="2">
        <v>17.555022024931091</v>
      </c>
      <c r="AG1855">
        <v>27.659374999999997</v>
      </c>
      <c r="AH1855" s="2"/>
      <c r="AI1855">
        <v>18.892716635657255</v>
      </c>
      <c r="BM1855">
        <v>27.55</v>
      </c>
      <c r="BN1855">
        <v>21.169999999999998</v>
      </c>
      <c r="BO1855">
        <v>33.75</v>
      </c>
      <c r="BP1855">
        <v>18.899999999999999</v>
      </c>
      <c r="BQ1855">
        <v>40</v>
      </c>
      <c r="BR1855">
        <v>5.69</v>
      </c>
      <c r="BS1855">
        <v>29.8</v>
      </c>
    </row>
    <row r="1856" spans="1:71" customFormat="1">
      <c r="A1856" t="s">
        <v>131</v>
      </c>
      <c r="B1856" s="1" t="s">
        <v>138</v>
      </c>
      <c r="C1856" s="54">
        <v>32751</v>
      </c>
      <c r="D1856" s="55">
        <v>16.208076659822041</v>
      </c>
      <c r="F1856">
        <v>303.98024128431649</v>
      </c>
      <c r="N1856">
        <v>122.53259127386468</v>
      </c>
      <c r="X1856" s="19"/>
      <c r="AF1856" s="2">
        <v>17.923304381755706</v>
      </c>
      <c r="AG1856">
        <v>28.265624999999996</v>
      </c>
      <c r="AH1856" s="2"/>
      <c r="AI1856">
        <v>19.726311551553493</v>
      </c>
      <c r="BM1856">
        <v>28.1</v>
      </c>
      <c r="BN1856">
        <v>21.41</v>
      </c>
      <c r="BO1856">
        <v>34.46</v>
      </c>
      <c r="BP1856">
        <v>19.3</v>
      </c>
      <c r="BQ1856">
        <v>40.799999999999997</v>
      </c>
      <c r="BR1856">
        <v>5.73</v>
      </c>
      <c r="BS1856">
        <v>30.5</v>
      </c>
    </row>
    <row r="1857" spans="1:71" customFormat="1">
      <c r="A1857" t="s">
        <v>131</v>
      </c>
      <c r="B1857" s="1" t="s">
        <v>138</v>
      </c>
      <c r="C1857" s="54">
        <v>32843</v>
      </c>
      <c r="D1857" s="55">
        <v>16.459958932238195</v>
      </c>
      <c r="F1857">
        <v>303.98024128431649</v>
      </c>
      <c r="N1857">
        <v>130.27667876483594</v>
      </c>
      <c r="X1857" s="19"/>
      <c r="AF1857" s="2">
        <v>18.294209986483565</v>
      </c>
      <c r="AG1857">
        <v>28.871875000000003</v>
      </c>
      <c r="AH1857" s="2"/>
      <c r="AI1857">
        <v>20.59633008133504</v>
      </c>
      <c r="BM1857">
        <v>28.8</v>
      </c>
      <c r="BN1857">
        <v>21.8</v>
      </c>
      <c r="BO1857">
        <v>35.190000000000005</v>
      </c>
      <c r="BP1857">
        <v>19.7</v>
      </c>
      <c r="BQ1857">
        <v>41.6</v>
      </c>
      <c r="BR1857">
        <v>5.68</v>
      </c>
      <c r="BS1857">
        <v>31.1</v>
      </c>
    </row>
    <row r="1858" spans="1:71" customFormat="1">
      <c r="A1858" t="s">
        <v>131</v>
      </c>
      <c r="B1858" s="1" t="s">
        <v>138</v>
      </c>
      <c r="C1858" s="54">
        <v>32933</v>
      </c>
      <c r="D1858" s="55">
        <v>16.706365503080082</v>
      </c>
      <c r="F1858">
        <v>303.98024128431649</v>
      </c>
      <c r="N1858">
        <v>135.67173012312969</v>
      </c>
      <c r="X1858" s="19"/>
      <c r="AF1858" s="2">
        <v>18.539925665523956</v>
      </c>
      <c r="AG1858">
        <v>29.274999999999999</v>
      </c>
      <c r="AH1858" s="2"/>
      <c r="AI1858">
        <v>21.19027671750781</v>
      </c>
      <c r="BM1858">
        <v>29.15</v>
      </c>
      <c r="BN1858">
        <v>22.02</v>
      </c>
      <c r="BO1858">
        <v>35.880000000000003</v>
      </c>
      <c r="BP1858">
        <v>20</v>
      </c>
      <c r="BQ1858">
        <v>42.2</v>
      </c>
      <c r="BR1858">
        <v>5.63</v>
      </c>
      <c r="BS1858">
        <v>31.6</v>
      </c>
    </row>
    <row r="1859" spans="1:71" customFormat="1">
      <c r="A1859" t="s">
        <v>131</v>
      </c>
      <c r="B1859" s="1" t="s">
        <v>138</v>
      </c>
      <c r="C1859" s="54">
        <v>33025</v>
      </c>
      <c r="D1859" s="55">
        <v>16.958247775496236</v>
      </c>
      <c r="F1859">
        <v>303.98024128431649</v>
      </c>
      <c r="N1859">
        <v>136.96980299059624</v>
      </c>
      <c r="X1859" s="19"/>
      <c r="AF1859" s="2">
        <v>18.596753605582435</v>
      </c>
      <c r="AG1859">
        <v>29.365624999999998</v>
      </c>
      <c r="AH1859" s="2"/>
      <c r="AI1859">
        <v>21.329696642267077</v>
      </c>
      <c r="BM1859">
        <v>29.2</v>
      </c>
      <c r="BN1859">
        <v>22.11</v>
      </c>
      <c r="BO1859">
        <v>36.07</v>
      </c>
      <c r="BP1859">
        <v>20.100000000000001</v>
      </c>
      <c r="BQ1859">
        <v>42.5</v>
      </c>
      <c r="BR1859">
        <v>5.59</v>
      </c>
      <c r="BS1859">
        <v>31.7</v>
      </c>
    </row>
    <row r="1860" spans="1:71" customFormat="1">
      <c r="A1860" t="s">
        <v>131</v>
      </c>
      <c r="B1860" s="1" t="s">
        <v>138</v>
      </c>
      <c r="C1860" s="54">
        <v>33119</v>
      </c>
      <c r="D1860" s="55">
        <v>17.215605749486652</v>
      </c>
      <c r="F1860">
        <v>303.98024128431649</v>
      </c>
      <c r="N1860">
        <v>145.85034167635607</v>
      </c>
      <c r="X1860" s="19"/>
      <c r="AF1860" s="2">
        <v>18.98684705525794</v>
      </c>
      <c r="AG1860">
        <v>30.031250000000004</v>
      </c>
      <c r="AH1860" s="2"/>
      <c r="AI1860">
        <v>22.308232473146901</v>
      </c>
      <c r="BM1860">
        <v>30.1</v>
      </c>
      <c r="BN1860">
        <v>22.52</v>
      </c>
      <c r="BO1860">
        <v>36.78</v>
      </c>
      <c r="BP1860">
        <v>20.8</v>
      </c>
      <c r="BQ1860">
        <v>43.7</v>
      </c>
      <c r="BR1860">
        <v>5.56</v>
      </c>
      <c r="BS1860">
        <v>32.4</v>
      </c>
    </row>
    <row r="1861" spans="1:71" customFormat="1">
      <c r="A1861" t="s">
        <v>131</v>
      </c>
      <c r="B1861" s="1" t="s">
        <v>138</v>
      </c>
      <c r="C1861" s="54">
        <v>34408</v>
      </c>
      <c r="D1861" s="55">
        <v>20.744695414099933</v>
      </c>
      <c r="F1861">
        <v>303.98024128431649</v>
      </c>
      <c r="N1861">
        <v>218.4925482994914</v>
      </c>
      <c r="X1861" s="19"/>
      <c r="AF1861" s="2">
        <v>21.577882979854362</v>
      </c>
      <c r="AG1861">
        <v>34.790624999999999</v>
      </c>
      <c r="AH1861" s="2"/>
      <c r="AI1861">
        <v>29.91124033664045</v>
      </c>
      <c r="BM1861">
        <v>35.35</v>
      </c>
      <c r="BN1861">
        <v>27.15</v>
      </c>
      <c r="BO1861">
        <v>42.59</v>
      </c>
      <c r="BP1861">
        <v>25</v>
      </c>
      <c r="BQ1861">
        <v>49.2</v>
      </c>
      <c r="BR1861">
        <v>8.26</v>
      </c>
      <c r="BS1861">
        <v>36.4</v>
      </c>
    </row>
    <row r="1862" spans="1:71" customFormat="1">
      <c r="A1862" t="s">
        <v>131</v>
      </c>
      <c r="B1862" s="1" t="s">
        <v>138</v>
      </c>
      <c r="C1862" s="54">
        <v>34530</v>
      </c>
      <c r="D1862" s="55">
        <v>21.078713210130047</v>
      </c>
      <c r="F1862">
        <v>303.98024128431649</v>
      </c>
      <c r="N1862">
        <v>225.26659732356009</v>
      </c>
      <c r="X1862" s="19"/>
      <c r="AF1862" s="2">
        <v>21.776945168464387</v>
      </c>
      <c r="AG1862">
        <v>35.181249999999999</v>
      </c>
      <c r="AH1862" s="2"/>
      <c r="AI1862">
        <v>30.588210728510823</v>
      </c>
      <c r="BM1862">
        <v>35.85</v>
      </c>
      <c r="BN1862">
        <v>27.349999999999998</v>
      </c>
      <c r="BO1862">
        <v>43</v>
      </c>
      <c r="BP1862">
        <v>25.4</v>
      </c>
      <c r="BQ1862">
        <v>49.9</v>
      </c>
      <c r="BR1862">
        <v>8.26</v>
      </c>
      <c r="BS1862">
        <v>36.700000000000003</v>
      </c>
    </row>
    <row r="1863" spans="1:71" customFormat="1">
      <c r="A1863" t="s">
        <v>131</v>
      </c>
      <c r="B1863" s="1" t="s">
        <v>138</v>
      </c>
      <c r="C1863" s="54">
        <v>34919</v>
      </c>
      <c r="D1863" s="55">
        <v>22.143737166324435</v>
      </c>
      <c r="F1863">
        <v>303.98024128431649</v>
      </c>
      <c r="N1863">
        <v>249.56766937450024</v>
      </c>
      <c r="X1863" s="19"/>
      <c r="AF1863" s="2">
        <v>22.442441814426171</v>
      </c>
      <c r="AG1863">
        <v>36.504687499999996</v>
      </c>
      <c r="AH1863" s="2"/>
      <c r="AI1863">
        <v>32.966345559246669</v>
      </c>
      <c r="BM1863">
        <v>37.35</v>
      </c>
      <c r="BN1863">
        <v>28.62</v>
      </c>
      <c r="BO1863">
        <v>44.59</v>
      </c>
      <c r="BP1863">
        <v>26.2</v>
      </c>
      <c r="BQ1863">
        <v>52.5</v>
      </c>
      <c r="BR1863">
        <v>8.4</v>
      </c>
      <c r="BS1863">
        <v>37.799999999999997</v>
      </c>
    </row>
    <row r="1864" spans="1:71" customFormat="1">
      <c r="A1864" t="s">
        <v>131</v>
      </c>
      <c r="B1864" s="1" t="s">
        <v>138</v>
      </c>
      <c r="C1864" s="54">
        <v>35299</v>
      </c>
      <c r="D1864" s="55">
        <v>23.184120465434635</v>
      </c>
      <c r="F1864">
        <v>303.98024128431649</v>
      </c>
      <c r="N1864">
        <v>270.95465655406724</v>
      </c>
      <c r="X1864" s="19"/>
      <c r="AF1864" s="2">
        <v>22.988870978518367</v>
      </c>
      <c r="AG1864">
        <v>37.662500000000001</v>
      </c>
      <c r="AH1864" s="2"/>
      <c r="AI1864">
        <v>35.062271990347334</v>
      </c>
      <c r="BM1864">
        <v>38.9</v>
      </c>
      <c r="BN1864">
        <v>29.6</v>
      </c>
      <c r="BO1864">
        <v>46.23</v>
      </c>
      <c r="BP1864">
        <v>26.8</v>
      </c>
      <c r="BQ1864">
        <v>53.5</v>
      </c>
      <c r="BR1864">
        <v>8.6300000000000008</v>
      </c>
      <c r="BS1864">
        <v>38.799999999999997</v>
      </c>
    </row>
    <row r="1865" spans="1:71" customFormat="1">
      <c r="A1865" t="s">
        <v>131</v>
      </c>
      <c r="B1865" s="1" t="s">
        <v>138</v>
      </c>
      <c r="C1865" s="54">
        <v>35681</v>
      </c>
      <c r="D1865" s="55">
        <v>24.229979466119097</v>
      </c>
      <c r="F1865">
        <v>303.98024128431649</v>
      </c>
      <c r="N1865">
        <v>291.78138618313091</v>
      </c>
      <c r="X1865" s="19"/>
      <c r="AF1865" s="2">
        <v>23.477441806739424</v>
      </c>
      <c r="AG1865">
        <v>38.718749999999986</v>
      </c>
      <c r="AH1865" s="2"/>
      <c r="AI1865">
        <v>37.057065444774757</v>
      </c>
      <c r="BM1865">
        <v>40.150000000000006</v>
      </c>
      <c r="BN1865">
        <v>30.75</v>
      </c>
      <c r="BO1865">
        <v>47.67</v>
      </c>
      <c r="BP1865">
        <v>27.4</v>
      </c>
      <c r="BQ1865">
        <v>54.9</v>
      </c>
      <c r="BR1865">
        <v>8.74</v>
      </c>
      <c r="BS1865">
        <v>39.5</v>
      </c>
    </row>
    <row r="1866" spans="1:71" customFormat="1">
      <c r="A1866" t="s">
        <v>131</v>
      </c>
      <c r="B1866" s="1" t="s">
        <v>138</v>
      </c>
      <c r="C1866" s="54">
        <v>36035</v>
      </c>
      <c r="D1866" s="55">
        <v>25.199178644763862</v>
      </c>
      <c r="F1866">
        <v>303.98024128431649</v>
      </c>
      <c r="N1866">
        <v>306.0101693953236</v>
      </c>
      <c r="X1866" s="19"/>
      <c r="AF1866" s="2">
        <v>23.794934734238222</v>
      </c>
      <c r="AG1866">
        <v>39.434062500000003</v>
      </c>
      <c r="AH1866" s="2"/>
      <c r="AI1866">
        <v>38.419699624487521</v>
      </c>
      <c r="BM1866">
        <v>41</v>
      </c>
      <c r="BN1866">
        <v>31.62</v>
      </c>
      <c r="BO1866">
        <v>48.580000000000005</v>
      </c>
      <c r="BP1866">
        <v>27.8</v>
      </c>
      <c r="BQ1866">
        <v>55.9</v>
      </c>
      <c r="BR1866">
        <v>8.83</v>
      </c>
      <c r="BS1866">
        <v>40.1</v>
      </c>
    </row>
    <row r="1867" spans="1:71" customFormat="1">
      <c r="A1867" t="s">
        <v>131</v>
      </c>
      <c r="B1867" s="1" t="s">
        <v>138</v>
      </c>
      <c r="C1867" s="54">
        <v>36409</v>
      </c>
      <c r="D1867" s="55">
        <v>26.223134839151268</v>
      </c>
      <c r="F1867">
        <v>303.98024128431649</v>
      </c>
      <c r="N1867">
        <v>323.82655808677168</v>
      </c>
      <c r="X1867" s="19"/>
      <c r="AF1867" s="2">
        <v>24.169491863270828</v>
      </c>
      <c r="AG1867">
        <v>40.290625000000006</v>
      </c>
      <c r="AH1867" s="2"/>
      <c r="AI1867">
        <v>40.099586167028413</v>
      </c>
      <c r="BM1867">
        <v>42.05</v>
      </c>
      <c r="BN1867">
        <v>32.4</v>
      </c>
      <c r="BO1867">
        <v>49.68</v>
      </c>
      <c r="BP1867">
        <v>28.3</v>
      </c>
      <c r="BQ1867">
        <v>56.8</v>
      </c>
      <c r="BR1867">
        <v>8.99</v>
      </c>
      <c r="BS1867">
        <v>40.700000000000003</v>
      </c>
    </row>
    <row r="1868" spans="1:71" customFormat="1">
      <c r="A1868" t="s">
        <v>131</v>
      </c>
      <c r="B1868" s="1" t="s">
        <v>138</v>
      </c>
      <c r="C1868" s="54">
        <v>36774</v>
      </c>
      <c r="D1868" s="55">
        <v>27.222450376454482</v>
      </c>
      <c r="F1868">
        <v>303.98024128431649</v>
      </c>
      <c r="N1868">
        <v>337.65165328196258</v>
      </c>
      <c r="X1868" s="19"/>
      <c r="AF1868" s="2">
        <v>24.445266474865576</v>
      </c>
      <c r="AG1868">
        <v>40.934375000000003</v>
      </c>
      <c r="AH1868" s="2"/>
      <c r="AI1868">
        <v>41.389707288095082</v>
      </c>
      <c r="BM1868">
        <v>42.5</v>
      </c>
      <c r="BN1868">
        <v>32.619999999999997</v>
      </c>
      <c r="BO1868">
        <v>50.480000000000004</v>
      </c>
      <c r="BP1868">
        <v>28.8</v>
      </c>
      <c r="BQ1868">
        <v>57.6</v>
      </c>
      <c r="BR1868">
        <v>9.39</v>
      </c>
      <c r="BS1868">
        <v>41.3</v>
      </c>
    </row>
    <row r="1869" spans="1:71" customFormat="1">
      <c r="A1869" t="s">
        <v>133</v>
      </c>
      <c r="B1869" s="1" t="s">
        <v>144</v>
      </c>
      <c r="C1869" s="54">
        <v>30368</v>
      </c>
      <c r="D1869" s="55">
        <v>9.6837782340862422</v>
      </c>
      <c r="F1869">
        <v>794.63858305409281</v>
      </c>
      <c r="N1869">
        <v>40.967250315937861</v>
      </c>
      <c r="X1869" s="19"/>
      <c r="AF1869" s="2">
        <v>8.0079118134072829</v>
      </c>
      <c r="AG1869">
        <v>13.674698795180722</v>
      </c>
      <c r="AH1869" s="2"/>
      <c r="AI1869">
        <v>12.118201142508388</v>
      </c>
      <c r="BM1869">
        <v>14.2</v>
      </c>
      <c r="BN1869">
        <v>10</v>
      </c>
      <c r="BO1869">
        <v>17.139999999999997</v>
      </c>
      <c r="BP1869">
        <v>7.1</v>
      </c>
      <c r="BQ1869">
        <v>18.899999999999999</v>
      </c>
      <c r="BR1869">
        <v>6.13</v>
      </c>
      <c r="BS1869">
        <v>14.7</v>
      </c>
    </row>
    <row r="1870" spans="1:71" customFormat="1">
      <c r="A1870" t="s">
        <v>133</v>
      </c>
      <c r="B1870" s="1" t="s">
        <v>144</v>
      </c>
      <c r="C1870" s="54">
        <v>30788</v>
      </c>
      <c r="D1870" s="55">
        <v>10.833675564681725</v>
      </c>
      <c r="F1870">
        <v>794.63858305409281</v>
      </c>
      <c r="N1870">
        <v>65.981354534193287</v>
      </c>
      <c r="X1870" s="19"/>
      <c r="AF1870" s="2">
        <v>9.813970348089688</v>
      </c>
      <c r="AG1870">
        <v>16.219277108433737</v>
      </c>
      <c r="AH1870" s="2"/>
      <c r="AI1870">
        <v>17.014258246771927</v>
      </c>
      <c r="BM1870">
        <v>16.399999999999999</v>
      </c>
      <c r="BN1870">
        <v>12.12</v>
      </c>
      <c r="BO1870">
        <v>20</v>
      </c>
      <c r="BP1870">
        <v>8.6</v>
      </c>
      <c r="BQ1870">
        <v>22.2</v>
      </c>
      <c r="BR1870">
        <v>6.3</v>
      </c>
      <c r="BS1870">
        <v>17.5</v>
      </c>
    </row>
    <row r="1871" spans="1:71" customFormat="1">
      <c r="A1871" t="s">
        <v>133</v>
      </c>
      <c r="B1871" s="1" t="s">
        <v>144</v>
      </c>
      <c r="C1871" s="54">
        <v>30921</v>
      </c>
      <c r="D1871" s="55">
        <v>11.197809719370294</v>
      </c>
      <c r="F1871">
        <v>794.63858305409281</v>
      </c>
      <c r="N1871">
        <v>69.925120957442175</v>
      </c>
      <c r="X1871" s="19"/>
      <c r="AF1871" s="2">
        <v>10.0528513442642</v>
      </c>
      <c r="AG1871">
        <v>16.551807228915653</v>
      </c>
      <c r="AH1871" s="2"/>
      <c r="AI1871">
        <v>17.721214345635513</v>
      </c>
      <c r="BM1871">
        <v>16.8</v>
      </c>
      <c r="BN1871">
        <v>12.32</v>
      </c>
      <c r="BO1871">
        <v>20.34</v>
      </c>
      <c r="BP1871">
        <v>8.6999999999999993</v>
      </c>
      <c r="BQ1871">
        <v>22.8</v>
      </c>
      <c r="BR1871">
        <v>6.29</v>
      </c>
      <c r="BS1871">
        <v>17.8</v>
      </c>
    </row>
    <row r="1872" spans="1:71" customFormat="1">
      <c r="A1872" t="s">
        <v>133</v>
      </c>
      <c r="B1872" s="1" t="s">
        <v>144</v>
      </c>
      <c r="C1872" s="54">
        <v>31091</v>
      </c>
      <c r="D1872" s="55">
        <v>11.663244353182751</v>
      </c>
      <c r="F1872">
        <v>794.63858305409281</v>
      </c>
      <c r="N1872">
        <v>93.282822244958609</v>
      </c>
      <c r="X1872" s="19"/>
      <c r="AF1872" s="2">
        <v>11.309279295639108</v>
      </c>
      <c r="AG1872">
        <v>18.326506024096378</v>
      </c>
      <c r="AH1872" s="2"/>
      <c r="AI1872">
        <v>21.688185651227677</v>
      </c>
      <c r="BM1872">
        <v>18.7</v>
      </c>
      <c r="BN1872">
        <v>13.96</v>
      </c>
      <c r="BO1872">
        <v>22.66</v>
      </c>
      <c r="BP1872">
        <v>9.6999999999999993</v>
      </c>
      <c r="BQ1872">
        <v>25</v>
      </c>
      <c r="BR1872">
        <v>6.48</v>
      </c>
      <c r="BS1872">
        <v>19.7</v>
      </c>
    </row>
    <row r="1873" spans="1:71" customFormat="1">
      <c r="A1873" t="s">
        <v>133</v>
      </c>
      <c r="B1873" s="1" t="s">
        <v>144</v>
      </c>
      <c r="C1873" s="54">
        <v>31126</v>
      </c>
      <c r="D1873" s="55">
        <v>11.759069130732374</v>
      </c>
      <c r="F1873">
        <v>794.63858305409281</v>
      </c>
      <c r="N1873">
        <v>102.5475014439841</v>
      </c>
      <c r="X1873" s="19"/>
      <c r="AF1873" s="2">
        <v>11.745040232409213</v>
      </c>
      <c r="AG1873">
        <v>18.943373493975912</v>
      </c>
      <c r="AH1873" s="2"/>
      <c r="AI1873">
        <v>23.1670351255379</v>
      </c>
      <c r="BM1873">
        <v>19.399999999999999</v>
      </c>
      <c r="BN1873">
        <v>14.46</v>
      </c>
      <c r="BO1873">
        <v>23.5</v>
      </c>
      <c r="BP1873">
        <v>10</v>
      </c>
      <c r="BQ1873">
        <v>25.7</v>
      </c>
      <c r="BR1873">
        <v>6.51</v>
      </c>
      <c r="BS1873">
        <v>20.399999999999999</v>
      </c>
    </row>
    <row r="1874" spans="1:71" customFormat="1">
      <c r="A1874" t="s">
        <v>133</v>
      </c>
      <c r="B1874" s="1" t="s">
        <v>144</v>
      </c>
      <c r="C1874" s="54">
        <v>31201</v>
      </c>
      <c r="D1874" s="55">
        <v>11.964407939767282</v>
      </c>
      <c r="F1874">
        <v>794.63858305409281</v>
      </c>
      <c r="N1874">
        <v>110.2916845526882</v>
      </c>
      <c r="X1874" s="19"/>
      <c r="AF1874" s="2">
        <v>12.084010448302685</v>
      </c>
      <c r="AG1874">
        <v>19.412048192771081</v>
      </c>
      <c r="AH1874" s="2"/>
      <c r="AI1874">
        <v>24.356306153983127</v>
      </c>
      <c r="BM1874">
        <v>19.899999999999999</v>
      </c>
      <c r="BN1874">
        <v>14.76</v>
      </c>
      <c r="BO1874">
        <v>24.1</v>
      </c>
      <c r="BP1874">
        <v>10</v>
      </c>
      <c r="BQ1874">
        <v>26.4</v>
      </c>
      <c r="BR1874">
        <v>6.39</v>
      </c>
      <c r="BS1874">
        <v>20.9</v>
      </c>
    </row>
    <row r="1875" spans="1:71" customFormat="1">
      <c r="A1875" t="s">
        <v>133</v>
      </c>
      <c r="B1875" s="1" t="s">
        <v>144</v>
      </c>
      <c r="C1875" s="54">
        <v>31338</v>
      </c>
      <c r="D1875" s="55">
        <v>12.33949349760438</v>
      </c>
      <c r="F1875">
        <v>794.63858305409281</v>
      </c>
      <c r="N1875">
        <v>123.76189678555671</v>
      </c>
      <c r="X1875" s="19"/>
      <c r="AF1875" s="2">
        <v>12.641291938425299</v>
      </c>
      <c r="AG1875">
        <v>20.207228915662647</v>
      </c>
      <c r="AH1875" s="2"/>
      <c r="AI1875">
        <v>26.388566198228503</v>
      </c>
      <c r="BM1875">
        <v>20.8</v>
      </c>
      <c r="BN1875">
        <v>15.5</v>
      </c>
      <c r="BO1875">
        <v>25.06</v>
      </c>
      <c r="BP1875">
        <v>10.3</v>
      </c>
      <c r="BQ1875">
        <v>27.3</v>
      </c>
      <c r="BR1875">
        <v>6.41</v>
      </c>
      <c r="BS1875">
        <v>21.7</v>
      </c>
    </row>
    <row r="1876" spans="1:71" customFormat="1">
      <c r="A1876" t="s">
        <v>133</v>
      </c>
      <c r="B1876" s="1" t="s">
        <v>144</v>
      </c>
      <c r="C1876" s="54">
        <v>31447</v>
      </c>
      <c r="D1876" s="55">
        <v>12.63791923340178</v>
      </c>
      <c r="F1876">
        <v>794.63858305409281</v>
      </c>
      <c r="N1876">
        <v>139.55377842914578</v>
      </c>
      <c r="X1876" s="19"/>
      <c r="AF1876" s="2">
        <v>13.235119296083065</v>
      </c>
      <c r="AG1876">
        <v>21.049397590361451</v>
      </c>
      <c r="AH1876" s="2"/>
      <c r="AI1876">
        <v>28.664596688229548</v>
      </c>
      <c r="BM1876">
        <v>21.9</v>
      </c>
      <c r="BN1876">
        <v>15.96</v>
      </c>
      <c r="BO1876">
        <v>25.939999999999998</v>
      </c>
      <c r="BP1876">
        <v>10.4</v>
      </c>
      <c r="BQ1876">
        <v>28.5</v>
      </c>
      <c r="BR1876">
        <v>6.28</v>
      </c>
      <c r="BS1876">
        <v>22.7</v>
      </c>
    </row>
    <row r="1877" spans="1:71" customFormat="1">
      <c r="A1877" t="s">
        <v>133</v>
      </c>
      <c r="B1877" s="1" t="s">
        <v>144</v>
      </c>
      <c r="C1877" s="54">
        <v>31517</v>
      </c>
      <c r="D1877" s="55">
        <v>12.829568788501026</v>
      </c>
      <c r="F1877">
        <v>794.63858305409281</v>
      </c>
      <c r="N1877">
        <v>151.92361182308107</v>
      </c>
      <c r="X1877" s="19"/>
      <c r="AF1877" s="2">
        <v>13.663297175501262</v>
      </c>
      <c r="AG1877">
        <v>21.656626506024089</v>
      </c>
      <c r="AH1877" s="2"/>
      <c r="AI1877">
        <v>30.380155920163041</v>
      </c>
      <c r="BM1877">
        <v>22.6</v>
      </c>
      <c r="BN1877">
        <v>16.28</v>
      </c>
      <c r="BO1877">
        <v>26.639999999999997</v>
      </c>
      <c r="BP1877">
        <v>10.5</v>
      </c>
      <c r="BQ1877">
        <v>29.4</v>
      </c>
      <c r="BR1877">
        <v>6.14</v>
      </c>
      <c r="BS1877">
        <v>23.3</v>
      </c>
    </row>
    <row r="1878" spans="1:71" customFormat="1">
      <c r="A1878" t="s">
        <v>133</v>
      </c>
      <c r="B1878" s="1" t="s">
        <v>144</v>
      </c>
      <c r="C1878" s="54">
        <v>31583</v>
      </c>
      <c r="D1878" s="55">
        <v>13.010266940451745</v>
      </c>
      <c r="F1878">
        <v>794.63858305409281</v>
      </c>
      <c r="N1878">
        <v>156.43969860376933</v>
      </c>
      <c r="X1878" s="19"/>
      <c r="AF1878" s="2">
        <v>13.81065933190304</v>
      </c>
      <c r="AG1878">
        <v>21.860240963855425</v>
      </c>
      <c r="AH1878" s="2"/>
      <c r="AI1878">
        <v>30.98557797019604</v>
      </c>
      <c r="BM1878">
        <v>22.8</v>
      </c>
      <c r="BN1878">
        <v>16.28</v>
      </c>
      <c r="BO1878">
        <v>26.919999999999998</v>
      </c>
      <c r="BP1878">
        <v>10.5</v>
      </c>
      <c r="BQ1878">
        <v>29.7</v>
      </c>
      <c r="BR1878">
        <v>6.05</v>
      </c>
      <c r="BS1878">
        <v>23.6</v>
      </c>
    </row>
    <row r="1879" spans="1:71" customFormat="1">
      <c r="A1879" t="s">
        <v>133</v>
      </c>
      <c r="B1879" s="1" t="s">
        <v>144</v>
      </c>
      <c r="C1879" s="54">
        <v>31705</v>
      </c>
      <c r="D1879" s="55">
        <v>13.344284736481862</v>
      </c>
      <c r="F1879">
        <v>794.63858305409281</v>
      </c>
      <c r="N1879">
        <v>172.15830971536386</v>
      </c>
      <c r="X1879" s="19"/>
      <c r="AF1879" s="2">
        <v>14.313550848453673</v>
      </c>
      <c r="AG1879">
        <v>22.595180722891559</v>
      </c>
      <c r="AH1879" s="2"/>
      <c r="AI1879">
        <v>33.111619593128765</v>
      </c>
      <c r="BM1879">
        <v>23.8</v>
      </c>
      <c r="BN1879">
        <v>16.720000000000002</v>
      </c>
      <c r="BO1879">
        <v>27.76</v>
      </c>
      <c r="BP1879">
        <v>10.8</v>
      </c>
      <c r="BQ1879">
        <v>31</v>
      </c>
      <c r="BR1879">
        <v>6.05</v>
      </c>
      <c r="BS1879">
        <v>24.4</v>
      </c>
    </row>
    <row r="1880" spans="1:71" customFormat="1">
      <c r="A1880" t="s">
        <v>133</v>
      </c>
      <c r="B1880" s="1" t="s">
        <v>144</v>
      </c>
      <c r="C1880" s="54">
        <v>31795</v>
      </c>
      <c r="D1880" s="55">
        <v>13.59069130732375</v>
      </c>
      <c r="F1880">
        <v>794.63858305409281</v>
      </c>
      <c r="N1880">
        <v>194.04428312493363</v>
      </c>
      <c r="X1880" s="19"/>
      <c r="AF1880" s="2">
        <v>14.951715200411206</v>
      </c>
      <c r="AG1880">
        <v>23.525301204819282</v>
      </c>
      <c r="AH1880" s="2"/>
      <c r="AI1880">
        <v>35.949219169171094</v>
      </c>
      <c r="BM1880">
        <v>24.6</v>
      </c>
      <c r="BN1880">
        <v>17.459999999999997</v>
      </c>
      <c r="BO1880">
        <v>28.8</v>
      </c>
      <c r="BP1880">
        <v>10.9</v>
      </c>
      <c r="BQ1880">
        <v>32.5</v>
      </c>
      <c r="BR1880">
        <v>5.9</v>
      </c>
      <c r="BS1880">
        <v>25.4</v>
      </c>
    </row>
    <row r="1881" spans="1:71" customFormat="1">
      <c r="A1881" t="s">
        <v>133</v>
      </c>
      <c r="B1881" s="1" t="s">
        <v>144</v>
      </c>
      <c r="C1881" s="54">
        <v>31880</v>
      </c>
      <c r="D1881" s="55">
        <v>13.82340862422998</v>
      </c>
      <c r="F1881">
        <v>775.49066539013882</v>
      </c>
      <c r="N1881">
        <v>204.63621859731501</v>
      </c>
      <c r="X1881" s="19"/>
      <c r="AF1881" s="2">
        <v>15.374937857176491</v>
      </c>
      <c r="AG1881">
        <v>24.154320987654327</v>
      </c>
      <c r="AH1881" s="2"/>
      <c r="AI1881">
        <v>37.008390063359698</v>
      </c>
      <c r="BM1881">
        <v>25.1</v>
      </c>
      <c r="BN1881">
        <v>17.899999999999999</v>
      </c>
      <c r="BO1881">
        <v>29.5</v>
      </c>
      <c r="BP1881">
        <v>10.9</v>
      </c>
      <c r="BQ1881">
        <v>33.9</v>
      </c>
      <c r="BR1881">
        <v>5.77</v>
      </c>
      <c r="BS1881">
        <v>26.1</v>
      </c>
    </row>
    <row r="1882" spans="1:71" customFormat="1">
      <c r="A1882" t="s">
        <v>133</v>
      </c>
      <c r="B1882" s="1" t="s">
        <v>144</v>
      </c>
      <c r="C1882" s="54">
        <v>31944</v>
      </c>
      <c r="D1882" s="55">
        <v>13.998631074606434</v>
      </c>
      <c r="F1882">
        <v>775.49066539013882</v>
      </c>
      <c r="N1882">
        <v>214.05840540726541</v>
      </c>
      <c r="X1882" s="19"/>
      <c r="AF1882" s="2">
        <v>15.633230113980975</v>
      </c>
      <c r="AG1882">
        <v>24.560493827160503</v>
      </c>
      <c r="AH1882" s="2"/>
      <c r="AI1882">
        <v>38.220023697242411</v>
      </c>
      <c r="BM1882">
        <v>25.5</v>
      </c>
      <c r="BN1882">
        <v>18.2</v>
      </c>
      <c r="BO1882">
        <v>29.8</v>
      </c>
      <c r="BP1882">
        <v>11</v>
      </c>
      <c r="BQ1882">
        <v>34.4</v>
      </c>
      <c r="BR1882">
        <v>5.88</v>
      </c>
      <c r="BS1882">
        <v>26.5</v>
      </c>
    </row>
    <row r="1883" spans="1:71" customFormat="1">
      <c r="A1883" t="s">
        <v>133</v>
      </c>
      <c r="B1883" s="1" t="s">
        <v>144</v>
      </c>
      <c r="C1883" s="54">
        <v>32072</v>
      </c>
      <c r="D1883" s="55">
        <v>14.349075975359343</v>
      </c>
      <c r="F1883">
        <v>775.49066539013882</v>
      </c>
      <c r="N1883">
        <v>229.48988327962383</v>
      </c>
      <c r="X1883" s="19"/>
      <c r="AF1883" s="2">
        <v>16.017955556994746</v>
      </c>
      <c r="AG1883">
        <v>25.130864197530858</v>
      </c>
      <c r="AH1883" s="2"/>
      <c r="AI1883">
        <v>40.07821033332452</v>
      </c>
      <c r="BM1883">
        <v>26</v>
      </c>
      <c r="BN1883">
        <v>18.5</v>
      </c>
      <c r="BO1883">
        <v>30.6</v>
      </c>
      <c r="BP1883">
        <v>11.1</v>
      </c>
      <c r="BQ1883">
        <v>35.700000000000003</v>
      </c>
      <c r="BR1883">
        <v>5.75</v>
      </c>
      <c r="BS1883">
        <v>27.2</v>
      </c>
    </row>
    <row r="1884" spans="1:71" customFormat="1">
      <c r="A1884" t="s">
        <v>133</v>
      </c>
      <c r="B1884" s="1" t="s">
        <v>144</v>
      </c>
      <c r="C1884" s="54">
        <v>32152</v>
      </c>
      <c r="D1884" s="55">
        <v>14.568104038329912</v>
      </c>
      <c r="F1884">
        <v>775.49066539013882</v>
      </c>
      <c r="N1884">
        <v>245.00184129750315</v>
      </c>
      <c r="X1884" s="19"/>
      <c r="AF1884" s="2">
        <v>16.384991645311583</v>
      </c>
      <c r="AG1884">
        <v>25.68148148148148</v>
      </c>
      <c r="AH1884" s="2"/>
      <c r="AI1884">
        <v>41.912936535995428</v>
      </c>
      <c r="BM1884">
        <v>26.6</v>
      </c>
      <c r="BN1884">
        <v>18.8</v>
      </c>
      <c r="BO1884">
        <v>31.3</v>
      </c>
      <c r="BP1884">
        <v>11.1</v>
      </c>
      <c r="BQ1884">
        <v>36.799999999999997</v>
      </c>
      <c r="BR1884">
        <v>5.66</v>
      </c>
      <c r="BS1884">
        <v>27.8</v>
      </c>
    </row>
    <row r="1885" spans="1:71" customFormat="1">
      <c r="A1885" t="s">
        <v>133</v>
      </c>
      <c r="B1885" s="1" t="s">
        <v>144</v>
      </c>
      <c r="C1885" s="54">
        <v>32248</v>
      </c>
      <c r="D1885" s="55">
        <v>14.830937713894592</v>
      </c>
      <c r="F1885">
        <v>775.49066539013882</v>
      </c>
      <c r="N1885">
        <v>261.5907380428942</v>
      </c>
      <c r="X1885" s="19"/>
      <c r="AF1885" s="2">
        <v>16.753703560457993</v>
      </c>
      <c r="AG1885">
        <v>26.235802469135805</v>
      </c>
      <c r="AH1885" s="2"/>
      <c r="AI1885">
        <v>43.819690780860554</v>
      </c>
      <c r="BM1885">
        <v>27.3</v>
      </c>
      <c r="BN1885">
        <v>19.2</v>
      </c>
      <c r="BO1885">
        <v>32</v>
      </c>
      <c r="BP1885">
        <v>11.1</v>
      </c>
      <c r="BQ1885">
        <v>38</v>
      </c>
      <c r="BR1885">
        <v>5.53</v>
      </c>
      <c r="BS1885">
        <v>28.4</v>
      </c>
    </row>
    <row r="1886" spans="1:71" customFormat="1">
      <c r="A1886" t="s">
        <v>133</v>
      </c>
      <c r="B1886" s="1" t="s">
        <v>144</v>
      </c>
      <c r="C1886" s="54">
        <v>32309</v>
      </c>
      <c r="D1886" s="55">
        <v>14.997946611909651</v>
      </c>
      <c r="F1886">
        <v>775.49066539013882</v>
      </c>
      <c r="N1886">
        <v>267.89714828705439</v>
      </c>
      <c r="X1886" s="19"/>
      <c r="AF1886" s="2">
        <v>16.885472823247621</v>
      </c>
      <c r="AG1886">
        <v>26.427160493827166</v>
      </c>
      <c r="AH1886" s="2"/>
      <c r="AI1886">
        <v>44.517134877075044</v>
      </c>
      <c r="BM1886">
        <v>27.3</v>
      </c>
      <c r="BN1886">
        <v>19.2</v>
      </c>
      <c r="BO1886">
        <v>32.200000000000003</v>
      </c>
      <c r="BP1886">
        <v>11.1</v>
      </c>
      <c r="BQ1886">
        <v>38.799999999999997</v>
      </c>
      <c r="BR1886">
        <v>5.43</v>
      </c>
      <c r="BS1886">
        <v>28.7</v>
      </c>
    </row>
    <row r="1887" spans="1:71" customFormat="1">
      <c r="A1887" t="s">
        <v>133</v>
      </c>
      <c r="B1887" s="1" t="s">
        <v>144</v>
      </c>
      <c r="C1887" s="54">
        <v>32426</v>
      </c>
      <c r="D1887" s="55">
        <v>15.318275154004107</v>
      </c>
      <c r="F1887">
        <v>421.25418860698898</v>
      </c>
      <c r="N1887">
        <v>179.84216881047323</v>
      </c>
      <c r="X1887" s="19"/>
      <c r="AF1887" s="2">
        <v>18.304944880948177</v>
      </c>
      <c r="AG1887">
        <v>29.022727272727277</v>
      </c>
      <c r="AH1887" s="2"/>
      <c r="AI1887">
        <v>28.577830681456522</v>
      </c>
      <c r="BM1887">
        <v>29.55</v>
      </c>
      <c r="BN1887">
        <v>22.93</v>
      </c>
      <c r="BO1887">
        <v>35.560000000000009</v>
      </c>
      <c r="BP1887">
        <v>19.399999999999999</v>
      </c>
      <c r="BQ1887">
        <v>39.4</v>
      </c>
      <c r="BR1887">
        <v>6.9</v>
      </c>
      <c r="BS1887">
        <v>31</v>
      </c>
    </row>
    <row r="1888" spans="1:71" customFormat="1">
      <c r="A1888" t="s">
        <v>133</v>
      </c>
      <c r="B1888" s="1" t="s">
        <v>144</v>
      </c>
      <c r="C1888" s="54">
        <v>32477</v>
      </c>
      <c r="D1888" s="55">
        <v>15.457905544147843</v>
      </c>
      <c r="F1888">
        <v>421.25418860698898</v>
      </c>
      <c r="N1888">
        <v>190.84388226834722</v>
      </c>
      <c r="X1888" s="19"/>
      <c r="AF1888" s="2">
        <v>18.670474684530237</v>
      </c>
      <c r="AG1888">
        <v>29.640909090909087</v>
      </c>
      <c r="AH1888" s="2"/>
      <c r="AI1888">
        <v>29.810841883348196</v>
      </c>
      <c r="BM1888">
        <v>30.15</v>
      </c>
      <c r="BN1888">
        <v>23.36</v>
      </c>
      <c r="BO1888">
        <v>36.300000000000011</v>
      </c>
      <c r="BP1888">
        <v>19.8</v>
      </c>
      <c r="BQ1888">
        <v>40.1</v>
      </c>
      <c r="BR1888">
        <v>6.91</v>
      </c>
      <c r="BS1888">
        <v>31.7</v>
      </c>
    </row>
    <row r="1889" spans="1:71" customFormat="1">
      <c r="A1889" t="s">
        <v>133</v>
      </c>
      <c r="B1889" s="1" t="s">
        <v>144</v>
      </c>
      <c r="C1889" s="54">
        <v>32567</v>
      </c>
      <c r="D1889" s="55">
        <v>15.704312114989733</v>
      </c>
      <c r="F1889">
        <v>421.25418860698898</v>
      </c>
      <c r="N1889">
        <v>205.75698306491947</v>
      </c>
      <c r="X1889" s="19"/>
      <c r="AF1889" s="2">
        <v>19.138218244119148</v>
      </c>
      <c r="AG1889">
        <v>30.447727272727267</v>
      </c>
      <c r="AH1889" s="2"/>
      <c r="AI1889">
        <v>31.455215242492024</v>
      </c>
      <c r="BM1889">
        <v>30.9</v>
      </c>
      <c r="BN1889">
        <v>24</v>
      </c>
      <c r="BO1889">
        <v>37.120000000000005</v>
      </c>
      <c r="BP1889">
        <v>20.6</v>
      </c>
      <c r="BQ1889">
        <v>41</v>
      </c>
      <c r="BR1889">
        <v>6.9</v>
      </c>
      <c r="BS1889">
        <v>32.5</v>
      </c>
    </row>
    <row r="1890" spans="1:71" customFormat="1">
      <c r="A1890" t="s">
        <v>133</v>
      </c>
      <c r="B1890" s="1" t="s">
        <v>144</v>
      </c>
      <c r="C1890" s="54">
        <v>32659</v>
      </c>
      <c r="D1890" s="55">
        <v>15.956194387405887</v>
      </c>
      <c r="F1890">
        <v>421.25418860698898</v>
      </c>
      <c r="N1890">
        <v>216.48892479337135</v>
      </c>
      <c r="X1890" s="19"/>
      <c r="AF1890" s="2">
        <v>19.457652901939685</v>
      </c>
      <c r="AG1890">
        <v>31.009090909090897</v>
      </c>
      <c r="AH1890" s="2"/>
      <c r="AI1890">
        <v>32.623462113303368</v>
      </c>
      <c r="BM1890">
        <v>31.45</v>
      </c>
      <c r="BN1890">
        <v>24.36</v>
      </c>
      <c r="BO1890">
        <v>37.850000000000009</v>
      </c>
      <c r="BP1890">
        <v>21.5</v>
      </c>
      <c r="BQ1890">
        <v>41.5</v>
      </c>
      <c r="BR1890">
        <v>6.92</v>
      </c>
      <c r="BS1890">
        <v>33.1</v>
      </c>
    </row>
    <row r="1891" spans="1:71" customFormat="1">
      <c r="A1891" t="s">
        <v>133</v>
      </c>
      <c r="B1891" s="1" t="s">
        <v>144</v>
      </c>
      <c r="C1891" s="54">
        <v>32689</v>
      </c>
      <c r="D1891" s="55">
        <v>16.038329911019851</v>
      </c>
      <c r="F1891">
        <v>421.25418860698898</v>
      </c>
      <c r="N1891">
        <v>219.26203337549217</v>
      </c>
      <c r="X1891" s="19"/>
      <c r="AF1891" s="2">
        <v>19.537684759481383</v>
      </c>
      <c r="AG1891">
        <v>31.15</v>
      </c>
      <c r="AH1891" s="2"/>
      <c r="AI1891">
        <v>32.922146515854564</v>
      </c>
      <c r="BM1891">
        <v>31.6</v>
      </c>
      <c r="BN1891">
        <v>24.53</v>
      </c>
      <c r="BO1891">
        <v>37.910000000000004</v>
      </c>
      <c r="BP1891">
        <v>21.5</v>
      </c>
      <c r="BQ1891">
        <v>42</v>
      </c>
      <c r="BR1891">
        <v>6.89</v>
      </c>
      <c r="BS1891">
        <v>33.299999999999997</v>
      </c>
    </row>
    <row r="1892" spans="1:71" customFormat="1">
      <c r="A1892" t="s">
        <v>133</v>
      </c>
      <c r="B1892" s="1" t="s">
        <v>144</v>
      </c>
      <c r="C1892" s="54">
        <v>32751</v>
      </c>
      <c r="D1892" s="55">
        <v>16.208076659822041</v>
      </c>
      <c r="F1892">
        <v>411.68022977501198</v>
      </c>
      <c r="N1892">
        <v>234.41625011690724</v>
      </c>
      <c r="X1892" s="19"/>
      <c r="AF1892" s="2">
        <v>20.114566734077496</v>
      </c>
      <c r="AG1892">
        <v>32.216279069767438</v>
      </c>
      <c r="AH1892" s="2"/>
      <c r="AI1892">
        <v>34.350623732657837</v>
      </c>
      <c r="BM1892">
        <v>32.6</v>
      </c>
      <c r="BN1892">
        <v>25.64</v>
      </c>
      <c r="BO1892">
        <v>39.260000000000012</v>
      </c>
      <c r="BP1892">
        <v>22.1</v>
      </c>
      <c r="BQ1892">
        <v>42.7</v>
      </c>
      <c r="BR1892">
        <v>7.16</v>
      </c>
      <c r="BS1892">
        <v>34.299999999999997</v>
      </c>
    </row>
    <row r="1893" spans="1:71" customFormat="1">
      <c r="A1893" t="s">
        <v>133</v>
      </c>
      <c r="B1893" s="1" t="s">
        <v>144</v>
      </c>
      <c r="C1893" s="54">
        <v>32843</v>
      </c>
      <c r="D1893" s="55">
        <v>16.459958932238195</v>
      </c>
      <c r="F1893">
        <v>411.68022977501198</v>
      </c>
      <c r="N1893">
        <v>249.65070799849437</v>
      </c>
      <c r="X1893" s="19"/>
      <c r="AF1893" s="2">
        <v>20.517028132717957</v>
      </c>
      <c r="AG1893">
        <v>32.958139534883699</v>
      </c>
      <c r="AH1893" s="2"/>
      <c r="AI1893">
        <v>35.948783045729456</v>
      </c>
      <c r="BM1893">
        <v>33.200000000000003</v>
      </c>
      <c r="BN1893">
        <v>26.16</v>
      </c>
      <c r="BO1893">
        <v>40.080000000000005</v>
      </c>
      <c r="BP1893">
        <v>22.6</v>
      </c>
      <c r="BQ1893">
        <v>43.6</v>
      </c>
      <c r="BR1893">
        <v>7.14</v>
      </c>
      <c r="BS1893">
        <v>35.1</v>
      </c>
    </row>
    <row r="1894" spans="1:71" customFormat="1">
      <c r="A1894" t="s">
        <v>133</v>
      </c>
      <c r="B1894" s="1" t="s">
        <v>144</v>
      </c>
      <c r="C1894" s="54">
        <v>32933</v>
      </c>
      <c r="D1894" s="55">
        <v>16.706365503080082</v>
      </c>
      <c r="F1894">
        <v>411.68022977501198</v>
      </c>
      <c r="N1894">
        <v>259.14870976857594</v>
      </c>
      <c r="X1894" s="19"/>
      <c r="AF1894" s="2">
        <v>20.754423032541489</v>
      </c>
      <c r="AG1894">
        <v>33.395348837209305</v>
      </c>
      <c r="AH1894" s="2"/>
      <c r="AI1894">
        <v>36.924030254885253</v>
      </c>
      <c r="BM1894">
        <v>33.700000000000003</v>
      </c>
      <c r="BN1894">
        <v>26.6</v>
      </c>
      <c r="BO1894">
        <v>40.920000000000009</v>
      </c>
      <c r="BP1894">
        <v>22.8</v>
      </c>
      <c r="BQ1894">
        <v>44.1</v>
      </c>
      <c r="BR1894">
        <v>7.06</v>
      </c>
      <c r="BS1894">
        <v>35.6</v>
      </c>
    </row>
    <row r="1895" spans="1:71" customFormat="1">
      <c r="A1895" t="s">
        <v>133</v>
      </c>
      <c r="B1895" s="1" t="s">
        <v>144</v>
      </c>
      <c r="C1895" s="54">
        <v>33025</v>
      </c>
      <c r="D1895" s="55">
        <v>16.958247775496236</v>
      </c>
      <c r="F1895">
        <v>411.68022977501198</v>
      </c>
      <c r="N1895">
        <v>262.53347121507198</v>
      </c>
      <c r="X1895" s="19"/>
      <c r="AF1895" s="2">
        <v>20.837753974822821</v>
      </c>
      <c r="AG1895">
        <v>33.551162790697667</v>
      </c>
      <c r="AH1895" s="2"/>
      <c r="AI1895">
        <v>37.272304900496351</v>
      </c>
      <c r="BM1895">
        <v>33.799999999999997</v>
      </c>
      <c r="BN1895">
        <v>26.740000000000002</v>
      </c>
      <c r="BO1895">
        <v>40.940000000000005</v>
      </c>
      <c r="BP1895">
        <v>22.8</v>
      </c>
      <c r="BQ1895">
        <v>44.3</v>
      </c>
      <c r="BR1895">
        <v>7.07</v>
      </c>
      <c r="BS1895">
        <v>35.799999999999997</v>
      </c>
    </row>
    <row r="1896" spans="1:71" customFormat="1">
      <c r="A1896" t="s">
        <v>133</v>
      </c>
      <c r="B1896" s="1" t="s">
        <v>144</v>
      </c>
      <c r="C1896" s="54">
        <v>33119</v>
      </c>
      <c r="D1896" s="55">
        <v>17.215605749486652</v>
      </c>
      <c r="F1896">
        <v>411.68022977501198</v>
      </c>
      <c r="N1896">
        <v>281.5438073908885</v>
      </c>
      <c r="X1896" s="19"/>
      <c r="AF1896" s="2">
        <v>21.292777020281292</v>
      </c>
      <c r="AG1896">
        <v>34.430232558139544</v>
      </c>
      <c r="AH1896" s="2"/>
      <c r="AI1896">
        <v>39.230709695714538</v>
      </c>
      <c r="BM1896">
        <v>34.6</v>
      </c>
      <c r="BN1896">
        <v>27.66</v>
      </c>
      <c r="BO1896">
        <v>41.88</v>
      </c>
      <c r="BP1896">
        <v>23.4</v>
      </c>
      <c r="BQ1896">
        <v>45.4</v>
      </c>
      <c r="BR1896">
        <v>7.13</v>
      </c>
      <c r="BS1896">
        <v>36.700000000000003</v>
      </c>
    </row>
    <row r="1897" spans="1:71" customFormat="1">
      <c r="A1897" t="s">
        <v>133</v>
      </c>
      <c r="B1897" s="1" t="s">
        <v>144</v>
      </c>
      <c r="C1897" s="54">
        <v>34408</v>
      </c>
      <c r="D1897" s="55">
        <v>20.744695414099933</v>
      </c>
      <c r="F1897">
        <v>411.68022977501198</v>
      </c>
      <c r="N1897">
        <v>420.45871124214608</v>
      </c>
      <c r="X1897" s="19"/>
      <c r="AF1897" s="2">
        <v>23.911543025931568</v>
      </c>
      <c r="AG1897">
        <v>39.899999999999991</v>
      </c>
      <c r="AH1897" s="2"/>
      <c r="AI1897">
        <v>52.728369284062232</v>
      </c>
      <c r="BM1897">
        <v>39.700000000000003</v>
      </c>
      <c r="BN1897">
        <v>32.120000000000005</v>
      </c>
      <c r="BO1897">
        <v>49.260000000000012</v>
      </c>
      <c r="BP1897">
        <v>26.2</v>
      </c>
      <c r="BQ1897">
        <v>53.1</v>
      </c>
      <c r="BR1897">
        <v>7.99</v>
      </c>
      <c r="BS1897">
        <v>42.9</v>
      </c>
    </row>
    <row r="1898" spans="1:71" customFormat="1">
      <c r="A1898" t="s">
        <v>133</v>
      </c>
      <c r="B1898" s="1" t="s">
        <v>144</v>
      </c>
      <c r="C1898" s="54">
        <v>34530</v>
      </c>
      <c r="D1898" s="55">
        <v>21.078713210130047</v>
      </c>
      <c r="F1898">
        <v>411.68022977501198</v>
      </c>
      <c r="N1898">
        <v>430.51865919820341</v>
      </c>
      <c r="X1898" s="19"/>
      <c r="AF1898" s="2">
        <v>24.064853499465926</v>
      </c>
      <c r="AG1898">
        <v>40.244186046511643</v>
      </c>
      <c r="AH1898" s="2"/>
      <c r="AI1898">
        <v>53.660184613928543</v>
      </c>
      <c r="BM1898">
        <v>39.799999999999997</v>
      </c>
      <c r="BN1898">
        <v>32.42</v>
      </c>
      <c r="BO1898">
        <v>49.920000000000009</v>
      </c>
      <c r="BP1898">
        <v>26.4</v>
      </c>
      <c r="BQ1898">
        <v>53.5</v>
      </c>
      <c r="BR1898">
        <v>7.81</v>
      </c>
      <c r="BS1898">
        <v>43.3</v>
      </c>
    </row>
    <row r="1899" spans="1:71" customFormat="1">
      <c r="A1899" t="s">
        <v>133</v>
      </c>
      <c r="B1899" s="1" t="s">
        <v>144</v>
      </c>
      <c r="C1899" s="54">
        <v>34919</v>
      </c>
      <c r="D1899" s="55">
        <v>22.143737166324435</v>
      </c>
      <c r="F1899">
        <v>411.68022977501198</v>
      </c>
      <c r="N1899">
        <v>468.87230475367159</v>
      </c>
      <c r="X1899" s="19"/>
      <c r="AF1899" s="2">
        <v>24.620273061340491</v>
      </c>
      <c r="AG1899">
        <v>41.536046511627909</v>
      </c>
      <c r="AH1899" s="2"/>
      <c r="AI1899">
        <v>57.196339273056061</v>
      </c>
      <c r="BM1899">
        <v>41.4</v>
      </c>
      <c r="BN1899">
        <v>33.160000000000004</v>
      </c>
      <c r="BO1899">
        <v>51.640000000000008</v>
      </c>
      <c r="BP1899">
        <v>27.15</v>
      </c>
      <c r="BQ1899">
        <v>55</v>
      </c>
      <c r="BR1899">
        <v>7.71</v>
      </c>
      <c r="BS1899">
        <v>44.5</v>
      </c>
    </row>
    <row r="1900" spans="1:71" customFormat="1">
      <c r="A1900" t="s">
        <v>133</v>
      </c>
      <c r="B1900" s="1" t="s">
        <v>144</v>
      </c>
      <c r="C1900" s="54">
        <v>35299</v>
      </c>
      <c r="D1900" s="55">
        <v>23.184120465434635</v>
      </c>
      <c r="F1900">
        <v>411.68022977501198</v>
      </c>
      <c r="N1900">
        <v>503.92577811564223</v>
      </c>
      <c r="X1900" s="19"/>
      <c r="AF1900" s="2">
        <v>25.090666995116475</v>
      </c>
      <c r="AG1900">
        <v>42.681395348837206</v>
      </c>
      <c r="AH1900" s="2"/>
      <c r="AI1900">
        <v>60.403946352936018</v>
      </c>
      <c r="BM1900">
        <v>42.8</v>
      </c>
      <c r="BN1900">
        <v>34.44</v>
      </c>
      <c r="BO1900">
        <v>52.980000000000004</v>
      </c>
      <c r="BP1900">
        <v>27.6</v>
      </c>
      <c r="BQ1900">
        <v>56.2</v>
      </c>
      <c r="BR1900">
        <v>7.69</v>
      </c>
      <c r="BS1900">
        <v>45.6</v>
      </c>
    </row>
    <row r="1901" spans="1:71" customFormat="1">
      <c r="A1901" t="s">
        <v>133</v>
      </c>
      <c r="B1901" s="1" t="s">
        <v>144</v>
      </c>
      <c r="C1901" s="54">
        <v>35681</v>
      </c>
      <c r="D1901" s="55">
        <v>24.229979466119097</v>
      </c>
      <c r="F1901">
        <v>411.68022977501198</v>
      </c>
      <c r="N1901">
        <v>535.24675980385052</v>
      </c>
      <c r="X1901" s="19"/>
      <c r="AF1901" s="2">
        <v>25.479639870899923</v>
      </c>
      <c r="AG1901">
        <v>43.651162790697683</v>
      </c>
      <c r="AH1901" s="2"/>
      <c r="AI1901">
        <v>63.218875029383852</v>
      </c>
      <c r="BM1901">
        <v>44.3</v>
      </c>
      <c r="BN1901">
        <v>35.08</v>
      </c>
      <c r="BO1901">
        <v>54.100000000000009</v>
      </c>
      <c r="BP1901">
        <v>28.1</v>
      </c>
      <c r="BQ1901">
        <v>57.3</v>
      </c>
      <c r="BR1901">
        <v>7.61</v>
      </c>
      <c r="BS1901">
        <v>46.5</v>
      </c>
    </row>
    <row r="1902" spans="1:71" customFormat="1">
      <c r="A1902" t="s">
        <v>133</v>
      </c>
      <c r="B1902" s="1" t="s">
        <v>144</v>
      </c>
      <c r="C1902" s="54">
        <v>36035</v>
      </c>
      <c r="D1902" s="55">
        <v>25.199178644763862</v>
      </c>
      <c r="F1902">
        <v>411.68022977501198</v>
      </c>
      <c r="N1902">
        <v>560.64159376208079</v>
      </c>
      <c r="X1902" s="19"/>
      <c r="AF1902" s="2">
        <v>25.778985326282484</v>
      </c>
      <c r="AG1902">
        <v>44.42558139534885</v>
      </c>
      <c r="AH1902" s="2"/>
      <c r="AI1902">
        <v>65.494048311241045</v>
      </c>
      <c r="BM1902">
        <v>45</v>
      </c>
      <c r="BN1902">
        <v>35.46</v>
      </c>
      <c r="BO1902">
        <v>55.14</v>
      </c>
      <c r="BP1902">
        <v>28.5</v>
      </c>
      <c r="BQ1902">
        <v>58.2</v>
      </c>
      <c r="BR1902">
        <v>7.58</v>
      </c>
      <c r="BS1902">
        <v>47.1</v>
      </c>
    </row>
    <row r="1903" spans="1:71" customFormat="1">
      <c r="A1903" t="s">
        <v>133</v>
      </c>
      <c r="B1903" s="1" t="s">
        <v>144</v>
      </c>
      <c r="C1903" s="54">
        <v>36409</v>
      </c>
      <c r="D1903" s="55">
        <v>26.223134839151268</v>
      </c>
      <c r="F1903">
        <v>411.68022977501198</v>
      </c>
      <c r="N1903">
        <v>588.27766578601734</v>
      </c>
      <c r="X1903" s="19"/>
      <c r="AF1903" s="2">
        <v>26.084982465919154</v>
      </c>
      <c r="AG1903">
        <v>45.226511627906987</v>
      </c>
      <c r="AH1903" s="2"/>
      <c r="AI1903">
        <v>67.925142942071744</v>
      </c>
      <c r="BM1903">
        <v>45.8</v>
      </c>
      <c r="BN1903">
        <v>35.479999999999997</v>
      </c>
      <c r="BO1903">
        <v>56.32</v>
      </c>
      <c r="BP1903">
        <v>29</v>
      </c>
      <c r="BQ1903">
        <v>59.3</v>
      </c>
      <c r="BR1903">
        <v>7.35</v>
      </c>
      <c r="BS1903">
        <v>47.8</v>
      </c>
    </row>
    <row r="1904" spans="1:71" customFormat="1">
      <c r="A1904" t="s">
        <v>133</v>
      </c>
      <c r="B1904" s="1" t="s">
        <v>144</v>
      </c>
      <c r="C1904" s="54">
        <v>36774</v>
      </c>
      <c r="D1904" s="55">
        <v>27.222450376454482</v>
      </c>
      <c r="F1904">
        <v>411.68022977501198</v>
      </c>
      <c r="N1904">
        <v>609.39614595352521</v>
      </c>
      <c r="X1904" s="19"/>
      <c r="AF1904" s="2">
        <v>26.308293131113963</v>
      </c>
      <c r="AG1904">
        <v>45.823255813953487</v>
      </c>
      <c r="AH1904" s="2"/>
      <c r="AI1904">
        <v>69.770937957690919</v>
      </c>
      <c r="BM1904">
        <v>46.2</v>
      </c>
      <c r="BN1904">
        <v>35.9</v>
      </c>
      <c r="BO1904">
        <v>57.04</v>
      </c>
      <c r="BP1904">
        <v>29.3</v>
      </c>
      <c r="BQ1904">
        <v>60.2</v>
      </c>
      <c r="BR1904">
        <v>7.19</v>
      </c>
      <c r="BS1904">
        <v>48.4</v>
      </c>
    </row>
    <row r="1905" spans="1:71" customFormat="1">
      <c r="A1905" t="s">
        <v>56</v>
      </c>
      <c r="B1905" s="1" t="s">
        <v>142</v>
      </c>
      <c r="C1905" s="54">
        <v>30368</v>
      </c>
      <c r="D1905" s="55">
        <v>9.6837782340862422</v>
      </c>
      <c r="F1905">
        <v>861.65629487793205</v>
      </c>
      <c r="N1905">
        <v>51.42036803047899</v>
      </c>
      <c r="X1905" s="19"/>
      <c r="AF1905" s="2">
        <v>8.510228136510511</v>
      </c>
      <c r="AG1905">
        <v>14.457777777777773</v>
      </c>
      <c r="AH1905" s="2"/>
      <c r="AI1905">
        <v>14.533663304542758</v>
      </c>
      <c r="BM1905">
        <v>14.850000000000001</v>
      </c>
      <c r="BN1905">
        <v>11.07</v>
      </c>
      <c r="BO1905">
        <v>17.310000000000002</v>
      </c>
      <c r="BP1905">
        <v>8.9</v>
      </c>
      <c r="BQ1905">
        <v>18</v>
      </c>
      <c r="BR1905">
        <v>7.47</v>
      </c>
      <c r="BS1905">
        <v>15.4</v>
      </c>
    </row>
    <row r="1906" spans="1:71" customFormat="1">
      <c r="A1906" t="s">
        <v>56</v>
      </c>
      <c r="B1906" s="1" t="s">
        <v>142</v>
      </c>
      <c r="C1906" s="54">
        <v>30788</v>
      </c>
      <c r="D1906" s="55">
        <v>10.833675564681725</v>
      </c>
      <c r="F1906">
        <v>861.65629487793205</v>
      </c>
      <c r="N1906">
        <v>82.580804381522086</v>
      </c>
      <c r="X1906" s="19"/>
      <c r="AF1906" s="2">
        <v>10.392295686718105</v>
      </c>
      <c r="AG1906">
        <v>17.098888888888894</v>
      </c>
      <c r="AH1906" s="2"/>
      <c r="AI1906">
        <v>20.332533529804994</v>
      </c>
      <c r="BM1906">
        <v>17.8</v>
      </c>
      <c r="BN1906">
        <v>13.07</v>
      </c>
      <c r="BO1906">
        <v>20.020000000000003</v>
      </c>
      <c r="BP1906">
        <v>10.8</v>
      </c>
      <c r="BQ1906">
        <v>21.8</v>
      </c>
      <c r="BR1906">
        <v>7.43</v>
      </c>
      <c r="BS1906">
        <v>18.3</v>
      </c>
    </row>
    <row r="1907" spans="1:71" customFormat="1">
      <c r="A1907" t="s">
        <v>56</v>
      </c>
      <c r="B1907" s="1" t="s">
        <v>142</v>
      </c>
      <c r="C1907" s="54">
        <v>30921</v>
      </c>
      <c r="D1907" s="55">
        <v>11.197809719370294</v>
      </c>
      <c r="F1907">
        <v>861.65629487793205</v>
      </c>
      <c r="N1907">
        <v>89.186270133733842</v>
      </c>
      <c r="X1907" s="19"/>
      <c r="AF1907" s="2">
        <v>10.72541098759643</v>
      </c>
      <c r="AG1907">
        <v>17.56666666666667</v>
      </c>
      <c r="AH1907" s="2"/>
      <c r="AI1907">
        <v>21.460596889029969</v>
      </c>
      <c r="BM1907">
        <v>18.399999999999999</v>
      </c>
      <c r="BN1907">
        <v>13.3</v>
      </c>
      <c r="BO1907">
        <v>20.6</v>
      </c>
      <c r="BP1907">
        <v>11.1</v>
      </c>
      <c r="BQ1907">
        <v>22.3</v>
      </c>
      <c r="BR1907">
        <v>7.41</v>
      </c>
      <c r="BS1907">
        <v>18.8</v>
      </c>
    </row>
    <row r="1908" spans="1:71" customFormat="1">
      <c r="A1908" t="s">
        <v>56</v>
      </c>
      <c r="B1908" s="1" t="s">
        <v>142</v>
      </c>
      <c r="C1908" s="54">
        <v>31091</v>
      </c>
      <c r="D1908" s="55">
        <v>11.663244353182751</v>
      </c>
      <c r="F1908">
        <v>861.65629487793205</v>
      </c>
      <c r="N1908">
        <v>99.087513145210607</v>
      </c>
      <c r="X1908" s="19"/>
      <c r="AF1908" s="2">
        <v>11.195550578317608</v>
      </c>
      <c r="AG1908">
        <v>18.231111111111108</v>
      </c>
      <c r="AH1908" s="2"/>
      <c r="AI1908">
        <v>23.108572026251974</v>
      </c>
      <c r="BM1908">
        <v>19.100000000000001</v>
      </c>
      <c r="BN1908">
        <v>13.8</v>
      </c>
      <c r="BO1908">
        <v>21.4</v>
      </c>
      <c r="BP1908">
        <v>11.5</v>
      </c>
      <c r="BQ1908">
        <v>23.3</v>
      </c>
      <c r="BR1908">
        <v>7.45</v>
      </c>
      <c r="BS1908">
        <v>19.5</v>
      </c>
    </row>
    <row r="1909" spans="1:71" customFormat="1">
      <c r="A1909" t="s">
        <v>56</v>
      </c>
      <c r="B1909" s="1" t="s">
        <v>142</v>
      </c>
      <c r="C1909" s="54">
        <v>31126</v>
      </c>
      <c r="D1909" s="55">
        <v>11.759069130732374</v>
      </c>
      <c r="F1909">
        <v>861.65629487793205</v>
      </c>
      <c r="N1909">
        <v>99.087513145210607</v>
      </c>
      <c r="X1909" s="19"/>
      <c r="AF1909" s="2">
        <v>11.195550578317608</v>
      </c>
      <c r="AG1909">
        <v>18.231111111111108</v>
      </c>
      <c r="AH1909" s="2"/>
      <c r="AI1909">
        <v>23.108572026251974</v>
      </c>
      <c r="BM1909">
        <v>19.100000000000001</v>
      </c>
      <c r="BN1909">
        <v>13.8</v>
      </c>
      <c r="BO1909">
        <v>21.4</v>
      </c>
      <c r="BP1909">
        <v>11.5</v>
      </c>
      <c r="BQ1909">
        <v>23.3</v>
      </c>
      <c r="BR1909">
        <v>7.45</v>
      </c>
      <c r="BS1909">
        <v>19.5</v>
      </c>
    </row>
    <row r="1910" spans="1:71" customFormat="1">
      <c r="A1910" t="s">
        <v>56</v>
      </c>
      <c r="B1910" s="1" t="s">
        <v>142</v>
      </c>
      <c r="C1910" s="54">
        <v>31201</v>
      </c>
      <c r="D1910" s="55">
        <v>11.964407939767282</v>
      </c>
      <c r="F1910">
        <v>861.65629487793205</v>
      </c>
      <c r="N1910">
        <v>107.925127687249</v>
      </c>
      <c r="X1910" s="19"/>
      <c r="AF1910" s="2">
        <v>11.584964580396438</v>
      </c>
      <c r="AG1910">
        <v>18.775555555555549</v>
      </c>
      <c r="AH1910" s="2"/>
      <c r="AI1910">
        <v>24.524830267320262</v>
      </c>
      <c r="BM1910">
        <v>19.649999999999999</v>
      </c>
      <c r="BN1910">
        <v>14.19</v>
      </c>
      <c r="BO1910">
        <v>22.1</v>
      </c>
      <c r="BP1910">
        <v>11.7</v>
      </c>
      <c r="BQ1910">
        <v>24.2</v>
      </c>
      <c r="BR1910">
        <v>7.32</v>
      </c>
      <c r="BS1910">
        <v>20.100000000000001</v>
      </c>
    </row>
    <row r="1911" spans="1:71" customFormat="1">
      <c r="A1911" t="s">
        <v>56</v>
      </c>
      <c r="B1911" s="1" t="s">
        <v>142</v>
      </c>
      <c r="C1911" s="54">
        <v>31338</v>
      </c>
      <c r="D1911" s="55">
        <v>12.33949349760438</v>
      </c>
      <c r="F1911">
        <v>861.65629487793205</v>
      </c>
      <c r="N1911">
        <v>118.25177298509489</v>
      </c>
      <c r="X1911" s="19"/>
      <c r="AF1911" s="2">
        <v>12.014751598062663</v>
      </c>
      <c r="AG1911">
        <v>19.38666666666667</v>
      </c>
      <c r="AH1911" s="2"/>
      <c r="AI1911">
        <v>26.143900947480525</v>
      </c>
      <c r="BM1911">
        <v>20.350000000000001</v>
      </c>
      <c r="BN1911">
        <v>14.57</v>
      </c>
      <c r="BO1911">
        <v>22.810000000000002</v>
      </c>
      <c r="BP1911">
        <v>12</v>
      </c>
      <c r="BQ1911">
        <v>25.1</v>
      </c>
      <c r="BR1911">
        <v>7.34</v>
      </c>
      <c r="BS1911">
        <v>20.7</v>
      </c>
    </row>
    <row r="1912" spans="1:71" customFormat="1">
      <c r="A1912" t="s">
        <v>56</v>
      </c>
      <c r="B1912" s="1" t="s">
        <v>142</v>
      </c>
      <c r="C1912" s="54">
        <v>31447</v>
      </c>
      <c r="D1912" s="55">
        <v>12.63791923340178</v>
      </c>
      <c r="F1912">
        <v>861.65629487793205</v>
      </c>
      <c r="N1912">
        <v>125.29835984341408</v>
      </c>
      <c r="X1912" s="19"/>
      <c r="AF1912" s="2">
        <v>12.291133258442354</v>
      </c>
      <c r="AG1912">
        <v>19.777777777777779</v>
      </c>
      <c r="AH1912" s="2"/>
      <c r="AI1912">
        <v>27.217140582346175</v>
      </c>
      <c r="BM1912">
        <v>20.8</v>
      </c>
      <c r="BN1912">
        <v>14.96</v>
      </c>
      <c r="BO1912">
        <v>23.310000000000002</v>
      </c>
      <c r="BP1912">
        <v>12</v>
      </c>
      <c r="BQ1912">
        <v>25.5</v>
      </c>
      <c r="BR1912">
        <v>7.27</v>
      </c>
      <c r="BS1912">
        <v>21.1</v>
      </c>
    </row>
    <row r="1913" spans="1:71" customFormat="1">
      <c r="A1913" t="s">
        <v>56</v>
      </c>
      <c r="B1913" s="1" t="s">
        <v>142</v>
      </c>
      <c r="C1913" s="54">
        <v>31517</v>
      </c>
      <c r="D1913" s="55">
        <v>12.829568788501026</v>
      </c>
      <c r="F1913">
        <v>861.65629487793205</v>
      </c>
      <c r="N1913">
        <v>126.65529540979315</v>
      </c>
      <c r="X1913" s="19"/>
      <c r="AF1913" s="2">
        <v>12.343828737392563</v>
      </c>
      <c r="AG1913">
        <v>19.854444444444439</v>
      </c>
      <c r="AH1913" s="2"/>
      <c r="AI1913">
        <v>27.424682704968784</v>
      </c>
      <c r="BM1913">
        <v>20.85</v>
      </c>
      <c r="BN1913">
        <v>14.97</v>
      </c>
      <c r="BO1913">
        <v>23.41</v>
      </c>
      <c r="BP1913">
        <v>12</v>
      </c>
      <c r="BQ1913">
        <v>25.7</v>
      </c>
      <c r="BR1913">
        <v>7.33</v>
      </c>
      <c r="BS1913">
        <v>21.2</v>
      </c>
    </row>
    <row r="1914" spans="1:71" customFormat="1">
      <c r="A1914" t="s">
        <v>56</v>
      </c>
      <c r="B1914" s="1" t="s">
        <v>142</v>
      </c>
      <c r="C1914" s="54">
        <v>31583</v>
      </c>
      <c r="D1914" s="55">
        <v>13.010266940451745</v>
      </c>
      <c r="F1914">
        <v>861.65629487793205</v>
      </c>
      <c r="N1914">
        <v>130.0381273852127</v>
      </c>
      <c r="X1914" s="19"/>
      <c r="AF1914" s="2">
        <v>12.472228357365259</v>
      </c>
      <c r="AG1914">
        <v>20.03777777777778</v>
      </c>
      <c r="AH1914" s="2"/>
      <c r="AI1914">
        <v>27.934353101457472</v>
      </c>
      <c r="BM1914">
        <v>21</v>
      </c>
      <c r="BN1914">
        <v>15.34</v>
      </c>
      <c r="BO1914">
        <v>23.610000000000003</v>
      </c>
      <c r="BP1914">
        <v>12.1</v>
      </c>
      <c r="BQ1914">
        <v>25.8</v>
      </c>
      <c r="BR1914">
        <v>7.3</v>
      </c>
      <c r="BS1914">
        <v>21.4</v>
      </c>
    </row>
    <row r="1915" spans="1:71" customFormat="1">
      <c r="A1915" t="s">
        <v>56</v>
      </c>
      <c r="B1915" s="1" t="s">
        <v>142</v>
      </c>
      <c r="C1915" s="54">
        <v>31705</v>
      </c>
      <c r="D1915" s="55">
        <v>13.344284736481862</v>
      </c>
      <c r="F1915">
        <v>861.65629487793205</v>
      </c>
      <c r="N1915">
        <v>141.0997649766133</v>
      </c>
      <c r="X1915" s="19"/>
      <c r="AF1915" s="2">
        <v>12.87363954842351</v>
      </c>
      <c r="AG1915">
        <v>20.610000000000003</v>
      </c>
      <c r="AH1915" s="2"/>
      <c r="AI1915">
        <v>29.564665239293927</v>
      </c>
      <c r="BM1915">
        <v>21.6</v>
      </c>
      <c r="BN1915">
        <v>15.38</v>
      </c>
      <c r="BO1915">
        <v>24.4</v>
      </c>
      <c r="BP1915">
        <v>12.2</v>
      </c>
      <c r="BQ1915">
        <v>26.5</v>
      </c>
      <c r="BR1915">
        <v>7.26</v>
      </c>
      <c r="BS1915">
        <v>22</v>
      </c>
    </row>
    <row r="1916" spans="1:71" customFormat="1">
      <c r="A1916" t="s">
        <v>56</v>
      </c>
      <c r="B1916" s="1" t="s">
        <v>142</v>
      </c>
      <c r="C1916" s="54">
        <v>31795</v>
      </c>
      <c r="D1916" s="55">
        <v>13.59069130732375</v>
      </c>
      <c r="F1916">
        <v>861.65629487793205</v>
      </c>
      <c r="N1916">
        <v>149.34334861991314</v>
      </c>
      <c r="X1916" s="19"/>
      <c r="AF1916" s="2">
        <v>13.157509450828627</v>
      </c>
      <c r="AG1916">
        <v>21.016666666666666</v>
      </c>
      <c r="AH1916" s="2"/>
      <c r="AI1916">
        <v>30.752274487039209</v>
      </c>
      <c r="BM1916">
        <v>22.05</v>
      </c>
      <c r="BN1916">
        <v>15.59</v>
      </c>
      <c r="BO1916">
        <v>24.720000000000002</v>
      </c>
      <c r="BP1916">
        <v>12.2</v>
      </c>
      <c r="BQ1916">
        <v>27.2</v>
      </c>
      <c r="BR1916">
        <v>7.26</v>
      </c>
      <c r="BS1916">
        <v>22.5</v>
      </c>
    </row>
    <row r="1917" spans="1:71" customFormat="1">
      <c r="A1917" t="s">
        <v>56</v>
      </c>
      <c r="B1917" s="1" t="s">
        <v>142</v>
      </c>
      <c r="C1917" s="54">
        <v>31880</v>
      </c>
      <c r="D1917" s="55">
        <v>13.82340862422998</v>
      </c>
      <c r="F1917">
        <v>852.082336045955</v>
      </c>
      <c r="N1917">
        <v>149.61279304795747</v>
      </c>
      <c r="X1917" s="19"/>
      <c r="AF1917" s="2">
        <v>13.218423883671118</v>
      </c>
      <c r="AG1917">
        <v>21.09325842696629</v>
      </c>
      <c r="AH1917" s="2"/>
      <c r="AI1917">
        <v>30.666388246519094</v>
      </c>
      <c r="BM1917">
        <v>22.1</v>
      </c>
      <c r="BN1917">
        <v>15.58</v>
      </c>
      <c r="BO1917">
        <v>25.12</v>
      </c>
      <c r="BP1917">
        <v>12.1</v>
      </c>
      <c r="BQ1917">
        <v>27.5</v>
      </c>
      <c r="BR1917">
        <v>7.07</v>
      </c>
      <c r="BS1917">
        <v>22.6</v>
      </c>
    </row>
    <row r="1918" spans="1:71" customFormat="1">
      <c r="A1918" t="s">
        <v>56</v>
      </c>
      <c r="B1918" s="1" t="s">
        <v>142</v>
      </c>
      <c r="C1918" s="54">
        <v>31944</v>
      </c>
      <c r="D1918" s="55">
        <v>13.998631074606434</v>
      </c>
      <c r="F1918">
        <v>852.082336045955</v>
      </c>
      <c r="N1918">
        <v>151.40562703063731</v>
      </c>
      <c r="X1918" s="19"/>
      <c r="AF1918" s="2">
        <v>13.2800431785868</v>
      </c>
      <c r="AG1918">
        <v>21.184269662921345</v>
      </c>
      <c r="AH1918" s="2"/>
      <c r="AI1918">
        <v>30.926535879444497</v>
      </c>
      <c r="BM1918">
        <v>22.2</v>
      </c>
      <c r="BN1918">
        <v>15.74</v>
      </c>
      <c r="BO1918">
        <v>25.02</v>
      </c>
      <c r="BP1918">
        <v>12.1</v>
      </c>
      <c r="BQ1918">
        <v>27.5</v>
      </c>
      <c r="BR1918">
        <v>7.12</v>
      </c>
      <c r="BS1918">
        <v>22.7</v>
      </c>
    </row>
    <row r="1919" spans="1:71" customFormat="1">
      <c r="A1919" t="s">
        <v>56</v>
      </c>
      <c r="B1919" s="1" t="s">
        <v>142</v>
      </c>
      <c r="C1919" s="54">
        <v>32072</v>
      </c>
      <c r="D1919" s="55">
        <v>14.349075975359343</v>
      </c>
      <c r="F1919">
        <v>852.082336045955</v>
      </c>
      <c r="N1919">
        <v>160.45874638739872</v>
      </c>
      <c r="X1919" s="19"/>
      <c r="AF1919" s="2">
        <v>13.57441277917018</v>
      </c>
      <c r="AG1919">
        <v>21.602247191011234</v>
      </c>
      <c r="AH1919" s="2"/>
      <c r="AI1919">
        <v>32.188767351924639</v>
      </c>
      <c r="BM1919">
        <v>22.6</v>
      </c>
      <c r="BN1919">
        <v>15.88</v>
      </c>
      <c r="BO1919">
        <v>25.680000000000003</v>
      </c>
      <c r="BP1919">
        <v>12.2</v>
      </c>
      <c r="BQ1919">
        <v>28</v>
      </c>
      <c r="BR1919">
        <v>6.99</v>
      </c>
      <c r="BS1919">
        <v>23.1</v>
      </c>
    </row>
    <row r="1920" spans="1:71" customFormat="1">
      <c r="A1920" t="s">
        <v>56</v>
      </c>
      <c r="B1920" s="1" t="s">
        <v>142</v>
      </c>
      <c r="C1920" s="54">
        <v>32152</v>
      </c>
      <c r="D1920" s="55">
        <v>14.568104038329912</v>
      </c>
      <c r="F1920">
        <v>852.082336045955</v>
      </c>
      <c r="N1920">
        <v>167.06590186760525</v>
      </c>
      <c r="X1920" s="19"/>
      <c r="AF1920" s="2">
        <v>13.783783675295924</v>
      </c>
      <c r="AG1920">
        <v>21.905617977528081</v>
      </c>
      <c r="AH1920" s="2"/>
      <c r="AI1920">
        <v>33.106476344265531</v>
      </c>
      <c r="BM1920">
        <v>23</v>
      </c>
      <c r="BN1920">
        <v>16.080000000000002</v>
      </c>
      <c r="BO1920">
        <v>26.02</v>
      </c>
      <c r="BP1920">
        <v>12.4</v>
      </c>
      <c r="BQ1920">
        <v>28.4</v>
      </c>
      <c r="BR1920">
        <v>6.98</v>
      </c>
      <c r="BS1920">
        <v>23.5</v>
      </c>
    </row>
    <row r="1921" spans="1:71" customFormat="1">
      <c r="A1921" t="s">
        <v>56</v>
      </c>
      <c r="B1921" s="1" t="s">
        <v>142</v>
      </c>
      <c r="C1921" s="54">
        <v>32248</v>
      </c>
      <c r="D1921" s="55">
        <v>14.830937713894592</v>
      </c>
      <c r="F1921">
        <v>852.082336045955</v>
      </c>
      <c r="N1921">
        <v>169.92565082394705</v>
      </c>
      <c r="X1921" s="19"/>
      <c r="AF1921" s="2">
        <v>13.870621230413686</v>
      </c>
      <c r="AG1921">
        <v>22.028089887640441</v>
      </c>
      <c r="AH1921" s="2"/>
      <c r="AI1921">
        <v>33.492062102244056</v>
      </c>
      <c r="BM1921">
        <v>23</v>
      </c>
      <c r="BN1921">
        <v>16.080000000000002</v>
      </c>
      <c r="BO1921">
        <v>26.2</v>
      </c>
      <c r="BP1921">
        <v>12.4</v>
      </c>
      <c r="BQ1921">
        <v>28.6</v>
      </c>
      <c r="BR1921">
        <v>6.93</v>
      </c>
      <c r="BS1921">
        <v>23.6</v>
      </c>
    </row>
    <row r="1922" spans="1:71" customFormat="1">
      <c r="A1922" t="s">
        <v>56</v>
      </c>
      <c r="B1922" s="1" t="s">
        <v>142</v>
      </c>
      <c r="C1922" s="54">
        <v>32309</v>
      </c>
      <c r="D1922" s="55">
        <v>14.997946611909651</v>
      </c>
      <c r="F1922">
        <v>842.50837721397795</v>
      </c>
      <c r="N1922">
        <v>174.56361429240482</v>
      </c>
      <c r="X1922" s="19"/>
      <c r="AF1922" s="2">
        <v>14.079261701072076</v>
      </c>
      <c r="AG1922">
        <v>22.348863636363632</v>
      </c>
      <c r="AH1922" s="2"/>
      <c r="AI1922">
        <v>34.043728178412742</v>
      </c>
      <c r="BM1922">
        <v>23.2</v>
      </c>
      <c r="BN1922">
        <v>16.970000000000002</v>
      </c>
      <c r="BO1922">
        <v>26.5</v>
      </c>
      <c r="BP1922">
        <v>12.4</v>
      </c>
      <c r="BQ1922">
        <v>28.9</v>
      </c>
      <c r="BR1922">
        <v>7.06</v>
      </c>
      <c r="BS1922">
        <v>23.9</v>
      </c>
    </row>
    <row r="1923" spans="1:71" customFormat="1">
      <c r="A1923" t="s">
        <v>56</v>
      </c>
      <c r="B1923" s="1" t="s">
        <v>142</v>
      </c>
      <c r="C1923" s="54">
        <v>32426</v>
      </c>
      <c r="D1923" s="55">
        <v>15.318275154004107</v>
      </c>
      <c r="F1923">
        <v>545.71565342269025</v>
      </c>
      <c r="N1923">
        <v>132.59536047077043</v>
      </c>
      <c r="X1923" s="19"/>
      <c r="AF1923" s="2">
        <v>14.98826605234318</v>
      </c>
      <c r="AG1923">
        <v>23.79649122807017</v>
      </c>
      <c r="AH1923" s="2"/>
      <c r="AI1923">
        <v>24.803016868115396</v>
      </c>
      <c r="BM1923">
        <v>24.2</v>
      </c>
      <c r="BN1923">
        <v>18.940000000000001</v>
      </c>
      <c r="BO1923">
        <v>28.06</v>
      </c>
      <c r="BP1923">
        <v>14.1</v>
      </c>
      <c r="BQ1923">
        <v>29.6</v>
      </c>
      <c r="BR1923">
        <v>8.34</v>
      </c>
      <c r="BS1923">
        <v>25.3</v>
      </c>
    </row>
    <row r="1924" spans="1:71" customFormat="1">
      <c r="A1924" t="s">
        <v>56</v>
      </c>
      <c r="B1924" s="1" t="s">
        <v>142</v>
      </c>
      <c r="C1924" s="54">
        <v>32477</v>
      </c>
      <c r="D1924" s="55">
        <v>15.457905544147843</v>
      </c>
      <c r="F1924">
        <v>545.71565342269025</v>
      </c>
      <c r="N1924">
        <v>135.34704560023425</v>
      </c>
      <c r="X1924" s="19"/>
      <c r="AF1924" s="2">
        <v>15.101319990330616</v>
      </c>
      <c r="AG1924">
        <v>23.964912280701764</v>
      </c>
      <c r="AH1924" s="2"/>
      <c r="AI1924">
        <v>25.161104291162928</v>
      </c>
      <c r="BM1924">
        <v>24.5</v>
      </c>
      <c r="BN1924">
        <v>19.04</v>
      </c>
      <c r="BO1924">
        <v>28.299999999999997</v>
      </c>
      <c r="BP1924">
        <v>14.1</v>
      </c>
      <c r="BQ1924">
        <v>30</v>
      </c>
      <c r="BR1924">
        <v>8.2899999999999991</v>
      </c>
      <c r="BS1924">
        <v>25.4</v>
      </c>
    </row>
    <row r="1925" spans="1:71" customFormat="1">
      <c r="A1925" t="s">
        <v>56</v>
      </c>
      <c r="B1925" s="1" t="s">
        <v>142</v>
      </c>
      <c r="C1925" s="54">
        <v>32567</v>
      </c>
      <c r="D1925" s="55">
        <v>15.704312114989733</v>
      </c>
      <c r="F1925">
        <v>536.1416945907132</v>
      </c>
      <c r="N1925">
        <v>136.87922197833421</v>
      </c>
      <c r="X1925" s="19"/>
      <c r="AF1925" s="2">
        <v>15.258654626580398</v>
      </c>
      <c r="AG1925">
        <v>24.201785714285709</v>
      </c>
      <c r="AH1925" s="2"/>
      <c r="AI1925">
        <v>25.215251272250764</v>
      </c>
      <c r="BM1925">
        <v>24.95</v>
      </c>
      <c r="BN1925">
        <v>19.149999999999999</v>
      </c>
      <c r="BO1925">
        <v>28.5</v>
      </c>
      <c r="BP1925">
        <v>14.1</v>
      </c>
      <c r="BQ1925">
        <v>30.2</v>
      </c>
      <c r="BR1925">
        <v>8.33</v>
      </c>
      <c r="BS1925">
        <v>25.7</v>
      </c>
    </row>
    <row r="1926" spans="1:71" customFormat="1">
      <c r="A1926" t="s">
        <v>56</v>
      </c>
      <c r="B1926" s="1" t="s">
        <v>142</v>
      </c>
      <c r="C1926" s="54">
        <v>32659</v>
      </c>
      <c r="D1926" s="55">
        <v>15.956194387405887</v>
      </c>
      <c r="F1926">
        <v>545.71565342269025</v>
      </c>
      <c r="N1926">
        <v>148.76772325622258</v>
      </c>
      <c r="X1926" s="19"/>
      <c r="AF1926" s="2">
        <v>15.626131910977756</v>
      </c>
      <c r="AG1926">
        <v>24.752631578947369</v>
      </c>
      <c r="AH1926" s="2"/>
      <c r="AI1926">
        <v>26.8718736846083</v>
      </c>
      <c r="BM1926">
        <v>25.4</v>
      </c>
      <c r="BN1926">
        <v>19.48</v>
      </c>
      <c r="BO1926">
        <v>29.58</v>
      </c>
      <c r="BP1926">
        <v>14.1</v>
      </c>
      <c r="BQ1926">
        <v>31</v>
      </c>
      <c r="BR1926">
        <v>8.11</v>
      </c>
      <c r="BS1926">
        <v>26.3</v>
      </c>
    </row>
    <row r="1927" spans="1:71" customFormat="1">
      <c r="A1927" t="s">
        <v>56</v>
      </c>
      <c r="B1927" s="1" t="s">
        <v>142</v>
      </c>
      <c r="C1927" s="54">
        <v>32689</v>
      </c>
      <c r="D1927" s="55">
        <v>16.038329911019851</v>
      </c>
      <c r="F1927">
        <v>440.40210627094302</v>
      </c>
      <c r="N1927">
        <v>122.57917336071512</v>
      </c>
      <c r="X1927" s="19"/>
      <c r="AF1927" s="2">
        <v>15.760259219015852</v>
      </c>
      <c r="AG1927">
        <v>24.989130434782602</v>
      </c>
      <c r="AH1927" s="2"/>
      <c r="AI1927">
        <v>22.049551519457022</v>
      </c>
      <c r="BM1927">
        <v>25.7</v>
      </c>
      <c r="BN1927">
        <v>20.05</v>
      </c>
      <c r="BO1927">
        <v>29</v>
      </c>
      <c r="BP1927">
        <v>14.3</v>
      </c>
      <c r="BQ1927">
        <v>31</v>
      </c>
      <c r="BR1927">
        <v>8.8000000000000007</v>
      </c>
      <c r="BS1927">
        <v>26.5</v>
      </c>
    </row>
    <row r="1928" spans="1:71" customFormat="1">
      <c r="A1928" t="s">
        <v>56</v>
      </c>
      <c r="B1928" s="1" t="s">
        <v>142</v>
      </c>
      <c r="C1928" s="54">
        <v>32751</v>
      </c>
      <c r="D1928" s="55">
        <v>16.208076659822041</v>
      </c>
      <c r="F1928">
        <v>440.40210627094302</v>
      </c>
      <c r="N1928">
        <v>130.02826103526851</v>
      </c>
      <c r="X1928" s="19"/>
      <c r="AF1928" s="2">
        <v>16.09670308043059</v>
      </c>
      <c r="AG1928">
        <v>25.506521739130434</v>
      </c>
      <c r="AH1928" s="2"/>
      <c r="AI1928">
        <v>22.981066074536027</v>
      </c>
      <c r="BM1928">
        <v>26.15</v>
      </c>
      <c r="BN1928">
        <v>20.85</v>
      </c>
      <c r="BO1928">
        <v>29.5</v>
      </c>
      <c r="BP1928">
        <v>14.3</v>
      </c>
      <c r="BQ1928">
        <v>32.299999999999997</v>
      </c>
      <c r="BR1928">
        <v>8.6199999999999992</v>
      </c>
      <c r="BS1928">
        <v>27</v>
      </c>
    </row>
    <row r="1929" spans="1:71" customFormat="1">
      <c r="A1929" t="s">
        <v>56</v>
      </c>
      <c r="B1929" s="1" t="s">
        <v>142</v>
      </c>
      <c r="C1929" s="54">
        <v>32843</v>
      </c>
      <c r="D1929" s="55">
        <v>16.459958932238195</v>
      </c>
      <c r="F1929">
        <v>440.40210627094302</v>
      </c>
      <c r="N1929">
        <v>135.9060566722502</v>
      </c>
      <c r="X1929" s="19"/>
      <c r="AF1929" s="2">
        <v>16.348559855664249</v>
      </c>
      <c r="AG1929">
        <v>25.889130434782601</v>
      </c>
      <c r="AH1929" s="2"/>
      <c r="AI1929">
        <v>23.69740634676409</v>
      </c>
      <c r="BM1929">
        <v>26.7</v>
      </c>
      <c r="BN1929">
        <v>20.9</v>
      </c>
      <c r="BO1929">
        <v>30.1</v>
      </c>
      <c r="BP1929">
        <v>14.3</v>
      </c>
      <c r="BQ1929">
        <v>32.799999999999997</v>
      </c>
      <c r="BR1929">
        <v>8.48</v>
      </c>
      <c r="BS1929">
        <v>27.4</v>
      </c>
    </row>
    <row r="1930" spans="1:71" customFormat="1">
      <c r="A1930" t="s">
        <v>56</v>
      </c>
      <c r="B1930" s="1" t="s">
        <v>142</v>
      </c>
      <c r="C1930" s="54">
        <v>32933</v>
      </c>
      <c r="D1930" s="55">
        <v>16.706365503080082</v>
      </c>
      <c r="F1930">
        <v>545.71565342269025</v>
      </c>
      <c r="N1930">
        <v>172.99452255340321</v>
      </c>
      <c r="X1930" s="19"/>
      <c r="AF1930" s="2">
        <v>16.487037767761734</v>
      </c>
      <c r="AG1930">
        <v>26.070175438596497</v>
      </c>
      <c r="AH1930" s="2"/>
      <c r="AI1930">
        <v>29.861071272831165</v>
      </c>
      <c r="BM1930">
        <v>26.5</v>
      </c>
      <c r="BN1930">
        <v>20.3</v>
      </c>
      <c r="BO1930">
        <v>31.58</v>
      </c>
      <c r="BP1930">
        <v>14.3</v>
      </c>
      <c r="BQ1930">
        <v>32.799999999999997</v>
      </c>
      <c r="BR1930">
        <v>7.83</v>
      </c>
      <c r="BS1930">
        <v>27.8</v>
      </c>
    </row>
    <row r="1931" spans="1:71" customFormat="1">
      <c r="A1931" t="s">
        <v>56</v>
      </c>
      <c r="B1931" s="1" t="s">
        <v>142</v>
      </c>
      <c r="C1931" s="54">
        <v>33025</v>
      </c>
      <c r="D1931" s="55">
        <v>16.958247775496236</v>
      </c>
      <c r="F1931">
        <v>440.40210627094302</v>
      </c>
      <c r="N1931">
        <v>141.8189383143237</v>
      </c>
      <c r="X1931" s="19"/>
      <c r="AF1931" s="2">
        <v>16.594317852438824</v>
      </c>
      <c r="AG1931">
        <v>26.267391304347825</v>
      </c>
      <c r="AH1931" s="2"/>
      <c r="AI1931">
        <v>24.41261871353969</v>
      </c>
      <c r="BM1931">
        <v>27</v>
      </c>
      <c r="BN1931">
        <v>21.15</v>
      </c>
      <c r="BO1931">
        <v>30.9</v>
      </c>
      <c r="BP1931">
        <v>14.2</v>
      </c>
      <c r="BQ1931">
        <v>32.799999999999997</v>
      </c>
      <c r="BR1931">
        <v>8.3800000000000008</v>
      </c>
      <c r="BS1931">
        <v>27.9</v>
      </c>
    </row>
    <row r="1932" spans="1:71" customFormat="1">
      <c r="A1932" t="s">
        <v>56</v>
      </c>
      <c r="B1932" s="1" t="s">
        <v>142</v>
      </c>
      <c r="C1932" s="54">
        <v>33119</v>
      </c>
      <c r="D1932" s="55">
        <v>17.215605749486652</v>
      </c>
      <c r="F1932">
        <v>440.40210627094302</v>
      </c>
      <c r="N1932">
        <v>148.42516930255653</v>
      </c>
      <c r="X1932" s="19"/>
      <c r="AF1932" s="2">
        <v>16.85993207609409</v>
      </c>
      <c r="AG1932">
        <v>26.680434782608696</v>
      </c>
      <c r="AH1932" s="2"/>
      <c r="AI1932">
        <v>25.204182760077263</v>
      </c>
      <c r="BM1932">
        <v>27.4</v>
      </c>
      <c r="BN1932">
        <v>21.4</v>
      </c>
      <c r="BO1932">
        <v>31.3</v>
      </c>
      <c r="BP1932">
        <v>14.3</v>
      </c>
      <c r="BQ1932">
        <v>34.1</v>
      </c>
      <c r="BR1932">
        <v>8.1999999999999993</v>
      </c>
      <c r="BS1932">
        <v>28.3</v>
      </c>
    </row>
    <row r="1933" spans="1:71" customFormat="1">
      <c r="A1933" t="s">
        <v>56</v>
      </c>
      <c r="B1933" s="1" t="s">
        <v>142</v>
      </c>
      <c r="C1933" s="54">
        <v>34408</v>
      </c>
      <c r="D1933" s="55">
        <v>20.744695414099933</v>
      </c>
      <c r="F1933">
        <v>440.40210627094302</v>
      </c>
      <c r="N1933">
        <v>203.77131129463336</v>
      </c>
      <c r="X1933" s="19"/>
      <c r="AF1933" s="2">
        <v>18.768483748473137</v>
      </c>
      <c r="AG1933">
        <v>29.771739130434781</v>
      </c>
      <c r="AH1933" s="2"/>
      <c r="AI1933">
        <v>31.519490814542955</v>
      </c>
      <c r="BM1933">
        <v>30.5</v>
      </c>
      <c r="BN1933">
        <v>23.9</v>
      </c>
      <c r="BO1933">
        <v>35.6</v>
      </c>
      <c r="BP1933">
        <v>14.8</v>
      </c>
      <c r="BQ1933">
        <v>38.700000000000003</v>
      </c>
      <c r="BR1933">
        <v>7.99</v>
      </c>
      <c r="BS1933">
        <v>32.6</v>
      </c>
    </row>
    <row r="1934" spans="1:71" customFormat="1">
      <c r="A1934" t="s">
        <v>56</v>
      </c>
      <c r="B1934" s="1" t="s">
        <v>142</v>
      </c>
      <c r="C1934" s="54">
        <v>34530</v>
      </c>
      <c r="D1934" s="55">
        <v>21.078713210130047</v>
      </c>
      <c r="F1934">
        <v>440.40210627094302</v>
      </c>
      <c r="N1934">
        <v>210.30895029695782</v>
      </c>
      <c r="X1934" s="19"/>
      <c r="AF1934" s="2">
        <v>18.967256353044181</v>
      </c>
      <c r="AG1934">
        <v>30.115217391304355</v>
      </c>
      <c r="AH1934" s="2"/>
      <c r="AI1934">
        <v>32.247320683646755</v>
      </c>
      <c r="BM1934">
        <v>30.85</v>
      </c>
      <c r="BN1934">
        <v>24.4</v>
      </c>
      <c r="BO1934">
        <v>36.200000000000003</v>
      </c>
      <c r="BP1934">
        <v>14.8</v>
      </c>
      <c r="BQ1934">
        <v>38.799999999999997</v>
      </c>
      <c r="BR1934">
        <v>8.08</v>
      </c>
      <c r="BS1934">
        <v>33</v>
      </c>
    </row>
    <row r="1935" spans="1:71" customFormat="1">
      <c r="A1935" t="s">
        <v>56</v>
      </c>
      <c r="B1935" s="1" t="s">
        <v>142</v>
      </c>
      <c r="C1935" s="54">
        <v>34919</v>
      </c>
      <c r="D1935" s="55">
        <v>22.143737166324435</v>
      </c>
      <c r="F1935">
        <v>440.40210627094302</v>
      </c>
      <c r="N1935">
        <v>224.43450333208708</v>
      </c>
      <c r="X1935" s="19"/>
      <c r="AF1935" s="2">
        <v>19.374496651365465</v>
      </c>
      <c r="AG1935">
        <v>30.81630434782609</v>
      </c>
      <c r="AH1935" s="2"/>
      <c r="AI1935">
        <v>33.784582501497553</v>
      </c>
      <c r="BM1935">
        <v>31.6</v>
      </c>
      <c r="BN1935">
        <v>24.924999999999997</v>
      </c>
      <c r="BO1935">
        <v>36.875</v>
      </c>
      <c r="BP1935">
        <v>14.85</v>
      </c>
      <c r="BQ1935">
        <v>39.200000000000003</v>
      </c>
      <c r="BR1935">
        <v>8.4700000000000006</v>
      </c>
      <c r="BS1935">
        <v>33.799999999999997</v>
      </c>
    </row>
    <row r="1936" spans="1:71" customFormat="1">
      <c r="A1936" t="s">
        <v>56</v>
      </c>
      <c r="B1936" s="1" t="s">
        <v>142</v>
      </c>
      <c r="C1936" s="54">
        <v>35299</v>
      </c>
      <c r="D1936" s="55">
        <v>23.184120465434635</v>
      </c>
      <c r="F1936">
        <v>440.40210627094302</v>
      </c>
      <c r="N1936">
        <v>241.26333264049771</v>
      </c>
      <c r="X1936" s="19"/>
      <c r="AF1936" s="2">
        <v>19.823945106784016</v>
      </c>
      <c r="AG1936">
        <v>31.582608695652173</v>
      </c>
      <c r="AH1936" s="2"/>
      <c r="AI1936">
        <v>35.55672311045381</v>
      </c>
      <c r="BM1936">
        <v>32.549999999999997</v>
      </c>
      <c r="BN1936">
        <v>25.6</v>
      </c>
      <c r="BO1936">
        <v>37.950000000000003</v>
      </c>
      <c r="BP1936">
        <v>14.9</v>
      </c>
      <c r="BQ1936">
        <v>41.3</v>
      </c>
      <c r="BR1936">
        <v>7.9</v>
      </c>
      <c r="BS1936">
        <v>34.9</v>
      </c>
    </row>
    <row r="1937" spans="1:71" customFormat="1">
      <c r="A1937" t="s">
        <v>56</v>
      </c>
      <c r="B1937" s="1" t="s">
        <v>142</v>
      </c>
      <c r="C1937" s="54">
        <v>35681</v>
      </c>
      <c r="D1937" s="55">
        <v>24.229979466119097</v>
      </c>
      <c r="F1937">
        <v>440.40210627094302</v>
      </c>
      <c r="N1937">
        <v>254.56658574635557</v>
      </c>
      <c r="X1937" s="19"/>
      <c r="AF1937" s="2">
        <v>20.161807417467898</v>
      </c>
      <c r="AG1937">
        <v>32.173913043478244</v>
      </c>
      <c r="AH1937" s="2"/>
      <c r="AI1937">
        <v>36.944122010678434</v>
      </c>
      <c r="BM1937">
        <v>33.049999999999997</v>
      </c>
      <c r="BN1937">
        <v>25.85</v>
      </c>
      <c r="BO1937">
        <v>38.849999999999994</v>
      </c>
      <c r="BP1937">
        <v>14.9</v>
      </c>
      <c r="BQ1937">
        <v>41.9</v>
      </c>
      <c r="BR1937">
        <v>7.92</v>
      </c>
      <c r="BS1937">
        <v>35.6</v>
      </c>
    </row>
    <row r="1938" spans="1:71" customFormat="1">
      <c r="A1938" t="s">
        <v>56</v>
      </c>
      <c r="B1938" s="1" t="s">
        <v>142</v>
      </c>
      <c r="C1938" s="54">
        <v>36035</v>
      </c>
      <c r="D1938" s="55">
        <v>25.199178644763862</v>
      </c>
      <c r="F1938">
        <v>440.40210627094302</v>
      </c>
      <c r="N1938">
        <v>263.86160722188532</v>
      </c>
      <c r="X1938" s="19"/>
      <c r="AF1938" s="2">
        <v>20.389761549605151</v>
      </c>
      <c r="AG1938">
        <v>32.580434782608684</v>
      </c>
      <c r="AH1938" s="2"/>
      <c r="AI1938">
        <v>37.908323265769781</v>
      </c>
      <c r="BM1938">
        <v>33.4</v>
      </c>
      <c r="BN1938">
        <v>26.15</v>
      </c>
      <c r="BO1938">
        <v>39.5</v>
      </c>
      <c r="BP1938">
        <v>15</v>
      </c>
      <c r="BQ1938">
        <v>42.5</v>
      </c>
      <c r="BR1938">
        <v>7.9</v>
      </c>
      <c r="BS1938">
        <v>36.1</v>
      </c>
    </row>
    <row r="1939" spans="1:71" customFormat="1">
      <c r="A1939" t="s">
        <v>56</v>
      </c>
      <c r="B1939" s="1" t="s">
        <v>142</v>
      </c>
      <c r="C1939" s="54">
        <v>36409</v>
      </c>
      <c r="D1939" s="55">
        <v>26.223134839151268</v>
      </c>
      <c r="F1939">
        <v>440.40210627094302</v>
      </c>
      <c r="N1939">
        <v>276.14665850554019</v>
      </c>
      <c r="X1939" s="19"/>
      <c r="AF1939" s="2">
        <v>20.676644346020261</v>
      </c>
      <c r="AG1939">
        <v>33.089130434782604</v>
      </c>
      <c r="AH1939" s="2"/>
      <c r="AI1939">
        <v>39.155380650229461</v>
      </c>
      <c r="BM1939">
        <v>34.25</v>
      </c>
      <c r="BN1939">
        <v>26.25</v>
      </c>
      <c r="BO1939">
        <v>39.950000000000003</v>
      </c>
      <c r="BP1939">
        <v>14.9</v>
      </c>
      <c r="BQ1939">
        <v>43.3</v>
      </c>
      <c r="BR1939">
        <v>7.7</v>
      </c>
      <c r="BS1939">
        <v>36.799999999999997</v>
      </c>
    </row>
    <row r="1940" spans="1:71" customFormat="1">
      <c r="A1940" t="s">
        <v>56</v>
      </c>
      <c r="B1940" s="1" t="s">
        <v>142</v>
      </c>
      <c r="C1940" s="54">
        <v>36774</v>
      </c>
      <c r="D1940" s="55">
        <v>27.222450376454482</v>
      </c>
      <c r="F1940">
        <v>440.40210627094302</v>
      </c>
      <c r="N1940">
        <v>288.26297701465683</v>
      </c>
      <c r="X1940" s="19"/>
      <c r="AF1940" s="2">
        <v>20.948165498733466</v>
      </c>
      <c r="AG1940">
        <v>33.576086956521735</v>
      </c>
      <c r="AH1940" s="2"/>
      <c r="AI1940">
        <v>40.371548464031044</v>
      </c>
      <c r="BM1940">
        <v>34.900000000000006</v>
      </c>
      <c r="BN1940">
        <v>26.549999999999997</v>
      </c>
      <c r="BO1940">
        <v>40.900000000000006</v>
      </c>
      <c r="BP1940">
        <v>14.9</v>
      </c>
      <c r="BQ1940">
        <v>44.5</v>
      </c>
      <c r="BR1940">
        <v>7.63</v>
      </c>
      <c r="BS1940">
        <v>37.5</v>
      </c>
    </row>
  </sheetData>
  <autoFilter ref="A1:BL1940" xr:uid="{00000000-0001-0000-0600-000000000000}"/>
  <sortState xmlns:xlrd2="http://schemas.microsoft.com/office/spreadsheetml/2017/richdata2" ref="A101:BW490">
    <sortCondition ref="A131:A490"/>
    <sortCondition ref="D131:D490"/>
  </sortState>
  <phoneticPr fontId="6" type="noConversion"/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4511D85AC0148A39946D666254246" ma:contentTypeVersion="12" ma:contentTypeDescription="Create a new document." ma:contentTypeScope="" ma:versionID="2f99897cdd63f9d873eae4f18c28165d">
  <xsd:schema xmlns:xsd="http://www.w3.org/2001/XMLSchema" xmlns:xs="http://www.w3.org/2001/XMLSchema" xmlns:p="http://schemas.microsoft.com/office/2006/metadata/properties" xmlns:ns2="04de8433-b6f4-48d3-87ae-ae4504527ea6" xmlns:ns3="06aa6554-6be2-4691-9424-7e87462ea1cf" targetNamespace="http://schemas.microsoft.com/office/2006/metadata/properties" ma:root="true" ma:fieldsID="f2064731ad9a99a8f66208f2ad54da48" ns2:_="" ns3:_="">
    <xsd:import namespace="04de8433-b6f4-48d3-87ae-ae4504527ea6"/>
    <xsd:import namespace="06aa6554-6be2-4691-9424-7e87462ea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e8433-b6f4-48d3-87ae-ae450452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a6554-6be2-4691-9424-7e87462ea1c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139eb61-38ac-41d7-bb43-5bc270e4f71e}" ma:internalName="TaxCatchAll" ma:showField="CatchAllData" ma:web="06aa6554-6be2-4691-9424-7e87462ea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a6554-6be2-4691-9424-7e87462ea1cf" xsi:nil="true"/>
    <lcf76f155ced4ddcb4097134ff3c332f xmlns="04de8433-b6f4-48d3-87ae-ae4504527e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33D2BB-7EAB-4288-B570-BEF06CE647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0A5C1-BD9A-4C23-96E6-9D37E242C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de8433-b6f4-48d3-87ae-ae4504527ea6"/>
    <ds:schemaRef ds:uri="06aa6554-6be2-4691-9424-7e87462ea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B61C54-682B-426D-B654-C69361AF1CAA}">
  <ds:schemaRefs>
    <ds:schemaRef ds:uri="04de8433-b6f4-48d3-87ae-ae4504527ea6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6aa6554-6be2-4691-9424-7e87462ea1cf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Huth, Neil (CES, Toowoomba)</dc:creator>
  <cp:keywords/>
  <dc:description/>
  <cp:lastModifiedBy>Mendham, Daniel (Environment, Black Mountain)</cp:lastModifiedBy>
  <cp:revision/>
  <dcterms:created xsi:type="dcterms:W3CDTF">1996-10-14T23:33:28Z</dcterms:created>
  <dcterms:modified xsi:type="dcterms:W3CDTF">2026-10-29T02:20:17Z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0x010100D024511D85AC0148A39946D666254246</vt:lpwstr>
  </property>
  <property fmtid="{D5CDD505-2E9C-101B-9397-08002B2CF9AE}" pid="3" name="MediaServiceImageTags">
    <vt:lpwstr/>
  </property>
  <property fmtid="{D5CDD505-2E9C-101B-9397-08002B2CF9AE}" pid="4" name="MSIP_Label_0ad370f1-5840-4c36-bb65-89acaaf849ca_Enabled">
    <vt:lpwstr>true</vt:lpwstr>
  </property>
  <property fmtid="{D5CDD505-2E9C-101B-9397-08002B2CF9AE}" pid="5" name="MSIP_Label_0ad370f1-5840-4c36-bb65-89acaaf849ca_SetDate">
    <vt:lpwstr>2026-03-19T01:30:02Z</vt:lpwstr>
  </property>
  <property fmtid="{D5CDD505-2E9C-101B-9397-08002B2CF9AE}" pid="6" name="MSIP_Label_0ad370f1-5840-4c36-bb65-89acaaf849ca_Method">
    <vt:lpwstr>Privileged</vt:lpwstr>
  </property>
  <property fmtid="{D5CDD505-2E9C-101B-9397-08002B2CF9AE}" pid="7" name="MSIP_Label_0ad370f1-5840-4c36-bb65-89acaaf849ca_Name">
    <vt:lpwstr>OFFICIAL</vt:lpwstr>
  </property>
  <property fmtid="{D5CDD505-2E9C-101B-9397-08002B2CF9AE}" pid="8" name="MSIP_Label_0ad370f1-5840-4c36-bb65-89acaaf849ca_SiteId">
    <vt:lpwstr>0fe05593-19ac-4f98-adbf-0375fce7f160</vt:lpwstr>
  </property>
  <property fmtid="{D5CDD505-2E9C-101B-9397-08002B2CF9AE}" pid="9" name="MSIP_Label_0ad370f1-5840-4c36-bb65-89acaaf849ca_ActionId">
    <vt:lpwstr>c1e8d8bd-5ea8-4ccc-9d70-62a17426cd0b</vt:lpwstr>
  </property>
  <property fmtid="{D5CDD505-2E9C-101B-9397-08002B2CF9AE}" pid="10" name="MSIP_Label_0ad370f1-5840-4c36-bb65-89acaaf849ca_ContentBits">
    <vt:lpwstr>3</vt:lpwstr>
  </property>
  <property fmtid="{D5CDD505-2E9C-101B-9397-08002B2CF9AE}" pid="11" name="MSIP_Label_0ad370f1-5840-4c36-bb65-89acaaf849ca_Tag">
    <vt:lpwstr>10, 0, 1, 1</vt:lpwstr>
  </property>
</Properties>
</file>