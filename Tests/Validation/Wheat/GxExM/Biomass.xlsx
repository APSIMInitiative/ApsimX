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Repos\ApsimX\Tests\Validation\Wheat\GxExM\"/>
    </mc:Choice>
  </mc:AlternateContent>
  <xr:revisionPtr revIDLastSave="0" documentId="13_ncr:1_{02FBE0FD-53E5-42A2-A841-63D8BF53E5FA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ObservedOLD" sheetId="1" r:id="rId1"/>
    <sheet name="Observed" sheetId="3" r:id="rId2"/>
    <sheet name="Data" sheetId="2" r:id="rId3"/>
  </sheets>
  <definedNames>
    <definedName name="_xlnm._FilterDatabase" localSheetId="1" hidden="1">Observed!$B$1:$B$437</definedName>
    <definedName name="_xlnm._FilterDatabase" localSheetId="0" hidden="1">ObservedOLD!$A$1:$AA$121</definedName>
  </definedNames>
  <calcPr calcId="191029" concurrentCalc="0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N380" i="2" l="1"/>
  <c r="AO380" i="2"/>
  <c r="AP380" i="2"/>
  <c r="AQ380" i="2"/>
  <c r="AN381" i="2"/>
  <c r="AO381" i="2"/>
  <c r="AP381" i="2"/>
  <c r="AQ381" i="2"/>
  <c r="AN382" i="2"/>
  <c r="AO382" i="2"/>
  <c r="AP382" i="2"/>
  <c r="AQ382" i="2"/>
  <c r="AN383" i="2"/>
  <c r="AO383" i="2"/>
  <c r="AP383" i="2"/>
  <c r="AQ383" i="2"/>
  <c r="AN384" i="2"/>
  <c r="AO384" i="2"/>
  <c r="AP384" i="2"/>
  <c r="AQ384" i="2"/>
  <c r="AN385" i="2"/>
  <c r="AO385" i="2"/>
  <c r="AP385" i="2"/>
  <c r="AQ385" i="2"/>
  <c r="AN386" i="2"/>
  <c r="AO386" i="2"/>
  <c r="AP386" i="2"/>
  <c r="AQ386" i="2"/>
  <c r="AN387" i="2"/>
  <c r="AO387" i="2"/>
  <c r="AP387" i="2"/>
  <c r="AQ387" i="2"/>
  <c r="AN388" i="2"/>
  <c r="AO388" i="2"/>
  <c r="AP388" i="2"/>
  <c r="AQ388" i="2"/>
  <c r="AN389" i="2"/>
  <c r="AO389" i="2"/>
  <c r="AP389" i="2"/>
  <c r="AQ389" i="2"/>
  <c r="AN390" i="2"/>
  <c r="AO390" i="2"/>
  <c r="AP390" i="2"/>
  <c r="AQ390" i="2"/>
  <c r="AN391" i="2"/>
  <c r="AO391" i="2"/>
  <c r="AP391" i="2"/>
  <c r="AQ391" i="2"/>
  <c r="AN392" i="2"/>
  <c r="AO392" i="2"/>
  <c r="AP392" i="2"/>
  <c r="AQ392" i="2"/>
  <c r="AN393" i="2"/>
  <c r="AO393" i="2"/>
  <c r="AP393" i="2"/>
  <c r="AQ393" i="2"/>
  <c r="AN394" i="2"/>
  <c r="AO394" i="2"/>
  <c r="AP394" i="2"/>
  <c r="AQ394" i="2"/>
  <c r="AN395" i="2"/>
  <c r="AO395" i="2"/>
  <c r="AP395" i="2"/>
  <c r="AQ395" i="2"/>
  <c r="AN396" i="2"/>
  <c r="AO396" i="2"/>
  <c r="AP396" i="2"/>
  <c r="AQ396" i="2"/>
  <c r="AN397" i="2"/>
  <c r="AO397" i="2"/>
  <c r="AP397" i="2"/>
  <c r="AQ397" i="2"/>
  <c r="AN398" i="2"/>
  <c r="AO398" i="2"/>
  <c r="AP398" i="2"/>
  <c r="AQ398" i="2"/>
  <c r="AN399" i="2"/>
  <c r="AO399" i="2"/>
  <c r="AP399" i="2"/>
  <c r="AQ399" i="2"/>
  <c r="AN400" i="2"/>
  <c r="AO400" i="2"/>
  <c r="AP400" i="2"/>
  <c r="AQ400" i="2"/>
  <c r="AN401" i="2"/>
  <c r="AO401" i="2"/>
  <c r="AP401" i="2"/>
  <c r="AQ401" i="2"/>
  <c r="AN402" i="2"/>
  <c r="AO402" i="2"/>
  <c r="AP402" i="2"/>
  <c r="AQ402" i="2"/>
  <c r="AN403" i="2"/>
  <c r="AO403" i="2"/>
  <c r="AP403" i="2"/>
  <c r="AQ403" i="2"/>
  <c r="AN404" i="2"/>
  <c r="AO404" i="2"/>
  <c r="AP404" i="2"/>
  <c r="AQ404" i="2"/>
  <c r="AN405" i="2"/>
  <c r="AO405" i="2"/>
  <c r="AP405" i="2"/>
  <c r="AQ405" i="2"/>
  <c r="AN406" i="2"/>
  <c r="AO406" i="2"/>
  <c r="AP406" i="2"/>
  <c r="AQ406" i="2"/>
  <c r="AN407" i="2"/>
  <c r="AO407" i="2"/>
  <c r="AP407" i="2"/>
  <c r="AQ407" i="2"/>
  <c r="AN408" i="2"/>
  <c r="AO408" i="2"/>
  <c r="AP408" i="2"/>
  <c r="AQ408" i="2"/>
  <c r="AN409" i="2"/>
  <c r="AO409" i="2"/>
  <c r="AP409" i="2"/>
  <c r="AQ409" i="2"/>
  <c r="AN410" i="2"/>
  <c r="AO410" i="2"/>
  <c r="AP410" i="2"/>
  <c r="AQ410" i="2"/>
  <c r="AN411" i="2"/>
  <c r="AO411" i="2"/>
  <c r="AP411" i="2"/>
  <c r="AQ411" i="2"/>
  <c r="AN412" i="2"/>
  <c r="AO412" i="2"/>
  <c r="AP412" i="2"/>
  <c r="AQ412" i="2"/>
  <c r="AN413" i="2"/>
  <c r="AO413" i="2"/>
  <c r="AP413" i="2"/>
  <c r="AQ413" i="2"/>
  <c r="AN414" i="2"/>
  <c r="AO414" i="2"/>
  <c r="AP414" i="2"/>
  <c r="AQ414" i="2"/>
  <c r="AN415" i="2"/>
  <c r="AO415" i="2"/>
  <c r="AP415" i="2"/>
  <c r="AQ415" i="2"/>
  <c r="AN416" i="2"/>
  <c r="AO416" i="2"/>
  <c r="AP416" i="2"/>
  <c r="AQ416" i="2"/>
  <c r="AN417" i="2"/>
  <c r="AO417" i="2"/>
  <c r="AP417" i="2"/>
  <c r="AQ417" i="2"/>
  <c r="AN418" i="2"/>
  <c r="AO418" i="2"/>
  <c r="AP418" i="2"/>
  <c r="AQ418" i="2"/>
  <c r="AN419" i="2"/>
  <c r="AO419" i="2"/>
  <c r="AP419" i="2"/>
  <c r="AQ419" i="2"/>
  <c r="AN420" i="2"/>
  <c r="AO420" i="2"/>
  <c r="AP420" i="2"/>
  <c r="AQ420" i="2"/>
  <c r="AN421" i="2"/>
  <c r="AO421" i="2"/>
  <c r="AP421" i="2"/>
  <c r="AQ421" i="2"/>
  <c r="AN422" i="2"/>
  <c r="AO422" i="2"/>
  <c r="AP422" i="2"/>
  <c r="AQ422" i="2"/>
  <c r="AN423" i="2"/>
  <c r="AO423" i="2"/>
  <c r="AP423" i="2"/>
  <c r="AQ423" i="2"/>
  <c r="AN424" i="2"/>
  <c r="AO424" i="2"/>
  <c r="AP424" i="2"/>
  <c r="AQ424" i="2"/>
  <c r="AN425" i="2"/>
  <c r="AO425" i="2"/>
  <c r="AP425" i="2"/>
  <c r="AQ425" i="2"/>
  <c r="AN426" i="2"/>
  <c r="AO426" i="2"/>
  <c r="AP426" i="2"/>
  <c r="AQ426" i="2"/>
  <c r="AN427" i="2"/>
  <c r="AO427" i="2"/>
  <c r="AP427" i="2"/>
  <c r="AQ427" i="2"/>
  <c r="AN428" i="2"/>
  <c r="AO428" i="2"/>
  <c r="AP428" i="2"/>
  <c r="AQ428" i="2"/>
  <c r="AN429" i="2"/>
  <c r="AO429" i="2"/>
  <c r="AP429" i="2"/>
  <c r="AQ429" i="2"/>
  <c r="AN430" i="2"/>
  <c r="AO430" i="2"/>
  <c r="AP430" i="2"/>
  <c r="AQ430" i="2"/>
  <c r="AN431" i="2"/>
  <c r="AO431" i="2"/>
  <c r="AP431" i="2"/>
  <c r="AQ431" i="2"/>
  <c r="AN432" i="2"/>
  <c r="AO432" i="2"/>
  <c r="AP432" i="2"/>
  <c r="AQ432" i="2"/>
  <c r="AN433" i="2"/>
  <c r="AO433" i="2"/>
  <c r="AP433" i="2"/>
  <c r="AQ433" i="2"/>
  <c r="AN434" i="2"/>
  <c r="AO434" i="2"/>
  <c r="AP434" i="2"/>
  <c r="AQ434" i="2"/>
  <c r="AN435" i="2"/>
  <c r="AO435" i="2"/>
  <c r="AP435" i="2"/>
  <c r="AQ435" i="2"/>
  <c r="AN436" i="2"/>
  <c r="AO436" i="2"/>
  <c r="AP436" i="2"/>
  <c r="AQ436" i="2"/>
  <c r="AN437" i="2"/>
  <c r="AO437" i="2"/>
  <c r="AP437" i="2"/>
  <c r="AQ437" i="2"/>
  <c r="AN438" i="2"/>
  <c r="AO438" i="2"/>
  <c r="AP438" i="2"/>
  <c r="AQ438" i="2"/>
  <c r="AN439" i="2"/>
  <c r="AO439" i="2"/>
  <c r="AP439" i="2"/>
  <c r="AQ439" i="2"/>
  <c r="L1" i="3"/>
  <c r="M1" i="3"/>
  <c r="N1" i="3"/>
  <c r="O1" i="3"/>
  <c r="P1" i="3"/>
  <c r="Q1" i="3"/>
  <c r="K1" i="3"/>
  <c r="AO124" i="2"/>
  <c r="AO125" i="2"/>
  <c r="AP124" i="2"/>
  <c r="AP125" i="2"/>
  <c r="AQ125" i="2"/>
  <c r="AO126" i="2"/>
  <c r="AP126" i="2"/>
  <c r="AQ126" i="2"/>
  <c r="AO127" i="2"/>
  <c r="AP127" i="2"/>
  <c r="AQ127" i="2"/>
  <c r="AO128" i="2"/>
  <c r="AP128" i="2"/>
  <c r="AQ128" i="2"/>
  <c r="AO129" i="2"/>
  <c r="AP129" i="2"/>
  <c r="AQ129" i="2"/>
  <c r="AO130" i="2"/>
  <c r="AP130" i="2"/>
  <c r="AQ130" i="2"/>
  <c r="AO131" i="2"/>
  <c r="AP131" i="2"/>
  <c r="AQ131" i="2"/>
  <c r="AO132" i="2"/>
  <c r="AP132" i="2"/>
  <c r="AQ132" i="2"/>
  <c r="AO133" i="2"/>
  <c r="AP133" i="2"/>
  <c r="AQ133" i="2"/>
  <c r="AO134" i="2"/>
  <c r="AP134" i="2"/>
  <c r="AQ134" i="2"/>
  <c r="AO135" i="2"/>
  <c r="AP135" i="2"/>
  <c r="AQ135" i="2"/>
  <c r="AO136" i="2"/>
  <c r="AP136" i="2"/>
  <c r="AQ136" i="2"/>
  <c r="AO137" i="2"/>
  <c r="AP137" i="2"/>
  <c r="AQ137" i="2"/>
  <c r="AO138" i="2"/>
  <c r="AP138" i="2"/>
  <c r="AQ138" i="2"/>
  <c r="AO139" i="2"/>
  <c r="AP139" i="2"/>
  <c r="AQ139" i="2"/>
  <c r="AO140" i="2"/>
  <c r="AP140" i="2"/>
  <c r="AQ140" i="2"/>
  <c r="AO141" i="2"/>
  <c r="AP141" i="2"/>
  <c r="AQ141" i="2"/>
  <c r="AO142" i="2"/>
  <c r="AP142" i="2"/>
  <c r="AQ142" i="2"/>
  <c r="AO143" i="2"/>
  <c r="AP143" i="2"/>
  <c r="AQ143" i="2"/>
  <c r="AO144" i="2"/>
  <c r="AP144" i="2"/>
  <c r="AQ144" i="2"/>
  <c r="AO145" i="2"/>
  <c r="AP145" i="2"/>
  <c r="AQ145" i="2"/>
  <c r="AO146" i="2"/>
  <c r="AP146" i="2"/>
  <c r="AQ146" i="2"/>
  <c r="AO147" i="2"/>
  <c r="AP147" i="2"/>
  <c r="AQ147" i="2"/>
  <c r="AO148" i="2"/>
  <c r="AP148" i="2"/>
  <c r="AQ148" i="2"/>
  <c r="AO149" i="2"/>
  <c r="AP149" i="2"/>
  <c r="AQ149" i="2"/>
  <c r="AO150" i="2"/>
  <c r="AP150" i="2"/>
  <c r="AQ150" i="2"/>
  <c r="AO151" i="2"/>
  <c r="AP151" i="2"/>
  <c r="AQ151" i="2"/>
  <c r="AO152" i="2"/>
  <c r="AP152" i="2"/>
  <c r="AQ152" i="2"/>
  <c r="AO153" i="2"/>
  <c r="AP153" i="2"/>
  <c r="AQ153" i="2"/>
  <c r="AO154" i="2"/>
  <c r="AP154" i="2"/>
  <c r="AQ154" i="2"/>
  <c r="AO155" i="2"/>
  <c r="AP155" i="2"/>
  <c r="AQ155" i="2"/>
  <c r="AO156" i="2"/>
  <c r="AP156" i="2"/>
  <c r="AQ156" i="2"/>
  <c r="AO157" i="2"/>
  <c r="AP157" i="2"/>
  <c r="AQ157" i="2"/>
  <c r="AO158" i="2"/>
  <c r="AP158" i="2"/>
  <c r="AQ158" i="2"/>
  <c r="AO159" i="2"/>
  <c r="AP159" i="2"/>
  <c r="AQ159" i="2"/>
  <c r="AO160" i="2"/>
  <c r="AP160" i="2"/>
  <c r="AQ160" i="2"/>
  <c r="AO161" i="2"/>
  <c r="AP161" i="2"/>
  <c r="AQ161" i="2"/>
  <c r="AO162" i="2"/>
  <c r="AP162" i="2"/>
  <c r="AQ162" i="2"/>
  <c r="AO163" i="2"/>
  <c r="AP163" i="2"/>
  <c r="AQ163" i="2"/>
  <c r="AO164" i="2"/>
  <c r="AP164" i="2"/>
  <c r="AQ164" i="2"/>
  <c r="AO165" i="2"/>
  <c r="AP165" i="2"/>
  <c r="AQ165" i="2"/>
  <c r="AO166" i="2"/>
  <c r="AP166" i="2"/>
  <c r="AQ166" i="2"/>
  <c r="AO167" i="2"/>
  <c r="AP167" i="2"/>
  <c r="AQ167" i="2"/>
  <c r="AO168" i="2"/>
  <c r="AP168" i="2"/>
  <c r="AQ168" i="2"/>
  <c r="AO169" i="2"/>
  <c r="AP169" i="2"/>
  <c r="AQ169" i="2"/>
  <c r="AO170" i="2"/>
  <c r="AP170" i="2"/>
  <c r="AQ170" i="2"/>
  <c r="AO171" i="2"/>
  <c r="AP171" i="2"/>
  <c r="AQ171" i="2"/>
  <c r="AO172" i="2"/>
  <c r="AP172" i="2"/>
  <c r="AQ172" i="2"/>
  <c r="AO173" i="2"/>
  <c r="AP173" i="2"/>
  <c r="AQ173" i="2"/>
  <c r="AO174" i="2"/>
  <c r="AP174" i="2"/>
  <c r="AQ174" i="2"/>
  <c r="AO175" i="2"/>
  <c r="AP175" i="2"/>
  <c r="AQ175" i="2"/>
  <c r="AO176" i="2"/>
  <c r="AP176" i="2"/>
  <c r="AQ176" i="2"/>
  <c r="AO177" i="2"/>
  <c r="AP177" i="2"/>
  <c r="AQ177" i="2"/>
  <c r="AO178" i="2"/>
  <c r="AP178" i="2"/>
  <c r="AQ178" i="2"/>
  <c r="AO179" i="2"/>
  <c r="AP179" i="2"/>
  <c r="AQ179" i="2"/>
  <c r="AO180" i="2"/>
  <c r="AP180" i="2"/>
  <c r="AQ180" i="2"/>
  <c r="AO181" i="2"/>
  <c r="AP181" i="2"/>
  <c r="AQ181" i="2"/>
  <c r="AO182" i="2"/>
  <c r="AP182" i="2"/>
  <c r="AQ182" i="2"/>
  <c r="AO183" i="2"/>
  <c r="AP183" i="2"/>
  <c r="AQ183" i="2"/>
  <c r="AQ124" i="2"/>
  <c r="AO4" i="2"/>
  <c r="AO5" i="2"/>
  <c r="AP4" i="2"/>
  <c r="AP5" i="2"/>
  <c r="AQ5" i="2"/>
  <c r="AO6" i="2"/>
  <c r="AP6" i="2"/>
  <c r="AQ6" i="2"/>
  <c r="AO7" i="2"/>
  <c r="AP7" i="2"/>
  <c r="AQ7" i="2"/>
  <c r="AO8" i="2"/>
  <c r="AP8" i="2"/>
  <c r="AQ8" i="2"/>
  <c r="AO9" i="2"/>
  <c r="AP9" i="2"/>
  <c r="AQ9" i="2"/>
  <c r="AO10" i="2"/>
  <c r="AP10" i="2"/>
  <c r="AQ10" i="2"/>
  <c r="AO11" i="2"/>
  <c r="AP11" i="2"/>
  <c r="AQ11" i="2"/>
  <c r="AO12" i="2"/>
  <c r="AP12" i="2"/>
  <c r="AQ12" i="2"/>
  <c r="AO13" i="2"/>
  <c r="AP13" i="2"/>
  <c r="AQ13" i="2"/>
  <c r="AO14" i="2"/>
  <c r="AP14" i="2"/>
  <c r="AQ14" i="2"/>
  <c r="AO15" i="2"/>
  <c r="AP15" i="2"/>
  <c r="AQ15" i="2"/>
  <c r="AO16" i="2"/>
  <c r="AP16" i="2"/>
  <c r="AQ16" i="2"/>
  <c r="AO17" i="2"/>
  <c r="AP17" i="2"/>
  <c r="AQ17" i="2"/>
  <c r="AO18" i="2"/>
  <c r="AP18" i="2"/>
  <c r="AQ18" i="2"/>
  <c r="AO19" i="2"/>
  <c r="AP19" i="2"/>
  <c r="AQ19" i="2"/>
  <c r="AO20" i="2"/>
  <c r="AP20" i="2"/>
  <c r="AQ20" i="2"/>
  <c r="AO21" i="2"/>
  <c r="AP21" i="2"/>
  <c r="AQ21" i="2"/>
  <c r="AO22" i="2"/>
  <c r="AP22" i="2"/>
  <c r="AQ22" i="2"/>
  <c r="AO23" i="2"/>
  <c r="AP23" i="2"/>
  <c r="AQ23" i="2"/>
  <c r="AO24" i="2"/>
  <c r="AP24" i="2"/>
  <c r="AQ24" i="2"/>
  <c r="AO25" i="2"/>
  <c r="AP25" i="2"/>
  <c r="AQ25" i="2"/>
  <c r="AO26" i="2"/>
  <c r="AP26" i="2"/>
  <c r="AQ26" i="2"/>
  <c r="AO27" i="2"/>
  <c r="AP27" i="2"/>
  <c r="AQ27" i="2"/>
  <c r="AO28" i="2"/>
  <c r="AP28" i="2"/>
  <c r="AQ28" i="2"/>
  <c r="AO29" i="2"/>
  <c r="AP29" i="2"/>
  <c r="AQ29" i="2"/>
  <c r="AO30" i="2"/>
  <c r="AP30" i="2"/>
  <c r="AQ30" i="2"/>
  <c r="AO31" i="2"/>
  <c r="AP31" i="2"/>
  <c r="AQ31" i="2"/>
  <c r="AO32" i="2"/>
  <c r="AP32" i="2"/>
  <c r="AQ32" i="2"/>
  <c r="AO33" i="2"/>
  <c r="AP33" i="2"/>
  <c r="AQ33" i="2"/>
  <c r="AO34" i="2"/>
  <c r="AP34" i="2"/>
  <c r="AQ34" i="2"/>
  <c r="AO35" i="2"/>
  <c r="AP35" i="2"/>
  <c r="AQ35" i="2"/>
  <c r="AO36" i="2"/>
  <c r="AP36" i="2"/>
  <c r="AQ36" i="2"/>
  <c r="AO37" i="2"/>
  <c r="AP37" i="2"/>
  <c r="AQ37" i="2"/>
  <c r="AO38" i="2"/>
  <c r="AP38" i="2"/>
  <c r="AQ38" i="2"/>
  <c r="AO39" i="2"/>
  <c r="AP39" i="2"/>
  <c r="AQ39" i="2"/>
  <c r="AO40" i="2"/>
  <c r="AP40" i="2"/>
  <c r="AQ40" i="2"/>
  <c r="AO41" i="2"/>
  <c r="AP41" i="2"/>
  <c r="AQ41" i="2"/>
  <c r="AO42" i="2"/>
  <c r="AP42" i="2"/>
  <c r="AQ42" i="2"/>
  <c r="AO43" i="2"/>
  <c r="AP43" i="2"/>
  <c r="AQ43" i="2"/>
  <c r="AO44" i="2"/>
  <c r="AP44" i="2"/>
  <c r="AQ44" i="2"/>
  <c r="AO45" i="2"/>
  <c r="AP45" i="2"/>
  <c r="AQ45" i="2"/>
  <c r="AO46" i="2"/>
  <c r="AP46" i="2"/>
  <c r="AQ46" i="2"/>
  <c r="AO47" i="2"/>
  <c r="AP47" i="2"/>
  <c r="AQ47" i="2"/>
  <c r="AO48" i="2"/>
  <c r="AP48" i="2"/>
  <c r="AQ48" i="2"/>
  <c r="AO49" i="2"/>
  <c r="AP49" i="2"/>
  <c r="AQ49" i="2"/>
  <c r="AO50" i="2"/>
  <c r="AP50" i="2"/>
  <c r="AQ50" i="2"/>
  <c r="AO51" i="2"/>
  <c r="AP51" i="2"/>
  <c r="AQ51" i="2"/>
  <c r="AO52" i="2"/>
  <c r="AP52" i="2"/>
  <c r="AQ52" i="2"/>
  <c r="AO53" i="2"/>
  <c r="AP53" i="2"/>
  <c r="AQ53" i="2"/>
  <c r="AO54" i="2"/>
  <c r="AP54" i="2"/>
  <c r="AQ54" i="2"/>
  <c r="AO55" i="2"/>
  <c r="AP55" i="2"/>
  <c r="AQ55" i="2"/>
  <c r="AO56" i="2"/>
  <c r="AP56" i="2"/>
  <c r="AQ56" i="2"/>
  <c r="AO57" i="2"/>
  <c r="AP57" i="2"/>
  <c r="AQ57" i="2"/>
  <c r="AO58" i="2"/>
  <c r="AP58" i="2"/>
  <c r="AQ58" i="2"/>
  <c r="AO59" i="2"/>
  <c r="AP59" i="2"/>
  <c r="AQ59" i="2"/>
  <c r="AO60" i="2"/>
  <c r="AP60" i="2"/>
  <c r="AQ60" i="2"/>
  <c r="AO61" i="2"/>
  <c r="AP61" i="2"/>
  <c r="AQ61" i="2"/>
  <c r="AO62" i="2"/>
  <c r="AP62" i="2"/>
  <c r="AQ62" i="2"/>
  <c r="AO63" i="2"/>
  <c r="AP63" i="2"/>
  <c r="AQ63" i="2"/>
  <c r="AO64" i="2"/>
  <c r="AP64" i="2"/>
  <c r="AQ64" i="2"/>
  <c r="AO65" i="2"/>
  <c r="AP65" i="2"/>
  <c r="AQ65" i="2"/>
  <c r="AO66" i="2"/>
  <c r="AP66" i="2"/>
  <c r="AQ66" i="2"/>
  <c r="AO67" i="2"/>
  <c r="AP67" i="2"/>
  <c r="AQ67" i="2"/>
  <c r="AO68" i="2"/>
  <c r="AP68" i="2"/>
  <c r="AQ68" i="2"/>
  <c r="AO69" i="2"/>
  <c r="AP69" i="2"/>
  <c r="AQ69" i="2"/>
  <c r="AO70" i="2"/>
  <c r="AP70" i="2"/>
  <c r="AQ70" i="2"/>
  <c r="AO71" i="2"/>
  <c r="AP71" i="2"/>
  <c r="AQ71" i="2"/>
  <c r="AO72" i="2"/>
  <c r="AP72" i="2"/>
  <c r="AQ72" i="2"/>
  <c r="AO73" i="2"/>
  <c r="AP73" i="2"/>
  <c r="AQ73" i="2"/>
  <c r="AO74" i="2"/>
  <c r="AP74" i="2"/>
  <c r="AQ74" i="2"/>
  <c r="AO75" i="2"/>
  <c r="AP75" i="2"/>
  <c r="AQ75" i="2"/>
  <c r="AO76" i="2"/>
  <c r="AP76" i="2"/>
  <c r="AQ76" i="2"/>
  <c r="AO77" i="2"/>
  <c r="AP77" i="2"/>
  <c r="AQ77" i="2"/>
  <c r="AO78" i="2"/>
  <c r="AP78" i="2"/>
  <c r="AQ78" i="2"/>
  <c r="AO79" i="2"/>
  <c r="AP79" i="2"/>
  <c r="AQ79" i="2"/>
  <c r="AO80" i="2"/>
  <c r="AP80" i="2"/>
  <c r="AQ80" i="2"/>
  <c r="AO81" i="2"/>
  <c r="AP81" i="2"/>
  <c r="AQ81" i="2"/>
  <c r="AO82" i="2"/>
  <c r="AP82" i="2"/>
  <c r="AQ82" i="2"/>
  <c r="AO83" i="2"/>
  <c r="AP83" i="2"/>
  <c r="AQ83" i="2"/>
  <c r="AO84" i="2"/>
  <c r="AP84" i="2"/>
  <c r="AQ84" i="2"/>
  <c r="AO85" i="2"/>
  <c r="AP85" i="2"/>
  <c r="AQ85" i="2"/>
  <c r="AO86" i="2"/>
  <c r="AP86" i="2"/>
  <c r="AQ86" i="2"/>
  <c r="AO87" i="2"/>
  <c r="AP87" i="2"/>
  <c r="AQ87" i="2"/>
  <c r="AO88" i="2"/>
  <c r="AP88" i="2"/>
  <c r="AQ88" i="2"/>
  <c r="AO89" i="2"/>
  <c r="AP89" i="2"/>
  <c r="AQ89" i="2"/>
  <c r="AO90" i="2"/>
  <c r="AP90" i="2"/>
  <c r="AQ90" i="2"/>
  <c r="AO91" i="2"/>
  <c r="AP91" i="2"/>
  <c r="AQ91" i="2"/>
  <c r="AO92" i="2"/>
  <c r="AP92" i="2"/>
  <c r="AQ92" i="2"/>
  <c r="AO93" i="2"/>
  <c r="AP93" i="2"/>
  <c r="AQ93" i="2"/>
  <c r="AO94" i="2"/>
  <c r="AP94" i="2"/>
  <c r="AQ94" i="2"/>
  <c r="AO95" i="2"/>
  <c r="AP95" i="2"/>
  <c r="AQ95" i="2"/>
  <c r="AO96" i="2"/>
  <c r="AP96" i="2"/>
  <c r="AQ96" i="2"/>
  <c r="AO97" i="2"/>
  <c r="AP97" i="2"/>
  <c r="AQ97" i="2"/>
  <c r="AO98" i="2"/>
  <c r="AP98" i="2"/>
  <c r="AQ98" i="2"/>
  <c r="AO99" i="2"/>
  <c r="AP99" i="2"/>
  <c r="AQ99" i="2"/>
  <c r="AO100" i="2"/>
  <c r="AP100" i="2"/>
  <c r="AQ100" i="2"/>
  <c r="AO101" i="2"/>
  <c r="AP101" i="2"/>
  <c r="AQ101" i="2"/>
  <c r="AO102" i="2"/>
  <c r="AP102" i="2"/>
  <c r="AQ102" i="2"/>
  <c r="AO103" i="2"/>
  <c r="AP103" i="2"/>
  <c r="AQ103" i="2"/>
  <c r="AO104" i="2"/>
  <c r="AP104" i="2"/>
  <c r="AQ104" i="2"/>
  <c r="AO105" i="2"/>
  <c r="AP105" i="2"/>
  <c r="AQ105" i="2"/>
  <c r="AO106" i="2"/>
  <c r="AP106" i="2"/>
  <c r="AQ106" i="2"/>
  <c r="AO107" i="2"/>
  <c r="AP107" i="2"/>
  <c r="AQ107" i="2"/>
  <c r="AO108" i="2"/>
  <c r="AP108" i="2"/>
  <c r="AQ108" i="2"/>
  <c r="AO109" i="2"/>
  <c r="AP109" i="2"/>
  <c r="AQ109" i="2"/>
  <c r="AO110" i="2"/>
  <c r="AP110" i="2"/>
  <c r="AQ110" i="2"/>
  <c r="AO111" i="2"/>
  <c r="AP111" i="2"/>
  <c r="AQ111" i="2"/>
  <c r="AO112" i="2"/>
  <c r="AP112" i="2"/>
  <c r="AQ112" i="2"/>
  <c r="AO113" i="2"/>
  <c r="AP113" i="2"/>
  <c r="AQ113" i="2"/>
  <c r="AO114" i="2"/>
  <c r="AP114" i="2"/>
  <c r="AQ114" i="2"/>
  <c r="AO115" i="2"/>
  <c r="AP115" i="2"/>
  <c r="AQ115" i="2"/>
  <c r="AO116" i="2"/>
  <c r="AP116" i="2"/>
  <c r="AQ116" i="2"/>
  <c r="AO117" i="2"/>
  <c r="AP117" i="2"/>
  <c r="AQ117" i="2"/>
  <c r="AO118" i="2"/>
  <c r="AP118" i="2"/>
  <c r="AQ118" i="2"/>
  <c r="AO119" i="2"/>
  <c r="AP119" i="2"/>
  <c r="AQ119" i="2"/>
  <c r="AO120" i="2"/>
  <c r="AP120" i="2"/>
  <c r="AQ120" i="2"/>
  <c r="AO121" i="2"/>
  <c r="AP121" i="2"/>
  <c r="AQ121" i="2"/>
  <c r="AO122" i="2"/>
  <c r="AP122" i="2"/>
  <c r="AQ122" i="2"/>
  <c r="AO123" i="2"/>
  <c r="AP123" i="2"/>
  <c r="AQ123" i="2"/>
  <c r="AN184" i="2"/>
  <c r="AO184" i="2"/>
  <c r="AP184" i="2"/>
  <c r="AQ184" i="2"/>
  <c r="AN185" i="2"/>
  <c r="AO185" i="2"/>
  <c r="AP185" i="2"/>
  <c r="AQ185" i="2"/>
  <c r="AN186" i="2"/>
  <c r="AO186" i="2"/>
  <c r="AP186" i="2"/>
  <c r="AQ186" i="2"/>
  <c r="AN187" i="2"/>
  <c r="AO187" i="2"/>
  <c r="AP187" i="2"/>
  <c r="AQ187" i="2"/>
  <c r="AN188" i="2"/>
  <c r="AO188" i="2"/>
  <c r="AP188" i="2"/>
  <c r="AQ188" i="2"/>
  <c r="AN189" i="2"/>
  <c r="AO189" i="2"/>
  <c r="AP189" i="2"/>
  <c r="AQ189" i="2"/>
  <c r="AN190" i="2"/>
  <c r="AO190" i="2"/>
  <c r="AP190" i="2"/>
  <c r="AQ190" i="2"/>
  <c r="AN191" i="2"/>
  <c r="AO191" i="2"/>
  <c r="AP191" i="2"/>
  <c r="AQ191" i="2"/>
  <c r="AN192" i="2"/>
  <c r="AO192" i="2"/>
  <c r="AP192" i="2"/>
  <c r="AQ192" i="2"/>
  <c r="AN193" i="2"/>
  <c r="AO193" i="2"/>
  <c r="AP193" i="2"/>
  <c r="AQ193" i="2"/>
  <c r="AN194" i="2"/>
  <c r="AO194" i="2"/>
  <c r="AP194" i="2"/>
  <c r="AQ194" i="2"/>
  <c r="AN195" i="2"/>
  <c r="AO195" i="2"/>
  <c r="AP195" i="2"/>
  <c r="AQ195" i="2"/>
  <c r="AN196" i="2"/>
  <c r="AO196" i="2"/>
  <c r="AP196" i="2"/>
  <c r="AQ196" i="2"/>
  <c r="AN197" i="2"/>
  <c r="AO197" i="2"/>
  <c r="AP197" i="2"/>
  <c r="AQ197" i="2"/>
  <c r="AN198" i="2"/>
  <c r="AO198" i="2"/>
  <c r="AP198" i="2"/>
  <c r="AQ198" i="2"/>
  <c r="AN199" i="2"/>
  <c r="AO199" i="2"/>
  <c r="AP199" i="2"/>
  <c r="AQ199" i="2"/>
  <c r="AN200" i="2"/>
  <c r="AO200" i="2"/>
  <c r="AP200" i="2"/>
  <c r="AQ200" i="2"/>
  <c r="AN201" i="2"/>
  <c r="AO201" i="2"/>
  <c r="AP201" i="2"/>
  <c r="AQ201" i="2"/>
  <c r="AN202" i="2"/>
  <c r="AO202" i="2"/>
  <c r="AP202" i="2"/>
  <c r="AQ202" i="2"/>
  <c r="AN203" i="2"/>
  <c r="AO203" i="2"/>
  <c r="AP203" i="2"/>
  <c r="AQ203" i="2"/>
  <c r="AN204" i="2"/>
  <c r="AO204" i="2"/>
  <c r="AP204" i="2"/>
  <c r="AQ204" i="2"/>
  <c r="AN205" i="2"/>
  <c r="AO205" i="2"/>
  <c r="AP205" i="2"/>
  <c r="AQ205" i="2"/>
  <c r="AN206" i="2"/>
  <c r="AO206" i="2"/>
  <c r="AP206" i="2"/>
  <c r="AQ206" i="2"/>
  <c r="AN207" i="2"/>
  <c r="AO207" i="2"/>
  <c r="AP207" i="2"/>
  <c r="AQ207" i="2"/>
  <c r="AN208" i="2"/>
  <c r="AO208" i="2"/>
  <c r="AP208" i="2"/>
  <c r="AQ208" i="2"/>
  <c r="AN209" i="2"/>
  <c r="AO209" i="2"/>
  <c r="AP209" i="2"/>
  <c r="AQ209" i="2"/>
  <c r="AN210" i="2"/>
  <c r="AO210" i="2"/>
  <c r="AP210" i="2"/>
  <c r="AQ210" i="2"/>
  <c r="AN211" i="2"/>
  <c r="AO211" i="2"/>
  <c r="AP211" i="2"/>
  <c r="AQ211" i="2"/>
  <c r="AN212" i="2"/>
  <c r="AO212" i="2"/>
  <c r="AP212" i="2"/>
  <c r="AQ212" i="2"/>
  <c r="AN213" i="2"/>
  <c r="AO213" i="2"/>
  <c r="AP213" i="2"/>
  <c r="AQ213" i="2"/>
  <c r="AN214" i="2"/>
  <c r="AO214" i="2"/>
  <c r="AP214" i="2"/>
  <c r="AQ214" i="2"/>
  <c r="AN215" i="2"/>
  <c r="AO215" i="2"/>
  <c r="AP215" i="2"/>
  <c r="AQ215" i="2"/>
  <c r="AN216" i="2"/>
  <c r="AO216" i="2"/>
  <c r="AP216" i="2"/>
  <c r="AQ216" i="2"/>
  <c r="AN217" i="2"/>
  <c r="AO217" i="2"/>
  <c r="AP217" i="2"/>
  <c r="AQ217" i="2"/>
  <c r="AN218" i="2"/>
  <c r="AO218" i="2"/>
  <c r="AP218" i="2"/>
  <c r="AQ218" i="2"/>
  <c r="AN219" i="2"/>
  <c r="AO219" i="2"/>
  <c r="AP219" i="2"/>
  <c r="AQ219" i="2"/>
  <c r="AN220" i="2"/>
  <c r="AO220" i="2"/>
  <c r="AP220" i="2"/>
  <c r="AQ220" i="2"/>
  <c r="AN221" i="2"/>
  <c r="AO221" i="2"/>
  <c r="AP221" i="2"/>
  <c r="AQ221" i="2"/>
  <c r="AN222" i="2"/>
  <c r="AO222" i="2"/>
  <c r="AP222" i="2"/>
  <c r="AQ222" i="2"/>
  <c r="AN223" i="2"/>
  <c r="AO223" i="2"/>
  <c r="AP223" i="2"/>
  <c r="AQ223" i="2"/>
  <c r="AN224" i="2"/>
  <c r="AO224" i="2"/>
  <c r="AP224" i="2"/>
  <c r="AQ224" i="2"/>
  <c r="AN225" i="2"/>
  <c r="AO225" i="2"/>
  <c r="AP225" i="2"/>
  <c r="AQ225" i="2"/>
  <c r="AN226" i="2"/>
  <c r="AO226" i="2"/>
  <c r="AP226" i="2"/>
  <c r="AQ226" i="2"/>
  <c r="AN227" i="2"/>
  <c r="AO227" i="2"/>
  <c r="AP227" i="2"/>
  <c r="AQ227" i="2"/>
  <c r="AN228" i="2"/>
  <c r="AO228" i="2"/>
  <c r="AP228" i="2"/>
  <c r="AQ228" i="2"/>
  <c r="AN229" i="2"/>
  <c r="AO229" i="2"/>
  <c r="AP229" i="2"/>
  <c r="AQ229" i="2"/>
  <c r="AN230" i="2"/>
  <c r="AO230" i="2"/>
  <c r="AP230" i="2"/>
  <c r="AQ230" i="2"/>
  <c r="AN231" i="2"/>
  <c r="AO231" i="2"/>
  <c r="AP231" i="2"/>
  <c r="AQ231" i="2"/>
  <c r="AN232" i="2"/>
  <c r="AO232" i="2"/>
  <c r="AP232" i="2"/>
  <c r="AQ232" i="2"/>
  <c r="AN233" i="2"/>
  <c r="AO233" i="2"/>
  <c r="AP233" i="2"/>
  <c r="AQ233" i="2"/>
  <c r="AN234" i="2"/>
  <c r="AO234" i="2"/>
  <c r="AP234" i="2"/>
  <c r="AQ234" i="2"/>
  <c r="AN235" i="2"/>
  <c r="AO235" i="2"/>
  <c r="AP235" i="2"/>
  <c r="AQ235" i="2"/>
  <c r="AN236" i="2"/>
  <c r="AO236" i="2"/>
  <c r="AP236" i="2"/>
  <c r="AQ236" i="2"/>
  <c r="AN237" i="2"/>
  <c r="AO237" i="2"/>
  <c r="AP237" i="2"/>
  <c r="AQ237" i="2"/>
  <c r="AN238" i="2"/>
  <c r="AO238" i="2"/>
  <c r="AP238" i="2"/>
  <c r="AQ238" i="2"/>
  <c r="AN239" i="2"/>
  <c r="AO239" i="2"/>
  <c r="AP239" i="2"/>
  <c r="AQ239" i="2"/>
  <c r="AN240" i="2"/>
  <c r="AO240" i="2"/>
  <c r="AP240" i="2"/>
  <c r="AQ240" i="2"/>
  <c r="AN241" i="2"/>
  <c r="AO241" i="2"/>
  <c r="AP241" i="2"/>
  <c r="AQ241" i="2"/>
  <c r="AN242" i="2"/>
  <c r="AO242" i="2"/>
  <c r="AP242" i="2"/>
  <c r="AQ242" i="2"/>
  <c r="AN243" i="2"/>
  <c r="AO243" i="2"/>
  <c r="AP243" i="2"/>
  <c r="AQ243" i="2"/>
  <c r="AN244" i="2"/>
  <c r="AO244" i="2"/>
  <c r="AP244" i="2"/>
  <c r="AQ244" i="2"/>
  <c r="AN245" i="2"/>
  <c r="AO245" i="2"/>
  <c r="AP245" i="2"/>
  <c r="AQ245" i="2"/>
  <c r="AN246" i="2"/>
  <c r="AO246" i="2"/>
  <c r="AP246" i="2"/>
  <c r="AQ246" i="2"/>
  <c r="AN247" i="2"/>
  <c r="AO247" i="2"/>
  <c r="AP247" i="2"/>
  <c r="AQ247" i="2"/>
  <c r="AN248" i="2"/>
  <c r="AO248" i="2"/>
  <c r="AP248" i="2"/>
  <c r="AQ248" i="2"/>
  <c r="AN249" i="2"/>
  <c r="AO249" i="2"/>
  <c r="AP249" i="2"/>
  <c r="AQ249" i="2"/>
  <c r="AN250" i="2"/>
  <c r="AO250" i="2"/>
  <c r="AP250" i="2"/>
  <c r="AQ250" i="2"/>
  <c r="AN251" i="2"/>
  <c r="AO251" i="2"/>
  <c r="AP251" i="2"/>
  <c r="AQ251" i="2"/>
  <c r="AN252" i="2"/>
  <c r="AO252" i="2"/>
  <c r="AP252" i="2"/>
  <c r="AQ252" i="2"/>
  <c r="AN253" i="2"/>
  <c r="AO253" i="2"/>
  <c r="AP253" i="2"/>
  <c r="AQ253" i="2"/>
  <c r="AN254" i="2"/>
  <c r="AO254" i="2"/>
  <c r="AP254" i="2"/>
  <c r="AQ254" i="2"/>
  <c r="AN255" i="2"/>
  <c r="AO255" i="2"/>
  <c r="AP255" i="2"/>
  <c r="AQ255" i="2"/>
  <c r="AN256" i="2"/>
  <c r="AO256" i="2"/>
  <c r="AP256" i="2"/>
  <c r="AQ256" i="2"/>
  <c r="AN257" i="2"/>
  <c r="AO257" i="2"/>
  <c r="AP257" i="2"/>
  <c r="AQ257" i="2"/>
  <c r="AN258" i="2"/>
  <c r="AO258" i="2"/>
  <c r="AP258" i="2"/>
  <c r="AQ258" i="2"/>
  <c r="AN259" i="2"/>
  <c r="AO259" i="2"/>
  <c r="AP259" i="2"/>
  <c r="AQ259" i="2"/>
  <c r="AN260" i="2"/>
  <c r="AO260" i="2"/>
  <c r="AP260" i="2"/>
  <c r="AQ260" i="2"/>
  <c r="AN261" i="2"/>
  <c r="AO261" i="2"/>
  <c r="AP261" i="2"/>
  <c r="AQ261" i="2"/>
  <c r="AN262" i="2"/>
  <c r="AO262" i="2"/>
  <c r="AP262" i="2"/>
  <c r="AQ262" i="2"/>
  <c r="AN263" i="2"/>
  <c r="AO263" i="2"/>
  <c r="AP263" i="2"/>
  <c r="AQ263" i="2"/>
  <c r="AN264" i="2"/>
  <c r="AO264" i="2"/>
  <c r="AP264" i="2"/>
  <c r="AQ264" i="2"/>
  <c r="AN265" i="2"/>
  <c r="AO265" i="2"/>
  <c r="AP265" i="2"/>
  <c r="AQ265" i="2"/>
  <c r="AN266" i="2"/>
  <c r="AO266" i="2"/>
  <c r="AP266" i="2"/>
  <c r="AQ266" i="2"/>
  <c r="AN267" i="2"/>
  <c r="AO267" i="2"/>
  <c r="AP267" i="2"/>
  <c r="AQ267" i="2"/>
  <c r="AN268" i="2"/>
  <c r="AO268" i="2"/>
  <c r="AP268" i="2"/>
  <c r="AQ268" i="2"/>
  <c r="AN269" i="2"/>
  <c r="AO269" i="2"/>
  <c r="AP269" i="2"/>
  <c r="AQ269" i="2"/>
  <c r="AN270" i="2"/>
  <c r="AO270" i="2"/>
  <c r="AP270" i="2"/>
  <c r="AQ270" i="2"/>
  <c r="AN271" i="2"/>
  <c r="AO271" i="2"/>
  <c r="AP271" i="2"/>
  <c r="AQ271" i="2"/>
  <c r="AN272" i="2"/>
  <c r="AO272" i="2"/>
  <c r="AP272" i="2"/>
  <c r="AQ272" i="2"/>
  <c r="AN273" i="2"/>
  <c r="AO273" i="2"/>
  <c r="AP273" i="2"/>
  <c r="AQ273" i="2"/>
  <c r="AN274" i="2"/>
  <c r="AO274" i="2"/>
  <c r="AP274" i="2"/>
  <c r="AQ274" i="2"/>
  <c r="AN275" i="2"/>
  <c r="AO275" i="2"/>
  <c r="AP275" i="2"/>
  <c r="AQ275" i="2"/>
  <c r="AN276" i="2"/>
  <c r="AO276" i="2"/>
  <c r="AP276" i="2"/>
  <c r="AQ276" i="2"/>
  <c r="AN277" i="2"/>
  <c r="AO277" i="2"/>
  <c r="AP277" i="2"/>
  <c r="AQ277" i="2"/>
  <c r="AN278" i="2"/>
  <c r="AO278" i="2"/>
  <c r="AP278" i="2"/>
  <c r="AQ278" i="2"/>
  <c r="AN279" i="2"/>
  <c r="AO279" i="2"/>
  <c r="AP279" i="2"/>
  <c r="AQ279" i="2"/>
  <c r="AN280" i="2"/>
  <c r="AO280" i="2"/>
  <c r="AP280" i="2"/>
  <c r="AQ280" i="2"/>
  <c r="AN281" i="2"/>
  <c r="AO281" i="2"/>
  <c r="AP281" i="2"/>
  <c r="AQ281" i="2"/>
  <c r="AN282" i="2"/>
  <c r="AO282" i="2"/>
  <c r="AP282" i="2"/>
  <c r="AQ282" i="2"/>
  <c r="AN283" i="2"/>
  <c r="AO283" i="2"/>
  <c r="AP283" i="2"/>
  <c r="AQ283" i="2"/>
  <c r="AN284" i="2"/>
  <c r="AO284" i="2"/>
  <c r="AP284" i="2"/>
  <c r="AQ284" i="2"/>
  <c r="AN285" i="2"/>
  <c r="AO285" i="2"/>
  <c r="AP285" i="2"/>
  <c r="AQ285" i="2"/>
  <c r="AN286" i="2"/>
  <c r="AO286" i="2"/>
  <c r="AP286" i="2"/>
  <c r="AQ286" i="2"/>
  <c r="AN287" i="2"/>
  <c r="AO287" i="2"/>
  <c r="AP287" i="2"/>
  <c r="AQ287" i="2"/>
  <c r="AN288" i="2"/>
  <c r="AO288" i="2"/>
  <c r="AP288" i="2"/>
  <c r="AQ288" i="2"/>
  <c r="AN289" i="2"/>
  <c r="AO289" i="2"/>
  <c r="AP289" i="2"/>
  <c r="AQ289" i="2"/>
  <c r="AN290" i="2"/>
  <c r="AO290" i="2"/>
  <c r="AP290" i="2"/>
  <c r="AQ290" i="2"/>
  <c r="AN291" i="2"/>
  <c r="AO291" i="2"/>
  <c r="AP291" i="2"/>
  <c r="AQ291" i="2"/>
  <c r="AN292" i="2"/>
  <c r="AO292" i="2"/>
  <c r="AP292" i="2"/>
  <c r="AQ292" i="2"/>
  <c r="AN293" i="2"/>
  <c r="AO293" i="2"/>
  <c r="AP293" i="2"/>
  <c r="AQ293" i="2"/>
  <c r="AN294" i="2"/>
  <c r="AO294" i="2"/>
  <c r="AP294" i="2"/>
  <c r="AQ294" i="2"/>
  <c r="AN295" i="2"/>
  <c r="AO295" i="2"/>
  <c r="AP295" i="2"/>
  <c r="AQ295" i="2"/>
  <c r="AN296" i="2"/>
  <c r="AO296" i="2"/>
  <c r="AP296" i="2"/>
  <c r="AQ296" i="2"/>
  <c r="AN297" i="2"/>
  <c r="AO297" i="2"/>
  <c r="AP297" i="2"/>
  <c r="AQ297" i="2"/>
  <c r="AN298" i="2"/>
  <c r="AO298" i="2"/>
  <c r="AP298" i="2"/>
  <c r="AQ298" i="2"/>
  <c r="AN299" i="2"/>
  <c r="AO299" i="2"/>
  <c r="AP299" i="2"/>
  <c r="AQ299" i="2"/>
  <c r="AN300" i="2"/>
  <c r="AO300" i="2"/>
  <c r="AP300" i="2"/>
  <c r="AQ300" i="2"/>
  <c r="AN301" i="2"/>
  <c r="AO301" i="2"/>
  <c r="AP301" i="2"/>
  <c r="AQ301" i="2"/>
  <c r="AN302" i="2"/>
  <c r="AO302" i="2"/>
  <c r="AP302" i="2"/>
  <c r="AQ302" i="2"/>
  <c r="AN303" i="2"/>
  <c r="AO303" i="2"/>
  <c r="AP303" i="2"/>
  <c r="AQ303" i="2"/>
  <c r="AN304" i="2"/>
  <c r="AO304" i="2"/>
  <c r="AP304" i="2"/>
  <c r="AQ304" i="2"/>
  <c r="AN305" i="2"/>
  <c r="AO305" i="2"/>
  <c r="AP305" i="2"/>
  <c r="AQ305" i="2"/>
  <c r="AN306" i="2"/>
  <c r="AO306" i="2"/>
  <c r="AP306" i="2"/>
  <c r="AQ306" i="2"/>
  <c r="AN307" i="2"/>
  <c r="AO307" i="2"/>
  <c r="AP307" i="2"/>
  <c r="AQ307" i="2"/>
  <c r="AN308" i="2"/>
  <c r="AO308" i="2"/>
  <c r="AP308" i="2"/>
  <c r="AQ308" i="2"/>
  <c r="AN309" i="2"/>
  <c r="AO309" i="2"/>
  <c r="AP309" i="2"/>
  <c r="AQ309" i="2"/>
  <c r="AN310" i="2"/>
  <c r="AO310" i="2"/>
  <c r="AP310" i="2"/>
  <c r="AQ310" i="2"/>
  <c r="AN311" i="2"/>
  <c r="AO311" i="2"/>
  <c r="AP311" i="2"/>
  <c r="AQ311" i="2"/>
  <c r="AN312" i="2"/>
  <c r="AO312" i="2"/>
  <c r="AP312" i="2"/>
  <c r="AQ312" i="2"/>
  <c r="AN313" i="2"/>
  <c r="AO313" i="2"/>
  <c r="AP313" i="2"/>
  <c r="AQ313" i="2"/>
  <c r="AN314" i="2"/>
  <c r="AO314" i="2"/>
  <c r="AP314" i="2"/>
  <c r="AQ314" i="2"/>
  <c r="AN315" i="2"/>
  <c r="AO315" i="2"/>
  <c r="AP315" i="2"/>
  <c r="AQ315" i="2"/>
  <c r="AN316" i="2"/>
  <c r="AO316" i="2"/>
  <c r="AP316" i="2"/>
  <c r="AQ316" i="2"/>
  <c r="AN317" i="2"/>
  <c r="AO317" i="2"/>
  <c r="AP317" i="2"/>
  <c r="AQ317" i="2"/>
  <c r="AN318" i="2"/>
  <c r="AO318" i="2"/>
  <c r="AP318" i="2"/>
  <c r="AQ318" i="2"/>
  <c r="AN319" i="2"/>
  <c r="AO319" i="2"/>
  <c r="AP319" i="2"/>
  <c r="AQ319" i="2"/>
  <c r="AN320" i="2"/>
  <c r="AO320" i="2"/>
  <c r="AP320" i="2"/>
  <c r="AQ320" i="2"/>
  <c r="AN321" i="2"/>
  <c r="AO321" i="2"/>
  <c r="AP321" i="2"/>
  <c r="AQ321" i="2"/>
  <c r="AN322" i="2"/>
  <c r="AO322" i="2"/>
  <c r="AP322" i="2"/>
  <c r="AQ322" i="2"/>
  <c r="AN323" i="2"/>
  <c r="AO323" i="2"/>
  <c r="AP323" i="2"/>
  <c r="AQ323" i="2"/>
  <c r="AN324" i="2"/>
  <c r="AO324" i="2"/>
  <c r="AP324" i="2"/>
  <c r="AQ324" i="2"/>
  <c r="AN325" i="2"/>
  <c r="AO325" i="2"/>
  <c r="AP325" i="2"/>
  <c r="AQ325" i="2"/>
  <c r="AN326" i="2"/>
  <c r="AO326" i="2"/>
  <c r="AP326" i="2"/>
  <c r="AQ326" i="2"/>
  <c r="AN327" i="2"/>
  <c r="AO327" i="2"/>
  <c r="AP327" i="2"/>
  <c r="AQ327" i="2"/>
  <c r="AN328" i="2"/>
  <c r="AO328" i="2"/>
  <c r="AP328" i="2"/>
  <c r="AQ328" i="2"/>
  <c r="AN329" i="2"/>
  <c r="AO329" i="2"/>
  <c r="AP329" i="2"/>
  <c r="AQ329" i="2"/>
  <c r="AN330" i="2"/>
  <c r="AO330" i="2"/>
  <c r="AP330" i="2"/>
  <c r="AQ330" i="2"/>
  <c r="AN331" i="2"/>
  <c r="AO331" i="2"/>
  <c r="AP331" i="2"/>
  <c r="AQ331" i="2"/>
  <c r="AN332" i="2"/>
  <c r="AO332" i="2"/>
  <c r="AP332" i="2"/>
  <c r="AQ332" i="2"/>
  <c r="AN333" i="2"/>
  <c r="AO333" i="2"/>
  <c r="AP333" i="2"/>
  <c r="AQ333" i="2"/>
  <c r="AN334" i="2"/>
  <c r="AO334" i="2"/>
  <c r="AP334" i="2"/>
  <c r="AQ334" i="2"/>
  <c r="AN335" i="2"/>
  <c r="AO335" i="2"/>
  <c r="AP335" i="2"/>
  <c r="AQ335" i="2"/>
  <c r="AN336" i="2"/>
  <c r="AO336" i="2"/>
  <c r="AP336" i="2"/>
  <c r="AQ336" i="2"/>
  <c r="AN337" i="2"/>
  <c r="AO337" i="2"/>
  <c r="AP337" i="2"/>
  <c r="AQ337" i="2"/>
  <c r="AN338" i="2"/>
  <c r="AO338" i="2"/>
  <c r="AP338" i="2"/>
  <c r="AQ338" i="2"/>
  <c r="AN339" i="2"/>
  <c r="AO339" i="2"/>
  <c r="AP339" i="2"/>
  <c r="AQ339" i="2"/>
  <c r="AN340" i="2"/>
  <c r="AO340" i="2"/>
  <c r="AP340" i="2"/>
  <c r="AQ340" i="2"/>
  <c r="AN341" i="2"/>
  <c r="AO341" i="2"/>
  <c r="AP341" i="2"/>
  <c r="AQ341" i="2"/>
  <c r="AN342" i="2"/>
  <c r="AO342" i="2"/>
  <c r="AP342" i="2"/>
  <c r="AQ342" i="2"/>
  <c r="AN343" i="2"/>
  <c r="AO343" i="2"/>
  <c r="AP343" i="2"/>
  <c r="AQ343" i="2"/>
  <c r="AN344" i="2"/>
  <c r="AO344" i="2"/>
  <c r="AP344" i="2"/>
  <c r="AQ344" i="2"/>
  <c r="AN345" i="2"/>
  <c r="AO345" i="2"/>
  <c r="AP345" i="2"/>
  <c r="AQ345" i="2"/>
  <c r="AN346" i="2"/>
  <c r="AO346" i="2"/>
  <c r="AP346" i="2"/>
  <c r="AQ346" i="2"/>
  <c r="AN347" i="2"/>
  <c r="AO347" i="2"/>
  <c r="AP347" i="2"/>
  <c r="AQ347" i="2"/>
  <c r="AN348" i="2"/>
  <c r="AO348" i="2"/>
  <c r="AP348" i="2"/>
  <c r="AQ348" i="2"/>
  <c r="AN349" i="2"/>
  <c r="AO349" i="2"/>
  <c r="AP349" i="2"/>
  <c r="AQ349" i="2"/>
  <c r="AN350" i="2"/>
  <c r="AO350" i="2"/>
  <c r="AP350" i="2"/>
  <c r="AQ350" i="2"/>
  <c r="AN351" i="2"/>
  <c r="AO351" i="2"/>
  <c r="AP351" i="2"/>
  <c r="AQ351" i="2"/>
  <c r="AN352" i="2"/>
  <c r="AO352" i="2"/>
  <c r="AP352" i="2"/>
  <c r="AQ352" i="2"/>
  <c r="AN353" i="2"/>
  <c r="AO353" i="2"/>
  <c r="AP353" i="2"/>
  <c r="AQ353" i="2"/>
  <c r="AN354" i="2"/>
  <c r="AO354" i="2"/>
  <c r="AP354" i="2"/>
  <c r="AQ354" i="2"/>
  <c r="AN355" i="2"/>
  <c r="AO355" i="2"/>
  <c r="AP355" i="2"/>
  <c r="AQ355" i="2"/>
  <c r="AN356" i="2"/>
  <c r="AO356" i="2"/>
  <c r="AP356" i="2"/>
  <c r="AQ356" i="2"/>
  <c r="AN357" i="2"/>
  <c r="AO357" i="2"/>
  <c r="AP357" i="2"/>
  <c r="AQ357" i="2"/>
  <c r="AN358" i="2"/>
  <c r="AO358" i="2"/>
  <c r="AP358" i="2"/>
  <c r="AQ358" i="2"/>
  <c r="AN359" i="2"/>
  <c r="AO359" i="2"/>
  <c r="AP359" i="2"/>
  <c r="AQ359" i="2"/>
  <c r="AN360" i="2"/>
  <c r="AO360" i="2"/>
  <c r="AP360" i="2"/>
  <c r="AQ360" i="2"/>
  <c r="AN361" i="2"/>
  <c r="AO361" i="2"/>
  <c r="AP361" i="2"/>
  <c r="AQ361" i="2"/>
  <c r="AN362" i="2"/>
  <c r="AO362" i="2"/>
  <c r="AP362" i="2"/>
  <c r="AQ362" i="2"/>
  <c r="AN363" i="2"/>
  <c r="AO363" i="2"/>
  <c r="AP363" i="2"/>
  <c r="AQ363" i="2"/>
  <c r="AN364" i="2"/>
  <c r="AO364" i="2"/>
  <c r="AP364" i="2"/>
  <c r="AQ364" i="2"/>
  <c r="AN365" i="2"/>
  <c r="AO365" i="2"/>
  <c r="AP365" i="2"/>
  <c r="AQ365" i="2"/>
  <c r="AN366" i="2"/>
  <c r="AO366" i="2"/>
  <c r="AP366" i="2"/>
  <c r="AQ366" i="2"/>
  <c r="AN367" i="2"/>
  <c r="AO367" i="2"/>
  <c r="AP367" i="2"/>
  <c r="AQ367" i="2"/>
  <c r="AN368" i="2"/>
  <c r="AO368" i="2"/>
  <c r="AP368" i="2"/>
  <c r="AQ368" i="2"/>
  <c r="AN369" i="2"/>
  <c r="AO369" i="2"/>
  <c r="AP369" i="2"/>
  <c r="AQ369" i="2"/>
  <c r="AN370" i="2"/>
  <c r="AO370" i="2"/>
  <c r="AP370" i="2"/>
  <c r="AQ370" i="2"/>
  <c r="AN371" i="2"/>
  <c r="AO371" i="2"/>
  <c r="AP371" i="2"/>
  <c r="AQ371" i="2"/>
  <c r="AN372" i="2"/>
  <c r="AO372" i="2"/>
  <c r="AP372" i="2"/>
  <c r="AQ372" i="2"/>
  <c r="AN373" i="2"/>
  <c r="AO373" i="2"/>
  <c r="AP373" i="2"/>
  <c r="AQ373" i="2"/>
  <c r="AN374" i="2"/>
  <c r="AO374" i="2"/>
  <c r="AP374" i="2"/>
  <c r="AQ374" i="2"/>
  <c r="AN375" i="2"/>
  <c r="AO375" i="2"/>
  <c r="AP375" i="2"/>
  <c r="AQ375" i="2"/>
  <c r="AN376" i="2"/>
  <c r="AO376" i="2"/>
  <c r="AP376" i="2"/>
  <c r="AQ376" i="2"/>
  <c r="AN377" i="2"/>
  <c r="AO377" i="2"/>
  <c r="AP377" i="2"/>
  <c r="AQ377" i="2"/>
  <c r="AN378" i="2"/>
  <c r="AO378" i="2"/>
  <c r="AP378" i="2"/>
  <c r="AQ378" i="2"/>
  <c r="AN379" i="2"/>
  <c r="AO379" i="2"/>
  <c r="AP379" i="2"/>
  <c r="AQ379" i="2"/>
  <c r="AQ4" i="2"/>
  <c r="S554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100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3" i="2"/>
  <c r="T814" i="2"/>
  <c r="T815" i="2"/>
  <c r="T817" i="2"/>
  <c r="T872" i="2"/>
  <c r="T876" i="2"/>
  <c r="T877" i="2"/>
  <c r="T879" i="2"/>
  <c r="T882" i="2"/>
  <c r="T887" i="2"/>
  <c r="T888" i="2"/>
  <c r="T890" i="2"/>
  <c r="T891" i="2"/>
  <c r="T895" i="2"/>
  <c r="T898" i="2"/>
  <c r="T901" i="2"/>
  <c r="T902" i="2"/>
  <c r="T903" i="2"/>
  <c r="T904" i="2"/>
  <c r="T905" i="2"/>
  <c r="T906" i="2"/>
  <c r="T909" i="2"/>
  <c r="T911" i="2"/>
  <c r="T912" i="2"/>
  <c r="T913" i="2"/>
  <c r="T962" i="2"/>
  <c r="T963" i="2"/>
  <c r="T964" i="2"/>
  <c r="T966" i="2"/>
  <c r="T968" i="2"/>
  <c r="T969" i="2"/>
  <c r="T970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58" i="2"/>
  <c r="T1059" i="2"/>
  <c r="T1062" i="2"/>
  <c r="T1064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5" i="2"/>
  <c r="T1086" i="2"/>
  <c r="T1088" i="2"/>
  <c r="T1089" i="2"/>
  <c r="T1090" i="2"/>
  <c r="T1091" i="2"/>
  <c r="T1095" i="2"/>
  <c r="T1099" i="2"/>
  <c r="T1100" i="2"/>
  <c r="T1103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98" i="2"/>
  <c r="T1299" i="2"/>
  <c r="T1300" i="2"/>
  <c r="T1302" i="2"/>
  <c r="T1303" i="2"/>
  <c r="T1304" i="2"/>
  <c r="T1305" i="2"/>
  <c r="T1306" i="2"/>
  <c r="T1307" i="2"/>
  <c r="T1309" i="2"/>
  <c r="T1311" i="2"/>
  <c r="T1312" i="2"/>
  <c r="T1313" i="2"/>
  <c r="T1314" i="2"/>
  <c r="T1315" i="2"/>
  <c r="T1317" i="2"/>
  <c r="T1318" i="2"/>
  <c r="T1319" i="2"/>
  <c r="T1320" i="2"/>
  <c r="T1321" i="2"/>
  <c r="T1322" i="2"/>
  <c r="T1323" i="2"/>
  <c r="T1324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2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5" i="2"/>
  <c r="S1086" i="2"/>
  <c r="S1088" i="2"/>
  <c r="S1089" i="2"/>
  <c r="S1090" i="2"/>
  <c r="S1091" i="2"/>
  <c r="S1095" i="2"/>
  <c r="S1099" i="2"/>
  <c r="S1100" i="2"/>
  <c r="S1103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98" i="2"/>
  <c r="S1299" i="2"/>
  <c r="S1300" i="2"/>
  <c r="S1302" i="2"/>
  <c r="S1303" i="2"/>
  <c r="S1304" i="2"/>
  <c r="S1305" i="2"/>
  <c r="S1306" i="2"/>
  <c r="S1307" i="2"/>
  <c r="S1309" i="2"/>
  <c r="S1311" i="2"/>
  <c r="S1312" i="2"/>
  <c r="S1313" i="2"/>
  <c r="S1314" i="2"/>
  <c r="S1315" i="2"/>
  <c r="S1317" i="2"/>
  <c r="S1318" i="2"/>
  <c r="S1319" i="2"/>
  <c r="S1320" i="2"/>
  <c r="S1321" i="2"/>
  <c r="S1322" i="2"/>
  <c r="S1323" i="2"/>
  <c r="S1324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066" i="2"/>
  <c r="S1064" i="2"/>
  <c r="S1062" i="2"/>
  <c r="S1059" i="2"/>
  <c r="S1058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986" i="2"/>
  <c r="S975" i="2"/>
  <c r="S976" i="2"/>
  <c r="S977" i="2"/>
  <c r="S978" i="2"/>
  <c r="S979" i="2"/>
  <c r="S980" i="2"/>
  <c r="S981" i="2"/>
  <c r="S982" i="2"/>
  <c r="S983" i="2"/>
  <c r="S984" i="2"/>
  <c r="S974" i="2"/>
  <c r="S973" i="2"/>
  <c r="S972" i="2"/>
  <c r="S970" i="2"/>
  <c r="S969" i="2"/>
  <c r="S968" i="2"/>
  <c r="S966" i="2"/>
  <c r="S964" i="2"/>
  <c r="S963" i="2"/>
  <c r="S962" i="2"/>
  <c r="S913" i="2"/>
  <c r="S912" i="2"/>
  <c r="S911" i="2"/>
  <c r="S909" i="2"/>
  <c r="S906" i="2"/>
  <c r="S905" i="2"/>
  <c r="S904" i="2"/>
  <c r="S903" i="2"/>
  <c r="S902" i="2"/>
  <c r="S901" i="2"/>
  <c r="S898" i="2"/>
  <c r="S895" i="2"/>
  <c r="S891" i="2"/>
  <c r="S890" i="2"/>
  <c r="S888" i="2"/>
  <c r="S887" i="2"/>
  <c r="S882" i="2"/>
  <c r="S879" i="2"/>
  <c r="S877" i="2"/>
  <c r="S876" i="2"/>
  <c r="S872" i="2"/>
  <c r="S817" i="2"/>
  <c r="S815" i="2"/>
  <c r="S814" i="2"/>
  <c r="S813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770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555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48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02" i="2"/>
  <c r="S100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tc={B535D70E-7A15-4A79-A840-DB24003C1AC4}</author>
    <author>tc={5BDE6693-8B5F-41E8-94EB-72B5630167AE}</author>
    <author>tc={3CFA33DE-DFCF-46C2-A2EA-F5DFDD836D0F}</author>
    <author>tc={AD5926C0-98AA-4A1E-8205-80B2DCAA8EFC}</author>
  </authors>
  <commentList>
    <comment ref="K1" authorId="0" shapeId="0" xr:uid="{B535D70E-7A15-4A79-A840-DB24003C1AC4}">
      <text>
        <t>[Threaded comment]
Your version of Excel allows you to read this threaded comment; however, any edits to it will get removed if the file is opened in a newer version of Excel. Learn more: https://go.microsoft.com/fwlink/?linkid=870924
Comment:
    @James Hunt These biomass data at Minnipa and Junee site also do not match between two files
Reply:
    The orginal data file will always be correct!
Reply:
    The data for Junee site was totally different!</t>
      </text>
    </comment>
    <comment ref="K8" authorId="1" shapeId="0" xr:uid="{5BDE6693-8B5F-41E8-94EB-72B5630167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sourced from sheet “All data” in file “Minnipa_data_2014 final”
</t>
      </text>
    </comment>
    <comment ref="K722" authorId="2" shapeId="0" xr:uid="{3CFA33DE-DFCF-46C2-A2EA-F5DFDD836D0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sourced from sheet “DM and PAR summary” in file “GRDC Managed NVT CSIRO Junee 2014l”
</t>
      </text>
    </comment>
    <comment ref="L1087" authorId="3" shapeId="0" xr:uid="{AD5926C0-98AA-4A1E-8205-80B2DCAA8EFC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a value of -1013 because subsample wt was -ve in raw data ???
Reply:
    Yes, that is right. I assume that is the Typo and use 12.4 as the subsample stem weight. 
Reply:
    I had simply removed that replicate.  It will impact on other data such as LAI, which was 39 in that plot as a result.
Reply:
    Got it!</t>
      </text>
    </comment>
  </commentList>
</comments>
</file>

<file path=xl/sharedStrings.xml><?xml version="1.0" encoding="utf-8"?>
<sst xmlns="http://schemas.openxmlformats.org/spreadsheetml/2006/main" count="8938" uniqueCount="248">
  <si>
    <t>SimulationName</t>
  </si>
  <si>
    <t>Clock.Today</t>
  </si>
  <si>
    <t>Mace</t>
  </si>
  <si>
    <t>Scout</t>
  </si>
  <si>
    <t>Gauntlet</t>
  </si>
  <si>
    <t>Spitfire</t>
  </si>
  <si>
    <t>Sunstate</t>
  </si>
  <si>
    <t>Hartog</t>
  </si>
  <si>
    <t>Espada</t>
  </si>
  <si>
    <t>Sunbee</t>
  </si>
  <si>
    <t>Corack</t>
  </si>
  <si>
    <t>Cv</t>
  </si>
  <si>
    <t>60A</t>
  </si>
  <si>
    <t>29B</t>
  </si>
  <si>
    <t>5A</t>
  </si>
  <si>
    <t>Junee2014CV29B</t>
  </si>
  <si>
    <t>Junee2014CV5A</t>
  </si>
  <si>
    <t>Junee2014CV60A</t>
  </si>
  <si>
    <t>Junee2014CVCorack</t>
  </si>
  <si>
    <t>Junee2014CVEspada</t>
  </si>
  <si>
    <t>Junee2014CVGauntlet</t>
  </si>
  <si>
    <t>Junee2014CVHartog</t>
  </si>
  <si>
    <t>Junee2014CVMace</t>
  </si>
  <si>
    <t>Junee2014CVScout</t>
  </si>
  <si>
    <t>Junee2014CVSpitfire</t>
  </si>
  <si>
    <t>Junee2014CVSunbee</t>
  </si>
  <si>
    <t>Junee2014CVSunstate</t>
  </si>
  <si>
    <t>Temora2015CV29B</t>
  </si>
  <si>
    <t>Temora2015CV5A</t>
  </si>
  <si>
    <t>Temora2015CV60A</t>
  </si>
  <si>
    <t>Temora2015CVCorack</t>
  </si>
  <si>
    <t>Temora2015CVEspada</t>
  </si>
  <si>
    <t>Temora2015CVGauntlet</t>
  </si>
  <si>
    <t>Temora2015CVHartog</t>
  </si>
  <si>
    <t>Temora2015CVMace</t>
  </si>
  <si>
    <t>Temora2015CVScout</t>
  </si>
  <si>
    <t>Temora2015CVSpitfire</t>
  </si>
  <si>
    <t>Temora2015CVSunbee</t>
  </si>
  <si>
    <t>Temora2015CVSunstate</t>
  </si>
  <si>
    <t>Gatton2014CV29B</t>
  </si>
  <si>
    <t>Gatton2014CV5A</t>
  </si>
  <si>
    <t>Gatton2014CV60A</t>
  </si>
  <si>
    <t>Gatton2014CVCorack</t>
  </si>
  <si>
    <t>Gatton2014CVEspada</t>
  </si>
  <si>
    <t>Gatton2014CVGauntlet</t>
  </si>
  <si>
    <t>Gatton2014CVHartog</t>
  </si>
  <si>
    <t>Gatton2014CVMace</t>
  </si>
  <si>
    <t>Gatton2014CVScout</t>
  </si>
  <si>
    <t>Gatton2014CVSpitfire</t>
  </si>
  <si>
    <t>Gatton2014CVSunbee</t>
  </si>
  <si>
    <t>Gatton2014CVSunstate</t>
  </si>
  <si>
    <t>Gatton2014IrrigatedCV29B</t>
  </si>
  <si>
    <t>Gatton2014IrrigatedCV5A</t>
  </si>
  <si>
    <t>Gatton2014IrrigatedCV60A</t>
  </si>
  <si>
    <t>Gatton2014IrrigatedCVCorack</t>
  </si>
  <si>
    <t>Gatton2014IrrigatedCVEspada</t>
  </si>
  <si>
    <t>Gatton2014IrrigatedCVGauntlet</t>
  </si>
  <si>
    <t>Gatton2014IrrigatedCVHartog</t>
  </si>
  <si>
    <t>Gatton2014IrrigatedCVMace</t>
  </si>
  <si>
    <t>Gatton2014IrrigatedCVScout</t>
  </si>
  <si>
    <t>Gatton2014IrrigatedCVSpitfire</t>
  </si>
  <si>
    <t>Gatton2014IrrigatedCVSunbee</t>
  </si>
  <si>
    <t>Gatton2014IrrigatedCVSunstate</t>
  </si>
  <si>
    <t>Wheat.AboveGround.Wt</t>
  </si>
  <si>
    <t>Wheat.AboveGround.WtError</t>
  </si>
  <si>
    <t>Minnipa2014CV29B</t>
  </si>
  <si>
    <t>Minnipa2014CV5A</t>
  </si>
  <si>
    <t>Minnipa2014CV60A</t>
  </si>
  <si>
    <t>Minnipa2014CVCorack</t>
  </si>
  <si>
    <t>Minnipa2014CVEspada</t>
  </si>
  <si>
    <t>Minnipa2014CVGauntlet</t>
  </si>
  <si>
    <t>Minnipa2014CVHartog</t>
  </si>
  <si>
    <t>Minnipa2014CVMace</t>
  </si>
  <si>
    <t>Minnipa2014CVScout</t>
  </si>
  <si>
    <t>Minnipa2014CVSpitfire</t>
  </si>
  <si>
    <t>Minnipa2014CVSunbee</t>
  </si>
  <si>
    <t>Minnipa2014CVSunstate</t>
  </si>
  <si>
    <t>Minnipa2015CV29B</t>
  </si>
  <si>
    <t>Minnipa2015CV5A</t>
  </si>
  <si>
    <t>Minnipa2015CV60A</t>
  </si>
  <si>
    <t>Minnipa2015CVCorack</t>
  </si>
  <si>
    <t>Minnipa2015CVEspada</t>
  </si>
  <si>
    <t>Minnipa2015CVGauntlet</t>
  </si>
  <si>
    <t>Minnipa2015CVHartog</t>
  </si>
  <si>
    <t>Minnipa2015CVMace</t>
  </si>
  <si>
    <t>Minnipa2015CVScout</t>
  </si>
  <si>
    <t>Minnipa2015CVSpitfire</t>
  </si>
  <si>
    <t>Minnipa2015CVSunbee</t>
  </si>
  <si>
    <t>Minnipa2015CVSunstate</t>
  </si>
  <si>
    <t>Wheat.Stem.Wt</t>
  </si>
  <si>
    <t>Wheat.Stem.WtError</t>
  </si>
  <si>
    <t>Wheat.Ear.Wt</t>
  </si>
  <si>
    <t>Wheat.Ear.WtError</t>
  </si>
  <si>
    <t>Gatton2015CV29B</t>
  </si>
  <si>
    <t>Gatton2015CV5A</t>
  </si>
  <si>
    <t>Gatton2015CV60A</t>
  </si>
  <si>
    <t>Gatton2015CVCorack</t>
  </si>
  <si>
    <t>Gatton2015CVEspada</t>
  </si>
  <si>
    <t>Gatton2015CVGauntlet</t>
  </si>
  <si>
    <t>Gatton2015CVHartog</t>
  </si>
  <si>
    <t>Gatton2015CVMace</t>
  </si>
  <si>
    <t>Gatton2015CVScout</t>
  </si>
  <si>
    <t>Gatton2015CVSpitfire</t>
  </si>
  <si>
    <t>Gatton2015CVSunbee</t>
  </si>
  <si>
    <t>Gatton2015CVSunstate</t>
  </si>
  <si>
    <t>Year</t>
  </si>
  <si>
    <t>Site</t>
  </si>
  <si>
    <t>!site_year</t>
  </si>
  <si>
    <t>Row</t>
  </si>
  <si>
    <t>Range</t>
  </si>
  <si>
    <t>Plot</t>
  </si>
  <si>
    <t>Block</t>
  </si>
  <si>
    <t>Variety</t>
  </si>
  <si>
    <t>Cut Date</t>
  </si>
  <si>
    <t>SCDS stage</t>
  </si>
  <si>
    <t>biomass_gm2</t>
  </si>
  <si>
    <t>stem_biomass_gm2</t>
  </si>
  <si>
    <t>gleaf_biomass_gm2</t>
  </si>
  <si>
    <t>spike_biomass_gm2</t>
  </si>
  <si>
    <t>dleaf_biomass_gm2</t>
  </si>
  <si>
    <t>13C (‰)</t>
  </si>
  <si>
    <t>N_mg_g</t>
  </si>
  <si>
    <t>WSC_mg_g</t>
  </si>
  <si>
    <t>Minnipa</t>
  </si>
  <si>
    <t>2014_Minnipa</t>
  </si>
  <si>
    <t>N0</t>
  </si>
  <si>
    <t>N2</t>
  </si>
  <si>
    <t>F1</t>
  </si>
  <si>
    <t>A100</t>
  </si>
  <si>
    <t>GR100</t>
  </si>
  <si>
    <t>2015_Minnipa</t>
  </si>
  <si>
    <t>Temora</t>
  </si>
  <si>
    <t>2015_Temora</t>
  </si>
  <si>
    <t>Junee</t>
  </si>
  <si>
    <t>2014_Junee</t>
  </si>
  <si>
    <t>Gatton_Irrigated</t>
  </si>
  <si>
    <t>2014_Gatton_Irrigated</t>
  </si>
  <si>
    <t>Gatton_Dryland</t>
  </si>
  <si>
    <t>2014_Gatton_Dryland</t>
  </si>
  <si>
    <t>2015_Gatton_Dryland</t>
  </si>
  <si>
    <t>AboveGround.N</t>
  </si>
  <si>
    <t>AboveGround.Storage.Wt</t>
  </si>
  <si>
    <t>Values</t>
  </si>
  <si>
    <t>Gatton</t>
  </si>
  <si>
    <t>Gatton2014Cv29B</t>
  </si>
  <si>
    <t>Gatton2014Cv5A</t>
  </si>
  <si>
    <t>Gatton2014Cv60A</t>
  </si>
  <si>
    <t>Gatton2014CvCorack</t>
  </si>
  <si>
    <t>Gatton2014CvEspada</t>
  </si>
  <si>
    <t>Gatton2014CvGauntlet</t>
  </si>
  <si>
    <t>Gatton2014CvHartog</t>
  </si>
  <si>
    <t>Gatton2014CvMace</t>
  </si>
  <si>
    <t>Gatton2014CvScout</t>
  </si>
  <si>
    <t>Gatton2014CvSpitfire</t>
  </si>
  <si>
    <t>Gatton2014CvSunbee</t>
  </si>
  <si>
    <t>Gatton2014CvSunstate</t>
  </si>
  <si>
    <t>Gatton2015Cv29B</t>
  </si>
  <si>
    <t>Gatton2015Cv5A</t>
  </si>
  <si>
    <t>Gatton2015Cv60A</t>
  </si>
  <si>
    <t>Gatton2015CvCorack</t>
  </si>
  <si>
    <t>Gatton2015CvEspada</t>
  </si>
  <si>
    <t>Gatton2015CvGauntlet</t>
  </si>
  <si>
    <t>Gatton2015CvHartog</t>
  </si>
  <si>
    <t>Gatton2015CvMace</t>
  </si>
  <si>
    <t>Gatton2015CvScout</t>
  </si>
  <si>
    <t>Gatton2015CvSpitfire</t>
  </si>
  <si>
    <t>Gatton2015CvSunbee</t>
  </si>
  <si>
    <t>Gatton2015CvSunstate</t>
  </si>
  <si>
    <t>Gatton2014IrrigatedCv29B</t>
  </si>
  <si>
    <t>Gatton2014IrrigatedCv5A</t>
  </si>
  <si>
    <t>Gatton2014IrrigatedCv60A</t>
  </si>
  <si>
    <t>Gatton2014IrrigatedCvCorack</t>
  </si>
  <si>
    <t>Gatton2014IrrigatedCvEspada</t>
  </si>
  <si>
    <t>Gatton2014IrrigatedCvGauntlet</t>
  </si>
  <si>
    <t>Gatton2014IrrigatedCvHartog</t>
  </si>
  <si>
    <t>Gatton2014IrrigatedCvMace</t>
  </si>
  <si>
    <t>Gatton2014IrrigatedCvScout</t>
  </si>
  <si>
    <t>Gatton2014IrrigatedCvSpitfire</t>
  </si>
  <si>
    <t>Gatton2014IrrigatedCvSunbee</t>
  </si>
  <si>
    <t>Gatton2014IrrigatedCvSunstate</t>
  </si>
  <si>
    <t>Junee2014Cv29B</t>
  </si>
  <si>
    <t>Junee2014Cv5A</t>
  </si>
  <si>
    <t>Junee2014Cv60A</t>
  </si>
  <si>
    <t>Junee2014CvCorack</t>
  </si>
  <si>
    <t>Junee2014CvEspada</t>
  </si>
  <si>
    <t>Junee2014CvGauntlet</t>
  </si>
  <si>
    <t>Junee2014CvHartog</t>
  </si>
  <si>
    <t>Junee2014CvMace</t>
  </si>
  <si>
    <t>Junee2014CvScout</t>
  </si>
  <si>
    <t>Junee2014CvSpitfire</t>
  </si>
  <si>
    <t>Junee2014CvSunbee</t>
  </si>
  <si>
    <t>Junee2014CvSunstate</t>
  </si>
  <si>
    <t>Minnipa2014Cv29B</t>
  </si>
  <si>
    <t>Minnipa2014Cv5A</t>
  </si>
  <si>
    <t>Minnipa2014Cv60A</t>
  </si>
  <si>
    <t>Minnipa2014CvCorack</t>
  </si>
  <si>
    <t>Minnipa2014CvEspada</t>
  </si>
  <si>
    <t>Minnipa2014CvGauntlet</t>
  </si>
  <si>
    <t>Minnipa2014CvHartog</t>
  </si>
  <si>
    <t>Minnipa2014CvMace</t>
  </si>
  <si>
    <t>Minnipa2014CvScout</t>
  </si>
  <si>
    <t>Minnipa2014CvSpitfire</t>
  </si>
  <si>
    <t>Minnipa2014CvSunbee</t>
  </si>
  <si>
    <t>Minnipa2014CvSunstate</t>
  </si>
  <si>
    <t>Temora2015Cv29B</t>
  </si>
  <si>
    <t>Temora2015Cv5A</t>
  </si>
  <si>
    <t>Temora2015Cv60A</t>
  </si>
  <si>
    <t>Temora2015CvCorack</t>
  </si>
  <si>
    <t>Temora2015CvEspada</t>
  </si>
  <si>
    <t>Temora2015CvGauntlet</t>
  </si>
  <si>
    <t>Temora2015CvHartog</t>
  </si>
  <si>
    <t>Temora2015CvMace</t>
  </si>
  <si>
    <t>Temora2015CvScout</t>
  </si>
  <si>
    <t>Temora2015CvSpitfire</t>
  </si>
  <si>
    <t>Temora2015CvSunbee</t>
  </si>
  <si>
    <t>Temora2015CvSunstate</t>
  </si>
  <si>
    <t>Wheat.Leaf.Live.Wt</t>
  </si>
  <si>
    <t>Wheat.Leaf.Dead.Wt</t>
  </si>
  <si>
    <t>Wheat.AboveGround.N</t>
  </si>
  <si>
    <t>StdDev of biomass_gm2</t>
  </si>
  <si>
    <t>StdDev of stem_biomass_gm2</t>
  </si>
  <si>
    <t>StdDev of gleaf_biomass_gm2</t>
  </si>
  <si>
    <t>StdDev of spike_biomass_gm2</t>
  </si>
  <si>
    <t>StdDev of dleaf_biomass_gm2</t>
  </si>
  <si>
    <t>StdDev of AboveGround.N</t>
  </si>
  <si>
    <t>StdDev of AboveGround.Storage.Wt</t>
  </si>
  <si>
    <t>Wheat.AboveGround.StorageWt</t>
  </si>
  <si>
    <t>Minnipa2015Cv29B</t>
  </si>
  <si>
    <t>Minnipa2015Cv5A</t>
  </si>
  <si>
    <t>Minnipa2015Cv60A</t>
  </si>
  <si>
    <t>Minnipa2015CvCorack</t>
  </si>
  <si>
    <t>Minnipa2015CvEspada</t>
  </si>
  <si>
    <t>Minnipa2015CvGauntlet</t>
  </si>
  <si>
    <t>Minnipa2015CvHartog</t>
  </si>
  <si>
    <t>Minnipa2015CvMace</t>
  </si>
  <si>
    <t>Minnipa2015CvScout</t>
  </si>
  <si>
    <t>Minnipa2015CvSpitfire</t>
  </si>
  <si>
    <t>Minnipa2015CvSunbee</t>
  </si>
  <si>
    <t>Minnipa2015CvSunstate</t>
  </si>
  <si>
    <t>Average of biomass_gm2</t>
  </si>
  <si>
    <t>Average of stem_biomass_gm2</t>
  </si>
  <si>
    <t>Average of gleaf_biomass_gm2</t>
  </si>
  <si>
    <t>Average of spike_biomass_gm2</t>
  </si>
  <si>
    <t>Average of dleaf_biomass_gm2</t>
  </si>
  <si>
    <t>Average of AboveGround.N</t>
  </si>
  <si>
    <t>Average of AboveGround.Storage.Wt</t>
  </si>
  <si>
    <t>Wheat.Phenology.CurrentStageName</t>
  </si>
  <si>
    <t>HarvestRipe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</si>
</sst>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1" x14ac:knownFonts="1">
    <font>
      <sz val="11"/>
      <color rgb="FF000000"/>
      <name val="Calibri"/>
      <family val="2"/>
      <charset val="1"/>
    </font>
    <font>
      <sz val="10"/>
      <name val="MS Sans Serif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/>
      <diagonal/>
    </border>
  </borders>
  <cellStyleXfs count="2">
    <xf numFmtId="0" fontId="0" fillId="0" borderId="0"/>
    <xf numFmtId="0" fontId="1" fillId="0" borderId="0" applyBorder="0"/>
  </cellStyleXfs>
  <cellXfs count="29">
    <xf numFmtId="0" fontId="0" fillId="0" borderId="0" xfId="0"/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horizontal="left" vertical="top"/>
    </xf>
    <xf numFmtId="14" fontId="0" fillId="0" borderId="0" xfId="0" applyNumberFormat="1"/>
    <xf numFmtId="164" fontId="2" fillId="0" borderId="2" xfId="0" applyNumberFormat="1" applyFont="1" applyBorder="1" applyAlignment="1">
      <alignment horizontal="left" vertical="top"/>
    </xf>
    <xf numFmtId="15" fontId="0" fillId="0" borderId="0" xfId="0" applyNumberFormat="1"/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 wrapText="1"/>
    </xf>
    <xf numFmtId="0" fontId="5" fillId="0" borderId="0" xfId="0" applyFont="1"/>
    <xf numFmtId="0" fontId="4" fillId="0" borderId="0" xfId="0" applyFont="1" applyAlignment="1">
      <alignment wrapText="1"/>
    </xf>
    <xf numFmtId="0" fontId="7" fillId="0" borderId="0" xfId="0" applyFont="1"/>
    <xf numFmtId="165" fontId="7" fillId="0" borderId="0" xfId="0" applyNumberFormat="1" applyFont="1"/>
    <xf numFmtId="165" fontId="6" fillId="0" borderId="0" xfId="0" applyNumberFormat="1" applyFont="1"/>
    <xf numFmtId="0" fontId="6" fillId="0" borderId="0" xfId="0" applyFont="1"/>
    <xf numFmtId="0" fontId="8" fillId="0" borderId="0" xfId="0" applyFont="1" applyAlignment="1">
      <alignment horizontal="center"/>
    </xf>
    <xf numFmtId="15" fontId="8" fillId="0" borderId="0" xfId="0" applyNumberFormat="1" applyFont="1" applyAlignment="1">
      <alignment horizontal="center"/>
    </xf>
    <xf numFmtId="2" fontId="0" fillId="0" borderId="0" xfId="0" applyNumberFormat="1"/>
    <xf numFmtId="0" fontId="0" fillId="0" borderId="0" xfId="0" pivotButton="1"/>
    <xf numFmtId="16" fontId="8" fillId="0" borderId="0" xfId="0" applyNumberFormat="1" applyFont="1" applyAlignment="1">
      <alignment horizontal="center"/>
    </xf>
    <xf numFmtId="15" fontId="8" fillId="0" borderId="3" xfId="0" applyNumberFormat="1" applyFont="1" applyBorder="1" applyAlignment="1">
      <alignment horizontal="center"/>
    </xf>
    <xf numFmtId="15" fontId="8" fillId="0" borderId="4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7" fillId="0" borderId="0" xfId="0" applyFont="1" applyAlignment="1">
      <alignment horizontal="right"/>
    </xf>
    <xf numFmtId="0" fontId="10" fillId="0" borderId="0" xfId="0" applyFont="1"/>
    <xf numFmtId="14" fontId="0" fillId="2" borderId="0" xfId="0" applyNumberFormat="1" applyFill="1"/>
  </cellXfs>
  <cellStyles count="2">
    <cellStyle name="Normal" xfId="0" builtinId="0"/>
    <cellStyle name="Normal 2" xfId="1" xr:uid="{00000000-0005-0000-0000-000001000000}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Observed!$E$1</c:f>
              <c:strCache>
                <c:ptCount val="1"/>
                <c:pt idx="0">
                  <c:v>Wheat.Stem.Wt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Observed!$D$2:$D$377</c:f>
              <c:numCache>
                <c:formatCode>0.00</c:formatCode>
                <c:ptCount val="376"/>
                <c:pt idx="0">
                  <c:v>150.5</c:v>
                </c:pt>
                <c:pt idx="1">
                  <c:v>224</c:v>
                </c:pt>
                <c:pt idx="2">
                  <c:v>536</c:v>
                </c:pt>
                <c:pt idx="3">
                  <c:v>812</c:v>
                </c:pt>
                <c:pt idx="4">
                  <c:v>1275.75</c:v>
                </c:pt>
                <c:pt idx="5">
                  <c:v>132.25</c:v>
                </c:pt>
                <c:pt idx="6">
                  <c:v>434.25</c:v>
                </c:pt>
                <c:pt idx="7">
                  <c:v>595</c:v>
                </c:pt>
                <c:pt idx="8">
                  <c:v>976.5</c:v>
                </c:pt>
                <c:pt idx="9">
                  <c:v>1433</c:v>
                </c:pt>
                <c:pt idx="10">
                  <c:v>144.5</c:v>
                </c:pt>
                <c:pt idx="11">
                  <c:v>219.25</c:v>
                </c:pt>
                <c:pt idx="12">
                  <c:v>481.5</c:v>
                </c:pt>
                <c:pt idx="13">
                  <c:v>822</c:v>
                </c:pt>
                <c:pt idx="14">
                  <c:v>1406.25</c:v>
                </c:pt>
                <c:pt idx="15">
                  <c:v>158</c:v>
                </c:pt>
                <c:pt idx="16">
                  <c:v>425</c:v>
                </c:pt>
                <c:pt idx="17">
                  <c:v>664.75</c:v>
                </c:pt>
                <c:pt idx="18">
                  <c:v>886</c:v>
                </c:pt>
                <c:pt idx="19">
                  <c:v>1453</c:v>
                </c:pt>
                <c:pt idx="20">
                  <c:v>159.75</c:v>
                </c:pt>
                <c:pt idx="21">
                  <c:v>452.5</c:v>
                </c:pt>
                <c:pt idx="22">
                  <c:v>689.75</c:v>
                </c:pt>
                <c:pt idx="23">
                  <c:v>926.25</c:v>
                </c:pt>
                <c:pt idx="24">
                  <c:v>1601</c:v>
                </c:pt>
                <c:pt idx="25">
                  <c:v>105</c:v>
                </c:pt>
                <c:pt idx="26">
                  <c:v>326</c:v>
                </c:pt>
                <c:pt idx="27">
                  <c:v>529</c:v>
                </c:pt>
                <c:pt idx="28">
                  <c:v>954</c:v>
                </c:pt>
                <c:pt idx="29">
                  <c:v>1388.75</c:v>
                </c:pt>
                <c:pt idx="30">
                  <c:v>157.25</c:v>
                </c:pt>
                <c:pt idx="31">
                  <c:v>413.25</c:v>
                </c:pt>
                <c:pt idx="32">
                  <c:v>652.5</c:v>
                </c:pt>
                <c:pt idx="33">
                  <c:v>896</c:v>
                </c:pt>
                <c:pt idx="34">
                  <c:v>1403.5</c:v>
                </c:pt>
                <c:pt idx="35">
                  <c:v>186.5</c:v>
                </c:pt>
                <c:pt idx="36">
                  <c:v>489.5</c:v>
                </c:pt>
                <c:pt idx="37">
                  <c:v>693</c:v>
                </c:pt>
                <c:pt idx="38">
                  <c:v>1079.5</c:v>
                </c:pt>
                <c:pt idx="39">
                  <c:v>1398.25</c:v>
                </c:pt>
                <c:pt idx="40">
                  <c:v>173.5</c:v>
                </c:pt>
                <c:pt idx="41">
                  <c:v>545.5</c:v>
                </c:pt>
                <c:pt idx="42">
                  <c:v>653.5</c:v>
                </c:pt>
                <c:pt idx="43">
                  <c:v>1112.5</c:v>
                </c:pt>
                <c:pt idx="44">
                  <c:v>1432.25</c:v>
                </c:pt>
                <c:pt idx="45">
                  <c:v>165.25</c:v>
                </c:pt>
                <c:pt idx="46">
                  <c:v>391</c:v>
                </c:pt>
                <c:pt idx="47">
                  <c:v>633.25</c:v>
                </c:pt>
                <c:pt idx="48">
                  <c:v>884.5</c:v>
                </c:pt>
                <c:pt idx="49">
                  <c:v>1484.75</c:v>
                </c:pt>
                <c:pt idx="50">
                  <c:v>168</c:v>
                </c:pt>
                <c:pt idx="51">
                  <c:v>455.5</c:v>
                </c:pt>
                <c:pt idx="52">
                  <c:v>701.25</c:v>
                </c:pt>
                <c:pt idx="53">
                  <c:v>946.75</c:v>
                </c:pt>
                <c:pt idx="54">
                  <c:v>1410</c:v>
                </c:pt>
                <c:pt idx="55">
                  <c:v>146.75</c:v>
                </c:pt>
                <c:pt idx="56">
                  <c:v>467.25</c:v>
                </c:pt>
                <c:pt idx="57">
                  <c:v>641</c:v>
                </c:pt>
                <c:pt idx="58">
                  <c:v>867.75</c:v>
                </c:pt>
                <c:pt idx="59">
                  <c:v>1436</c:v>
                </c:pt>
                <c:pt idx="60">
                  <c:v>134.5</c:v>
                </c:pt>
                <c:pt idx="61">
                  <c:v>182.75</c:v>
                </c:pt>
                <c:pt idx="62">
                  <c:v>228.75</c:v>
                </c:pt>
                <c:pt idx="63">
                  <c:v>679</c:v>
                </c:pt>
                <c:pt idx="64">
                  <c:v>1254.25</c:v>
                </c:pt>
                <c:pt idx="65">
                  <c:v>139.25</c:v>
                </c:pt>
                <c:pt idx="66">
                  <c:v>144.5</c:v>
                </c:pt>
                <c:pt idx="67">
                  <c:v>393.75</c:v>
                </c:pt>
                <c:pt idx="68">
                  <c:v>760</c:v>
                </c:pt>
                <c:pt idx="69">
                  <c:v>1309.75</c:v>
                </c:pt>
                <c:pt idx="70">
                  <c:v>112.5</c:v>
                </c:pt>
                <c:pt idx="71">
                  <c:v>145.75</c:v>
                </c:pt>
                <c:pt idx="72">
                  <c:v>283</c:v>
                </c:pt>
                <c:pt idx="73">
                  <c:v>831.5</c:v>
                </c:pt>
                <c:pt idx="74">
                  <c:v>1225</c:v>
                </c:pt>
                <c:pt idx="75">
                  <c:v>121.25</c:v>
                </c:pt>
                <c:pt idx="76">
                  <c:v>158.75</c:v>
                </c:pt>
                <c:pt idx="77">
                  <c:v>310.5</c:v>
                </c:pt>
                <c:pt idx="78">
                  <c:v>817.75</c:v>
                </c:pt>
                <c:pt idx="79">
                  <c:v>1241.5</c:v>
                </c:pt>
                <c:pt idx="80">
                  <c:v>145.5</c:v>
                </c:pt>
                <c:pt idx="81">
                  <c:v>193.25</c:v>
                </c:pt>
                <c:pt idx="82">
                  <c:v>399.25</c:v>
                </c:pt>
                <c:pt idx="83">
                  <c:v>858.25</c:v>
                </c:pt>
                <c:pt idx="84">
                  <c:v>1265.25</c:v>
                </c:pt>
                <c:pt idx="85">
                  <c:v>93.25</c:v>
                </c:pt>
                <c:pt idx="86">
                  <c:v>112.75</c:v>
                </c:pt>
                <c:pt idx="87">
                  <c:v>364</c:v>
                </c:pt>
                <c:pt idx="88">
                  <c:v>706</c:v>
                </c:pt>
                <c:pt idx="89">
                  <c:v>1259.5</c:v>
                </c:pt>
                <c:pt idx="90">
                  <c:v>159</c:v>
                </c:pt>
                <c:pt idx="91">
                  <c:v>172.5</c:v>
                </c:pt>
                <c:pt idx="92">
                  <c:v>356.5</c:v>
                </c:pt>
                <c:pt idx="93">
                  <c:v>778.5</c:v>
                </c:pt>
                <c:pt idx="94">
                  <c:v>1493.25</c:v>
                </c:pt>
                <c:pt idx="95">
                  <c:v>111</c:v>
                </c:pt>
                <c:pt idx="96">
                  <c:v>136.5</c:v>
                </c:pt>
                <c:pt idx="97">
                  <c:v>334.25</c:v>
                </c:pt>
                <c:pt idx="98">
                  <c:v>801</c:v>
                </c:pt>
                <c:pt idx="99">
                  <c:v>1312.5</c:v>
                </c:pt>
                <c:pt idx="100">
                  <c:v>112.25</c:v>
                </c:pt>
                <c:pt idx="101">
                  <c:v>159.75</c:v>
                </c:pt>
                <c:pt idx="102">
                  <c:v>363.75</c:v>
                </c:pt>
                <c:pt idx="103">
                  <c:v>823.25</c:v>
                </c:pt>
                <c:pt idx="104">
                  <c:v>1299.75</c:v>
                </c:pt>
                <c:pt idx="105">
                  <c:v>138.25</c:v>
                </c:pt>
                <c:pt idx="106">
                  <c:v>166.75</c:v>
                </c:pt>
                <c:pt idx="107">
                  <c:v>339</c:v>
                </c:pt>
                <c:pt idx="108">
                  <c:v>762</c:v>
                </c:pt>
                <c:pt idx="109">
                  <c:v>1307.25</c:v>
                </c:pt>
                <c:pt idx="110">
                  <c:v>127.75</c:v>
                </c:pt>
                <c:pt idx="111">
                  <c:v>159</c:v>
                </c:pt>
                <c:pt idx="112">
                  <c:v>391.5</c:v>
                </c:pt>
                <c:pt idx="113">
                  <c:v>827</c:v>
                </c:pt>
                <c:pt idx="114">
                  <c:v>1405.5</c:v>
                </c:pt>
                <c:pt idx="115">
                  <c:v>129.75</c:v>
                </c:pt>
                <c:pt idx="116">
                  <c:v>136.5</c:v>
                </c:pt>
                <c:pt idx="117">
                  <c:v>311.75</c:v>
                </c:pt>
                <c:pt idx="118">
                  <c:v>851</c:v>
                </c:pt>
                <c:pt idx="119">
                  <c:v>1350.25</c:v>
                </c:pt>
                <c:pt idx="120">
                  <c:v>139</c:v>
                </c:pt>
                <c:pt idx="121">
                  <c:v>217</c:v>
                </c:pt>
                <c:pt idx="122">
                  <c:v>580.25</c:v>
                </c:pt>
                <c:pt idx="123">
                  <c:v>1042.5</c:v>
                </c:pt>
                <c:pt idx="124">
                  <c:v>1701.25</c:v>
                </c:pt>
                <c:pt idx="125">
                  <c:v>112.5</c:v>
                </c:pt>
                <c:pt idx="126">
                  <c:v>546</c:v>
                </c:pt>
                <c:pt idx="127">
                  <c:v>704.25</c:v>
                </c:pt>
                <c:pt idx="128">
                  <c:v>1304.75</c:v>
                </c:pt>
                <c:pt idx="129">
                  <c:v>1771</c:v>
                </c:pt>
                <c:pt idx="130">
                  <c:v>131.25</c:v>
                </c:pt>
                <c:pt idx="131">
                  <c:v>222.25</c:v>
                </c:pt>
                <c:pt idx="132">
                  <c:v>563</c:v>
                </c:pt>
                <c:pt idx="133">
                  <c:v>1198</c:v>
                </c:pt>
                <c:pt idx="134">
                  <c:v>1762.5</c:v>
                </c:pt>
                <c:pt idx="135">
                  <c:v>152.5</c:v>
                </c:pt>
                <c:pt idx="136">
                  <c:v>503.5</c:v>
                </c:pt>
                <c:pt idx="137">
                  <c:v>785.75</c:v>
                </c:pt>
                <c:pt idx="138">
                  <c:v>1214.5</c:v>
                </c:pt>
                <c:pt idx="139">
                  <c:v>1847.5</c:v>
                </c:pt>
                <c:pt idx="140">
                  <c:v>157</c:v>
                </c:pt>
                <c:pt idx="141">
                  <c:v>488.5</c:v>
                </c:pt>
                <c:pt idx="142">
                  <c:v>759.25</c:v>
                </c:pt>
                <c:pt idx="143">
                  <c:v>1150.25</c:v>
                </c:pt>
                <c:pt idx="144">
                  <c:v>1958.75</c:v>
                </c:pt>
                <c:pt idx="145">
                  <c:v>110.5</c:v>
                </c:pt>
                <c:pt idx="146">
                  <c:v>361.25</c:v>
                </c:pt>
                <c:pt idx="147">
                  <c:v>612.25</c:v>
                </c:pt>
                <c:pt idx="148">
                  <c:v>1247</c:v>
                </c:pt>
                <c:pt idx="149">
                  <c:v>1864.25</c:v>
                </c:pt>
                <c:pt idx="150">
                  <c:v>157</c:v>
                </c:pt>
                <c:pt idx="151">
                  <c:v>450.25</c:v>
                </c:pt>
                <c:pt idx="152">
                  <c:v>709.75</c:v>
                </c:pt>
                <c:pt idx="153">
                  <c:v>1160</c:v>
                </c:pt>
                <c:pt idx="154">
                  <c:v>1729.25</c:v>
                </c:pt>
                <c:pt idx="155">
                  <c:v>156.25</c:v>
                </c:pt>
                <c:pt idx="156">
                  <c:v>492.25</c:v>
                </c:pt>
                <c:pt idx="157">
                  <c:v>782</c:v>
                </c:pt>
                <c:pt idx="158">
                  <c:v>1174.25</c:v>
                </c:pt>
                <c:pt idx="159">
                  <c:v>1807</c:v>
                </c:pt>
                <c:pt idx="160">
                  <c:v>168.5</c:v>
                </c:pt>
                <c:pt idx="161">
                  <c:v>611</c:v>
                </c:pt>
                <c:pt idx="162">
                  <c:v>732.25</c:v>
                </c:pt>
                <c:pt idx="163">
                  <c:v>1304.75</c:v>
                </c:pt>
                <c:pt idx="164">
                  <c:v>1894</c:v>
                </c:pt>
                <c:pt idx="165">
                  <c:v>160</c:v>
                </c:pt>
                <c:pt idx="166">
                  <c:v>413.5</c:v>
                </c:pt>
                <c:pt idx="167">
                  <c:v>758</c:v>
                </c:pt>
                <c:pt idx="168">
                  <c:v>1311</c:v>
                </c:pt>
                <c:pt idx="169">
                  <c:v>1845.75</c:v>
                </c:pt>
                <c:pt idx="170">
                  <c:v>164.75</c:v>
                </c:pt>
                <c:pt idx="171">
                  <c:v>466.25</c:v>
                </c:pt>
                <c:pt idx="172">
                  <c:v>747</c:v>
                </c:pt>
                <c:pt idx="173">
                  <c:v>1280</c:v>
                </c:pt>
                <c:pt idx="174">
                  <c:v>1677</c:v>
                </c:pt>
                <c:pt idx="175">
                  <c:v>126.75</c:v>
                </c:pt>
                <c:pt idx="176">
                  <c:v>425.5</c:v>
                </c:pt>
                <c:pt idx="177">
                  <c:v>695.5</c:v>
                </c:pt>
                <c:pt idx="178">
                  <c:v>1119.75</c:v>
                </c:pt>
                <c:pt idx="179">
                  <c:v>1698.75</c:v>
                </c:pt>
                <c:pt idx="180">
                  <c:v>29</c:v>
                </c:pt>
                <c:pt idx="181">
                  <c:v>140.25</c:v>
                </c:pt>
                <c:pt idx="182">
                  <c:v>382.5</c:v>
                </c:pt>
                <c:pt idx="183">
                  <c:v>665.25</c:v>
                </c:pt>
                <c:pt idx="184">
                  <c:v>714.25</c:v>
                </c:pt>
                <c:pt idx="185">
                  <c:v>25.25</c:v>
                </c:pt>
                <c:pt idx="186">
                  <c:v>122.5</c:v>
                </c:pt>
                <c:pt idx="187">
                  <c:v>466.5</c:v>
                </c:pt>
                <c:pt idx="188">
                  <c:v>783.5</c:v>
                </c:pt>
                <c:pt idx="189">
                  <c:v>850.25</c:v>
                </c:pt>
                <c:pt idx="190">
                  <c:v>31.75</c:v>
                </c:pt>
                <c:pt idx="191">
                  <c:v>156</c:v>
                </c:pt>
                <c:pt idx="192">
                  <c:v>436</c:v>
                </c:pt>
                <c:pt idx="193">
                  <c:v>741.25</c:v>
                </c:pt>
                <c:pt idx="194">
                  <c:v>784</c:v>
                </c:pt>
                <c:pt idx="195">
                  <c:v>28.5</c:v>
                </c:pt>
                <c:pt idx="196">
                  <c:v>141.5</c:v>
                </c:pt>
                <c:pt idx="197">
                  <c:v>527.5</c:v>
                </c:pt>
                <c:pt idx="198">
                  <c:v>872</c:v>
                </c:pt>
                <c:pt idx="199">
                  <c:v>971</c:v>
                </c:pt>
                <c:pt idx="200">
                  <c:v>30</c:v>
                </c:pt>
                <c:pt idx="201">
                  <c:v>138.25</c:v>
                </c:pt>
                <c:pt idx="202">
                  <c:v>496</c:v>
                </c:pt>
                <c:pt idx="203">
                  <c:v>874.5</c:v>
                </c:pt>
                <c:pt idx="204">
                  <c:v>942.75</c:v>
                </c:pt>
                <c:pt idx="205">
                  <c:v>19</c:v>
                </c:pt>
                <c:pt idx="206">
                  <c:v>114</c:v>
                </c:pt>
                <c:pt idx="207">
                  <c:v>411.5</c:v>
                </c:pt>
                <c:pt idx="208">
                  <c:v>832.75</c:v>
                </c:pt>
                <c:pt idx="209">
                  <c:v>891.25</c:v>
                </c:pt>
                <c:pt idx="210">
                  <c:v>28.5</c:v>
                </c:pt>
                <c:pt idx="211">
                  <c:v>134.25</c:v>
                </c:pt>
                <c:pt idx="212">
                  <c:v>484.25</c:v>
                </c:pt>
                <c:pt idx="213">
                  <c:v>832.75</c:v>
                </c:pt>
                <c:pt idx="214">
                  <c:v>855.5</c:v>
                </c:pt>
                <c:pt idx="215">
                  <c:v>32.25</c:v>
                </c:pt>
                <c:pt idx="216">
                  <c:v>174.25</c:v>
                </c:pt>
                <c:pt idx="217">
                  <c:v>586.25</c:v>
                </c:pt>
                <c:pt idx="218">
                  <c:v>892.25</c:v>
                </c:pt>
                <c:pt idx="219">
                  <c:v>1034.5</c:v>
                </c:pt>
                <c:pt idx="220">
                  <c:v>29.5</c:v>
                </c:pt>
                <c:pt idx="221">
                  <c:v>141</c:v>
                </c:pt>
                <c:pt idx="222">
                  <c:v>483</c:v>
                </c:pt>
                <c:pt idx="223">
                  <c:v>855</c:v>
                </c:pt>
                <c:pt idx="224">
                  <c:v>964.5</c:v>
                </c:pt>
                <c:pt idx="225">
                  <c:v>24.75</c:v>
                </c:pt>
                <c:pt idx="226">
                  <c:v>126.5</c:v>
                </c:pt>
                <c:pt idx="227">
                  <c:v>421.25</c:v>
                </c:pt>
                <c:pt idx="228">
                  <c:v>743.5</c:v>
                </c:pt>
                <c:pt idx="229">
                  <c:v>885.75</c:v>
                </c:pt>
                <c:pt idx="230">
                  <c:v>36</c:v>
                </c:pt>
                <c:pt idx="231">
                  <c:v>160.25</c:v>
                </c:pt>
                <c:pt idx="232">
                  <c:v>473.25</c:v>
                </c:pt>
                <c:pt idx="233">
                  <c:v>813.25</c:v>
                </c:pt>
                <c:pt idx="234">
                  <c:v>855</c:v>
                </c:pt>
                <c:pt idx="235">
                  <c:v>19.25</c:v>
                </c:pt>
                <c:pt idx="236">
                  <c:v>102.25</c:v>
                </c:pt>
                <c:pt idx="237">
                  <c:v>390</c:v>
                </c:pt>
                <c:pt idx="238">
                  <c:v>794.5</c:v>
                </c:pt>
                <c:pt idx="239">
                  <c:v>800.75</c:v>
                </c:pt>
                <c:pt idx="240">
                  <c:v>240.75</c:v>
                </c:pt>
                <c:pt idx="241">
                  <c:v>371</c:v>
                </c:pt>
                <c:pt idx="242">
                  <c:v>447.25</c:v>
                </c:pt>
                <c:pt idx="243">
                  <c:v>42.25</c:v>
                </c:pt>
                <c:pt idx="244">
                  <c:v>87</c:v>
                </c:pt>
                <c:pt idx="245">
                  <c:v>219.25</c:v>
                </c:pt>
                <c:pt idx="246">
                  <c:v>279.66666666666669</c:v>
                </c:pt>
                <c:pt idx="247">
                  <c:v>402</c:v>
                </c:pt>
                <c:pt idx="248">
                  <c:v>461.5</c:v>
                </c:pt>
                <c:pt idx="249">
                  <c:v>43.5</c:v>
                </c:pt>
                <c:pt idx="250">
                  <c:v>155.5</c:v>
                </c:pt>
                <c:pt idx="251">
                  <c:v>253.25</c:v>
                </c:pt>
                <c:pt idx="252">
                  <c:v>625</c:v>
                </c:pt>
                <c:pt idx="253">
                  <c:v>435.33333333333331</c:v>
                </c:pt>
                <c:pt idx="254">
                  <c:v>536.75</c:v>
                </c:pt>
                <c:pt idx="255">
                  <c:v>54.75</c:v>
                </c:pt>
                <c:pt idx="256">
                  <c:v>97.25</c:v>
                </c:pt>
                <c:pt idx="257">
                  <c:v>217.75</c:v>
                </c:pt>
                <c:pt idx="258">
                  <c:v>347.33333333333331</c:v>
                </c:pt>
                <c:pt idx="259">
                  <c:v>304</c:v>
                </c:pt>
                <c:pt idx="260">
                  <c:v>473.5</c:v>
                </c:pt>
                <c:pt idx="261">
                  <c:v>46.5</c:v>
                </c:pt>
                <c:pt idx="262">
                  <c:v>110.75</c:v>
                </c:pt>
                <c:pt idx="263">
                  <c:v>240</c:v>
                </c:pt>
                <c:pt idx="264">
                  <c:v>447.5</c:v>
                </c:pt>
                <c:pt idx="265">
                  <c:v>471</c:v>
                </c:pt>
                <c:pt idx="266">
                  <c:v>613.25</c:v>
                </c:pt>
                <c:pt idx="267">
                  <c:v>49</c:v>
                </c:pt>
                <c:pt idx="268">
                  <c:v>139.75</c:v>
                </c:pt>
                <c:pt idx="269">
                  <c:v>199.5</c:v>
                </c:pt>
                <c:pt idx="270">
                  <c:v>359</c:v>
                </c:pt>
                <c:pt idx="271">
                  <c:v>425</c:v>
                </c:pt>
                <c:pt idx="272">
                  <c:v>543</c:v>
                </c:pt>
                <c:pt idx="273">
                  <c:v>36</c:v>
                </c:pt>
                <c:pt idx="274">
                  <c:v>50.5</c:v>
                </c:pt>
                <c:pt idx="275">
                  <c:v>89.25</c:v>
                </c:pt>
                <c:pt idx="276">
                  <c:v>189.5</c:v>
                </c:pt>
                <c:pt idx="277">
                  <c:v>409.5</c:v>
                </c:pt>
                <c:pt idx="278">
                  <c:v>383.5</c:v>
                </c:pt>
                <c:pt idx="279">
                  <c:v>441.75</c:v>
                </c:pt>
                <c:pt idx="280">
                  <c:v>36.25</c:v>
                </c:pt>
                <c:pt idx="281">
                  <c:v>112</c:v>
                </c:pt>
                <c:pt idx="282">
                  <c:v>106</c:v>
                </c:pt>
                <c:pt idx="283">
                  <c:v>297.5</c:v>
                </c:pt>
                <c:pt idx="284">
                  <c:v>464.33333333333331</c:v>
                </c:pt>
                <c:pt idx="285">
                  <c:v>462</c:v>
                </c:pt>
                <c:pt idx="286">
                  <c:v>644.25</c:v>
                </c:pt>
                <c:pt idx="287">
                  <c:v>61.25</c:v>
                </c:pt>
                <c:pt idx="288">
                  <c:v>192.75</c:v>
                </c:pt>
                <c:pt idx="289">
                  <c:v>237.5</c:v>
                </c:pt>
                <c:pt idx="290">
                  <c:v>436</c:v>
                </c:pt>
                <c:pt idx="291">
                  <c:v>403.66666666666669</c:v>
                </c:pt>
                <c:pt idx="292">
                  <c:v>660</c:v>
                </c:pt>
                <c:pt idx="293">
                  <c:v>45</c:v>
                </c:pt>
                <c:pt idx="294">
                  <c:v>111</c:v>
                </c:pt>
                <c:pt idx="295">
                  <c:v>228</c:v>
                </c:pt>
                <c:pt idx="296">
                  <c:v>319</c:v>
                </c:pt>
                <c:pt idx="297">
                  <c:v>403</c:v>
                </c:pt>
                <c:pt idx="298">
                  <c:v>352</c:v>
                </c:pt>
                <c:pt idx="299">
                  <c:v>471.5</c:v>
                </c:pt>
                <c:pt idx="300">
                  <c:v>48</c:v>
                </c:pt>
                <c:pt idx="301">
                  <c:v>113.75</c:v>
                </c:pt>
                <c:pt idx="302">
                  <c:v>257.25</c:v>
                </c:pt>
                <c:pt idx="303">
                  <c:v>392</c:v>
                </c:pt>
                <c:pt idx="304">
                  <c:v>420</c:v>
                </c:pt>
                <c:pt idx="305">
                  <c:v>547</c:v>
                </c:pt>
                <c:pt idx="306">
                  <c:v>535.5</c:v>
                </c:pt>
                <c:pt idx="307">
                  <c:v>59.5</c:v>
                </c:pt>
                <c:pt idx="308">
                  <c:v>152.25</c:v>
                </c:pt>
                <c:pt idx="309">
                  <c:v>198.5</c:v>
                </c:pt>
                <c:pt idx="310">
                  <c:v>449</c:v>
                </c:pt>
                <c:pt idx="311">
                  <c:v>324</c:v>
                </c:pt>
                <c:pt idx="312">
                  <c:v>409</c:v>
                </c:pt>
                <c:pt idx="313">
                  <c:v>485.5</c:v>
                </c:pt>
                <c:pt idx="314">
                  <c:v>34.25</c:v>
                </c:pt>
                <c:pt idx="315">
                  <c:v>85.5</c:v>
                </c:pt>
                <c:pt idx="316">
                  <c:v>52.75</c:v>
                </c:pt>
                <c:pt idx="317">
                  <c:v>114.5</c:v>
                </c:pt>
                <c:pt idx="318">
                  <c:v>337.25</c:v>
                </c:pt>
                <c:pt idx="319">
                  <c:v>742.5</c:v>
                </c:pt>
                <c:pt idx="320">
                  <c:v>936.25</c:v>
                </c:pt>
                <c:pt idx="321">
                  <c:v>117</c:v>
                </c:pt>
                <c:pt idx="322">
                  <c:v>160</c:v>
                </c:pt>
                <c:pt idx="323">
                  <c:v>443.75</c:v>
                </c:pt>
                <c:pt idx="324">
                  <c:v>830</c:v>
                </c:pt>
                <c:pt idx="325">
                  <c:v>951.75</c:v>
                </c:pt>
                <c:pt idx="326">
                  <c:v>76.5</c:v>
                </c:pt>
                <c:pt idx="327">
                  <c:v>119</c:v>
                </c:pt>
                <c:pt idx="328">
                  <c:v>415.25</c:v>
                </c:pt>
                <c:pt idx="329">
                  <c:v>838.5</c:v>
                </c:pt>
                <c:pt idx="330">
                  <c:v>1003.75</c:v>
                </c:pt>
                <c:pt idx="331">
                  <c:v>93</c:v>
                </c:pt>
                <c:pt idx="332">
                  <c:v>129.5</c:v>
                </c:pt>
                <c:pt idx="333">
                  <c:v>363.5</c:v>
                </c:pt>
                <c:pt idx="334">
                  <c:v>824.25</c:v>
                </c:pt>
                <c:pt idx="335">
                  <c:v>980</c:v>
                </c:pt>
                <c:pt idx="336">
                  <c:v>97</c:v>
                </c:pt>
                <c:pt idx="337">
                  <c:v>161.75</c:v>
                </c:pt>
                <c:pt idx="338">
                  <c:v>440.75</c:v>
                </c:pt>
                <c:pt idx="339">
                  <c:v>893</c:v>
                </c:pt>
                <c:pt idx="340">
                  <c:v>1075</c:v>
                </c:pt>
                <c:pt idx="341">
                  <c:v>90</c:v>
                </c:pt>
                <c:pt idx="342">
                  <c:v>148.25</c:v>
                </c:pt>
                <c:pt idx="343">
                  <c:v>393</c:v>
                </c:pt>
                <c:pt idx="344">
                  <c:v>903.5</c:v>
                </c:pt>
                <c:pt idx="345">
                  <c:v>1039.25</c:v>
                </c:pt>
                <c:pt idx="346">
                  <c:v>77.25</c:v>
                </c:pt>
                <c:pt idx="347">
                  <c:v>113</c:v>
                </c:pt>
                <c:pt idx="348">
                  <c:v>352.75</c:v>
                </c:pt>
                <c:pt idx="349">
                  <c:v>689.5</c:v>
                </c:pt>
                <c:pt idx="350">
                  <c:v>921.25</c:v>
                </c:pt>
                <c:pt idx="351">
                  <c:v>83.25</c:v>
                </c:pt>
                <c:pt idx="352">
                  <c:v>123</c:v>
                </c:pt>
                <c:pt idx="353">
                  <c:v>359.75</c:v>
                </c:pt>
                <c:pt idx="354">
                  <c:v>845.75</c:v>
                </c:pt>
                <c:pt idx="355">
                  <c:v>920.25</c:v>
                </c:pt>
                <c:pt idx="356">
                  <c:v>64.25</c:v>
                </c:pt>
                <c:pt idx="357">
                  <c:v>108.25</c:v>
                </c:pt>
                <c:pt idx="358">
                  <c:v>368.75</c:v>
                </c:pt>
                <c:pt idx="359">
                  <c:v>744.75</c:v>
                </c:pt>
                <c:pt idx="360">
                  <c:v>944.75</c:v>
                </c:pt>
                <c:pt idx="361">
                  <c:v>72</c:v>
                </c:pt>
                <c:pt idx="362">
                  <c:v>125.75</c:v>
                </c:pt>
                <c:pt idx="363">
                  <c:v>353.5</c:v>
                </c:pt>
                <c:pt idx="364">
                  <c:v>773.25</c:v>
                </c:pt>
                <c:pt idx="365">
                  <c:v>891</c:v>
                </c:pt>
                <c:pt idx="366">
                  <c:v>74</c:v>
                </c:pt>
                <c:pt idx="367">
                  <c:v>115.5</c:v>
                </c:pt>
                <c:pt idx="368">
                  <c:v>370.75</c:v>
                </c:pt>
                <c:pt idx="369">
                  <c:v>808.5</c:v>
                </c:pt>
                <c:pt idx="370">
                  <c:v>972.25</c:v>
                </c:pt>
                <c:pt idx="371">
                  <c:v>89.75</c:v>
                </c:pt>
                <c:pt idx="372">
                  <c:v>149</c:v>
                </c:pt>
                <c:pt idx="373">
                  <c:v>358</c:v>
                </c:pt>
                <c:pt idx="374">
                  <c:v>859.5</c:v>
                </c:pt>
                <c:pt idx="375">
                  <c:v>979.5</c:v>
                </c:pt>
              </c:numCache>
            </c:numRef>
          </c:xVal>
          <c:yVal>
            <c:numRef>
              <c:f>Observed!$E$2:$E$377</c:f>
              <c:numCache>
                <c:formatCode>General</c:formatCode>
                <c:ptCount val="376"/>
                <c:pt idx="0">
                  <c:v>64.75</c:v>
                </c:pt>
                <c:pt idx="1">
                  <c:v>94.5</c:v>
                </c:pt>
                <c:pt idx="2">
                  <c:v>297.5</c:v>
                </c:pt>
                <c:pt idx="3">
                  <c:v>430.25</c:v>
                </c:pt>
                <c:pt idx="4">
                  <c:v>388.75</c:v>
                </c:pt>
                <c:pt idx="5">
                  <c:v>44.5</c:v>
                </c:pt>
                <c:pt idx="6">
                  <c:v>175.25</c:v>
                </c:pt>
                <c:pt idx="7">
                  <c:v>318.75</c:v>
                </c:pt>
                <c:pt idx="8">
                  <c:v>470.75</c:v>
                </c:pt>
                <c:pt idx="9">
                  <c:v>380.5</c:v>
                </c:pt>
                <c:pt idx="10">
                  <c:v>55.25</c:v>
                </c:pt>
                <c:pt idx="11">
                  <c:v>78.75</c:v>
                </c:pt>
                <c:pt idx="12">
                  <c:v>239.75</c:v>
                </c:pt>
                <c:pt idx="13">
                  <c:v>427.75</c:v>
                </c:pt>
                <c:pt idx="14">
                  <c:v>375.75</c:v>
                </c:pt>
                <c:pt idx="15">
                  <c:v>53.75</c:v>
                </c:pt>
                <c:pt idx="16">
                  <c:v>190</c:v>
                </c:pt>
                <c:pt idx="17">
                  <c:v>311.5</c:v>
                </c:pt>
                <c:pt idx="18">
                  <c:v>413.5</c:v>
                </c:pt>
                <c:pt idx="19">
                  <c:v>360</c:v>
                </c:pt>
                <c:pt idx="20">
                  <c:v>62</c:v>
                </c:pt>
                <c:pt idx="21">
                  <c:v>199</c:v>
                </c:pt>
                <c:pt idx="22">
                  <c:v>395.25</c:v>
                </c:pt>
                <c:pt idx="23">
                  <c:v>459.75</c:v>
                </c:pt>
                <c:pt idx="24">
                  <c:v>426.25</c:v>
                </c:pt>
                <c:pt idx="25">
                  <c:v>37.25</c:v>
                </c:pt>
                <c:pt idx="26">
                  <c:v>128.75</c:v>
                </c:pt>
                <c:pt idx="27">
                  <c:v>272.5</c:v>
                </c:pt>
                <c:pt idx="28">
                  <c:v>455.25</c:v>
                </c:pt>
                <c:pt idx="29">
                  <c:v>357</c:v>
                </c:pt>
                <c:pt idx="30">
                  <c:v>58.25</c:v>
                </c:pt>
                <c:pt idx="31">
                  <c:v>180</c:v>
                </c:pt>
                <c:pt idx="32">
                  <c:v>363.25</c:v>
                </c:pt>
                <c:pt idx="33">
                  <c:v>434.25</c:v>
                </c:pt>
                <c:pt idx="34">
                  <c:v>435.25</c:v>
                </c:pt>
                <c:pt idx="35">
                  <c:v>66.25</c:v>
                </c:pt>
                <c:pt idx="36">
                  <c:v>211.5</c:v>
                </c:pt>
                <c:pt idx="37">
                  <c:v>379.5</c:v>
                </c:pt>
                <c:pt idx="38">
                  <c:v>506</c:v>
                </c:pt>
                <c:pt idx="39">
                  <c:v>309</c:v>
                </c:pt>
                <c:pt idx="40">
                  <c:v>54.75</c:v>
                </c:pt>
                <c:pt idx="41">
                  <c:v>228.5</c:v>
                </c:pt>
                <c:pt idx="42">
                  <c:v>335.25</c:v>
                </c:pt>
                <c:pt idx="43">
                  <c:v>512</c:v>
                </c:pt>
                <c:pt idx="44">
                  <c:v>385</c:v>
                </c:pt>
                <c:pt idx="45">
                  <c:v>56.5</c:v>
                </c:pt>
                <c:pt idx="46">
                  <c:v>162</c:v>
                </c:pt>
                <c:pt idx="47">
                  <c:v>323.25</c:v>
                </c:pt>
                <c:pt idx="48">
                  <c:v>403.5</c:v>
                </c:pt>
                <c:pt idx="49">
                  <c:v>399.25</c:v>
                </c:pt>
                <c:pt idx="50">
                  <c:v>59.75</c:v>
                </c:pt>
                <c:pt idx="51">
                  <c:v>196.75</c:v>
                </c:pt>
                <c:pt idx="52">
                  <c:v>411.75</c:v>
                </c:pt>
                <c:pt idx="53">
                  <c:v>451</c:v>
                </c:pt>
                <c:pt idx="54">
                  <c:v>516</c:v>
                </c:pt>
                <c:pt idx="55">
                  <c:v>54</c:v>
                </c:pt>
                <c:pt idx="56">
                  <c:v>203.75</c:v>
                </c:pt>
                <c:pt idx="57">
                  <c:v>359.25</c:v>
                </c:pt>
                <c:pt idx="58">
                  <c:v>424.5</c:v>
                </c:pt>
                <c:pt idx="59">
                  <c:v>447.75</c:v>
                </c:pt>
                <c:pt idx="60">
                  <c:v>53</c:v>
                </c:pt>
                <c:pt idx="61">
                  <c:v>82.75</c:v>
                </c:pt>
                <c:pt idx="62">
                  <c:v>118</c:v>
                </c:pt>
                <c:pt idx="63">
                  <c:v>403.75</c:v>
                </c:pt>
                <c:pt idx="64">
                  <c:v>461.5</c:v>
                </c:pt>
                <c:pt idx="65">
                  <c:v>43.25</c:v>
                </c:pt>
                <c:pt idx="66">
                  <c:v>50</c:v>
                </c:pt>
                <c:pt idx="67">
                  <c:v>207.5</c:v>
                </c:pt>
                <c:pt idx="68">
                  <c:v>405.75</c:v>
                </c:pt>
                <c:pt idx="69">
                  <c:v>391.75</c:v>
                </c:pt>
                <c:pt idx="70">
                  <c:v>39.75</c:v>
                </c:pt>
                <c:pt idx="71">
                  <c:v>60.5</c:v>
                </c:pt>
                <c:pt idx="72">
                  <c:v>149</c:v>
                </c:pt>
                <c:pt idx="73">
                  <c:v>466.75</c:v>
                </c:pt>
                <c:pt idx="74">
                  <c:v>402</c:v>
                </c:pt>
                <c:pt idx="75">
                  <c:v>36</c:v>
                </c:pt>
                <c:pt idx="76">
                  <c:v>58.75</c:v>
                </c:pt>
                <c:pt idx="77">
                  <c:v>161</c:v>
                </c:pt>
                <c:pt idx="78">
                  <c:v>424.25</c:v>
                </c:pt>
                <c:pt idx="79">
                  <c:v>315.5</c:v>
                </c:pt>
                <c:pt idx="80">
                  <c:v>49.75</c:v>
                </c:pt>
                <c:pt idx="81">
                  <c:v>73</c:v>
                </c:pt>
                <c:pt idx="82">
                  <c:v>205.5</c:v>
                </c:pt>
                <c:pt idx="83">
                  <c:v>461</c:v>
                </c:pt>
                <c:pt idx="84">
                  <c:v>391.25</c:v>
                </c:pt>
                <c:pt idx="85">
                  <c:v>26</c:v>
                </c:pt>
                <c:pt idx="86">
                  <c:v>39</c:v>
                </c:pt>
                <c:pt idx="87">
                  <c:v>203</c:v>
                </c:pt>
                <c:pt idx="88">
                  <c:v>356.5</c:v>
                </c:pt>
                <c:pt idx="89">
                  <c:v>354.25</c:v>
                </c:pt>
                <c:pt idx="90">
                  <c:v>55</c:v>
                </c:pt>
                <c:pt idx="91">
                  <c:v>72.333333333333329</c:v>
                </c:pt>
                <c:pt idx="92">
                  <c:v>197</c:v>
                </c:pt>
                <c:pt idx="93">
                  <c:v>440.5</c:v>
                </c:pt>
                <c:pt idx="94">
                  <c:v>481.75</c:v>
                </c:pt>
                <c:pt idx="95">
                  <c:v>35.25</c:v>
                </c:pt>
                <c:pt idx="96">
                  <c:v>48.25</c:v>
                </c:pt>
                <c:pt idx="97">
                  <c:v>179.5</c:v>
                </c:pt>
                <c:pt idx="98">
                  <c:v>419.5</c:v>
                </c:pt>
                <c:pt idx="99">
                  <c:v>380.5</c:v>
                </c:pt>
                <c:pt idx="100">
                  <c:v>31.25</c:v>
                </c:pt>
                <c:pt idx="101">
                  <c:v>49</c:v>
                </c:pt>
                <c:pt idx="102">
                  <c:v>166.5</c:v>
                </c:pt>
                <c:pt idx="103">
                  <c:v>393.5</c:v>
                </c:pt>
                <c:pt idx="104">
                  <c:v>341.5</c:v>
                </c:pt>
                <c:pt idx="105">
                  <c:v>43.5</c:v>
                </c:pt>
                <c:pt idx="106">
                  <c:v>60.25</c:v>
                </c:pt>
                <c:pt idx="107">
                  <c:v>171.25</c:v>
                </c:pt>
                <c:pt idx="108">
                  <c:v>382</c:v>
                </c:pt>
                <c:pt idx="109">
                  <c:v>410.75</c:v>
                </c:pt>
                <c:pt idx="110">
                  <c:v>41</c:v>
                </c:pt>
                <c:pt idx="111">
                  <c:v>60.5</c:v>
                </c:pt>
                <c:pt idx="112">
                  <c:v>210.75</c:v>
                </c:pt>
                <c:pt idx="113">
                  <c:v>461</c:v>
                </c:pt>
                <c:pt idx="114">
                  <c:v>507.25</c:v>
                </c:pt>
                <c:pt idx="115">
                  <c:v>45.25</c:v>
                </c:pt>
                <c:pt idx="116">
                  <c:v>52.5</c:v>
                </c:pt>
                <c:pt idx="117">
                  <c:v>166.5</c:v>
                </c:pt>
                <c:pt idx="118">
                  <c:v>477.25</c:v>
                </c:pt>
                <c:pt idx="119">
                  <c:v>455.25</c:v>
                </c:pt>
                <c:pt idx="120">
                  <c:v>55.5</c:v>
                </c:pt>
                <c:pt idx="121">
                  <c:v>87.75</c:v>
                </c:pt>
                <c:pt idx="122">
                  <c:v>276</c:v>
                </c:pt>
                <c:pt idx="123">
                  <c:v>532</c:v>
                </c:pt>
                <c:pt idx="124">
                  <c:v>554.5</c:v>
                </c:pt>
                <c:pt idx="125">
                  <c:v>37.75</c:v>
                </c:pt>
                <c:pt idx="126">
                  <c:v>200.5</c:v>
                </c:pt>
                <c:pt idx="127">
                  <c:v>310.75</c:v>
                </c:pt>
                <c:pt idx="128">
                  <c:v>654.5</c:v>
                </c:pt>
                <c:pt idx="129">
                  <c:v>599.75</c:v>
                </c:pt>
                <c:pt idx="130">
                  <c:v>50.5</c:v>
                </c:pt>
                <c:pt idx="131">
                  <c:v>74.25</c:v>
                </c:pt>
                <c:pt idx="132">
                  <c:v>260.75</c:v>
                </c:pt>
                <c:pt idx="133">
                  <c:v>612.25</c:v>
                </c:pt>
                <c:pt idx="134">
                  <c:v>597.25</c:v>
                </c:pt>
                <c:pt idx="135">
                  <c:v>51.25</c:v>
                </c:pt>
                <c:pt idx="136">
                  <c:v>191.25</c:v>
                </c:pt>
                <c:pt idx="137">
                  <c:v>415.75</c:v>
                </c:pt>
                <c:pt idx="138">
                  <c:v>554.75</c:v>
                </c:pt>
                <c:pt idx="139">
                  <c:v>557.25</c:v>
                </c:pt>
                <c:pt idx="140">
                  <c:v>57.75</c:v>
                </c:pt>
                <c:pt idx="141">
                  <c:v>194.75</c:v>
                </c:pt>
                <c:pt idx="142">
                  <c:v>344.75</c:v>
                </c:pt>
                <c:pt idx="143">
                  <c:v>562</c:v>
                </c:pt>
                <c:pt idx="144">
                  <c:v>621.25</c:v>
                </c:pt>
                <c:pt idx="145">
                  <c:v>38.5</c:v>
                </c:pt>
                <c:pt idx="146">
                  <c:v>123.75</c:v>
                </c:pt>
                <c:pt idx="147">
                  <c:v>241.75</c:v>
                </c:pt>
                <c:pt idx="148">
                  <c:v>589.75</c:v>
                </c:pt>
                <c:pt idx="149">
                  <c:v>586.75</c:v>
                </c:pt>
                <c:pt idx="150">
                  <c:v>50</c:v>
                </c:pt>
                <c:pt idx="151">
                  <c:v>189.5</c:v>
                </c:pt>
                <c:pt idx="152">
                  <c:v>369</c:v>
                </c:pt>
                <c:pt idx="153">
                  <c:v>544.5</c:v>
                </c:pt>
                <c:pt idx="154">
                  <c:v>575</c:v>
                </c:pt>
                <c:pt idx="155">
                  <c:v>55.5</c:v>
                </c:pt>
                <c:pt idx="156">
                  <c:v>195.75</c:v>
                </c:pt>
                <c:pt idx="157">
                  <c:v>390</c:v>
                </c:pt>
                <c:pt idx="158">
                  <c:v>560.75</c:v>
                </c:pt>
                <c:pt idx="159">
                  <c:v>569</c:v>
                </c:pt>
                <c:pt idx="160">
                  <c:v>52.5</c:v>
                </c:pt>
                <c:pt idx="161">
                  <c:v>222.75</c:v>
                </c:pt>
                <c:pt idx="162">
                  <c:v>315</c:v>
                </c:pt>
                <c:pt idx="163">
                  <c:v>582</c:v>
                </c:pt>
                <c:pt idx="164">
                  <c:v>573.25</c:v>
                </c:pt>
                <c:pt idx="165">
                  <c:v>52.75</c:v>
                </c:pt>
                <c:pt idx="166">
                  <c:v>160.75</c:v>
                </c:pt>
                <c:pt idx="167">
                  <c:v>348.75</c:v>
                </c:pt>
                <c:pt idx="168">
                  <c:v>591.75</c:v>
                </c:pt>
                <c:pt idx="169">
                  <c:v>528.5</c:v>
                </c:pt>
                <c:pt idx="170">
                  <c:v>58.5</c:v>
                </c:pt>
                <c:pt idx="171">
                  <c:v>192.25</c:v>
                </c:pt>
                <c:pt idx="172">
                  <c:v>366.75</c:v>
                </c:pt>
                <c:pt idx="173">
                  <c:v>642</c:v>
                </c:pt>
                <c:pt idx="174">
                  <c:v>569.75</c:v>
                </c:pt>
                <c:pt idx="175">
                  <c:v>42</c:v>
                </c:pt>
                <c:pt idx="176">
                  <c:v>168</c:v>
                </c:pt>
                <c:pt idx="177">
                  <c:v>344.5</c:v>
                </c:pt>
                <c:pt idx="178">
                  <c:v>561.25</c:v>
                </c:pt>
                <c:pt idx="179">
                  <c:v>604.75</c:v>
                </c:pt>
                <c:pt idx="183">
                  <c:v>343.25</c:v>
                </c:pt>
                <c:pt idx="184">
                  <c:v>258.5</c:v>
                </c:pt>
                <c:pt idx="188">
                  <c:v>408.75</c:v>
                </c:pt>
                <c:pt idx="189">
                  <c:v>303.5</c:v>
                </c:pt>
                <c:pt idx="193">
                  <c:v>402</c:v>
                </c:pt>
                <c:pt idx="194">
                  <c:v>281.5</c:v>
                </c:pt>
                <c:pt idx="198">
                  <c:v>456.25</c:v>
                </c:pt>
                <c:pt idx="199">
                  <c:v>295.75</c:v>
                </c:pt>
                <c:pt idx="203">
                  <c:v>510.5</c:v>
                </c:pt>
                <c:pt idx="204">
                  <c:v>330.25</c:v>
                </c:pt>
                <c:pt idx="208">
                  <c:v>477</c:v>
                </c:pt>
                <c:pt idx="209">
                  <c:v>273.25</c:v>
                </c:pt>
                <c:pt idx="213">
                  <c:v>430.25</c:v>
                </c:pt>
                <c:pt idx="214">
                  <c:v>303.25</c:v>
                </c:pt>
                <c:pt idx="218">
                  <c:v>490.5</c:v>
                </c:pt>
                <c:pt idx="219">
                  <c:v>333.5</c:v>
                </c:pt>
                <c:pt idx="223">
                  <c:v>465.75</c:v>
                </c:pt>
                <c:pt idx="224">
                  <c:v>317.75</c:v>
                </c:pt>
                <c:pt idx="228">
                  <c:v>365.25</c:v>
                </c:pt>
                <c:pt idx="229">
                  <c:v>284</c:v>
                </c:pt>
                <c:pt idx="233">
                  <c:v>424.5</c:v>
                </c:pt>
                <c:pt idx="234">
                  <c:v>300.75</c:v>
                </c:pt>
                <c:pt idx="238">
                  <c:v>416</c:v>
                </c:pt>
                <c:pt idx="239">
                  <c:v>298.75</c:v>
                </c:pt>
                <c:pt idx="241">
                  <c:v>208.5</c:v>
                </c:pt>
                <c:pt idx="242">
                  <c:v>130.5</c:v>
                </c:pt>
                <c:pt idx="246">
                  <c:v>153.33333333333334</c:v>
                </c:pt>
                <c:pt idx="247">
                  <c:v>224</c:v>
                </c:pt>
                <c:pt idx="248">
                  <c:v>131.25</c:v>
                </c:pt>
                <c:pt idx="252">
                  <c:v>332</c:v>
                </c:pt>
                <c:pt idx="253">
                  <c:v>243.66666666666666</c:v>
                </c:pt>
                <c:pt idx="254">
                  <c:v>163.5</c:v>
                </c:pt>
                <c:pt idx="258">
                  <c:v>195.66666666666666</c:v>
                </c:pt>
                <c:pt idx="259">
                  <c:v>158</c:v>
                </c:pt>
                <c:pt idx="260">
                  <c:v>125</c:v>
                </c:pt>
                <c:pt idx="264">
                  <c:v>259</c:v>
                </c:pt>
                <c:pt idx="265">
                  <c:v>275.5</c:v>
                </c:pt>
                <c:pt idx="266">
                  <c:v>182.5</c:v>
                </c:pt>
                <c:pt idx="270">
                  <c:v>194</c:v>
                </c:pt>
                <c:pt idx="271">
                  <c:v>214.33333333333334</c:v>
                </c:pt>
                <c:pt idx="272">
                  <c:v>140.5</c:v>
                </c:pt>
                <c:pt idx="277">
                  <c:v>226.5</c:v>
                </c:pt>
                <c:pt idx="278">
                  <c:v>211.5</c:v>
                </c:pt>
                <c:pt idx="279">
                  <c:v>132.5</c:v>
                </c:pt>
                <c:pt idx="284">
                  <c:v>264.66666666666669</c:v>
                </c:pt>
                <c:pt idx="285">
                  <c:v>279</c:v>
                </c:pt>
                <c:pt idx="286">
                  <c:v>176.75</c:v>
                </c:pt>
                <c:pt idx="290">
                  <c:v>246</c:v>
                </c:pt>
                <c:pt idx="291">
                  <c:v>217.66666666666666</c:v>
                </c:pt>
                <c:pt idx="292">
                  <c:v>174.75</c:v>
                </c:pt>
                <c:pt idx="296">
                  <c:v>178</c:v>
                </c:pt>
                <c:pt idx="297">
                  <c:v>230</c:v>
                </c:pt>
                <c:pt idx="298">
                  <c:v>191.5</c:v>
                </c:pt>
                <c:pt idx="299">
                  <c:v>129.75</c:v>
                </c:pt>
                <c:pt idx="303">
                  <c:v>224.5</c:v>
                </c:pt>
                <c:pt idx="304">
                  <c:v>254</c:v>
                </c:pt>
                <c:pt idx="305">
                  <c:v>312</c:v>
                </c:pt>
                <c:pt idx="306">
                  <c:v>168.75</c:v>
                </c:pt>
                <c:pt idx="310">
                  <c:v>249</c:v>
                </c:pt>
                <c:pt idx="311">
                  <c:v>174</c:v>
                </c:pt>
                <c:pt idx="312">
                  <c:v>233</c:v>
                </c:pt>
                <c:pt idx="313">
                  <c:v>148.75</c:v>
                </c:pt>
                <c:pt idx="316">
                  <c:v>18.25</c:v>
                </c:pt>
                <c:pt idx="317">
                  <c:v>34.25</c:v>
                </c:pt>
                <c:pt idx="318">
                  <c:v>190</c:v>
                </c:pt>
                <c:pt idx="319">
                  <c:v>401.75</c:v>
                </c:pt>
                <c:pt idx="320">
                  <c:v>325</c:v>
                </c:pt>
                <c:pt idx="321">
                  <c:v>50</c:v>
                </c:pt>
                <c:pt idx="322">
                  <c:v>64.5</c:v>
                </c:pt>
                <c:pt idx="323">
                  <c:v>282.25</c:v>
                </c:pt>
                <c:pt idx="324">
                  <c:v>461</c:v>
                </c:pt>
                <c:pt idx="325">
                  <c:v>343.25</c:v>
                </c:pt>
                <c:pt idx="326">
                  <c:v>29.75</c:v>
                </c:pt>
                <c:pt idx="327">
                  <c:v>36.5</c:v>
                </c:pt>
                <c:pt idx="328">
                  <c:v>257</c:v>
                </c:pt>
                <c:pt idx="329">
                  <c:v>470.75</c:v>
                </c:pt>
                <c:pt idx="330">
                  <c:v>334.75</c:v>
                </c:pt>
                <c:pt idx="331">
                  <c:v>35.5</c:v>
                </c:pt>
                <c:pt idx="332">
                  <c:v>44.5</c:v>
                </c:pt>
                <c:pt idx="333">
                  <c:v>219</c:v>
                </c:pt>
                <c:pt idx="334">
                  <c:v>439.5</c:v>
                </c:pt>
                <c:pt idx="335">
                  <c:v>353.25</c:v>
                </c:pt>
                <c:pt idx="336">
                  <c:v>36.5</c:v>
                </c:pt>
                <c:pt idx="337">
                  <c:v>54.75</c:v>
                </c:pt>
                <c:pt idx="338">
                  <c:v>292.5</c:v>
                </c:pt>
                <c:pt idx="339">
                  <c:v>508.75</c:v>
                </c:pt>
                <c:pt idx="340">
                  <c:v>358.25</c:v>
                </c:pt>
                <c:pt idx="341">
                  <c:v>36.25</c:v>
                </c:pt>
                <c:pt idx="342">
                  <c:v>55</c:v>
                </c:pt>
                <c:pt idx="343">
                  <c:v>255</c:v>
                </c:pt>
                <c:pt idx="344">
                  <c:v>502.75</c:v>
                </c:pt>
                <c:pt idx="345">
                  <c:v>357.5</c:v>
                </c:pt>
                <c:pt idx="346">
                  <c:v>31.75</c:v>
                </c:pt>
                <c:pt idx="347">
                  <c:v>40.75</c:v>
                </c:pt>
                <c:pt idx="348">
                  <c:v>222.5</c:v>
                </c:pt>
                <c:pt idx="349">
                  <c:v>350.25</c:v>
                </c:pt>
                <c:pt idx="350">
                  <c:v>323</c:v>
                </c:pt>
                <c:pt idx="351">
                  <c:v>32.5</c:v>
                </c:pt>
                <c:pt idx="352">
                  <c:v>41.25</c:v>
                </c:pt>
                <c:pt idx="353">
                  <c:v>210</c:v>
                </c:pt>
                <c:pt idx="354">
                  <c:v>443.25</c:v>
                </c:pt>
                <c:pt idx="355">
                  <c:v>336.25</c:v>
                </c:pt>
                <c:pt idx="356">
                  <c:v>22</c:v>
                </c:pt>
                <c:pt idx="357">
                  <c:v>29.75</c:v>
                </c:pt>
                <c:pt idx="358">
                  <c:v>203.5</c:v>
                </c:pt>
                <c:pt idx="359">
                  <c:v>404.25</c:v>
                </c:pt>
                <c:pt idx="360">
                  <c:v>320</c:v>
                </c:pt>
                <c:pt idx="361">
                  <c:v>25.5</c:v>
                </c:pt>
                <c:pt idx="362">
                  <c:v>41.25</c:v>
                </c:pt>
                <c:pt idx="363">
                  <c:v>212.25</c:v>
                </c:pt>
                <c:pt idx="364">
                  <c:v>415.5</c:v>
                </c:pt>
                <c:pt idx="365">
                  <c:v>306.5</c:v>
                </c:pt>
                <c:pt idx="366">
                  <c:v>26.25</c:v>
                </c:pt>
                <c:pt idx="367">
                  <c:v>36</c:v>
                </c:pt>
                <c:pt idx="368">
                  <c:v>244.5</c:v>
                </c:pt>
                <c:pt idx="369">
                  <c:v>443</c:v>
                </c:pt>
                <c:pt idx="370">
                  <c:v>323.25</c:v>
                </c:pt>
                <c:pt idx="371">
                  <c:v>34.5</c:v>
                </c:pt>
                <c:pt idx="372">
                  <c:v>44.25</c:v>
                </c:pt>
                <c:pt idx="373">
                  <c:v>216.75</c:v>
                </c:pt>
                <c:pt idx="374">
                  <c:v>473.25</c:v>
                </c:pt>
                <c:pt idx="375">
                  <c:v>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D5-4F1B-9DAC-919BF4F11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51376"/>
        <c:axId val="40261456"/>
      </c:scatterChart>
      <c:valAx>
        <c:axId val="402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61456"/>
        <c:crosses val="autoZero"/>
        <c:crossBetween val="midCat"/>
      </c:valAx>
      <c:valAx>
        <c:axId val="4026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1078705</xdr:colOff>
      <xdr:row>316</xdr:row>
      <xdr:rowOff>19050</xdr:rowOff>
    </xdr:from>
    <xdr:to>
      <xdr:col>9</xdr:col>
      <xdr:colOff>533400</xdr:colOff>
      <xdr:row>356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01B21E-CB27-D096-F17C-A4DC546D4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James Hunt" id="{CB5921A8-4102-4306-B94E-CC73C9BB8B08}" userId="james.hunt@unimelb.edu.au" providerId="PeoplePicker"/>
  <person displayName="James Hunt" id="{40F320E4-D35E-4D9F-A1D5-92724B80EC57}" userId="S::james.hunt@unimelb.edu.au::f920b93b-2398-4f5a-a767-1d004726de12" providerId="AD"/>
  <person displayName="Juan Wang" id="{5CB61E70-2835-4070-8ADA-E295FF0B98DA}" userId="S::juan.wang5@unimelb.edu.au::5ee9ba0d-76c4-4d0d-bbe1-a25307663a62" providerId="AD"/>
  <person displayName="Huth, Neil (A&amp;F, Toowoomba)" id="{EB6521CF-8453-4C69-B6FF-77AF4EA02DCB}" userId="S::neil.huth_csiro.au#ext#@unimelbcloud.onmicrosoft.com::5a3ea854-c84f-4d49-afa0-76f4ff2129ad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th, Neil (A&amp;F, Forest Hill)" refreshedDate="46150.339674421295" createdVersion="8" refreshedVersion="8" minRefreshableVersion="3" recordCount="1680" xr:uid="{BE467493-9C0E-46C1-B1BB-E857334E86D6}">
  <cacheSource type="worksheet">
    <worksheetSource ref="A1:T1681" sheet="Data"/>
  </cacheSource>
  <cacheFields count="20">
    <cacheField name="Year" numFmtId="0">
      <sharedItems containsSemiMixedTypes="0" containsString="0" containsNumber="1" containsInteger="1" minValue="2014" maxValue="2015" count="2">
        <n v="2014"/>
        <n v="2015"/>
      </sharedItems>
    </cacheField>
    <cacheField name="Site" numFmtId="0">
      <sharedItems count="5">
        <s v="Minnipa"/>
        <s v="Temora"/>
        <s v="Junee"/>
        <s v="Gatton_Irrigated"/>
        <s v="Gatton_Dryland"/>
      </sharedItems>
    </cacheField>
    <cacheField name="!site_year" numFmtId="0">
      <sharedItems/>
    </cacheField>
    <cacheField name="Row" numFmtId="0">
      <sharedItems containsSemiMixedTypes="0" containsString="0" containsNumber="1" containsInteger="1" minValue="1" maxValue="12"/>
    </cacheField>
    <cacheField name="Range" numFmtId="0">
      <sharedItems containsSemiMixedTypes="0" containsString="0" containsNumber="1" containsInteger="1" minValue="1" maxValue="6"/>
    </cacheField>
    <cacheField name="Plot" numFmtId="0">
      <sharedItems containsSemiMixedTypes="0" containsString="0" containsNumber="1" containsInteger="1" minValue="1" maxValue="48"/>
    </cacheField>
    <cacheField name="Block" numFmtId="0">
      <sharedItems containsSemiMixedTypes="0" containsString="0" containsNumber="1" containsInteger="1" minValue="1" maxValue="4"/>
    </cacheField>
    <cacheField name="Variety" numFmtId="0">
      <sharedItems count="12">
        <s v="Scout"/>
        <s v="5A"/>
        <s v="Sunbee"/>
        <s v="Corack"/>
        <s v="Sunstate"/>
        <s v="29B"/>
        <s v="Mace"/>
        <s v="60A"/>
        <s v="Hartog"/>
        <s v="Espada"/>
        <s v="Spitfire"/>
        <s v="Gauntlet"/>
      </sharedItems>
    </cacheField>
    <cacheField name="Cut Date" numFmtId="0">
      <sharedItems containsSemiMixedTypes="0" containsNonDate="0" containsDate="1" containsString="0" minDate="2014-07-14T00:00:00" maxDate="2026-08-23T00:00:00" count="52">
        <d v="2026-08-05T00:00:00"/>
        <d v="2026-08-11T00:00:00"/>
        <d v="2026-08-20T00:00:00"/>
        <d v="2026-08-22T00:00:00"/>
        <d v="2026-08-15T00:00:00"/>
        <d v="2014-09-01T00:00:00"/>
        <d v="2014-09-19T00:00:00"/>
        <d v="2014-09-17T00:00:00"/>
        <d v="2014-09-22T00:00:00"/>
        <d v="2014-09-15T00:00:00"/>
        <d v="2014-11-11T00:00:00"/>
        <d v="2015-08-06T00:00:00"/>
        <d v="2015-08-14T00:00:00"/>
        <d v="2015-09-04T00:00:00"/>
        <d v="2015-09-29T00:00:00"/>
        <d v="2015-10-29T00:00:00"/>
        <d v="2015-07-29T00:00:00"/>
        <d v="2015-08-31T00:00:00"/>
        <d v="2015-09-17T00:00:00"/>
        <d v="2015-10-16T00:00:00"/>
        <d v="2015-10-14T00:00:00"/>
        <d v="2015-10-19T00:00:00"/>
        <d v="2015-12-23T00:00:00"/>
        <d v="2014-07-14T00:00:00"/>
        <d v="2014-08-14T00:00:00"/>
        <d v="2014-09-18T00:00:00"/>
        <d v="2014-10-16T00:00:00"/>
        <d v="2014-10-09T00:00:00"/>
        <d v="2014-10-13T00:00:00"/>
        <d v="2014-11-14T00:00:00"/>
        <d v="2014-08-05T00:00:00"/>
        <d v="2014-07-22T00:00:00"/>
        <d v="2014-08-12T00:00:00"/>
        <d v="2014-08-20T00:00:00"/>
        <d v="2014-09-09T00:00:00"/>
        <d v="2014-09-16T00:00:00"/>
        <d v="2014-11-04T00:00:00"/>
        <d v="2014-10-28T00:00:00"/>
        <d v="2015-07-03T00:00:00"/>
        <d v="2015-07-09T00:00:00"/>
        <d v="2015-07-24T00:00:00"/>
        <d v="2015-07-28T00:00:00"/>
        <d v="2015-07-16T00:00:00"/>
        <d v="2015-08-04T00:00:00"/>
        <d v="2015-08-18T00:00:00"/>
        <d v="2015-08-25T00:00:00"/>
        <d v="2015-08-11T00:00:00"/>
        <d v="2015-10-07T00:00:00"/>
        <d v="2015-10-13T00:00:00"/>
        <d v="2014-08-11T00:00:00" u="1"/>
        <d v="2014-08-22T00:00:00" u="1"/>
        <d v="2014-08-15T00:00:00" u="1"/>
      </sharedItems>
    </cacheField>
    <cacheField name="SCDS stage" numFmtId="0">
      <sharedItems/>
    </cacheField>
    <cacheField name="biomass_gm2" numFmtId="0">
      <sharedItems containsSemiMixedTypes="0" containsString="0" containsNumber="1" containsInteger="1" minValue="15" maxValue="2037"/>
    </cacheField>
    <cacheField name="stem_biomass_gm2" numFmtId="0">
      <sharedItems containsString="0" containsBlank="1" containsNumber="1" containsInteger="1" minValue="3" maxValue="803"/>
    </cacheField>
    <cacheField name="gleaf_biomass_gm2" numFmtId="0">
      <sharedItems containsString="0" containsBlank="1" containsNumber="1" minValue="0" maxValue="414"/>
    </cacheField>
    <cacheField name="spike_biomass_gm2" numFmtId="0">
      <sharedItems containsString="0" containsBlank="1" containsNumber="1" containsInteger="1" minValue="3" maxValue="1300"/>
    </cacheField>
    <cacheField name="dleaf_biomass_gm2" numFmtId="0">
      <sharedItems containsString="0" containsBlank="1" containsNumber="1" minValue="0" maxValue="629"/>
    </cacheField>
    <cacheField name="13C (‰)" numFmtId="0">
      <sharedItems containsString="0" containsBlank="1" containsNumber="1" minValue="-26.41" maxValue="-24.51"/>
    </cacheField>
    <cacheField name="N_mg_g" numFmtId="0">
      <sharedItems containsString="0" containsBlank="1" containsNumber="1" minValue="7.3" maxValue="64.7"/>
    </cacheField>
    <cacheField name="WSC_mg_g" numFmtId="0">
      <sharedItems containsString="0" containsBlank="1" containsNumber="1" minValue="1.2" maxValue="206.4"/>
    </cacheField>
    <cacheField name="AboveGround.N" numFmtId="0">
      <sharedItems containsString="0" containsBlank="1" containsNumber="1" minValue="0" maxValue="33.787500000000001"/>
    </cacheField>
    <cacheField name="AboveGround.Storage.Wt" numFmtId="2">
      <sharedItems containsString="0" containsBlank="1" containsNumber="1" minValue="0" maxValue="243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0">
  <r>
    <x v="0"/>
    <x v="0"/>
    <s v="2014_Minnipa"/>
    <n v="1"/>
    <n v="1"/>
    <n v="1"/>
    <n v="1"/>
    <x v="0"/>
    <x v="0"/>
    <s v="N0"/>
    <n v="52"/>
    <m/>
    <m/>
    <m/>
    <m/>
    <n v="-25.68"/>
    <n v="47.2"/>
    <n v="83.4"/>
    <n v="2.4544000000000001"/>
    <n v="4.3368000000000002"/>
  </r>
  <r>
    <x v="0"/>
    <x v="0"/>
    <s v="2014_Minnipa"/>
    <n v="1"/>
    <n v="2"/>
    <n v="2"/>
    <n v="1"/>
    <x v="1"/>
    <x v="0"/>
    <s v="N0"/>
    <n v="40"/>
    <m/>
    <m/>
    <m/>
    <m/>
    <n v="-25.63"/>
    <n v="46.7"/>
    <n v="71.099999999999994"/>
    <n v="1.8680000000000001"/>
    <n v="2.8439999999999999"/>
  </r>
  <r>
    <x v="0"/>
    <x v="0"/>
    <s v="2014_Minnipa"/>
    <n v="1"/>
    <n v="3"/>
    <n v="3"/>
    <n v="1"/>
    <x v="2"/>
    <x v="0"/>
    <s v="N0"/>
    <n v="84"/>
    <m/>
    <m/>
    <m/>
    <m/>
    <n v="-25.72"/>
    <n v="46.6"/>
    <n v="68"/>
    <n v="3.9144000000000001"/>
    <n v="5.7119999999999997"/>
  </r>
  <r>
    <x v="0"/>
    <x v="0"/>
    <s v="2014_Minnipa"/>
    <n v="1"/>
    <n v="4"/>
    <n v="4"/>
    <n v="1"/>
    <x v="3"/>
    <x v="0"/>
    <s v="N0"/>
    <n v="40"/>
    <m/>
    <m/>
    <m/>
    <m/>
    <n v="-25.58"/>
    <n v="44.3"/>
    <n v="78.599999999999994"/>
    <n v="1.772"/>
    <n v="3.1440000000000001"/>
  </r>
  <r>
    <x v="0"/>
    <x v="0"/>
    <s v="2014_Minnipa"/>
    <n v="1"/>
    <n v="5"/>
    <n v="5"/>
    <n v="1"/>
    <x v="4"/>
    <x v="0"/>
    <s v="N0"/>
    <n v="30"/>
    <m/>
    <m/>
    <m/>
    <m/>
    <n v="-25.49"/>
    <n v="47.2"/>
    <n v="76.2"/>
    <n v="1.4159999999999999"/>
    <n v="2.286"/>
  </r>
  <r>
    <x v="0"/>
    <x v="0"/>
    <s v="2014_Minnipa"/>
    <n v="1"/>
    <n v="6"/>
    <n v="6"/>
    <n v="1"/>
    <x v="5"/>
    <x v="0"/>
    <s v="N0"/>
    <n v="47"/>
    <m/>
    <m/>
    <m/>
    <m/>
    <n v="-25.74"/>
    <n v="45.9"/>
    <n v="71.5"/>
    <n v="2.1572999999999998"/>
    <n v="3.3605"/>
  </r>
  <r>
    <x v="0"/>
    <x v="0"/>
    <s v="2014_Minnipa"/>
    <n v="2"/>
    <n v="6"/>
    <n v="7"/>
    <n v="1"/>
    <x v="6"/>
    <x v="0"/>
    <s v="N0"/>
    <n v="56"/>
    <m/>
    <m/>
    <m/>
    <m/>
    <n v="-25.21"/>
    <n v="45.1"/>
    <n v="101.9"/>
    <n v="2.5255999999999998"/>
    <n v="5.7064000000000004"/>
  </r>
  <r>
    <x v="0"/>
    <x v="0"/>
    <s v="2014_Minnipa"/>
    <n v="2"/>
    <n v="5"/>
    <n v="8"/>
    <n v="1"/>
    <x v="7"/>
    <x v="0"/>
    <s v="N0"/>
    <n v="51"/>
    <m/>
    <m/>
    <m/>
    <m/>
    <n v="-25.66"/>
    <n v="41.9"/>
    <n v="72"/>
    <n v="2.1369000000000002"/>
    <n v="3.6720000000000002"/>
  </r>
  <r>
    <x v="0"/>
    <x v="0"/>
    <s v="2014_Minnipa"/>
    <n v="2"/>
    <n v="4"/>
    <n v="9"/>
    <n v="1"/>
    <x v="8"/>
    <x v="0"/>
    <s v="N0"/>
    <n v="43"/>
    <m/>
    <m/>
    <m/>
    <m/>
    <n v="-25.54"/>
    <n v="44.1"/>
    <n v="87.7"/>
    <n v="1.8962999999999999"/>
    <n v="3.7711000000000001"/>
  </r>
  <r>
    <x v="0"/>
    <x v="0"/>
    <s v="2014_Minnipa"/>
    <n v="2"/>
    <n v="3"/>
    <n v="10"/>
    <n v="1"/>
    <x v="9"/>
    <x v="0"/>
    <s v="N0"/>
    <n v="62"/>
    <m/>
    <m/>
    <m/>
    <m/>
    <n v="-25.53"/>
    <n v="44.3"/>
    <n v="85.5"/>
    <n v="2.7465999999999999"/>
    <n v="5.3010000000000002"/>
  </r>
  <r>
    <x v="0"/>
    <x v="0"/>
    <s v="2014_Minnipa"/>
    <n v="2"/>
    <n v="2"/>
    <n v="11"/>
    <n v="1"/>
    <x v="10"/>
    <x v="0"/>
    <s v="N0"/>
    <n v="42"/>
    <m/>
    <m/>
    <m/>
    <m/>
    <n v="-25.73"/>
    <n v="46.8"/>
    <n v="71.599999999999994"/>
    <n v="1.9656"/>
    <n v="3.0071999999999997"/>
  </r>
  <r>
    <x v="0"/>
    <x v="0"/>
    <s v="2014_Minnipa"/>
    <n v="2"/>
    <n v="1"/>
    <n v="12"/>
    <n v="1"/>
    <x v="11"/>
    <x v="0"/>
    <s v="N0"/>
    <n v="26"/>
    <m/>
    <m/>
    <m/>
    <m/>
    <n v="-25.37"/>
    <n v="48.1"/>
    <n v="77.2"/>
    <n v="1.2506000000000002"/>
    <n v="2.0072000000000001"/>
  </r>
  <r>
    <x v="0"/>
    <x v="0"/>
    <s v="2014_Minnipa"/>
    <n v="3"/>
    <n v="1"/>
    <n v="13"/>
    <n v="2"/>
    <x v="9"/>
    <x v="0"/>
    <s v="N0"/>
    <n v="29"/>
    <m/>
    <m/>
    <m/>
    <m/>
    <n v="-25.29"/>
    <n v="49"/>
    <n v="89.2"/>
    <n v="1.421"/>
    <n v="2.5868000000000002"/>
  </r>
  <r>
    <x v="0"/>
    <x v="0"/>
    <s v="2014_Minnipa"/>
    <n v="3"/>
    <n v="2"/>
    <n v="14"/>
    <n v="2"/>
    <x v="11"/>
    <x v="1"/>
    <s v="N0"/>
    <n v="60"/>
    <m/>
    <m/>
    <m/>
    <m/>
    <n v="-24.67"/>
    <n v="45.9"/>
    <n v="130.19999999999999"/>
    <n v="2.754"/>
    <n v="7.8119999999999994"/>
  </r>
  <r>
    <x v="0"/>
    <x v="0"/>
    <s v="2014_Minnipa"/>
    <n v="3"/>
    <n v="3"/>
    <n v="15"/>
    <n v="2"/>
    <x v="7"/>
    <x v="0"/>
    <s v="N0"/>
    <n v="80"/>
    <m/>
    <m/>
    <m/>
    <m/>
    <n v="-25.59"/>
    <n v="46.1"/>
    <n v="66.599999999999994"/>
    <n v="3.6880000000000002"/>
    <n v="5.3280000000000003"/>
  </r>
  <r>
    <x v="0"/>
    <x v="0"/>
    <s v="2014_Minnipa"/>
    <n v="3"/>
    <n v="4"/>
    <n v="16"/>
    <n v="2"/>
    <x v="10"/>
    <x v="0"/>
    <s v="N0"/>
    <n v="41"/>
    <m/>
    <m/>
    <m/>
    <m/>
    <n v="-25.25"/>
    <n v="41.8"/>
    <n v="97.3"/>
    <n v="1.7138"/>
    <n v="3.9892999999999996"/>
  </r>
  <r>
    <x v="0"/>
    <x v="0"/>
    <s v="2014_Minnipa"/>
    <n v="3"/>
    <n v="5"/>
    <n v="17"/>
    <n v="2"/>
    <x v="1"/>
    <x v="0"/>
    <s v="N0"/>
    <n v="39"/>
    <m/>
    <m/>
    <m/>
    <m/>
    <n v="-25.08"/>
    <n v="41.9"/>
    <n v="97.4"/>
    <n v="1.6340999999999999"/>
    <n v="3.7986000000000004"/>
  </r>
  <r>
    <x v="0"/>
    <x v="0"/>
    <s v="2014_Minnipa"/>
    <n v="3"/>
    <n v="6"/>
    <n v="18"/>
    <n v="2"/>
    <x v="8"/>
    <x v="0"/>
    <s v="N0"/>
    <n v="37"/>
    <m/>
    <m/>
    <m/>
    <m/>
    <n v="-25.28"/>
    <n v="42.8"/>
    <n v="81.400000000000006"/>
    <n v="1.5835999999999999"/>
    <n v="3.0118"/>
  </r>
  <r>
    <x v="0"/>
    <x v="0"/>
    <s v="2014_Minnipa"/>
    <n v="4"/>
    <n v="6"/>
    <n v="19"/>
    <n v="2"/>
    <x v="4"/>
    <x v="0"/>
    <s v="N0"/>
    <n v="39"/>
    <m/>
    <m/>
    <m/>
    <m/>
    <n v="-25.26"/>
    <n v="45.7"/>
    <n v="88"/>
    <n v="1.7823000000000002"/>
    <n v="3.4319999999999999"/>
  </r>
  <r>
    <x v="0"/>
    <x v="0"/>
    <s v="2014_Minnipa"/>
    <n v="4"/>
    <n v="5"/>
    <n v="20"/>
    <n v="2"/>
    <x v="0"/>
    <x v="0"/>
    <s v="N0"/>
    <n v="43"/>
    <m/>
    <m/>
    <m/>
    <m/>
    <n v="-25.26"/>
    <n v="43.4"/>
    <n v="95.4"/>
    <n v="1.8662000000000001"/>
    <n v="4.1021999999999998"/>
  </r>
  <r>
    <x v="0"/>
    <x v="0"/>
    <s v="2014_Minnipa"/>
    <n v="4"/>
    <n v="4"/>
    <n v="21"/>
    <n v="2"/>
    <x v="2"/>
    <x v="0"/>
    <s v="N0"/>
    <n v="58"/>
    <m/>
    <m/>
    <m/>
    <m/>
    <n v="-25.41"/>
    <n v="45.7"/>
    <n v="77"/>
    <n v="2.6506000000000003"/>
    <n v="4.4660000000000002"/>
  </r>
  <r>
    <x v="0"/>
    <x v="0"/>
    <s v="2014_Minnipa"/>
    <n v="4"/>
    <n v="3"/>
    <n v="22"/>
    <n v="2"/>
    <x v="6"/>
    <x v="0"/>
    <s v="N0"/>
    <n v="66"/>
    <m/>
    <m/>
    <m/>
    <m/>
    <n v="-24.86"/>
    <n v="42.6"/>
    <n v="113.1"/>
    <n v="2.8115999999999999"/>
    <n v="7.464599999999999"/>
  </r>
  <r>
    <x v="0"/>
    <x v="0"/>
    <s v="2014_Minnipa"/>
    <n v="4"/>
    <n v="2"/>
    <n v="23"/>
    <n v="2"/>
    <x v="5"/>
    <x v="0"/>
    <s v="N0"/>
    <n v="55"/>
    <m/>
    <m/>
    <m/>
    <m/>
    <n v="-25.46"/>
    <n v="44.1"/>
    <n v="75.8"/>
    <n v="2.4255"/>
    <n v="4.1689999999999996"/>
  </r>
  <r>
    <x v="0"/>
    <x v="0"/>
    <s v="2014_Minnipa"/>
    <n v="4"/>
    <n v="1"/>
    <n v="24"/>
    <n v="2"/>
    <x v="3"/>
    <x v="0"/>
    <s v="N0"/>
    <n v="49"/>
    <m/>
    <m/>
    <m/>
    <m/>
    <n v="-25.17"/>
    <n v="45.3"/>
    <n v="114.2"/>
    <n v="2.2197"/>
    <n v="5.5958000000000006"/>
  </r>
  <r>
    <x v="0"/>
    <x v="0"/>
    <s v="2014_Minnipa"/>
    <n v="5"/>
    <n v="1"/>
    <n v="25"/>
    <n v="3"/>
    <x v="2"/>
    <x v="0"/>
    <s v="N0"/>
    <n v="45"/>
    <m/>
    <m/>
    <m/>
    <m/>
    <n v="-25.43"/>
    <n v="48.7"/>
    <n v="97.7"/>
    <n v="2.1915"/>
    <n v="4.3964999999999996"/>
  </r>
  <r>
    <x v="0"/>
    <x v="0"/>
    <s v="2014_Minnipa"/>
    <n v="5"/>
    <n v="2"/>
    <n v="26"/>
    <n v="3"/>
    <x v="4"/>
    <x v="0"/>
    <s v="N0"/>
    <n v="31"/>
    <m/>
    <m/>
    <m/>
    <m/>
    <n v="-25.28"/>
    <n v="50.8"/>
    <n v="86.2"/>
    <n v="1.5748"/>
    <n v="2.6722000000000001"/>
  </r>
  <r>
    <x v="0"/>
    <x v="0"/>
    <s v="2014_Minnipa"/>
    <n v="5"/>
    <n v="3"/>
    <n v="27"/>
    <n v="3"/>
    <x v="6"/>
    <x v="0"/>
    <s v="N0"/>
    <n v="76"/>
    <m/>
    <m/>
    <m/>
    <m/>
    <n v="-25.03"/>
    <n v="43.7"/>
    <n v="102.6"/>
    <n v="3.3212000000000002"/>
    <n v="7.7975999999999992"/>
  </r>
  <r>
    <x v="0"/>
    <x v="0"/>
    <s v="2014_Minnipa"/>
    <n v="5"/>
    <n v="4"/>
    <n v="28"/>
    <n v="3"/>
    <x v="1"/>
    <x v="0"/>
    <s v="N0"/>
    <n v="43"/>
    <m/>
    <m/>
    <m/>
    <m/>
    <n v="-25.16"/>
    <n v="46"/>
    <n v="96.7"/>
    <n v="1.978"/>
    <n v="4.1581000000000001"/>
  </r>
  <r>
    <x v="0"/>
    <x v="0"/>
    <s v="2014_Minnipa"/>
    <n v="5"/>
    <n v="5"/>
    <n v="29"/>
    <n v="3"/>
    <x v="9"/>
    <x v="0"/>
    <s v="N0"/>
    <n v="48"/>
    <m/>
    <m/>
    <m/>
    <m/>
    <n v="-24.97"/>
    <n v="42.8"/>
    <n v="122"/>
    <n v="2.0543999999999998"/>
    <n v="5.8559999999999999"/>
  </r>
  <r>
    <x v="0"/>
    <x v="0"/>
    <s v="2014_Minnipa"/>
    <n v="5"/>
    <n v="6"/>
    <n v="30"/>
    <n v="3"/>
    <x v="7"/>
    <x v="0"/>
    <s v="N0"/>
    <n v="34"/>
    <m/>
    <m/>
    <m/>
    <m/>
    <n v="-25.17"/>
    <n v="46.3"/>
    <n v="78"/>
    <n v="1.5741999999999998"/>
    <n v="2.6520000000000001"/>
  </r>
  <r>
    <x v="0"/>
    <x v="0"/>
    <s v="2014_Minnipa"/>
    <n v="6"/>
    <n v="6"/>
    <n v="31"/>
    <n v="3"/>
    <x v="10"/>
    <x v="0"/>
    <s v="N0"/>
    <n v="39"/>
    <m/>
    <m/>
    <m/>
    <m/>
    <n v="-25.1"/>
    <n v="46.2"/>
    <n v="103.7"/>
    <n v="1.8018000000000003"/>
    <n v="4.0442999999999998"/>
  </r>
  <r>
    <x v="0"/>
    <x v="0"/>
    <s v="2014_Minnipa"/>
    <n v="6"/>
    <n v="5"/>
    <n v="32"/>
    <n v="3"/>
    <x v="8"/>
    <x v="0"/>
    <s v="N0"/>
    <n v="30"/>
    <m/>
    <m/>
    <m/>
    <m/>
    <n v="-25.13"/>
    <n v="47.5"/>
    <n v="100.2"/>
    <n v="1.425"/>
    <n v="3.0059999999999998"/>
  </r>
  <r>
    <x v="0"/>
    <x v="0"/>
    <s v="2014_Minnipa"/>
    <n v="6"/>
    <n v="4"/>
    <n v="33"/>
    <n v="3"/>
    <x v="5"/>
    <x v="0"/>
    <s v="N0"/>
    <n v="33"/>
    <m/>
    <m/>
    <m/>
    <m/>
    <n v="-25.41"/>
    <n v="44.5"/>
    <n v="83.7"/>
    <n v="1.4684999999999999"/>
    <n v="2.7620999999999998"/>
  </r>
  <r>
    <x v="0"/>
    <x v="0"/>
    <s v="2014_Minnipa"/>
    <n v="6"/>
    <n v="3"/>
    <n v="34"/>
    <n v="3"/>
    <x v="11"/>
    <x v="1"/>
    <s v="N0"/>
    <n v="41"/>
    <m/>
    <m/>
    <m/>
    <m/>
    <n v="-24.64"/>
    <n v="46.1"/>
    <n v="138.69999999999999"/>
    <n v="1.8901000000000001"/>
    <n v="5.6867000000000001"/>
  </r>
  <r>
    <x v="0"/>
    <x v="0"/>
    <s v="2014_Minnipa"/>
    <n v="6"/>
    <n v="2"/>
    <n v="35"/>
    <n v="3"/>
    <x v="3"/>
    <x v="0"/>
    <s v="N0"/>
    <n v="59"/>
    <m/>
    <m/>
    <m/>
    <m/>
    <n v="-25.05"/>
    <n v="42.9"/>
    <n v="107.7"/>
    <n v="2.5310999999999999"/>
    <n v="6.3543000000000003"/>
  </r>
  <r>
    <x v="0"/>
    <x v="0"/>
    <s v="2014_Minnipa"/>
    <n v="6"/>
    <n v="1"/>
    <n v="36"/>
    <n v="3"/>
    <x v="0"/>
    <x v="0"/>
    <s v="N0"/>
    <n v="35"/>
    <m/>
    <m/>
    <m/>
    <m/>
    <n v="-25.25"/>
    <n v="47.4"/>
    <n v="91.8"/>
    <n v="1.659"/>
    <n v="3.2130000000000001"/>
  </r>
  <r>
    <x v="0"/>
    <x v="0"/>
    <s v="2014_Minnipa"/>
    <n v="7"/>
    <n v="1"/>
    <n v="37"/>
    <n v="4"/>
    <x v="5"/>
    <x v="0"/>
    <s v="N0"/>
    <n v="34"/>
    <m/>
    <m/>
    <m/>
    <m/>
    <n v="-25.17"/>
    <n v="46.8"/>
    <n v="114.2"/>
    <n v="1.5911999999999997"/>
    <n v="3.8828"/>
  </r>
  <r>
    <x v="0"/>
    <x v="0"/>
    <s v="2014_Minnipa"/>
    <n v="7"/>
    <n v="2"/>
    <n v="38"/>
    <n v="4"/>
    <x v="10"/>
    <x v="0"/>
    <s v="N0"/>
    <n v="70"/>
    <m/>
    <m/>
    <m/>
    <m/>
    <n v="-25.13"/>
    <n v="40.299999999999997"/>
    <n v="125.2"/>
    <n v="2.8210000000000002"/>
    <n v="8.7639999999999993"/>
  </r>
  <r>
    <x v="0"/>
    <x v="0"/>
    <s v="2014_Minnipa"/>
    <n v="7"/>
    <n v="3"/>
    <n v="39"/>
    <n v="4"/>
    <x v="0"/>
    <x v="0"/>
    <s v="N0"/>
    <n v="50"/>
    <m/>
    <m/>
    <m/>
    <m/>
    <n v="-25.1"/>
    <n v="45.3"/>
    <n v="108.1"/>
    <n v="2.2650000000000001"/>
    <n v="5.4050000000000002"/>
  </r>
  <r>
    <x v="0"/>
    <x v="0"/>
    <s v="2014_Minnipa"/>
    <n v="7"/>
    <n v="4"/>
    <n v="40"/>
    <n v="4"/>
    <x v="8"/>
    <x v="0"/>
    <s v="N0"/>
    <n v="35"/>
    <m/>
    <m/>
    <m/>
    <m/>
    <n v="-24.94"/>
    <n v="46.8"/>
    <n v="114.4"/>
    <n v="1.6379999999999999"/>
    <n v="4.0039999999999996"/>
  </r>
  <r>
    <x v="0"/>
    <x v="0"/>
    <s v="2014_Minnipa"/>
    <n v="7"/>
    <n v="5"/>
    <n v="41"/>
    <n v="4"/>
    <x v="2"/>
    <x v="0"/>
    <s v="N0"/>
    <n v="51"/>
    <m/>
    <m/>
    <m/>
    <m/>
    <n v="-25.15"/>
    <n v="45.9"/>
    <n v="116.4"/>
    <n v="2.3409"/>
    <n v="5.9364000000000008"/>
  </r>
  <r>
    <x v="0"/>
    <x v="0"/>
    <s v="2014_Minnipa"/>
    <n v="7"/>
    <n v="6"/>
    <n v="42"/>
    <n v="4"/>
    <x v="9"/>
    <x v="0"/>
    <s v="N0"/>
    <n v="57"/>
    <m/>
    <m/>
    <m/>
    <m/>
    <n v="-24.71"/>
    <n v="42.7"/>
    <n v="162.5"/>
    <n v="2.4339"/>
    <n v="9.2624999999999993"/>
  </r>
  <r>
    <x v="0"/>
    <x v="0"/>
    <s v="2014_Minnipa"/>
    <n v="8"/>
    <n v="6"/>
    <n v="43"/>
    <n v="4"/>
    <x v="7"/>
    <x v="0"/>
    <s v="N0"/>
    <n v="54"/>
    <m/>
    <m/>
    <m/>
    <m/>
    <n v="-25.36"/>
    <n v="46.8"/>
    <n v="104.6"/>
    <n v="2.5271999999999997"/>
    <n v="5.6483999999999996"/>
  </r>
  <r>
    <x v="0"/>
    <x v="0"/>
    <s v="2014_Minnipa"/>
    <n v="8"/>
    <n v="5"/>
    <n v="44"/>
    <n v="4"/>
    <x v="3"/>
    <x v="0"/>
    <s v="N0"/>
    <n v="38"/>
    <m/>
    <m/>
    <m/>
    <m/>
    <n v="-24.98"/>
    <n v="43"/>
    <n v="126"/>
    <n v="1.6339999999999999"/>
    <n v="4.7880000000000003"/>
  </r>
  <r>
    <x v="0"/>
    <x v="0"/>
    <s v="2014_Minnipa"/>
    <n v="8"/>
    <n v="4"/>
    <n v="45"/>
    <n v="4"/>
    <x v="1"/>
    <x v="0"/>
    <s v="N0"/>
    <n v="52"/>
    <m/>
    <m/>
    <m/>
    <m/>
    <n v="-25.32"/>
    <n v="45.3"/>
    <n v="100.2"/>
    <n v="2.3555999999999999"/>
    <n v="5.2104000000000008"/>
  </r>
  <r>
    <x v="0"/>
    <x v="0"/>
    <s v="2014_Minnipa"/>
    <n v="8"/>
    <n v="3"/>
    <n v="46"/>
    <n v="4"/>
    <x v="4"/>
    <x v="0"/>
    <s v="N0"/>
    <n v="37"/>
    <m/>
    <m/>
    <m/>
    <m/>
    <n v="-24.6"/>
    <n v="46.5"/>
    <n v="138.69999999999999"/>
    <n v="1.7204999999999999"/>
    <n v="5.1318999999999999"/>
  </r>
  <r>
    <x v="0"/>
    <x v="0"/>
    <s v="2014_Minnipa"/>
    <n v="8"/>
    <n v="2"/>
    <n v="47"/>
    <n v="4"/>
    <x v="11"/>
    <x v="0"/>
    <s v="N0"/>
    <n v="46"/>
    <m/>
    <m/>
    <m/>
    <m/>
    <n v="-25.07"/>
    <n v="42.6"/>
    <n v="129.69999999999999"/>
    <n v="1.9596000000000002"/>
    <n v="5.9661999999999997"/>
  </r>
  <r>
    <x v="0"/>
    <x v="0"/>
    <s v="2014_Minnipa"/>
    <n v="8"/>
    <n v="1"/>
    <n v="48"/>
    <n v="4"/>
    <x v="6"/>
    <x v="0"/>
    <s v="N0"/>
    <n v="47"/>
    <m/>
    <m/>
    <m/>
    <m/>
    <n v="-24.73"/>
    <n v="42.3"/>
    <n v="140"/>
    <n v="1.9881"/>
    <n v="6.58"/>
  </r>
  <r>
    <x v="0"/>
    <x v="0"/>
    <s v="2014_Minnipa"/>
    <n v="1"/>
    <n v="1"/>
    <n v="1"/>
    <n v="1"/>
    <x v="0"/>
    <x v="2"/>
    <s v="N2"/>
    <n v="112"/>
    <m/>
    <m/>
    <m/>
    <m/>
    <n v="-25.83"/>
    <n v="37.5"/>
    <n v="92.4"/>
    <n v="4.2"/>
    <n v="10.348800000000001"/>
  </r>
  <r>
    <x v="0"/>
    <x v="0"/>
    <s v="2014_Minnipa"/>
    <n v="1"/>
    <n v="2"/>
    <n v="2"/>
    <n v="1"/>
    <x v="1"/>
    <x v="3"/>
    <s v="N2"/>
    <n v="124"/>
    <m/>
    <m/>
    <m/>
    <m/>
    <n v="-25.34"/>
    <n v="32.799999999999997"/>
    <n v="143.5"/>
    <n v="4.0671999999999997"/>
    <n v="17.794"/>
  </r>
  <r>
    <x v="0"/>
    <x v="0"/>
    <s v="2014_Minnipa"/>
    <n v="1"/>
    <n v="3"/>
    <n v="3"/>
    <n v="1"/>
    <x v="2"/>
    <x v="2"/>
    <s v="N2"/>
    <n v="184"/>
    <m/>
    <m/>
    <m/>
    <m/>
    <n v="-25.77"/>
    <n v="30.1"/>
    <n v="98.5"/>
    <n v="5.5384000000000002"/>
    <n v="18.123999999999999"/>
  </r>
  <r>
    <x v="0"/>
    <x v="0"/>
    <s v="2014_Minnipa"/>
    <n v="1"/>
    <n v="4"/>
    <n v="4"/>
    <n v="1"/>
    <x v="3"/>
    <x v="2"/>
    <s v="N2"/>
    <n v="113"/>
    <m/>
    <m/>
    <m/>
    <m/>
    <n v="-25.85"/>
    <n v="26.3"/>
    <n v="117.4"/>
    <n v="2.9719000000000002"/>
    <n v="13.266200000000001"/>
  </r>
  <r>
    <x v="0"/>
    <x v="0"/>
    <s v="2014_Minnipa"/>
    <n v="1"/>
    <n v="5"/>
    <n v="5"/>
    <n v="1"/>
    <x v="4"/>
    <x v="2"/>
    <s v="N2"/>
    <n v="102"/>
    <m/>
    <m/>
    <m/>
    <m/>
    <n v="-25.97"/>
    <n v="33.9"/>
    <n v="91"/>
    <n v="3.4577999999999998"/>
    <n v="9.282"/>
  </r>
  <r>
    <x v="0"/>
    <x v="0"/>
    <s v="2014_Minnipa"/>
    <n v="1"/>
    <n v="6"/>
    <n v="6"/>
    <n v="1"/>
    <x v="5"/>
    <x v="4"/>
    <s v="N2"/>
    <n v="75"/>
    <m/>
    <m/>
    <m/>
    <m/>
    <n v="-25.66"/>
    <n v="31.9"/>
    <n v="108.4"/>
    <n v="2.3925000000000001"/>
    <n v="8.1300000000000008"/>
  </r>
  <r>
    <x v="0"/>
    <x v="0"/>
    <s v="2014_Minnipa"/>
    <n v="2"/>
    <n v="6"/>
    <n v="7"/>
    <n v="1"/>
    <x v="6"/>
    <x v="3"/>
    <s v="N2"/>
    <n v="198"/>
    <m/>
    <m/>
    <m/>
    <m/>
    <n v="-25.21"/>
    <n v="29.7"/>
    <n v="157.1"/>
    <n v="5.8805999999999994"/>
    <n v="31.105799999999999"/>
  </r>
  <r>
    <x v="0"/>
    <x v="0"/>
    <s v="2014_Minnipa"/>
    <n v="2"/>
    <n v="5"/>
    <n v="8"/>
    <n v="1"/>
    <x v="7"/>
    <x v="4"/>
    <s v="N2"/>
    <n v="88"/>
    <m/>
    <m/>
    <m/>
    <m/>
    <n v="-25.43"/>
    <n v="33"/>
    <n v="127.4"/>
    <n v="2.9039999999999999"/>
    <n v="11.211200000000002"/>
  </r>
  <r>
    <x v="0"/>
    <x v="0"/>
    <s v="2014_Minnipa"/>
    <n v="2"/>
    <n v="4"/>
    <n v="9"/>
    <n v="1"/>
    <x v="8"/>
    <x v="2"/>
    <s v="N2"/>
    <n v="109"/>
    <m/>
    <m/>
    <m/>
    <m/>
    <n v="-25.98"/>
    <n v="30.3"/>
    <n v="104"/>
    <n v="3.3027000000000002"/>
    <n v="11.336"/>
  </r>
  <r>
    <x v="0"/>
    <x v="0"/>
    <s v="2014_Minnipa"/>
    <n v="2"/>
    <n v="3"/>
    <n v="10"/>
    <n v="1"/>
    <x v="9"/>
    <x v="3"/>
    <s v="N2"/>
    <n v="165"/>
    <m/>
    <m/>
    <m/>
    <m/>
    <n v="-25.12"/>
    <n v="30.7"/>
    <n v="174.6"/>
    <n v="5.0655000000000001"/>
    <n v="28.809000000000001"/>
  </r>
  <r>
    <x v="0"/>
    <x v="0"/>
    <s v="2014_Minnipa"/>
    <n v="2"/>
    <n v="2"/>
    <n v="11"/>
    <n v="1"/>
    <x v="10"/>
    <x v="2"/>
    <s v="N2"/>
    <n v="115"/>
    <m/>
    <m/>
    <m/>
    <m/>
    <n v="-25.76"/>
    <n v="33.6"/>
    <n v="109.8"/>
    <n v="3.8639999999999999"/>
    <n v="12.627000000000001"/>
  </r>
  <r>
    <x v="0"/>
    <x v="0"/>
    <s v="2014_Minnipa"/>
    <n v="2"/>
    <n v="1"/>
    <n v="12"/>
    <n v="1"/>
    <x v="11"/>
    <x v="3"/>
    <s v="N2"/>
    <n v="107"/>
    <m/>
    <m/>
    <m/>
    <m/>
    <n v="-25.19"/>
    <n v="31.3"/>
    <n v="161.1"/>
    <n v="3.3491"/>
    <n v="17.2377"/>
  </r>
  <r>
    <x v="0"/>
    <x v="0"/>
    <s v="2014_Minnipa"/>
    <n v="3"/>
    <n v="1"/>
    <n v="13"/>
    <n v="2"/>
    <x v="9"/>
    <x v="3"/>
    <s v="N2"/>
    <n v="101"/>
    <m/>
    <m/>
    <m/>
    <m/>
    <n v="-25.42"/>
    <n v="30.8"/>
    <n v="156.9"/>
    <n v="3.1108000000000002"/>
    <n v="15.846900000000002"/>
  </r>
  <r>
    <x v="0"/>
    <x v="0"/>
    <s v="2014_Minnipa"/>
    <n v="3"/>
    <n v="2"/>
    <n v="14"/>
    <n v="2"/>
    <x v="11"/>
    <x v="3"/>
    <s v="N2"/>
    <n v="89"/>
    <m/>
    <m/>
    <m/>
    <m/>
    <n v="-25.39"/>
    <n v="33.799999999999997"/>
    <n v="143.80000000000001"/>
    <n v="3.0082"/>
    <n v="12.798200000000001"/>
  </r>
  <r>
    <x v="0"/>
    <x v="0"/>
    <s v="2014_Minnipa"/>
    <n v="3"/>
    <n v="3"/>
    <n v="15"/>
    <n v="2"/>
    <x v="7"/>
    <x v="4"/>
    <s v="N2"/>
    <n v="103"/>
    <m/>
    <m/>
    <m/>
    <m/>
    <n v="-25.48"/>
    <n v="36"/>
    <n v="119"/>
    <n v="3.7080000000000002"/>
    <n v="12.257"/>
  </r>
  <r>
    <x v="0"/>
    <x v="0"/>
    <s v="2014_Minnipa"/>
    <n v="3"/>
    <n v="4"/>
    <n v="16"/>
    <n v="2"/>
    <x v="10"/>
    <x v="2"/>
    <s v="N2"/>
    <n v="123"/>
    <m/>
    <m/>
    <m/>
    <m/>
    <n v="-25.93"/>
    <n v="31.7"/>
    <n v="107.9"/>
    <n v="3.8990999999999998"/>
    <n v="13.271700000000001"/>
  </r>
  <r>
    <x v="0"/>
    <x v="0"/>
    <s v="2014_Minnipa"/>
    <n v="3"/>
    <n v="5"/>
    <n v="17"/>
    <n v="2"/>
    <x v="1"/>
    <x v="3"/>
    <s v="N2"/>
    <n v="131"/>
    <m/>
    <m/>
    <m/>
    <m/>
    <n v="-25.39"/>
    <n v="23"/>
    <n v="158.5"/>
    <n v="3.0129999999999999"/>
    <n v="20.763500000000001"/>
  </r>
  <r>
    <x v="0"/>
    <x v="0"/>
    <s v="2014_Minnipa"/>
    <n v="3"/>
    <n v="6"/>
    <n v="18"/>
    <n v="2"/>
    <x v="8"/>
    <x v="2"/>
    <s v="N2"/>
    <n v="119"/>
    <m/>
    <m/>
    <m/>
    <m/>
    <n v="-25.82"/>
    <n v="30.3"/>
    <n v="114.4"/>
    <n v="3.6057000000000001"/>
    <n v="13.6136"/>
  </r>
  <r>
    <x v="0"/>
    <x v="0"/>
    <s v="2014_Minnipa"/>
    <n v="4"/>
    <n v="6"/>
    <n v="19"/>
    <n v="2"/>
    <x v="4"/>
    <x v="2"/>
    <s v="N2"/>
    <n v="79"/>
    <m/>
    <m/>
    <m/>
    <m/>
    <n v="-25.98"/>
    <n v="35.1"/>
    <n v="109.7"/>
    <n v="2.7728999999999999"/>
    <n v="8.6663000000000014"/>
  </r>
  <r>
    <x v="0"/>
    <x v="0"/>
    <s v="2014_Minnipa"/>
    <n v="4"/>
    <n v="5"/>
    <n v="20"/>
    <n v="2"/>
    <x v="0"/>
    <x v="2"/>
    <s v="N2"/>
    <n v="131"/>
    <m/>
    <m/>
    <m/>
    <m/>
    <n v="-25.99"/>
    <n v="34.4"/>
    <n v="92"/>
    <n v="4.5063999999999993"/>
    <n v="12.052"/>
  </r>
  <r>
    <x v="0"/>
    <x v="0"/>
    <s v="2014_Minnipa"/>
    <n v="4"/>
    <n v="4"/>
    <n v="21"/>
    <n v="2"/>
    <x v="2"/>
    <x v="2"/>
    <s v="N2"/>
    <n v="154"/>
    <m/>
    <m/>
    <m/>
    <m/>
    <n v="-26.21"/>
    <n v="31"/>
    <n v="90.8"/>
    <n v="4.774"/>
    <n v="13.983199999999998"/>
  </r>
  <r>
    <x v="0"/>
    <x v="0"/>
    <s v="2014_Minnipa"/>
    <n v="4"/>
    <n v="3"/>
    <n v="22"/>
    <n v="2"/>
    <x v="6"/>
    <x v="3"/>
    <s v="N2"/>
    <n v="228"/>
    <m/>
    <m/>
    <m/>
    <m/>
    <n v="-25.25"/>
    <n v="27.5"/>
    <n v="172.7"/>
    <n v="6.27"/>
    <n v="39.375599999999999"/>
  </r>
  <r>
    <x v="0"/>
    <x v="0"/>
    <s v="2014_Minnipa"/>
    <n v="4"/>
    <n v="2"/>
    <n v="23"/>
    <n v="2"/>
    <x v="5"/>
    <x v="4"/>
    <s v="N2"/>
    <n v="97"/>
    <m/>
    <m/>
    <m/>
    <m/>
    <n v="-25.67"/>
    <n v="30.7"/>
    <n v="116.4"/>
    <n v="2.9779"/>
    <n v="11.290800000000001"/>
  </r>
  <r>
    <x v="0"/>
    <x v="0"/>
    <s v="2014_Minnipa"/>
    <n v="4"/>
    <n v="1"/>
    <n v="24"/>
    <n v="2"/>
    <x v="3"/>
    <x v="2"/>
    <s v="N2"/>
    <n v="128"/>
    <m/>
    <m/>
    <m/>
    <m/>
    <n v="-26.12"/>
    <n v="30.5"/>
    <n v="89.5"/>
    <n v="3.9039999999999999"/>
    <n v="11.456"/>
  </r>
  <r>
    <x v="0"/>
    <x v="0"/>
    <s v="2014_Minnipa"/>
    <n v="5"/>
    <n v="1"/>
    <n v="25"/>
    <n v="3"/>
    <x v="2"/>
    <x v="2"/>
    <s v="N2"/>
    <n v="158"/>
    <m/>
    <m/>
    <m/>
    <m/>
    <n v="-25.94"/>
    <n v="28"/>
    <n v="102"/>
    <n v="4.4240000000000004"/>
    <n v="16.116"/>
  </r>
  <r>
    <x v="0"/>
    <x v="0"/>
    <s v="2014_Minnipa"/>
    <n v="5"/>
    <n v="2"/>
    <n v="26"/>
    <n v="3"/>
    <x v="4"/>
    <x v="2"/>
    <s v="N2"/>
    <n v="85"/>
    <m/>
    <m/>
    <m/>
    <m/>
    <n v="-25.68"/>
    <n v="33.700000000000003"/>
    <n v="118.9"/>
    <n v="2.8645000000000005"/>
    <n v="10.1065"/>
  </r>
  <r>
    <x v="0"/>
    <x v="0"/>
    <s v="2014_Minnipa"/>
    <n v="5"/>
    <n v="3"/>
    <n v="27"/>
    <n v="3"/>
    <x v="6"/>
    <x v="3"/>
    <s v="N2"/>
    <n v="216"/>
    <m/>
    <m/>
    <m/>
    <m/>
    <n v="-25.24"/>
    <n v="27.9"/>
    <n v="165.7"/>
    <n v="6.0263999999999998"/>
    <n v="35.791199999999996"/>
  </r>
  <r>
    <x v="0"/>
    <x v="0"/>
    <s v="2014_Minnipa"/>
    <n v="5"/>
    <n v="4"/>
    <n v="28"/>
    <n v="3"/>
    <x v="1"/>
    <x v="3"/>
    <s v="N2"/>
    <n v="165"/>
    <m/>
    <m/>
    <m/>
    <m/>
    <n v="-25.69"/>
    <n v="26"/>
    <n v="135.19999999999999"/>
    <n v="4.29"/>
    <n v="22.307999999999996"/>
  </r>
  <r>
    <x v="0"/>
    <x v="0"/>
    <s v="2014_Minnipa"/>
    <n v="5"/>
    <n v="5"/>
    <n v="29"/>
    <n v="3"/>
    <x v="9"/>
    <x v="3"/>
    <s v="N2"/>
    <n v="148"/>
    <m/>
    <m/>
    <m/>
    <m/>
    <n v="-24.98"/>
    <n v="24.1"/>
    <n v="201.2"/>
    <n v="3.5668000000000002"/>
    <n v="29.7776"/>
  </r>
  <r>
    <x v="0"/>
    <x v="0"/>
    <s v="2014_Minnipa"/>
    <n v="5"/>
    <n v="6"/>
    <n v="30"/>
    <n v="3"/>
    <x v="7"/>
    <x v="4"/>
    <s v="N2"/>
    <n v="92"/>
    <m/>
    <m/>
    <m/>
    <m/>
    <n v="-25.47"/>
    <n v="37.4"/>
    <n v="118"/>
    <n v="3.4407999999999999"/>
    <n v="10.856"/>
  </r>
  <r>
    <x v="0"/>
    <x v="0"/>
    <s v="2014_Minnipa"/>
    <n v="6"/>
    <n v="6"/>
    <n v="31"/>
    <n v="3"/>
    <x v="10"/>
    <x v="2"/>
    <s v="N2"/>
    <n v="105"/>
    <m/>
    <m/>
    <m/>
    <m/>
    <n v="-25.9"/>
    <n v="29.7"/>
    <n v="111.8"/>
    <n v="3.1185"/>
    <n v="11.739000000000001"/>
  </r>
  <r>
    <x v="0"/>
    <x v="0"/>
    <s v="2014_Minnipa"/>
    <n v="6"/>
    <n v="5"/>
    <n v="32"/>
    <n v="3"/>
    <x v="8"/>
    <x v="3"/>
    <s v="N2"/>
    <n v="106"/>
    <m/>
    <m/>
    <m/>
    <m/>
    <n v="-25.97"/>
    <n v="31"/>
    <n v="106.7"/>
    <n v="3.286"/>
    <n v="11.3102"/>
  </r>
  <r>
    <x v="0"/>
    <x v="0"/>
    <s v="2014_Minnipa"/>
    <n v="6"/>
    <n v="4"/>
    <n v="33"/>
    <n v="3"/>
    <x v="5"/>
    <x v="4"/>
    <s v="N2"/>
    <n v="105"/>
    <m/>
    <m/>
    <m/>
    <m/>
    <n v="-25.72"/>
    <n v="31.9"/>
    <n v="104.5"/>
    <n v="3.3494999999999999"/>
    <n v="10.9725"/>
  </r>
  <r>
    <x v="0"/>
    <x v="0"/>
    <s v="2014_Minnipa"/>
    <n v="6"/>
    <n v="3"/>
    <n v="34"/>
    <n v="3"/>
    <x v="11"/>
    <x v="3"/>
    <s v="N2"/>
    <n v="67"/>
    <m/>
    <m/>
    <m/>
    <m/>
    <n v="-25.3"/>
    <n v="36.799999999999997"/>
    <n v="139"/>
    <n v="2.4655999999999998"/>
    <n v="9.3130000000000006"/>
  </r>
  <r>
    <x v="0"/>
    <x v="0"/>
    <s v="2014_Minnipa"/>
    <n v="6"/>
    <n v="2"/>
    <n v="35"/>
    <n v="3"/>
    <x v="3"/>
    <x v="2"/>
    <s v="N2"/>
    <n v="114"/>
    <m/>
    <m/>
    <m/>
    <m/>
    <n v="-25.55"/>
    <n v="23.4"/>
    <n v="160"/>
    <n v="2.6675999999999997"/>
    <n v="18.239999999999998"/>
  </r>
  <r>
    <x v="0"/>
    <x v="0"/>
    <s v="2014_Minnipa"/>
    <n v="6"/>
    <n v="1"/>
    <n v="36"/>
    <n v="3"/>
    <x v="0"/>
    <x v="2"/>
    <s v="N2"/>
    <n v="78"/>
    <m/>
    <m/>
    <m/>
    <m/>
    <n v="-26.14"/>
    <n v="32"/>
    <n v="87"/>
    <n v="2.496"/>
    <n v="6.7859999999999996"/>
  </r>
  <r>
    <x v="0"/>
    <x v="0"/>
    <s v="2014_Minnipa"/>
    <n v="7"/>
    <n v="1"/>
    <n v="37"/>
    <n v="4"/>
    <x v="5"/>
    <x v="4"/>
    <s v="N2"/>
    <n v="71"/>
    <m/>
    <m/>
    <m/>
    <m/>
    <n v="-25.74"/>
    <n v="33.799999999999997"/>
    <n v="103.1"/>
    <n v="2.3997999999999999"/>
    <n v="7.3200999999999992"/>
  </r>
  <r>
    <x v="0"/>
    <x v="0"/>
    <s v="2014_Minnipa"/>
    <n v="7"/>
    <n v="2"/>
    <n v="38"/>
    <n v="4"/>
    <x v="10"/>
    <x v="2"/>
    <s v="N2"/>
    <n v="112"/>
    <m/>
    <m/>
    <m/>
    <m/>
    <n v="-25.43"/>
    <n v="26.9"/>
    <n v="149.19999999999999"/>
    <n v="3.0127999999999999"/>
    <n v="16.710399999999996"/>
  </r>
  <r>
    <x v="0"/>
    <x v="0"/>
    <s v="2014_Minnipa"/>
    <n v="7"/>
    <n v="3"/>
    <n v="39"/>
    <n v="4"/>
    <x v="0"/>
    <x v="2"/>
    <s v="N2"/>
    <n v="123"/>
    <m/>
    <m/>
    <m/>
    <m/>
    <n v="-25.79"/>
    <n v="27.7"/>
    <n v="110.3"/>
    <n v="3.4070999999999998"/>
    <n v="13.5669"/>
  </r>
  <r>
    <x v="0"/>
    <x v="0"/>
    <s v="2014_Minnipa"/>
    <n v="7"/>
    <n v="4"/>
    <n v="40"/>
    <n v="4"/>
    <x v="8"/>
    <x v="2"/>
    <s v="N2"/>
    <n v="108"/>
    <m/>
    <m/>
    <m/>
    <m/>
    <n v="-26.03"/>
    <n v="33.4"/>
    <n v="97.6"/>
    <n v="3.6071999999999997"/>
    <n v="10.540799999999999"/>
  </r>
  <r>
    <x v="0"/>
    <x v="0"/>
    <s v="2014_Minnipa"/>
    <n v="7"/>
    <n v="5"/>
    <n v="41"/>
    <n v="4"/>
    <x v="2"/>
    <x v="2"/>
    <s v="N2"/>
    <n v="113"/>
    <m/>
    <m/>
    <m/>
    <m/>
    <n v="-26.01"/>
    <n v="28.8"/>
    <n v="106.9"/>
    <n v="3.2544"/>
    <n v="12.079700000000001"/>
  </r>
  <r>
    <x v="0"/>
    <x v="0"/>
    <s v="2014_Minnipa"/>
    <n v="7"/>
    <n v="6"/>
    <n v="42"/>
    <n v="4"/>
    <x v="9"/>
    <x v="3"/>
    <s v="N2"/>
    <n v="145"/>
    <m/>
    <m/>
    <m/>
    <m/>
    <n v="-25.01"/>
    <n v="26.6"/>
    <n v="206.4"/>
    <n v="3.8570000000000002"/>
    <n v="29.928000000000001"/>
  </r>
  <r>
    <x v="0"/>
    <x v="0"/>
    <s v="2014_Minnipa"/>
    <n v="8"/>
    <n v="6"/>
    <n v="43"/>
    <n v="4"/>
    <x v="7"/>
    <x v="4"/>
    <s v="N2"/>
    <n v="106"/>
    <m/>
    <m/>
    <m/>
    <m/>
    <n v="-25.61"/>
    <n v="32.799999999999997"/>
    <n v="135.69999999999999"/>
    <n v="3.4767999999999999"/>
    <n v="14.384199999999998"/>
  </r>
  <r>
    <x v="0"/>
    <x v="0"/>
    <s v="2014_Minnipa"/>
    <n v="8"/>
    <n v="5"/>
    <n v="44"/>
    <n v="4"/>
    <x v="3"/>
    <x v="2"/>
    <s v="N2"/>
    <n v="88"/>
    <m/>
    <m/>
    <m/>
    <m/>
    <n v="-26.06"/>
    <n v="31"/>
    <n v="100.1"/>
    <n v="2.7280000000000002"/>
    <n v="8.8087999999999997"/>
  </r>
  <r>
    <x v="0"/>
    <x v="0"/>
    <s v="2014_Minnipa"/>
    <n v="8"/>
    <n v="4"/>
    <n v="45"/>
    <n v="4"/>
    <x v="1"/>
    <x v="3"/>
    <s v="N2"/>
    <n v="202"/>
    <m/>
    <m/>
    <m/>
    <m/>
    <n v="-25.6"/>
    <n v="30"/>
    <n v="126.7"/>
    <n v="6.06"/>
    <n v="25.593400000000003"/>
  </r>
  <r>
    <x v="0"/>
    <x v="0"/>
    <s v="2014_Minnipa"/>
    <n v="8"/>
    <n v="3"/>
    <n v="46"/>
    <n v="4"/>
    <x v="4"/>
    <x v="2"/>
    <s v="N2"/>
    <n v="76"/>
    <m/>
    <m/>
    <m/>
    <m/>
    <n v="-26.19"/>
    <n v="32.200000000000003"/>
    <n v="91.9"/>
    <n v="2.4472000000000005"/>
    <n v="6.9844000000000008"/>
  </r>
  <r>
    <x v="0"/>
    <x v="0"/>
    <s v="2014_Minnipa"/>
    <n v="8"/>
    <n v="2"/>
    <n v="47"/>
    <n v="4"/>
    <x v="11"/>
    <x v="3"/>
    <s v="N2"/>
    <n v="94"/>
    <m/>
    <m/>
    <m/>
    <m/>
    <n v="-25.14"/>
    <n v="29.9"/>
    <n v="175.5"/>
    <n v="2.8106"/>
    <n v="16.497"/>
  </r>
  <r>
    <x v="0"/>
    <x v="0"/>
    <s v="2014_Minnipa"/>
    <n v="8"/>
    <n v="1"/>
    <n v="48"/>
    <n v="4"/>
    <x v="6"/>
    <x v="3"/>
    <s v="N2"/>
    <n v="129"/>
    <m/>
    <m/>
    <m/>
    <m/>
    <n v="-25.77"/>
    <n v="24.3"/>
    <n v="135.19999999999999"/>
    <n v="3.1347000000000005"/>
    <n v="17.440799999999999"/>
  </r>
  <r>
    <x v="0"/>
    <x v="0"/>
    <s v="2014_Minnipa"/>
    <n v="1"/>
    <n v="1"/>
    <n v="1"/>
    <n v="1"/>
    <x v="0"/>
    <x v="5"/>
    <s v="F1"/>
    <n v="194"/>
    <m/>
    <m/>
    <m/>
    <m/>
    <n v="-26.16"/>
    <n v="31"/>
    <n v="92.6"/>
    <n v="6.0140000000000002"/>
    <n v="17.964399999999998"/>
  </r>
  <r>
    <x v="0"/>
    <x v="0"/>
    <s v="2014_Minnipa"/>
    <n v="1"/>
    <n v="2"/>
    <n v="2"/>
    <n v="1"/>
    <x v="1"/>
    <x v="5"/>
    <s v="F1"/>
    <n v="242"/>
    <m/>
    <m/>
    <m/>
    <m/>
    <m/>
    <m/>
    <m/>
    <m/>
    <m/>
  </r>
  <r>
    <x v="0"/>
    <x v="0"/>
    <s v="2014_Minnipa"/>
    <n v="1"/>
    <n v="3"/>
    <n v="3"/>
    <n v="1"/>
    <x v="2"/>
    <x v="5"/>
    <s v="F1"/>
    <n v="329"/>
    <m/>
    <m/>
    <m/>
    <m/>
    <n v="-25.64"/>
    <n v="23.6"/>
    <n v="148.1"/>
    <n v="7.7644000000000002"/>
    <n v="48.724899999999998"/>
  </r>
  <r>
    <x v="0"/>
    <x v="0"/>
    <s v="2014_Minnipa"/>
    <n v="1"/>
    <n v="4"/>
    <n v="4"/>
    <n v="1"/>
    <x v="3"/>
    <x v="5"/>
    <s v="F1"/>
    <n v="174"/>
    <m/>
    <m/>
    <m/>
    <m/>
    <m/>
    <m/>
    <m/>
    <m/>
    <m/>
  </r>
  <r>
    <x v="0"/>
    <x v="0"/>
    <s v="2014_Minnipa"/>
    <n v="1"/>
    <n v="5"/>
    <n v="5"/>
    <n v="1"/>
    <x v="4"/>
    <x v="5"/>
    <s v="F1"/>
    <n v="186"/>
    <m/>
    <m/>
    <m/>
    <m/>
    <n v="-26.21"/>
    <n v="24.5"/>
    <n v="99.9"/>
    <n v="4.5570000000000004"/>
    <n v="18.581400000000002"/>
  </r>
  <r>
    <x v="0"/>
    <x v="0"/>
    <s v="2014_Minnipa"/>
    <n v="1"/>
    <n v="6"/>
    <n v="6"/>
    <n v="1"/>
    <x v="5"/>
    <x v="5"/>
    <s v="F1"/>
    <n v="241"/>
    <m/>
    <m/>
    <m/>
    <m/>
    <n v="-25.95"/>
    <n v="20.9"/>
    <n v="133.5"/>
    <n v="5.0368999999999993"/>
    <n v="32.173499999999997"/>
  </r>
  <r>
    <x v="0"/>
    <x v="0"/>
    <s v="2014_Minnipa"/>
    <n v="2"/>
    <n v="6"/>
    <n v="7"/>
    <n v="1"/>
    <x v="6"/>
    <x v="5"/>
    <s v="F1"/>
    <n v="295"/>
    <m/>
    <m/>
    <m/>
    <m/>
    <n v="-25.6"/>
    <n v="23.4"/>
    <n v="158.9"/>
    <n v="6.9029999999999996"/>
    <n v="46.875500000000002"/>
  </r>
  <r>
    <x v="0"/>
    <x v="0"/>
    <s v="2014_Minnipa"/>
    <n v="2"/>
    <n v="5"/>
    <n v="8"/>
    <n v="1"/>
    <x v="7"/>
    <x v="5"/>
    <s v="F1"/>
    <n v="223"/>
    <m/>
    <m/>
    <m/>
    <m/>
    <n v="-26.17"/>
    <n v="18"/>
    <n v="105.8"/>
    <n v="4.0140000000000002"/>
    <n v="23.593399999999999"/>
  </r>
  <r>
    <x v="0"/>
    <x v="0"/>
    <s v="2014_Minnipa"/>
    <n v="2"/>
    <n v="4"/>
    <n v="9"/>
    <n v="1"/>
    <x v="8"/>
    <x v="5"/>
    <s v="F1"/>
    <n v="198"/>
    <m/>
    <m/>
    <m/>
    <m/>
    <n v="-25.93"/>
    <n v="23.1"/>
    <n v="128.80000000000001"/>
    <n v="4.5738000000000003"/>
    <n v="25.502400000000002"/>
  </r>
  <r>
    <x v="0"/>
    <x v="0"/>
    <s v="2014_Minnipa"/>
    <n v="2"/>
    <n v="3"/>
    <n v="10"/>
    <n v="1"/>
    <x v="9"/>
    <x v="5"/>
    <s v="F1"/>
    <n v="240"/>
    <m/>
    <m/>
    <m/>
    <m/>
    <n v="-25.88"/>
    <n v="26"/>
    <n v="136.4"/>
    <n v="6.24"/>
    <n v="32.735999999999997"/>
  </r>
  <r>
    <x v="0"/>
    <x v="0"/>
    <s v="2014_Minnipa"/>
    <n v="2"/>
    <n v="2"/>
    <n v="11"/>
    <n v="1"/>
    <x v="10"/>
    <x v="5"/>
    <s v="F1"/>
    <n v="252"/>
    <m/>
    <m/>
    <m/>
    <m/>
    <n v="-25.72"/>
    <n v="22.2"/>
    <n v="150.4"/>
    <n v="5.5943999999999994"/>
    <n v="37.900800000000004"/>
  </r>
  <r>
    <x v="0"/>
    <x v="0"/>
    <s v="2014_Minnipa"/>
    <n v="2"/>
    <n v="1"/>
    <n v="12"/>
    <n v="1"/>
    <x v="11"/>
    <x v="5"/>
    <s v="F1"/>
    <n v="236"/>
    <m/>
    <m/>
    <m/>
    <m/>
    <n v="-25.83"/>
    <n v="29.6"/>
    <n v="133.19999999999999"/>
    <n v="6.9856000000000007"/>
    <n v="31.435199999999998"/>
  </r>
  <r>
    <x v="0"/>
    <x v="0"/>
    <s v="2014_Minnipa"/>
    <n v="3"/>
    <n v="1"/>
    <n v="13"/>
    <n v="2"/>
    <x v="9"/>
    <x v="5"/>
    <s v="F1"/>
    <n v="250"/>
    <m/>
    <m/>
    <m/>
    <m/>
    <n v="-26.05"/>
    <n v="26.5"/>
    <n v="118.3"/>
    <n v="6.625"/>
    <n v="29.574999999999999"/>
  </r>
  <r>
    <x v="0"/>
    <x v="0"/>
    <s v="2014_Minnipa"/>
    <n v="3"/>
    <n v="2"/>
    <n v="14"/>
    <n v="2"/>
    <x v="11"/>
    <x v="5"/>
    <s v="F1"/>
    <n v="189"/>
    <m/>
    <m/>
    <m/>
    <m/>
    <n v="-26.33"/>
    <n v="28.8"/>
    <n v="82.3"/>
    <n v="5.4432"/>
    <n v="15.554699999999999"/>
  </r>
  <r>
    <x v="0"/>
    <x v="0"/>
    <s v="2014_Minnipa"/>
    <n v="3"/>
    <n v="3"/>
    <n v="15"/>
    <n v="2"/>
    <x v="7"/>
    <x v="5"/>
    <s v="F1"/>
    <n v="295"/>
    <m/>
    <m/>
    <m/>
    <m/>
    <n v="-26.27"/>
    <n v="28"/>
    <n v="81.400000000000006"/>
    <n v="8.26"/>
    <n v="24.013000000000002"/>
  </r>
  <r>
    <x v="0"/>
    <x v="0"/>
    <s v="2014_Minnipa"/>
    <n v="3"/>
    <n v="4"/>
    <n v="16"/>
    <n v="2"/>
    <x v="10"/>
    <x v="5"/>
    <s v="F1"/>
    <n v="209"/>
    <m/>
    <m/>
    <m/>
    <m/>
    <n v="-25.77"/>
    <n v="19"/>
    <n v="132.6"/>
    <n v="3.9710000000000001"/>
    <n v="27.713399999999996"/>
  </r>
  <r>
    <x v="0"/>
    <x v="0"/>
    <s v="2014_Minnipa"/>
    <n v="3"/>
    <n v="5"/>
    <n v="17"/>
    <n v="2"/>
    <x v="1"/>
    <x v="5"/>
    <s v="F1"/>
    <n v="214"/>
    <m/>
    <m/>
    <m/>
    <m/>
    <n v="-26.18"/>
    <n v="21.6"/>
    <n v="94.7"/>
    <n v="4.6224000000000007"/>
    <n v="20.265799999999999"/>
  </r>
  <r>
    <x v="0"/>
    <x v="0"/>
    <s v="2014_Minnipa"/>
    <n v="3"/>
    <n v="6"/>
    <n v="18"/>
    <n v="2"/>
    <x v="8"/>
    <x v="5"/>
    <s v="F1"/>
    <n v="236"/>
    <m/>
    <m/>
    <m/>
    <m/>
    <n v="-25.74"/>
    <n v="16.8"/>
    <n v="134.4"/>
    <n v="3.9648000000000003"/>
    <n v="31.718400000000003"/>
  </r>
  <r>
    <x v="0"/>
    <x v="0"/>
    <s v="2014_Minnipa"/>
    <n v="4"/>
    <n v="6"/>
    <n v="19"/>
    <n v="2"/>
    <x v="4"/>
    <x v="5"/>
    <s v="F1"/>
    <n v="173"/>
    <m/>
    <m/>
    <m/>
    <m/>
    <n v="-26.03"/>
    <n v="25.1"/>
    <n v="104.8"/>
    <n v="4.3422999999999998"/>
    <n v="18.130399999999998"/>
  </r>
  <r>
    <x v="0"/>
    <x v="0"/>
    <s v="2014_Minnipa"/>
    <n v="4"/>
    <n v="5"/>
    <n v="20"/>
    <n v="2"/>
    <x v="0"/>
    <x v="5"/>
    <s v="F1"/>
    <n v="279"/>
    <m/>
    <m/>
    <m/>
    <m/>
    <n v="-26.3"/>
    <n v="27.4"/>
    <n v="88.5"/>
    <n v="7.6445999999999996"/>
    <n v="24.691500000000001"/>
  </r>
  <r>
    <x v="0"/>
    <x v="0"/>
    <s v="2014_Minnipa"/>
    <n v="4"/>
    <n v="4"/>
    <n v="21"/>
    <n v="2"/>
    <x v="2"/>
    <x v="5"/>
    <s v="F1"/>
    <n v="215"/>
    <m/>
    <m/>
    <m/>
    <m/>
    <n v="-26.24"/>
    <n v="22.5"/>
    <n v="90.9"/>
    <n v="4.8375000000000004"/>
    <n v="19.543500000000002"/>
  </r>
  <r>
    <x v="0"/>
    <x v="0"/>
    <s v="2014_Minnipa"/>
    <n v="4"/>
    <n v="3"/>
    <n v="22"/>
    <n v="2"/>
    <x v="6"/>
    <x v="5"/>
    <s v="F1"/>
    <n v="307"/>
    <m/>
    <m/>
    <m/>
    <m/>
    <n v="-25.99"/>
    <n v="24.1"/>
    <n v="120.6"/>
    <n v="7.3987000000000007"/>
    <n v="37.0242"/>
  </r>
  <r>
    <x v="0"/>
    <x v="0"/>
    <s v="2014_Minnipa"/>
    <n v="4"/>
    <n v="2"/>
    <n v="23"/>
    <n v="2"/>
    <x v="5"/>
    <x v="5"/>
    <s v="F1"/>
    <n v="264"/>
    <m/>
    <m/>
    <m/>
    <m/>
    <n v="-25.63"/>
    <n v="24.5"/>
    <n v="160.5"/>
    <n v="6.468"/>
    <n v="42.372"/>
  </r>
  <r>
    <x v="0"/>
    <x v="0"/>
    <s v="2014_Minnipa"/>
    <n v="4"/>
    <n v="1"/>
    <n v="24"/>
    <n v="2"/>
    <x v="3"/>
    <x v="5"/>
    <s v="F1"/>
    <n v="296"/>
    <m/>
    <m/>
    <m/>
    <m/>
    <n v="-25.97"/>
    <n v="19.3"/>
    <n v="119.9"/>
    <n v="5.7128000000000005"/>
    <n v="35.490400000000001"/>
  </r>
  <r>
    <x v="0"/>
    <x v="0"/>
    <s v="2014_Minnipa"/>
    <n v="5"/>
    <n v="1"/>
    <n v="25"/>
    <n v="3"/>
    <x v="2"/>
    <x v="5"/>
    <s v="F1"/>
    <n v="252"/>
    <m/>
    <m/>
    <m/>
    <m/>
    <n v="-25.56"/>
    <n v="25.3"/>
    <n v="160.80000000000001"/>
    <n v="6.3756000000000004"/>
    <n v="40.521600000000007"/>
  </r>
  <r>
    <x v="0"/>
    <x v="0"/>
    <s v="2014_Minnipa"/>
    <n v="5"/>
    <n v="2"/>
    <n v="26"/>
    <n v="3"/>
    <x v="4"/>
    <x v="5"/>
    <s v="F1"/>
    <n v="193"/>
    <m/>
    <m/>
    <m/>
    <m/>
    <n v="-26.19"/>
    <n v="27.4"/>
    <n v="91.7"/>
    <n v="5.2881999999999998"/>
    <n v="17.698100000000004"/>
  </r>
  <r>
    <x v="0"/>
    <x v="0"/>
    <s v="2014_Minnipa"/>
    <n v="5"/>
    <n v="3"/>
    <n v="27"/>
    <n v="3"/>
    <x v="6"/>
    <x v="5"/>
    <s v="F1"/>
    <n v="319"/>
    <m/>
    <m/>
    <m/>
    <m/>
    <n v="-25.77"/>
    <n v="22.9"/>
    <n v="136.30000000000001"/>
    <n v="7.3050999999999995"/>
    <n v="43.479700000000001"/>
  </r>
  <r>
    <x v="0"/>
    <x v="0"/>
    <s v="2014_Minnipa"/>
    <n v="5"/>
    <n v="4"/>
    <n v="28"/>
    <n v="3"/>
    <x v="1"/>
    <x v="5"/>
    <s v="F1"/>
    <n v="214"/>
    <m/>
    <m/>
    <m/>
    <m/>
    <n v="-26.22"/>
    <n v="26.7"/>
    <n v="87"/>
    <n v="5.7138"/>
    <n v="18.617999999999999"/>
  </r>
  <r>
    <x v="0"/>
    <x v="0"/>
    <s v="2014_Minnipa"/>
    <n v="5"/>
    <n v="5"/>
    <n v="29"/>
    <n v="3"/>
    <x v="9"/>
    <x v="5"/>
    <s v="F1"/>
    <n v="272"/>
    <m/>
    <m/>
    <m/>
    <m/>
    <n v="-25.78"/>
    <n v="24"/>
    <n v="126.5"/>
    <n v="6.5279999999999996"/>
    <n v="34.408000000000001"/>
  </r>
  <r>
    <x v="0"/>
    <x v="0"/>
    <s v="2014_Minnipa"/>
    <n v="5"/>
    <n v="6"/>
    <n v="30"/>
    <n v="3"/>
    <x v="7"/>
    <x v="5"/>
    <s v="F1"/>
    <n v="253"/>
    <m/>
    <m/>
    <m/>
    <m/>
    <n v="-25.93"/>
    <n v="24.2"/>
    <n v="118.6"/>
    <n v="6.1225999999999994"/>
    <n v="30.005800000000001"/>
  </r>
  <r>
    <x v="0"/>
    <x v="0"/>
    <s v="2014_Minnipa"/>
    <n v="6"/>
    <n v="6"/>
    <n v="31"/>
    <n v="3"/>
    <x v="10"/>
    <x v="5"/>
    <s v="F1"/>
    <n v="246"/>
    <m/>
    <m/>
    <m/>
    <m/>
    <n v="-25.66"/>
    <n v="25.7"/>
    <n v="142.80000000000001"/>
    <n v="6.3221999999999996"/>
    <n v="35.128800000000005"/>
  </r>
  <r>
    <x v="0"/>
    <x v="0"/>
    <s v="2014_Minnipa"/>
    <n v="6"/>
    <n v="5"/>
    <n v="32"/>
    <n v="3"/>
    <x v="8"/>
    <x v="5"/>
    <s v="F1"/>
    <n v="179"/>
    <m/>
    <m/>
    <m/>
    <m/>
    <n v="-26.02"/>
    <n v="26.5"/>
    <n v="104.7"/>
    <n v="4.7435"/>
    <n v="18.741299999999999"/>
  </r>
  <r>
    <x v="0"/>
    <x v="0"/>
    <s v="2014_Minnipa"/>
    <n v="6"/>
    <n v="4"/>
    <n v="33"/>
    <n v="3"/>
    <x v="5"/>
    <x v="5"/>
    <s v="F1"/>
    <n v="249"/>
    <m/>
    <m/>
    <m/>
    <m/>
    <n v="-26.06"/>
    <n v="22.7"/>
    <n v="104.6"/>
    <n v="5.6523000000000003"/>
    <n v="26.045399999999997"/>
  </r>
  <r>
    <x v="0"/>
    <x v="0"/>
    <s v="2014_Minnipa"/>
    <n v="6"/>
    <n v="3"/>
    <n v="34"/>
    <n v="3"/>
    <x v="11"/>
    <x v="5"/>
    <s v="F1"/>
    <n v="186"/>
    <m/>
    <m/>
    <m/>
    <m/>
    <n v="-25.81"/>
    <n v="37.4"/>
    <n v="111.3"/>
    <n v="6.9563999999999995"/>
    <n v="20.701799999999999"/>
  </r>
  <r>
    <x v="0"/>
    <x v="0"/>
    <s v="2014_Minnipa"/>
    <n v="6"/>
    <n v="2"/>
    <n v="35"/>
    <n v="3"/>
    <x v="3"/>
    <x v="5"/>
    <s v="F1"/>
    <n v="190"/>
    <m/>
    <m/>
    <m/>
    <m/>
    <n v="-25.85"/>
    <n v="29.8"/>
    <n v="138.4"/>
    <n v="5.6619999999999999"/>
    <n v="26.295999999999999"/>
  </r>
  <r>
    <x v="0"/>
    <x v="0"/>
    <s v="2014_Minnipa"/>
    <n v="6"/>
    <n v="1"/>
    <n v="36"/>
    <n v="3"/>
    <x v="0"/>
    <x v="5"/>
    <s v="F1"/>
    <n v="241"/>
    <m/>
    <m/>
    <m/>
    <m/>
    <n v="-25.98"/>
    <n v="27"/>
    <n v="114.5"/>
    <n v="6.5069999999999997"/>
    <n v="27.5945"/>
  </r>
  <r>
    <x v="0"/>
    <x v="0"/>
    <s v="2014_Minnipa"/>
    <n v="7"/>
    <n v="1"/>
    <n v="37"/>
    <n v="4"/>
    <x v="5"/>
    <x v="5"/>
    <s v="F1"/>
    <n v="209"/>
    <m/>
    <m/>
    <m/>
    <m/>
    <n v="-26.32"/>
    <n v="29.2"/>
    <n v="78.7"/>
    <n v="6.1028000000000002"/>
    <n v="16.4483"/>
  </r>
  <r>
    <x v="0"/>
    <x v="0"/>
    <s v="2014_Minnipa"/>
    <n v="7"/>
    <n v="2"/>
    <n v="38"/>
    <n v="4"/>
    <x v="10"/>
    <x v="5"/>
    <s v="F1"/>
    <n v="205"/>
    <m/>
    <m/>
    <m/>
    <m/>
    <n v="-25.64"/>
    <n v="22.8"/>
    <n v="167"/>
    <n v="4.6740000000000004"/>
    <n v="34.234999999999999"/>
  </r>
  <r>
    <x v="0"/>
    <x v="0"/>
    <s v="2014_Minnipa"/>
    <n v="7"/>
    <n v="3"/>
    <n v="39"/>
    <n v="4"/>
    <x v="0"/>
    <x v="5"/>
    <s v="F1"/>
    <n v="236"/>
    <m/>
    <m/>
    <m/>
    <m/>
    <n v="-25.94"/>
    <n v="26.3"/>
    <n v="139.30000000000001"/>
    <n v="6.2068000000000003"/>
    <n v="32.8748"/>
  </r>
  <r>
    <x v="0"/>
    <x v="0"/>
    <s v="2014_Minnipa"/>
    <n v="7"/>
    <n v="4"/>
    <n v="40"/>
    <n v="4"/>
    <x v="8"/>
    <x v="5"/>
    <s v="F1"/>
    <n v="145"/>
    <m/>
    <m/>
    <m/>
    <m/>
    <n v="-26.16"/>
    <n v="31.3"/>
    <n v="107.2"/>
    <n v="4.5385"/>
    <n v="15.544"/>
  </r>
  <r>
    <x v="0"/>
    <x v="0"/>
    <s v="2014_Minnipa"/>
    <n v="7"/>
    <n v="5"/>
    <n v="41"/>
    <n v="4"/>
    <x v="2"/>
    <x v="5"/>
    <s v="F1"/>
    <n v="233"/>
    <m/>
    <m/>
    <m/>
    <m/>
    <n v="-26.11"/>
    <n v="27.1"/>
    <n v="116.1"/>
    <n v="6.3143000000000002"/>
    <n v="27.051299999999998"/>
  </r>
  <r>
    <x v="0"/>
    <x v="0"/>
    <s v="2014_Minnipa"/>
    <n v="7"/>
    <n v="6"/>
    <n v="42"/>
    <n v="4"/>
    <x v="9"/>
    <x v="5"/>
    <s v="F1"/>
    <n v="198"/>
    <m/>
    <m/>
    <m/>
    <m/>
    <n v="-25.54"/>
    <n v="25.8"/>
    <n v="174.1"/>
    <n v="5.1084000000000005"/>
    <n v="34.471799999999995"/>
  </r>
  <r>
    <x v="0"/>
    <x v="0"/>
    <s v="2014_Minnipa"/>
    <n v="8"/>
    <n v="6"/>
    <n v="43"/>
    <n v="4"/>
    <x v="7"/>
    <x v="5"/>
    <s v="F1"/>
    <n v="242"/>
    <m/>
    <m/>
    <m/>
    <m/>
    <n v="-26"/>
    <n v="24.6"/>
    <n v="114.1"/>
    <n v="5.9532000000000007"/>
    <n v="27.612199999999998"/>
  </r>
  <r>
    <x v="0"/>
    <x v="0"/>
    <s v="2014_Minnipa"/>
    <n v="8"/>
    <n v="5"/>
    <n v="44"/>
    <n v="4"/>
    <x v="3"/>
    <x v="5"/>
    <s v="F1"/>
    <n v="211"/>
    <m/>
    <m/>
    <m/>
    <m/>
    <n v="-25.99"/>
    <n v="23.7"/>
    <n v="126.9"/>
    <n v="5.0007000000000001"/>
    <n v="26.7759"/>
  </r>
  <r>
    <x v="0"/>
    <x v="0"/>
    <s v="2014_Minnipa"/>
    <n v="8"/>
    <n v="4"/>
    <n v="45"/>
    <n v="4"/>
    <x v="1"/>
    <x v="5"/>
    <s v="F1"/>
    <n v="207"/>
    <m/>
    <m/>
    <m/>
    <m/>
    <n v="-26.29"/>
    <n v="28.8"/>
    <n v="79.5"/>
    <n v="5.9616000000000007"/>
    <n v="16.456499999999998"/>
  </r>
  <r>
    <x v="0"/>
    <x v="0"/>
    <s v="2014_Minnipa"/>
    <n v="8"/>
    <n v="3"/>
    <n v="46"/>
    <n v="4"/>
    <x v="4"/>
    <x v="5"/>
    <s v="F1"/>
    <n v="242"/>
    <m/>
    <m/>
    <m/>
    <m/>
    <n v="-25.73"/>
    <n v="28.7"/>
    <n v="133.4"/>
    <n v="6.9453999999999994"/>
    <n v="32.282800000000002"/>
  </r>
  <r>
    <x v="0"/>
    <x v="0"/>
    <s v="2014_Minnipa"/>
    <n v="8"/>
    <n v="2"/>
    <n v="47"/>
    <n v="4"/>
    <x v="11"/>
    <x v="5"/>
    <s v="F1"/>
    <n v="187"/>
    <m/>
    <m/>
    <m/>
    <m/>
    <n v="-25.77"/>
    <n v="31.4"/>
    <n v="126.6"/>
    <n v="5.8718000000000004"/>
    <n v="23.674199999999999"/>
  </r>
  <r>
    <x v="0"/>
    <x v="0"/>
    <s v="2014_Minnipa"/>
    <n v="8"/>
    <n v="1"/>
    <n v="48"/>
    <n v="4"/>
    <x v="6"/>
    <x v="5"/>
    <s v="F1"/>
    <n v="269"/>
    <m/>
    <m/>
    <m/>
    <m/>
    <n v="-25.93"/>
    <n v="25.9"/>
    <n v="120.6"/>
    <n v="6.9670999999999994"/>
    <n v="32.441399999999994"/>
  </r>
  <r>
    <x v="0"/>
    <x v="0"/>
    <s v="2014_Minnipa"/>
    <n v="1"/>
    <n v="1"/>
    <n v="1"/>
    <n v="1"/>
    <x v="0"/>
    <x v="6"/>
    <s v="A100"/>
    <n v="386"/>
    <n v="202"/>
    <n v="76.8"/>
    <n v="83"/>
    <n v="24.2"/>
    <n v="-25.9"/>
    <n v="22.8"/>
    <n v="106.1"/>
    <n v="8.8008000000000006"/>
    <n v="40.954599999999999"/>
  </r>
  <r>
    <x v="0"/>
    <x v="0"/>
    <s v="2014_Minnipa"/>
    <n v="1"/>
    <n v="2"/>
    <n v="2"/>
    <n v="1"/>
    <x v="1"/>
    <x v="7"/>
    <s v="A100"/>
    <n v="293"/>
    <n v="163"/>
    <n v="58.5"/>
    <n v="65"/>
    <n v="6.4"/>
    <n v="-25.65"/>
    <n v="25.6"/>
    <n v="133"/>
    <n v="7.5007999999999999"/>
    <n v="38.969000000000001"/>
  </r>
  <r>
    <x v="0"/>
    <x v="0"/>
    <s v="2014_Minnipa"/>
    <n v="1"/>
    <n v="3"/>
    <n v="3"/>
    <n v="1"/>
    <x v="2"/>
    <x v="7"/>
    <s v="A100"/>
    <n v="421"/>
    <n v="244"/>
    <n v="66.2"/>
    <n v="81"/>
    <n v="29.5"/>
    <n v="-26.04"/>
    <n v="20"/>
    <n v="118"/>
    <n v="8.42"/>
    <n v="49.677999999999997"/>
  </r>
  <r>
    <x v="0"/>
    <x v="0"/>
    <s v="2014_Minnipa"/>
    <n v="1"/>
    <n v="4"/>
    <n v="4"/>
    <n v="1"/>
    <x v="3"/>
    <x v="8"/>
    <s v="A100"/>
    <n v="304"/>
    <n v="158"/>
    <n v="53.9"/>
    <n v="85"/>
    <n v="6.8"/>
    <n v="-25.57"/>
    <n v="21.4"/>
    <n v="146.1"/>
    <n v="6.5055999999999994"/>
    <n v="44.414400000000001"/>
  </r>
  <r>
    <x v="0"/>
    <x v="0"/>
    <s v="2014_Minnipa"/>
    <n v="1"/>
    <n v="5"/>
    <n v="5"/>
    <n v="1"/>
    <x v="4"/>
    <x v="6"/>
    <s v="A100"/>
    <n v="269"/>
    <n v="134"/>
    <n v="62.5"/>
    <n v="60"/>
    <n v="13"/>
    <n v="-25.69"/>
    <n v="14.2"/>
    <n v="130"/>
    <n v="3.8197999999999999"/>
    <n v="34.97"/>
  </r>
  <r>
    <x v="0"/>
    <x v="0"/>
    <s v="2014_Minnipa"/>
    <n v="1"/>
    <n v="6"/>
    <n v="6"/>
    <n v="1"/>
    <x v="5"/>
    <x v="9"/>
    <s v="A100"/>
    <n v="415"/>
    <n v="232"/>
    <n v="74.2"/>
    <n v="96"/>
    <n v="13"/>
    <n v="-25.9"/>
    <n v="20.5"/>
    <n v="125.3"/>
    <n v="8.5075000000000003"/>
    <n v="51.999499999999998"/>
  </r>
  <r>
    <x v="0"/>
    <x v="0"/>
    <s v="2014_Minnipa"/>
    <n v="2"/>
    <n v="6"/>
    <n v="7"/>
    <n v="1"/>
    <x v="6"/>
    <x v="7"/>
    <s v="A100"/>
    <n v="462"/>
    <n v="279"/>
    <n v="73.400000000000006"/>
    <n v="89"/>
    <n v="20.100000000000001"/>
    <n v="-25.8"/>
    <n v="18.399999999999999"/>
    <n v="146.80000000000001"/>
    <n v="8.5007999999999999"/>
    <n v="67.821600000000004"/>
  </r>
  <r>
    <x v="0"/>
    <x v="0"/>
    <s v="2014_Minnipa"/>
    <n v="2"/>
    <n v="5"/>
    <n v="8"/>
    <n v="1"/>
    <x v="7"/>
    <x v="6"/>
    <s v="A100"/>
    <n v="398"/>
    <n v="218"/>
    <n v="77.599999999999994"/>
    <n v="81"/>
    <n v="20.9"/>
    <n v="-25.89"/>
    <n v="20.399999999999999"/>
    <n v="117.5"/>
    <n v="8.1191999999999993"/>
    <n v="46.765000000000001"/>
  </r>
  <r>
    <x v="0"/>
    <x v="0"/>
    <s v="2014_Minnipa"/>
    <n v="2"/>
    <n v="4"/>
    <n v="9"/>
    <n v="1"/>
    <x v="8"/>
    <x v="6"/>
    <s v="A100"/>
    <n v="380"/>
    <n v="208"/>
    <n v="64.3"/>
    <n v="76"/>
    <n v="32.4"/>
    <n v="-26.03"/>
    <n v="17.5"/>
    <n v="115.9"/>
    <n v="6.65"/>
    <n v="44.042000000000002"/>
  </r>
  <r>
    <x v="0"/>
    <x v="0"/>
    <s v="2014_Minnipa"/>
    <n v="2"/>
    <n v="3"/>
    <n v="10"/>
    <n v="1"/>
    <x v="9"/>
    <x v="6"/>
    <s v="A100"/>
    <n v="469"/>
    <n v="272"/>
    <n v="92.2"/>
    <n v="83"/>
    <n v="20.7"/>
    <n v="-25.75"/>
    <n v="19.8"/>
    <n v="138.5"/>
    <n v="9.2862000000000009"/>
    <n v="64.956500000000005"/>
  </r>
  <r>
    <x v="0"/>
    <x v="0"/>
    <s v="2014_Minnipa"/>
    <n v="2"/>
    <n v="2"/>
    <n v="11"/>
    <n v="1"/>
    <x v="10"/>
    <x v="8"/>
    <s v="A100"/>
    <n v="435"/>
    <n v="231"/>
    <n v="63.4"/>
    <n v="120"/>
    <n v="20.3"/>
    <n v="-25.52"/>
    <n v="19.100000000000001"/>
    <n v="162.9"/>
    <n v="8.3085000000000004"/>
    <n v="70.861500000000007"/>
  </r>
  <r>
    <x v="0"/>
    <x v="0"/>
    <s v="2014_Minnipa"/>
    <n v="2"/>
    <n v="1"/>
    <n v="12"/>
    <n v="1"/>
    <x v="11"/>
    <x v="8"/>
    <s v="A100"/>
    <n v="377"/>
    <n v="209"/>
    <n v="73.8"/>
    <n v="83"/>
    <n v="11.1"/>
    <n v="-25.99"/>
    <n v="21.6"/>
    <n v="123"/>
    <n v="8.1432000000000002"/>
    <n v="46.371000000000002"/>
  </r>
  <r>
    <x v="0"/>
    <x v="0"/>
    <s v="2014_Minnipa"/>
    <n v="3"/>
    <n v="1"/>
    <n v="13"/>
    <n v="2"/>
    <x v="9"/>
    <x v="8"/>
    <s v="A100"/>
    <n v="491"/>
    <n v="298"/>
    <n v="90.4"/>
    <n v="91"/>
    <n v="12"/>
    <n v="-25.99"/>
    <n v="18.100000000000001"/>
    <n v="110.5"/>
    <n v="8.8871000000000002"/>
    <n v="54.255499999999998"/>
  </r>
  <r>
    <x v="0"/>
    <x v="0"/>
    <s v="2014_Minnipa"/>
    <n v="3"/>
    <n v="2"/>
    <n v="14"/>
    <n v="2"/>
    <x v="11"/>
    <x v="8"/>
    <s v="A100"/>
    <n v="403"/>
    <n v="170"/>
    <n v="55"/>
    <n v="170"/>
    <n v="8.9"/>
    <n v="-26.12"/>
    <n v="15.2"/>
    <n v="89.5"/>
    <n v="6.1255999999999995"/>
    <n v="36.0685"/>
  </r>
  <r>
    <x v="0"/>
    <x v="0"/>
    <s v="2014_Minnipa"/>
    <n v="3"/>
    <n v="3"/>
    <n v="15"/>
    <n v="2"/>
    <x v="7"/>
    <x v="6"/>
    <s v="A100"/>
    <n v="453"/>
    <n v="251"/>
    <n v="69.5"/>
    <n v="90"/>
    <n v="42.2"/>
    <n v="-25.86"/>
    <n v="18"/>
    <n v="101.1"/>
    <n v="8.1539999999999999"/>
    <n v="45.798299999999998"/>
  </r>
  <r>
    <x v="0"/>
    <x v="0"/>
    <s v="2014_Minnipa"/>
    <n v="3"/>
    <n v="4"/>
    <n v="16"/>
    <n v="2"/>
    <x v="10"/>
    <x v="8"/>
    <s v="A100"/>
    <n v="269"/>
    <n v="152"/>
    <n v="36.4"/>
    <n v="70"/>
    <n v="11.1"/>
    <n v="-25.47"/>
    <n v="16.100000000000001"/>
    <n v="152.1"/>
    <n v="4.3309000000000006"/>
    <n v="40.914900000000003"/>
  </r>
  <r>
    <x v="0"/>
    <x v="0"/>
    <s v="2014_Minnipa"/>
    <n v="3"/>
    <n v="5"/>
    <n v="17"/>
    <n v="2"/>
    <x v="1"/>
    <x v="7"/>
    <s v="A100"/>
    <n v="256"/>
    <n v="140"/>
    <n v="47.7"/>
    <n v="58"/>
    <n v="11"/>
    <n v="-26.05"/>
    <n v="18.399999999999999"/>
    <n v="91.3"/>
    <n v="4.7103999999999999"/>
    <n v="23.372799999999998"/>
  </r>
  <r>
    <x v="0"/>
    <x v="0"/>
    <s v="2014_Minnipa"/>
    <n v="3"/>
    <n v="6"/>
    <n v="18"/>
    <n v="2"/>
    <x v="8"/>
    <x v="6"/>
    <s v="A100"/>
    <n v="439"/>
    <n v="245"/>
    <n v="73.3"/>
    <n v="95"/>
    <n v="25"/>
    <n v="-25.71"/>
    <n v="19"/>
    <n v="128.30000000000001"/>
    <n v="8.3409999999999993"/>
    <n v="56.323700000000002"/>
  </r>
  <r>
    <x v="0"/>
    <x v="0"/>
    <s v="2014_Minnipa"/>
    <n v="4"/>
    <n v="6"/>
    <n v="19"/>
    <n v="2"/>
    <x v="4"/>
    <x v="8"/>
    <s v="A100"/>
    <n v="409"/>
    <n v="233"/>
    <n v="67.2"/>
    <n v="100"/>
    <n v="8.9"/>
    <n v="-25.93"/>
    <n v="16.899999999999999"/>
    <n v="115.2"/>
    <n v="6.9120999999999997"/>
    <n v="47.116800000000005"/>
  </r>
  <r>
    <x v="0"/>
    <x v="0"/>
    <s v="2014_Minnipa"/>
    <n v="4"/>
    <n v="5"/>
    <n v="20"/>
    <n v="2"/>
    <x v="0"/>
    <x v="6"/>
    <s v="A100"/>
    <n v="458"/>
    <n v="258"/>
    <n v="70"/>
    <n v="97"/>
    <n v="32.4"/>
    <n v="-26.34"/>
    <n v="16.600000000000001"/>
    <n v="79.5"/>
    <n v="7.6028000000000011"/>
    <n v="36.411000000000001"/>
  </r>
  <r>
    <x v="0"/>
    <x v="0"/>
    <s v="2014_Minnipa"/>
    <n v="4"/>
    <n v="4"/>
    <n v="21"/>
    <n v="2"/>
    <x v="2"/>
    <x v="7"/>
    <s v="A100"/>
    <n v="363"/>
    <n v="205"/>
    <n v="47.3"/>
    <n v="70"/>
    <n v="40.799999999999997"/>
    <n v="-25.99"/>
    <n v="16.7"/>
    <n v="103.4"/>
    <n v="6.0620999999999992"/>
    <n v="37.534200000000006"/>
  </r>
  <r>
    <x v="0"/>
    <x v="0"/>
    <s v="2014_Minnipa"/>
    <n v="4"/>
    <n v="3"/>
    <n v="22"/>
    <n v="2"/>
    <x v="6"/>
    <x v="9"/>
    <s v="A100"/>
    <n v="499"/>
    <n v="288"/>
    <n v="93.2"/>
    <n v="102"/>
    <n v="15.8"/>
    <n v="-25.53"/>
    <n v="21"/>
    <n v="146.5"/>
    <n v="10.478999999999999"/>
    <n v="73.103499999999997"/>
  </r>
  <r>
    <x v="0"/>
    <x v="0"/>
    <s v="2014_Minnipa"/>
    <n v="4"/>
    <n v="2"/>
    <n v="23"/>
    <n v="2"/>
    <x v="5"/>
    <x v="9"/>
    <s v="A100"/>
    <n v="344"/>
    <n v="200"/>
    <n v="52.4"/>
    <n v="77"/>
    <n v="14.1"/>
    <n v="-25.75"/>
    <n v="15.1"/>
    <n v="137.69999999999999"/>
    <n v="5.1943999999999999"/>
    <n v="47.368799999999993"/>
  </r>
  <r>
    <x v="0"/>
    <x v="0"/>
    <s v="2014_Minnipa"/>
    <n v="4"/>
    <n v="1"/>
    <n v="24"/>
    <n v="2"/>
    <x v="3"/>
    <x v="7"/>
    <s v="A100"/>
    <n v="365"/>
    <n v="204"/>
    <n v="54.2"/>
    <n v="87"/>
    <n v="20.5"/>
    <n v="-25.71"/>
    <n v="19.5"/>
    <n v="129"/>
    <n v="7.1174999999999997"/>
    <n v="47.085000000000001"/>
  </r>
  <r>
    <x v="0"/>
    <x v="0"/>
    <s v="2014_Minnipa"/>
    <n v="5"/>
    <n v="1"/>
    <n v="25"/>
    <n v="3"/>
    <x v="2"/>
    <x v="8"/>
    <s v="A100"/>
    <n v="547"/>
    <n v="312"/>
    <n v="100.8"/>
    <n v="117"/>
    <n v="17.399999999999999"/>
    <n v="-26.08"/>
    <n v="17.3"/>
    <n v="97.2"/>
    <n v="9.4631000000000007"/>
    <n v="53.168399999999998"/>
  </r>
  <r>
    <x v="0"/>
    <x v="0"/>
    <s v="2014_Minnipa"/>
    <n v="5"/>
    <n v="2"/>
    <n v="26"/>
    <n v="3"/>
    <x v="4"/>
    <x v="6"/>
    <s v="A100"/>
    <n v="379"/>
    <n v="214"/>
    <n v="62.8"/>
    <n v="78"/>
    <n v="24.4"/>
    <n v="-25.78"/>
    <n v="18.100000000000001"/>
    <n v="117"/>
    <n v="6.8599000000000006"/>
    <n v="44.343000000000004"/>
  </r>
  <r>
    <x v="0"/>
    <x v="0"/>
    <s v="2014_Minnipa"/>
    <n v="5"/>
    <n v="3"/>
    <n v="27"/>
    <n v="3"/>
    <x v="6"/>
    <x v="9"/>
    <s v="A100"/>
    <n v="465"/>
    <n v="266"/>
    <n v="87.1"/>
    <n v="97"/>
    <n v="14.3"/>
    <n v="-25.53"/>
    <n v="17.5"/>
    <n v="130.9"/>
    <n v="8.1374999999999993"/>
    <n v="60.868499999999997"/>
  </r>
  <r>
    <x v="0"/>
    <x v="0"/>
    <s v="2014_Minnipa"/>
    <n v="5"/>
    <n v="4"/>
    <n v="28"/>
    <n v="3"/>
    <x v="1"/>
    <x v="7"/>
    <s v="A100"/>
    <n v="290"/>
    <n v="157"/>
    <n v="46.7"/>
    <n v="70"/>
    <n v="16.5"/>
    <n v="-25.95"/>
    <n v="19.3"/>
    <n v="97.6"/>
    <n v="5.5970000000000004"/>
    <n v="28.303999999999998"/>
  </r>
  <r>
    <x v="0"/>
    <x v="0"/>
    <s v="2014_Minnipa"/>
    <n v="5"/>
    <n v="5"/>
    <n v="29"/>
    <n v="3"/>
    <x v="9"/>
    <x v="8"/>
    <s v="A100"/>
    <n v="451"/>
    <n v="253"/>
    <n v="101.5"/>
    <n v="94"/>
    <n v="2.2000000000000002"/>
    <n v="-25.38"/>
    <n v="23"/>
    <n v="157.6"/>
    <n v="10.372999999999999"/>
    <n v="71.07759999999999"/>
  </r>
  <r>
    <x v="0"/>
    <x v="0"/>
    <s v="2014_Minnipa"/>
    <n v="5"/>
    <n v="6"/>
    <n v="30"/>
    <n v="3"/>
    <x v="7"/>
    <x v="6"/>
    <s v="A100"/>
    <n v="455"/>
    <n v="262"/>
    <n v="80.7"/>
    <n v="85"/>
    <n v="28.4"/>
    <n v="-25.98"/>
    <n v="17.2"/>
    <n v="118.5"/>
    <n v="7.8259999999999996"/>
    <n v="53.917499999999997"/>
  </r>
  <r>
    <x v="0"/>
    <x v="0"/>
    <s v="2014_Minnipa"/>
    <n v="6"/>
    <n v="6"/>
    <n v="31"/>
    <n v="3"/>
    <x v="10"/>
    <x v="7"/>
    <s v="A100"/>
    <n v="319"/>
    <n v="178"/>
    <n v="46.7"/>
    <n v="68"/>
    <n v="25.4"/>
    <n v="-25.7"/>
    <n v="17"/>
    <n v="137.69999999999999"/>
    <n v="5.423"/>
    <n v="43.926299999999998"/>
  </r>
  <r>
    <x v="0"/>
    <x v="0"/>
    <s v="2014_Minnipa"/>
    <n v="6"/>
    <n v="5"/>
    <n v="32"/>
    <n v="3"/>
    <x v="8"/>
    <x v="8"/>
    <s v="A100"/>
    <n v="430"/>
    <n v="243"/>
    <n v="75.400000000000006"/>
    <n v="98"/>
    <n v="14"/>
    <n v="-25.98"/>
    <n v="18.899999999999999"/>
    <n v="109"/>
    <n v="8.1269999999999989"/>
    <n v="46.87"/>
  </r>
  <r>
    <x v="0"/>
    <x v="0"/>
    <s v="2014_Minnipa"/>
    <n v="6"/>
    <n v="4"/>
    <n v="33"/>
    <n v="3"/>
    <x v="5"/>
    <x v="9"/>
    <s v="A100"/>
    <n v="404"/>
    <n v="231"/>
    <n v="63.3"/>
    <n v="97"/>
    <n v="12.8"/>
    <n v="-25.45"/>
    <n v="19.5"/>
    <n v="147.80000000000001"/>
    <n v="7.8780000000000001"/>
    <n v="59.711200000000005"/>
  </r>
  <r>
    <x v="0"/>
    <x v="0"/>
    <s v="2014_Minnipa"/>
    <n v="6"/>
    <n v="3"/>
    <n v="34"/>
    <n v="3"/>
    <x v="11"/>
    <x v="6"/>
    <s v="A100"/>
    <n v="359"/>
    <n v="194"/>
    <n v="76.7"/>
    <n v="71"/>
    <n v="17.5"/>
    <n v="-26.1"/>
    <n v="22.4"/>
    <n v="100.6"/>
    <n v="8.041599999999999"/>
    <n v="36.115400000000001"/>
  </r>
  <r>
    <x v="0"/>
    <x v="0"/>
    <s v="2014_Minnipa"/>
    <n v="6"/>
    <n v="2"/>
    <n v="35"/>
    <n v="3"/>
    <x v="3"/>
    <x v="7"/>
    <s v="A100"/>
    <n v="403"/>
    <n v="222"/>
    <n v="67.099999999999994"/>
    <n v="94"/>
    <n v="20.2"/>
    <n v="-26.05"/>
    <n v="20.7"/>
    <n v="103.7"/>
    <n v="8.3421000000000003"/>
    <n v="41.7911"/>
  </r>
  <r>
    <x v="0"/>
    <x v="0"/>
    <s v="2014_Minnipa"/>
    <n v="6"/>
    <n v="1"/>
    <n v="36"/>
    <n v="3"/>
    <x v="0"/>
    <x v="6"/>
    <s v="A100"/>
    <n v="367"/>
    <n v="193"/>
    <n v="77.7"/>
    <n v="79"/>
    <n v="17"/>
    <n v="-26.31"/>
    <n v="21.5"/>
    <n v="79.599999999999994"/>
    <n v="7.8905000000000003"/>
    <n v="29.213199999999997"/>
  </r>
  <r>
    <x v="0"/>
    <x v="0"/>
    <s v="2014_Minnipa"/>
    <n v="7"/>
    <n v="1"/>
    <n v="37"/>
    <n v="4"/>
    <x v="5"/>
    <x v="9"/>
    <s v="A100"/>
    <n v="321"/>
    <n v="171"/>
    <n v="71.099999999999994"/>
    <n v="76"/>
    <n v="2.8"/>
    <n v="-25.69"/>
    <n v="24.2"/>
    <n v="137.5"/>
    <n v="7.7682000000000002"/>
    <n v="44.137500000000003"/>
  </r>
  <r>
    <x v="0"/>
    <x v="0"/>
    <s v="2014_Minnipa"/>
    <n v="7"/>
    <n v="2"/>
    <n v="38"/>
    <n v="4"/>
    <x v="10"/>
    <x v="6"/>
    <s v="A100"/>
    <n v="403"/>
    <n v="230"/>
    <n v="60.9"/>
    <n v="84"/>
    <n v="28"/>
    <n v="-26.05"/>
    <n v="19.600000000000001"/>
    <n v="107.7"/>
    <n v="7.8988000000000005"/>
    <n v="43.403100000000002"/>
  </r>
  <r>
    <x v="0"/>
    <x v="0"/>
    <s v="2014_Minnipa"/>
    <n v="7"/>
    <n v="3"/>
    <n v="39"/>
    <n v="4"/>
    <x v="0"/>
    <x v="7"/>
    <s v="A100"/>
    <n v="436"/>
    <n v="246"/>
    <n v="81"/>
    <n v="94"/>
    <n v="14.8"/>
    <n v="-25.6"/>
    <n v="19.3"/>
    <n v="156.4"/>
    <n v="8.4148000000000014"/>
    <n v="68.190400000000011"/>
  </r>
  <r>
    <x v="0"/>
    <x v="0"/>
    <s v="2014_Minnipa"/>
    <n v="7"/>
    <n v="4"/>
    <n v="40"/>
    <n v="4"/>
    <x v="8"/>
    <x v="8"/>
    <s v="A100"/>
    <n v="337"/>
    <n v="180"/>
    <n v="64.2"/>
    <n v="78"/>
    <n v="14.6"/>
    <n v="-25.64"/>
    <n v="19.399999999999999"/>
    <n v="128.4"/>
    <n v="6.5377999999999989"/>
    <n v="43.270800000000001"/>
  </r>
  <r>
    <x v="0"/>
    <x v="0"/>
    <s v="2014_Minnipa"/>
    <n v="7"/>
    <n v="5"/>
    <n v="41"/>
    <n v="4"/>
    <x v="2"/>
    <x v="6"/>
    <s v="A100"/>
    <n v="420"/>
    <n v="254"/>
    <n v="63.8"/>
    <n v="78"/>
    <n v="24.2"/>
    <n v="-26.2"/>
    <n v="17.8"/>
    <n v="95.7"/>
    <n v="7.476"/>
    <n v="40.194000000000003"/>
  </r>
  <r>
    <x v="0"/>
    <x v="0"/>
    <s v="2014_Minnipa"/>
    <n v="7"/>
    <n v="6"/>
    <n v="42"/>
    <n v="4"/>
    <x v="9"/>
    <x v="6"/>
    <s v="A100"/>
    <n v="426"/>
    <n v="246"/>
    <n v="83.3"/>
    <n v="79"/>
    <n v="17.100000000000001"/>
    <n v="-25.8"/>
    <n v="19.899999999999999"/>
    <n v="132"/>
    <n v="8.4773999999999994"/>
    <n v="56.231999999999999"/>
  </r>
  <r>
    <x v="0"/>
    <x v="0"/>
    <s v="2014_Minnipa"/>
    <n v="8"/>
    <n v="6"/>
    <n v="43"/>
    <n v="4"/>
    <x v="7"/>
    <x v="7"/>
    <s v="A100"/>
    <n v="625"/>
    <n v="332"/>
    <n v="97.8"/>
    <n v="148"/>
    <n v="46.8"/>
    <n v="-26.17"/>
    <n v="16.5"/>
    <n v="93.5"/>
    <n v="10.3125"/>
    <n v="58.4375"/>
  </r>
  <r>
    <x v="0"/>
    <x v="0"/>
    <s v="2014_Minnipa"/>
    <n v="8"/>
    <n v="5"/>
    <n v="44"/>
    <n v="4"/>
    <x v="3"/>
    <x v="7"/>
    <s v="A100"/>
    <n v="274"/>
    <n v="161"/>
    <n v="46.4"/>
    <n v="60"/>
    <n v="6.5"/>
    <n v="-25.82"/>
    <n v="21"/>
    <n v="146.69999999999999"/>
    <n v="5.7539999999999996"/>
    <n v="40.195799999999998"/>
  </r>
  <r>
    <x v="0"/>
    <x v="0"/>
    <s v="2014_Minnipa"/>
    <n v="8"/>
    <n v="4"/>
    <n v="45"/>
    <n v="4"/>
    <x v="1"/>
    <x v="8"/>
    <s v="A100"/>
    <n v="402"/>
    <n v="224"/>
    <n v="51.5"/>
    <n v="105"/>
    <n v="21.2"/>
    <n v="-25.52"/>
    <n v="18.600000000000001"/>
    <n v="164.1"/>
    <n v="7.4772000000000007"/>
    <n v="65.968199999999996"/>
  </r>
  <r>
    <x v="0"/>
    <x v="0"/>
    <s v="2014_Minnipa"/>
    <n v="8"/>
    <n v="3"/>
    <n v="46"/>
    <n v="4"/>
    <x v="4"/>
    <x v="7"/>
    <s v="A100"/>
    <n v="449"/>
    <n v="249"/>
    <n v="75.3"/>
    <n v="94"/>
    <n v="29.4"/>
    <n v="-25.6"/>
    <n v="22.4"/>
    <n v="141.4"/>
    <n v="10.057599999999999"/>
    <n v="63.488600000000005"/>
  </r>
  <r>
    <x v="0"/>
    <x v="0"/>
    <s v="2014_Minnipa"/>
    <n v="8"/>
    <n v="2"/>
    <n v="47"/>
    <n v="4"/>
    <x v="11"/>
    <x v="8"/>
    <s v="A100"/>
    <n v="495"/>
    <n v="264"/>
    <n v="109.1"/>
    <n v="114"/>
    <n v="8.5"/>
    <n v="-26.1"/>
    <n v="22"/>
    <n v="120.3"/>
    <n v="10.89"/>
    <n v="59.548499999999997"/>
  </r>
  <r>
    <x v="0"/>
    <x v="0"/>
    <s v="2014_Minnipa"/>
    <n v="8"/>
    <n v="1"/>
    <n v="48"/>
    <n v="4"/>
    <x v="6"/>
    <x v="9"/>
    <s v="A100"/>
    <n v="429"/>
    <n v="240"/>
    <n v="86.1"/>
    <n v="90"/>
    <n v="12.2"/>
    <n v="-25.65"/>
    <n v="22.4"/>
    <n v="135.69999999999999"/>
    <n v="9.6095999999999986"/>
    <n v="58.215299999999999"/>
  </r>
  <r>
    <x v="0"/>
    <x v="0"/>
    <s v="2014_Minnipa"/>
    <n v="1"/>
    <n v="1"/>
    <n v="1"/>
    <n v="1"/>
    <x v="0"/>
    <x v="10"/>
    <s v="GR100"/>
    <n v="566"/>
    <n v="152"/>
    <m/>
    <n v="355"/>
    <n v="56"/>
    <m/>
    <m/>
    <m/>
    <m/>
    <m/>
  </r>
  <r>
    <x v="0"/>
    <x v="0"/>
    <s v="2014_Minnipa"/>
    <n v="1"/>
    <n v="2"/>
    <n v="2"/>
    <n v="1"/>
    <x v="1"/>
    <x v="10"/>
    <s v="GR100"/>
    <n v="489"/>
    <n v="135"/>
    <m/>
    <n v="308"/>
    <n v="42"/>
    <m/>
    <m/>
    <m/>
    <m/>
    <m/>
  </r>
  <r>
    <x v="0"/>
    <x v="0"/>
    <s v="2014_Minnipa"/>
    <n v="1"/>
    <n v="3"/>
    <n v="3"/>
    <n v="1"/>
    <x v="2"/>
    <x v="10"/>
    <s v="GR100"/>
    <n v="526"/>
    <n v="163"/>
    <m/>
    <n v="299"/>
    <n v="61"/>
    <m/>
    <m/>
    <m/>
    <m/>
    <m/>
  </r>
  <r>
    <x v="0"/>
    <x v="0"/>
    <s v="2014_Minnipa"/>
    <n v="1"/>
    <n v="4"/>
    <n v="4"/>
    <n v="1"/>
    <x v="3"/>
    <x v="10"/>
    <s v="GR100"/>
    <n v="407"/>
    <n v="107"/>
    <m/>
    <n v="269"/>
    <n v="31"/>
    <m/>
    <m/>
    <m/>
    <m/>
    <m/>
  </r>
  <r>
    <x v="0"/>
    <x v="0"/>
    <s v="2014_Minnipa"/>
    <n v="1"/>
    <n v="5"/>
    <n v="5"/>
    <n v="1"/>
    <x v="4"/>
    <x v="10"/>
    <s v="GR100"/>
    <n v="508"/>
    <n v="148"/>
    <m/>
    <n v="308"/>
    <n v="47"/>
    <m/>
    <m/>
    <m/>
    <m/>
    <m/>
  </r>
  <r>
    <x v="0"/>
    <x v="0"/>
    <s v="2014_Minnipa"/>
    <n v="1"/>
    <n v="6"/>
    <n v="6"/>
    <n v="1"/>
    <x v="5"/>
    <x v="10"/>
    <s v="GR100"/>
    <n v="473"/>
    <n v="138"/>
    <m/>
    <n v="292"/>
    <n v="43"/>
    <m/>
    <m/>
    <m/>
    <m/>
    <m/>
  </r>
  <r>
    <x v="0"/>
    <x v="0"/>
    <s v="2014_Minnipa"/>
    <n v="2"/>
    <n v="6"/>
    <n v="7"/>
    <n v="1"/>
    <x v="6"/>
    <x v="10"/>
    <s v="GR100"/>
    <n v="648"/>
    <n v="186"/>
    <m/>
    <n v="405"/>
    <n v="60"/>
    <m/>
    <m/>
    <m/>
    <m/>
    <m/>
  </r>
  <r>
    <x v="0"/>
    <x v="0"/>
    <s v="2014_Minnipa"/>
    <n v="2"/>
    <n v="5"/>
    <n v="8"/>
    <n v="1"/>
    <x v="7"/>
    <x v="10"/>
    <s v="GR100"/>
    <n v="520"/>
    <n v="156"/>
    <m/>
    <n v="309"/>
    <n v="53"/>
    <m/>
    <m/>
    <m/>
    <m/>
    <m/>
  </r>
  <r>
    <x v="0"/>
    <x v="0"/>
    <s v="2014_Minnipa"/>
    <n v="2"/>
    <n v="4"/>
    <n v="9"/>
    <n v="1"/>
    <x v="8"/>
    <x v="10"/>
    <s v="GR100"/>
    <n v="414"/>
    <n v="121"/>
    <m/>
    <n v="244"/>
    <n v="46"/>
    <m/>
    <m/>
    <m/>
    <m/>
    <m/>
  </r>
  <r>
    <x v="0"/>
    <x v="0"/>
    <s v="2014_Minnipa"/>
    <n v="2"/>
    <n v="3"/>
    <n v="10"/>
    <n v="1"/>
    <x v="9"/>
    <x v="10"/>
    <s v="GR100"/>
    <n v="641"/>
    <n v="188"/>
    <m/>
    <n v="375"/>
    <n v="77"/>
    <m/>
    <m/>
    <m/>
    <m/>
    <m/>
  </r>
  <r>
    <x v="0"/>
    <x v="0"/>
    <s v="2014_Minnipa"/>
    <n v="2"/>
    <n v="2"/>
    <n v="11"/>
    <n v="1"/>
    <x v="10"/>
    <x v="10"/>
    <s v="GR100"/>
    <n v="464"/>
    <n v="133"/>
    <m/>
    <n v="279"/>
    <n v="49"/>
    <m/>
    <m/>
    <m/>
    <m/>
    <m/>
  </r>
  <r>
    <x v="0"/>
    <x v="0"/>
    <s v="2014_Minnipa"/>
    <n v="2"/>
    <n v="1"/>
    <n v="12"/>
    <n v="1"/>
    <x v="11"/>
    <x v="10"/>
    <s v="GR100"/>
    <n v="536"/>
    <n v="141"/>
    <m/>
    <n v="342"/>
    <n v="48"/>
    <m/>
    <m/>
    <m/>
    <m/>
    <m/>
  </r>
  <r>
    <x v="0"/>
    <x v="0"/>
    <s v="2014_Minnipa"/>
    <n v="3"/>
    <n v="1"/>
    <n v="13"/>
    <n v="2"/>
    <x v="9"/>
    <x v="10"/>
    <s v="GR100"/>
    <n v="471"/>
    <n v="141"/>
    <m/>
    <n v="286"/>
    <n v="44"/>
    <m/>
    <m/>
    <m/>
    <m/>
    <m/>
  </r>
  <r>
    <x v="0"/>
    <x v="0"/>
    <s v="2014_Minnipa"/>
    <n v="3"/>
    <n v="2"/>
    <n v="14"/>
    <n v="2"/>
    <x v="11"/>
    <x v="10"/>
    <s v="GR100"/>
    <n v="496"/>
    <n v="122"/>
    <m/>
    <n v="325"/>
    <n v="37"/>
    <m/>
    <m/>
    <m/>
    <m/>
    <m/>
  </r>
  <r>
    <x v="0"/>
    <x v="0"/>
    <s v="2014_Minnipa"/>
    <n v="3"/>
    <n v="3"/>
    <n v="15"/>
    <n v="2"/>
    <x v="7"/>
    <x v="10"/>
    <s v="GR100"/>
    <n v="465"/>
    <n v="132"/>
    <m/>
    <n v="279"/>
    <n v="50"/>
    <m/>
    <m/>
    <m/>
    <m/>
    <m/>
  </r>
  <r>
    <x v="0"/>
    <x v="0"/>
    <s v="2014_Minnipa"/>
    <n v="3"/>
    <n v="4"/>
    <n v="16"/>
    <n v="2"/>
    <x v="10"/>
    <x v="10"/>
    <s v="GR100"/>
    <n v="446"/>
    <n v="117"/>
    <m/>
    <n v="273"/>
    <n v="41"/>
    <m/>
    <m/>
    <m/>
    <m/>
    <m/>
  </r>
  <r>
    <x v="0"/>
    <x v="0"/>
    <s v="2014_Minnipa"/>
    <n v="3"/>
    <n v="5"/>
    <n v="17"/>
    <n v="2"/>
    <x v="1"/>
    <x v="10"/>
    <s v="GR100"/>
    <n v="441"/>
    <n v="129"/>
    <m/>
    <n v="277"/>
    <n v="34"/>
    <m/>
    <m/>
    <m/>
    <m/>
    <m/>
  </r>
  <r>
    <x v="0"/>
    <x v="0"/>
    <s v="2014_Minnipa"/>
    <n v="3"/>
    <n v="6"/>
    <n v="18"/>
    <n v="2"/>
    <x v="8"/>
    <x v="10"/>
    <s v="GR100"/>
    <n v="473"/>
    <n v="151"/>
    <m/>
    <n v="283"/>
    <n v="39"/>
    <m/>
    <m/>
    <m/>
    <m/>
    <m/>
  </r>
  <r>
    <x v="0"/>
    <x v="0"/>
    <s v="2014_Minnipa"/>
    <n v="4"/>
    <n v="6"/>
    <n v="19"/>
    <n v="2"/>
    <x v="4"/>
    <x v="10"/>
    <s v="GR100"/>
    <n v="440"/>
    <n v="137"/>
    <m/>
    <n v="262"/>
    <n v="39"/>
    <m/>
    <m/>
    <m/>
    <m/>
    <m/>
  </r>
  <r>
    <x v="0"/>
    <x v="0"/>
    <s v="2014_Minnipa"/>
    <n v="4"/>
    <n v="5"/>
    <n v="20"/>
    <n v="2"/>
    <x v="0"/>
    <x v="10"/>
    <s v="GR100"/>
    <n v="641"/>
    <n v="164"/>
    <m/>
    <n v="382"/>
    <n v="52"/>
    <m/>
    <m/>
    <m/>
    <m/>
    <m/>
  </r>
  <r>
    <x v="0"/>
    <x v="0"/>
    <s v="2014_Minnipa"/>
    <n v="4"/>
    <n v="4"/>
    <n v="21"/>
    <n v="2"/>
    <x v="2"/>
    <x v="10"/>
    <s v="GR100"/>
    <n v="530"/>
    <n v="165"/>
    <m/>
    <n v="302"/>
    <n v="50"/>
    <m/>
    <m/>
    <m/>
    <m/>
    <m/>
  </r>
  <r>
    <x v="0"/>
    <x v="0"/>
    <s v="2014_Minnipa"/>
    <n v="4"/>
    <n v="3"/>
    <n v="22"/>
    <n v="2"/>
    <x v="6"/>
    <x v="10"/>
    <s v="GR100"/>
    <n v="650"/>
    <n v="174"/>
    <m/>
    <n v="423"/>
    <n v="52"/>
    <m/>
    <m/>
    <m/>
    <m/>
    <m/>
  </r>
  <r>
    <x v="0"/>
    <x v="0"/>
    <s v="2014_Minnipa"/>
    <n v="4"/>
    <n v="2"/>
    <n v="23"/>
    <n v="2"/>
    <x v="5"/>
    <x v="10"/>
    <s v="GR100"/>
    <n v="474"/>
    <n v="145"/>
    <m/>
    <n v="291"/>
    <n v="37"/>
    <m/>
    <m/>
    <m/>
    <m/>
    <m/>
  </r>
  <r>
    <x v="0"/>
    <x v="0"/>
    <s v="2014_Minnipa"/>
    <n v="4"/>
    <n v="1"/>
    <n v="24"/>
    <n v="2"/>
    <x v="3"/>
    <x v="10"/>
    <s v="GR100"/>
    <n v="482"/>
    <n v="131"/>
    <m/>
    <n v="299"/>
    <n v="51"/>
    <m/>
    <m/>
    <m/>
    <m/>
    <m/>
  </r>
  <r>
    <x v="0"/>
    <x v="0"/>
    <s v="2014_Minnipa"/>
    <n v="5"/>
    <n v="1"/>
    <n v="25"/>
    <n v="3"/>
    <x v="2"/>
    <x v="10"/>
    <s v="GR100"/>
    <n v="456"/>
    <n v="142"/>
    <m/>
    <n v="260"/>
    <n v="52"/>
    <m/>
    <m/>
    <m/>
    <m/>
    <m/>
  </r>
  <r>
    <x v="0"/>
    <x v="0"/>
    <s v="2014_Minnipa"/>
    <n v="5"/>
    <n v="2"/>
    <n v="26"/>
    <n v="3"/>
    <x v="4"/>
    <x v="10"/>
    <s v="GR100"/>
    <n v="401"/>
    <n v="120"/>
    <m/>
    <n v="245"/>
    <n v="32"/>
    <m/>
    <m/>
    <m/>
    <m/>
    <m/>
  </r>
  <r>
    <x v="0"/>
    <x v="0"/>
    <s v="2014_Minnipa"/>
    <n v="5"/>
    <n v="3"/>
    <n v="27"/>
    <n v="3"/>
    <x v="6"/>
    <x v="10"/>
    <s v="GR100"/>
    <n v="615"/>
    <n v="166"/>
    <m/>
    <n v="397"/>
    <n v="49"/>
    <m/>
    <m/>
    <m/>
    <m/>
    <m/>
  </r>
  <r>
    <x v="0"/>
    <x v="0"/>
    <s v="2014_Minnipa"/>
    <n v="5"/>
    <n v="4"/>
    <n v="28"/>
    <n v="3"/>
    <x v="1"/>
    <x v="10"/>
    <s v="GR100"/>
    <n v="435"/>
    <n v="124"/>
    <m/>
    <n v="271"/>
    <n v="39"/>
    <m/>
    <m/>
    <m/>
    <m/>
    <m/>
  </r>
  <r>
    <x v="0"/>
    <x v="0"/>
    <s v="2014_Minnipa"/>
    <n v="5"/>
    <n v="5"/>
    <n v="29"/>
    <n v="3"/>
    <x v="9"/>
    <x v="10"/>
    <s v="GR100"/>
    <n v="683"/>
    <n v="208"/>
    <m/>
    <n v="412"/>
    <n v="63"/>
    <m/>
    <m/>
    <m/>
    <m/>
    <m/>
  </r>
  <r>
    <x v="0"/>
    <x v="0"/>
    <s v="2014_Minnipa"/>
    <n v="5"/>
    <n v="6"/>
    <n v="30"/>
    <n v="3"/>
    <x v="7"/>
    <x v="10"/>
    <s v="GR100"/>
    <n v="516"/>
    <n v="164"/>
    <m/>
    <n v="331"/>
    <n v="52"/>
    <m/>
    <m/>
    <m/>
    <m/>
    <m/>
  </r>
  <r>
    <x v="0"/>
    <x v="0"/>
    <s v="2014_Minnipa"/>
    <n v="6"/>
    <n v="6"/>
    <n v="31"/>
    <n v="3"/>
    <x v="10"/>
    <x v="10"/>
    <s v="GR100"/>
    <n v="476"/>
    <n v="131"/>
    <m/>
    <n v="296"/>
    <n v="45"/>
    <m/>
    <m/>
    <m/>
    <m/>
    <m/>
  </r>
  <r>
    <x v="0"/>
    <x v="0"/>
    <s v="2014_Minnipa"/>
    <n v="6"/>
    <n v="5"/>
    <n v="32"/>
    <n v="3"/>
    <x v="8"/>
    <x v="10"/>
    <s v="GR100"/>
    <n v="459"/>
    <n v="136"/>
    <m/>
    <n v="281"/>
    <n v="35"/>
    <m/>
    <m/>
    <m/>
    <m/>
    <m/>
  </r>
  <r>
    <x v="0"/>
    <x v="0"/>
    <s v="2014_Minnipa"/>
    <n v="6"/>
    <n v="4"/>
    <n v="33"/>
    <n v="3"/>
    <x v="5"/>
    <x v="10"/>
    <s v="GR100"/>
    <n v="416"/>
    <n v="118"/>
    <m/>
    <n v="253"/>
    <n v="42"/>
    <m/>
    <m/>
    <m/>
    <m/>
    <m/>
  </r>
  <r>
    <x v="0"/>
    <x v="0"/>
    <s v="2014_Minnipa"/>
    <n v="6"/>
    <n v="3"/>
    <n v="34"/>
    <n v="3"/>
    <x v="11"/>
    <x v="10"/>
    <s v="GR100"/>
    <n v="494"/>
    <n v="141"/>
    <m/>
    <n v="289"/>
    <n v="54"/>
    <m/>
    <m/>
    <m/>
    <m/>
    <m/>
  </r>
  <r>
    <x v="0"/>
    <x v="0"/>
    <s v="2014_Minnipa"/>
    <n v="6"/>
    <n v="2"/>
    <n v="35"/>
    <n v="3"/>
    <x v="3"/>
    <x v="10"/>
    <s v="GR100"/>
    <n v="514"/>
    <n v="138"/>
    <m/>
    <n v="331"/>
    <n v="44"/>
    <m/>
    <m/>
    <m/>
    <m/>
    <m/>
  </r>
  <r>
    <x v="0"/>
    <x v="0"/>
    <s v="2014_Minnipa"/>
    <n v="6"/>
    <n v="1"/>
    <n v="36"/>
    <n v="3"/>
    <x v="0"/>
    <x v="10"/>
    <s v="GR100"/>
    <n v="612"/>
    <n v="165"/>
    <m/>
    <n v="374"/>
    <n v="65"/>
    <m/>
    <m/>
    <m/>
    <m/>
    <m/>
  </r>
  <r>
    <x v="0"/>
    <x v="0"/>
    <s v="2014_Minnipa"/>
    <n v="7"/>
    <n v="1"/>
    <n v="37"/>
    <n v="4"/>
    <x v="5"/>
    <x v="10"/>
    <s v="GR100"/>
    <n v="426"/>
    <n v="121"/>
    <m/>
    <n v="270"/>
    <n v="35"/>
    <m/>
    <m/>
    <m/>
    <m/>
    <m/>
  </r>
  <r>
    <x v="0"/>
    <x v="0"/>
    <s v="2014_Minnipa"/>
    <n v="7"/>
    <n v="2"/>
    <n v="38"/>
    <n v="4"/>
    <x v="10"/>
    <x v="10"/>
    <s v="GR100"/>
    <n v="500"/>
    <n v="138"/>
    <m/>
    <n v="303"/>
    <n v="50"/>
    <m/>
    <m/>
    <m/>
    <m/>
    <m/>
  </r>
  <r>
    <x v="0"/>
    <x v="0"/>
    <s v="2014_Minnipa"/>
    <n v="7"/>
    <n v="3"/>
    <n v="39"/>
    <n v="4"/>
    <x v="0"/>
    <x v="10"/>
    <s v="GR100"/>
    <n v="821"/>
    <n v="218"/>
    <m/>
    <n v="505"/>
    <n v="87"/>
    <m/>
    <m/>
    <m/>
    <m/>
    <m/>
  </r>
  <r>
    <x v="0"/>
    <x v="0"/>
    <s v="2014_Minnipa"/>
    <n v="7"/>
    <n v="4"/>
    <n v="40"/>
    <n v="4"/>
    <x v="8"/>
    <x v="10"/>
    <s v="GR100"/>
    <n v="421"/>
    <n v="122"/>
    <m/>
    <n v="256"/>
    <n v="43"/>
    <m/>
    <m/>
    <m/>
    <m/>
    <m/>
  </r>
  <r>
    <x v="0"/>
    <x v="0"/>
    <s v="2014_Minnipa"/>
    <n v="7"/>
    <n v="5"/>
    <n v="41"/>
    <n v="4"/>
    <x v="2"/>
    <x v="10"/>
    <s v="GR100"/>
    <n v="630"/>
    <n v="205"/>
    <m/>
    <n v="377"/>
    <n v="43"/>
    <m/>
    <m/>
    <m/>
    <m/>
    <m/>
  </r>
  <r>
    <x v="0"/>
    <x v="0"/>
    <s v="2014_Minnipa"/>
    <n v="7"/>
    <n v="6"/>
    <n v="42"/>
    <n v="4"/>
    <x v="9"/>
    <x v="10"/>
    <s v="GR100"/>
    <n v="658"/>
    <n v="193"/>
    <m/>
    <n v="404"/>
    <n v="49"/>
    <m/>
    <m/>
    <m/>
    <m/>
    <m/>
  </r>
  <r>
    <x v="0"/>
    <x v="0"/>
    <s v="2014_Minnipa"/>
    <n v="8"/>
    <n v="6"/>
    <n v="43"/>
    <n v="4"/>
    <x v="7"/>
    <x v="10"/>
    <s v="GR100"/>
    <n v="646"/>
    <n v="202"/>
    <m/>
    <n v="386"/>
    <n v="54"/>
    <m/>
    <m/>
    <m/>
    <m/>
    <m/>
  </r>
  <r>
    <x v="0"/>
    <x v="0"/>
    <s v="2014_Minnipa"/>
    <n v="8"/>
    <n v="5"/>
    <n v="44"/>
    <n v="4"/>
    <x v="3"/>
    <x v="10"/>
    <s v="GR100"/>
    <n v="491"/>
    <n v="124"/>
    <m/>
    <n v="325"/>
    <n v="37"/>
    <m/>
    <m/>
    <m/>
    <m/>
    <m/>
  </r>
  <r>
    <x v="0"/>
    <x v="0"/>
    <s v="2014_Minnipa"/>
    <n v="8"/>
    <n v="4"/>
    <n v="45"/>
    <n v="4"/>
    <x v="1"/>
    <x v="10"/>
    <s v="GR100"/>
    <n v="481"/>
    <n v="137"/>
    <m/>
    <n v="290"/>
    <n v="51"/>
    <m/>
    <m/>
    <m/>
    <m/>
    <m/>
  </r>
  <r>
    <x v="0"/>
    <x v="0"/>
    <s v="2014_Minnipa"/>
    <n v="8"/>
    <n v="3"/>
    <n v="46"/>
    <n v="4"/>
    <x v="4"/>
    <x v="10"/>
    <s v="GR100"/>
    <n v="593"/>
    <n v="190"/>
    <m/>
    <n v="327"/>
    <n v="68"/>
    <m/>
    <m/>
    <m/>
    <m/>
    <m/>
  </r>
  <r>
    <x v="0"/>
    <x v="0"/>
    <s v="2014_Minnipa"/>
    <n v="8"/>
    <n v="2"/>
    <n v="47"/>
    <n v="4"/>
    <x v="11"/>
    <x v="10"/>
    <s v="GR100"/>
    <n v="646"/>
    <n v="158"/>
    <m/>
    <n v="391"/>
    <n v="73"/>
    <m/>
    <m/>
    <m/>
    <m/>
    <m/>
  </r>
  <r>
    <x v="0"/>
    <x v="0"/>
    <s v="2014_Minnipa"/>
    <n v="8"/>
    <n v="1"/>
    <n v="48"/>
    <n v="4"/>
    <x v="6"/>
    <x v="10"/>
    <s v="GR100"/>
    <n v="664"/>
    <n v="181"/>
    <m/>
    <n v="419"/>
    <n v="56"/>
    <m/>
    <m/>
    <m/>
    <m/>
    <m/>
  </r>
  <r>
    <x v="1"/>
    <x v="0"/>
    <s v="2015_Minnipa"/>
    <n v="1"/>
    <n v="1"/>
    <n v="1"/>
    <n v="1"/>
    <x v="10"/>
    <x v="11"/>
    <s v="N0"/>
    <n v="63"/>
    <n v="25"/>
    <n v="38"/>
    <m/>
    <m/>
    <m/>
    <m/>
    <m/>
    <m/>
    <m/>
  </r>
  <r>
    <x v="1"/>
    <x v="0"/>
    <s v="2015_Minnipa"/>
    <n v="1"/>
    <n v="2"/>
    <n v="2"/>
    <n v="1"/>
    <x v="5"/>
    <x v="11"/>
    <s v="N0"/>
    <n v="40"/>
    <n v="12"/>
    <n v="28"/>
    <m/>
    <m/>
    <m/>
    <m/>
    <m/>
    <m/>
    <m/>
  </r>
  <r>
    <x v="1"/>
    <x v="0"/>
    <s v="2015_Minnipa"/>
    <n v="1"/>
    <n v="3"/>
    <n v="3"/>
    <n v="1"/>
    <x v="11"/>
    <x v="11"/>
    <s v="N0"/>
    <n v="75"/>
    <n v="28"/>
    <n v="47"/>
    <m/>
    <m/>
    <m/>
    <m/>
    <m/>
    <m/>
    <m/>
  </r>
  <r>
    <x v="1"/>
    <x v="0"/>
    <s v="2015_Minnipa"/>
    <n v="1"/>
    <n v="4"/>
    <n v="4"/>
    <n v="1"/>
    <x v="4"/>
    <x v="11"/>
    <s v="N0"/>
    <n v="86"/>
    <n v="33"/>
    <n v="53"/>
    <m/>
    <m/>
    <m/>
    <m/>
    <m/>
    <m/>
    <m/>
  </r>
  <r>
    <x v="1"/>
    <x v="0"/>
    <s v="2015_Minnipa"/>
    <n v="2"/>
    <n v="4"/>
    <n v="5"/>
    <n v="1"/>
    <x v="8"/>
    <x v="11"/>
    <s v="N0"/>
    <n v="78"/>
    <n v="31"/>
    <n v="47"/>
    <m/>
    <m/>
    <m/>
    <m/>
    <m/>
    <m/>
    <m/>
  </r>
  <r>
    <x v="1"/>
    <x v="0"/>
    <s v="2015_Minnipa"/>
    <n v="2"/>
    <n v="3"/>
    <n v="6"/>
    <n v="1"/>
    <x v="2"/>
    <x v="11"/>
    <s v="N0"/>
    <n v="100"/>
    <n v="34"/>
    <n v="66"/>
    <m/>
    <m/>
    <m/>
    <m/>
    <m/>
    <m/>
    <m/>
  </r>
  <r>
    <x v="1"/>
    <x v="0"/>
    <s v="2015_Minnipa"/>
    <n v="2"/>
    <n v="2"/>
    <n v="7"/>
    <n v="1"/>
    <x v="1"/>
    <x v="11"/>
    <s v="N0"/>
    <n v="80"/>
    <n v="36"/>
    <n v="44"/>
    <m/>
    <m/>
    <m/>
    <m/>
    <m/>
    <m/>
    <m/>
  </r>
  <r>
    <x v="1"/>
    <x v="0"/>
    <s v="2015_Minnipa"/>
    <n v="2"/>
    <n v="1"/>
    <n v="8"/>
    <n v="1"/>
    <x v="0"/>
    <x v="11"/>
    <s v="N0"/>
    <n v="91"/>
    <n v="35"/>
    <n v="56"/>
    <m/>
    <m/>
    <m/>
    <m/>
    <m/>
    <m/>
    <m/>
  </r>
  <r>
    <x v="1"/>
    <x v="0"/>
    <s v="2015_Minnipa"/>
    <n v="3"/>
    <n v="1"/>
    <n v="9"/>
    <n v="1"/>
    <x v="9"/>
    <x v="11"/>
    <s v="N0"/>
    <n v="97"/>
    <n v="37"/>
    <n v="60"/>
    <m/>
    <m/>
    <m/>
    <m/>
    <m/>
    <m/>
    <m/>
  </r>
  <r>
    <x v="1"/>
    <x v="0"/>
    <s v="2015_Minnipa"/>
    <n v="3"/>
    <n v="2"/>
    <n v="10"/>
    <n v="1"/>
    <x v="6"/>
    <x v="11"/>
    <s v="N0"/>
    <n v="105"/>
    <n v="46"/>
    <n v="59"/>
    <m/>
    <m/>
    <m/>
    <m/>
    <m/>
    <m/>
    <m/>
  </r>
  <r>
    <x v="1"/>
    <x v="0"/>
    <s v="2015_Minnipa"/>
    <n v="3"/>
    <n v="3"/>
    <n v="11"/>
    <n v="1"/>
    <x v="7"/>
    <x v="11"/>
    <s v="N0"/>
    <n v="64"/>
    <n v="24"/>
    <n v="41"/>
    <m/>
    <m/>
    <m/>
    <m/>
    <m/>
    <m/>
    <m/>
  </r>
  <r>
    <x v="1"/>
    <x v="0"/>
    <s v="2015_Minnipa"/>
    <n v="3"/>
    <n v="4"/>
    <n v="12"/>
    <n v="1"/>
    <x v="3"/>
    <x v="11"/>
    <s v="N0"/>
    <n v="100"/>
    <n v="40"/>
    <n v="60"/>
    <m/>
    <m/>
    <m/>
    <m/>
    <m/>
    <m/>
    <m/>
  </r>
  <r>
    <x v="1"/>
    <x v="0"/>
    <s v="2015_Minnipa"/>
    <n v="4"/>
    <n v="4"/>
    <n v="13"/>
    <n v="2"/>
    <x v="11"/>
    <x v="11"/>
    <s v="N0"/>
    <n v="97"/>
    <n v="47"/>
    <n v="50"/>
    <m/>
    <m/>
    <m/>
    <m/>
    <m/>
    <m/>
    <m/>
  </r>
  <r>
    <x v="1"/>
    <x v="0"/>
    <s v="2015_Minnipa"/>
    <n v="4"/>
    <n v="3"/>
    <n v="14"/>
    <n v="2"/>
    <x v="3"/>
    <x v="11"/>
    <s v="N0"/>
    <n v="95"/>
    <n v="35"/>
    <n v="60"/>
    <m/>
    <m/>
    <m/>
    <m/>
    <m/>
    <m/>
    <m/>
  </r>
  <r>
    <x v="1"/>
    <x v="0"/>
    <s v="2015_Minnipa"/>
    <n v="4"/>
    <n v="2"/>
    <n v="15"/>
    <n v="2"/>
    <x v="9"/>
    <x v="11"/>
    <s v="N0"/>
    <n v="102"/>
    <n v="43"/>
    <n v="59"/>
    <m/>
    <m/>
    <m/>
    <m/>
    <m/>
    <m/>
    <m/>
  </r>
  <r>
    <x v="1"/>
    <x v="0"/>
    <s v="2015_Minnipa"/>
    <n v="4"/>
    <n v="1"/>
    <n v="16"/>
    <n v="2"/>
    <x v="1"/>
    <x v="11"/>
    <s v="N0"/>
    <n v="132"/>
    <n v="57"/>
    <n v="75"/>
    <m/>
    <m/>
    <m/>
    <m/>
    <m/>
    <m/>
    <m/>
  </r>
  <r>
    <x v="1"/>
    <x v="0"/>
    <s v="2015_Minnipa"/>
    <n v="5"/>
    <n v="1"/>
    <n v="17"/>
    <n v="2"/>
    <x v="7"/>
    <x v="11"/>
    <s v="N0"/>
    <n v="99"/>
    <n v="40"/>
    <n v="59"/>
    <m/>
    <m/>
    <m/>
    <m/>
    <m/>
    <m/>
    <m/>
  </r>
  <r>
    <x v="1"/>
    <x v="0"/>
    <s v="2015_Minnipa"/>
    <n v="5"/>
    <n v="2"/>
    <n v="18"/>
    <n v="2"/>
    <x v="8"/>
    <x v="11"/>
    <s v="N0"/>
    <n v="87"/>
    <n v="37"/>
    <n v="50"/>
    <m/>
    <m/>
    <m/>
    <m/>
    <m/>
    <m/>
    <m/>
  </r>
  <r>
    <x v="1"/>
    <x v="0"/>
    <s v="2015_Minnipa"/>
    <n v="5"/>
    <n v="3"/>
    <n v="19"/>
    <n v="2"/>
    <x v="10"/>
    <x v="11"/>
    <s v="N0"/>
    <n v="69"/>
    <n v="25"/>
    <n v="44"/>
    <m/>
    <m/>
    <m/>
    <m/>
    <m/>
    <m/>
    <m/>
  </r>
  <r>
    <x v="1"/>
    <x v="0"/>
    <s v="2015_Minnipa"/>
    <n v="5"/>
    <n v="4"/>
    <n v="20"/>
    <n v="2"/>
    <x v="6"/>
    <x v="11"/>
    <s v="N0"/>
    <n v="66"/>
    <n v="22"/>
    <n v="44"/>
    <m/>
    <m/>
    <m/>
    <m/>
    <m/>
    <m/>
    <m/>
  </r>
  <r>
    <x v="1"/>
    <x v="0"/>
    <s v="2015_Minnipa"/>
    <n v="6"/>
    <n v="4"/>
    <n v="21"/>
    <n v="2"/>
    <x v="0"/>
    <x v="11"/>
    <s v="N0"/>
    <n v="51"/>
    <n v="18"/>
    <n v="34"/>
    <m/>
    <m/>
    <m/>
    <m/>
    <m/>
    <m/>
    <m/>
  </r>
  <r>
    <x v="1"/>
    <x v="0"/>
    <s v="2015_Minnipa"/>
    <n v="6"/>
    <n v="3"/>
    <n v="22"/>
    <n v="2"/>
    <x v="5"/>
    <x v="11"/>
    <s v="N0"/>
    <n v="55"/>
    <n v="21"/>
    <n v="35"/>
    <m/>
    <m/>
    <m/>
    <m/>
    <m/>
    <m/>
    <m/>
  </r>
  <r>
    <x v="1"/>
    <x v="0"/>
    <s v="2015_Minnipa"/>
    <n v="6"/>
    <n v="2"/>
    <n v="23"/>
    <n v="2"/>
    <x v="2"/>
    <x v="11"/>
    <s v="N0"/>
    <n v="65"/>
    <n v="23"/>
    <n v="42"/>
    <m/>
    <m/>
    <m/>
    <m/>
    <m/>
    <m/>
    <m/>
  </r>
  <r>
    <x v="1"/>
    <x v="0"/>
    <s v="2015_Minnipa"/>
    <n v="6"/>
    <n v="1"/>
    <n v="24"/>
    <n v="2"/>
    <x v="4"/>
    <x v="11"/>
    <s v="N0"/>
    <n v="68"/>
    <n v="23"/>
    <n v="44"/>
    <m/>
    <m/>
    <m/>
    <m/>
    <m/>
    <m/>
    <m/>
  </r>
  <r>
    <x v="1"/>
    <x v="0"/>
    <s v="2015_Minnipa"/>
    <n v="7"/>
    <n v="1"/>
    <n v="25"/>
    <n v="3"/>
    <x v="2"/>
    <x v="11"/>
    <s v="N0"/>
    <n v="58"/>
    <n v="18"/>
    <n v="40"/>
    <m/>
    <m/>
    <m/>
    <m/>
    <m/>
    <m/>
    <m/>
  </r>
  <r>
    <x v="1"/>
    <x v="0"/>
    <s v="2015_Minnipa"/>
    <n v="7"/>
    <n v="2"/>
    <n v="26"/>
    <n v="3"/>
    <x v="10"/>
    <x v="11"/>
    <s v="N0"/>
    <n v="79"/>
    <n v="27"/>
    <n v="52"/>
    <m/>
    <m/>
    <m/>
    <m/>
    <m/>
    <m/>
    <m/>
  </r>
  <r>
    <x v="1"/>
    <x v="0"/>
    <s v="2015_Minnipa"/>
    <n v="7"/>
    <n v="3"/>
    <n v="27"/>
    <n v="3"/>
    <x v="0"/>
    <x v="11"/>
    <s v="N0"/>
    <n v="54"/>
    <n v="18"/>
    <n v="36"/>
    <m/>
    <m/>
    <m/>
    <m/>
    <m/>
    <m/>
    <m/>
  </r>
  <r>
    <x v="1"/>
    <x v="0"/>
    <s v="2015_Minnipa"/>
    <n v="7"/>
    <n v="4"/>
    <n v="28"/>
    <n v="3"/>
    <x v="9"/>
    <x v="11"/>
    <s v="N0"/>
    <n v="69"/>
    <n v="26"/>
    <n v="43"/>
    <m/>
    <m/>
    <m/>
    <m/>
    <m/>
    <m/>
    <m/>
  </r>
  <r>
    <x v="1"/>
    <x v="0"/>
    <s v="2015_Minnipa"/>
    <n v="8"/>
    <n v="4"/>
    <n v="29"/>
    <n v="3"/>
    <x v="5"/>
    <x v="11"/>
    <s v="N0"/>
    <n v="38"/>
    <n v="12"/>
    <n v="26"/>
    <m/>
    <m/>
    <m/>
    <m/>
    <m/>
    <m/>
    <m/>
  </r>
  <r>
    <x v="1"/>
    <x v="0"/>
    <s v="2015_Minnipa"/>
    <n v="8"/>
    <n v="3"/>
    <n v="30"/>
    <n v="3"/>
    <x v="8"/>
    <x v="11"/>
    <s v="N0"/>
    <n v="69"/>
    <n v="29"/>
    <n v="41"/>
    <m/>
    <m/>
    <m/>
    <m/>
    <m/>
    <m/>
    <m/>
  </r>
  <r>
    <x v="1"/>
    <x v="0"/>
    <s v="2015_Minnipa"/>
    <n v="8"/>
    <n v="2"/>
    <n v="31"/>
    <n v="3"/>
    <x v="4"/>
    <x v="11"/>
    <s v="N0"/>
    <n v="85"/>
    <n v="32"/>
    <n v="53"/>
    <m/>
    <m/>
    <m/>
    <m/>
    <m/>
    <m/>
    <m/>
  </r>
  <r>
    <x v="1"/>
    <x v="0"/>
    <s v="2015_Minnipa"/>
    <n v="8"/>
    <n v="1"/>
    <n v="32"/>
    <n v="3"/>
    <x v="3"/>
    <x v="11"/>
    <s v="N0"/>
    <n v="108"/>
    <n v="43"/>
    <n v="64"/>
    <m/>
    <m/>
    <m/>
    <m/>
    <m/>
    <m/>
    <m/>
  </r>
  <r>
    <x v="1"/>
    <x v="0"/>
    <s v="2015_Minnipa"/>
    <n v="9"/>
    <n v="1"/>
    <n v="33"/>
    <n v="3"/>
    <x v="6"/>
    <x v="11"/>
    <s v="N0"/>
    <n v="89"/>
    <n v="35"/>
    <n v="53"/>
    <m/>
    <m/>
    <m/>
    <m/>
    <m/>
    <m/>
    <m/>
  </r>
  <r>
    <x v="1"/>
    <x v="0"/>
    <s v="2015_Minnipa"/>
    <n v="9"/>
    <n v="2"/>
    <n v="34"/>
    <n v="3"/>
    <x v="11"/>
    <x v="11"/>
    <s v="N0"/>
    <n v="122"/>
    <n v="46"/>
    <n v="76"/>
    <m/>
    <m/>
    <m/>
    <m/>
    <m/>
    <m/>
    <m/>
  </r>
  <r>
    <x v="1"/>
    <x v="0"/>
    <s v="2015_Minnipa"/>
    <n v="9"/>
    <n v="3"/>
    <n v="35"/>
    <n v="3"/>
    <x v="1"/>
    <x v="11"/>
    <s v="N0"/>
    <n v="123"/>
    <n v="50"/>
    <n v="71"/>
    <m/>
    <m/>
    <m/>
    <m/>
    <m/>
    <m/>
    <m/>
  </r>
  <r>
    <x v="1"/>
    <x v="0"/>
    <s v="2015_Minnipa"/>
    <n v="9"/>
    <n v="4"/>
    <n v="36"/>
    <n v="3"/>
    <x v="7"/>
    <x v="11"/>
    <s v="N0"/>
    <n v="81"/>
    <n v="31"/>
    <n v="50"/>
    <m/>
    <m/>
    <m/>
    <m/>
    <m/>
    <m/>
    <m/>
  </r>
  <r>
    <x v="1"/>
    <x v="0"/>
    <s v="2015_Minnipa"/>
    <n v="10"/>
    <n v="4"/>
    <n v="37"/>
    <n v="4"/>
    <x v="2"/>
    <x v="11"/>
    <s v="N0"/>
    <n v="73"/>
    <n v="30"/>
    <n v="43"/>
    <m/>
    <m/>
    <m/>
    <m/>
    <m/>
    <m/>
    <m/>
  </r>
  <r>
    <x v="1"/>
    <x v="0"/>
    <s v="2015_Minnipa"/>
    <n v="10"/>
    <n v="3"/>
    <n v="38"/>
    <n v="4"/>
    <x v="6"/>
    <x v="11"/>
    <s v="N0"/>
    <n v="73"/>
    <n v="27"/>
    <n v="46"/>
    <m/>
    <m/>
    <m/>
    <m/>
    <m/>
    <m/>
    <m/>
  </r>
  <r>
    <x v="1"/>
    <x v="0"/>
    <s v="2015_Minnipa"/>
    <n v="10"/>
    <n v="2"/>
    <n v="39"/>
    <n v="4"/>
    <x v="7"/>
    <x v="11"/>
    <s v="N0"/>
    <n v="62"/>
    <n v="24"/>
    <n v="38"/>
    <m/>
    <m/>
    <m/>
    <m/>
    <m/>
    <m/>
    <m/>
  </r>
  <r>
    <x v="1"/>
    <x v="0"/>
    <s v="2015_Minnipa"/>
    <n v="10"/>
    <n v="1"/>
    <n v="40"/>
    <n v="4"/>
    <x v="5"/>
    <x v="11"/>
    <s v="N0"/>
    <n v="78"/>
    <n v="28"/>
    <n v="49"/>
    <m/>
    <m/>
    <m/>
    <m/>
    <m/>
    <m/>
    <m/>
  </r>
  <r>
    <x v="1"/>
    <x v="0"/>
    <s v="2015_Minnipa"/>
    <n v="11"/>
    <n v="1"/>
    <n v="41"/>
    <n v="4"/>
    <x v="11"/>
    <x v="11"/>
    <s v="N0"/>
    <n v="66"/>
    <n v="24"/>
    <n v="42"/>
    <m/>
    <m/>
    <m/>
    <m/>
    <m/>
    <m/>
    <m/>
  </r>
  <r>
    <x v="1"/>
    <x v="0"/>
    <s v="2015_Minnipa"/>
    <n v="11"/>
    <n v="2"/>
    <n v="42"/>
    <n v="4"/>
    <x v="0"/>
    <x v="11"/>
    <s v="N0"/>
    <n v="61"/>
    <n v="17"/>
    <n v="44"/>
    <m/>
    <m/>
    <m/>
    <m/>
    <m/>
    <m/>
    <m/>
  </r>
  <r>
    <x v="1"/>
    <x v="0"/>
    <s v="2015_Minnipa"/>
    <n v="11"/>
    <n v="3"/>
    <n v="43"/>
    <n v="4"/>
    <x v="4"/>
    <x v="11"/>
    <s v="N0"/>
    <n v="120"/>
    <n v="50"/>
    <n v="70"/>
    <m/>
    <m/>
    <m/>
    <m/>
    <m/>
    <m/>
    <m/>
  </r>
  <r>
    <x v="1"/>
    <x v="0"/>
    <s v="2015_Minnipa"/>
    <n v="11"/>
    <n v="4"/>
    <n v="44"/>
    <n v="4"/>
    <x v="1"/>
    <x v="11"/>
    <s v="N0"/>
    <n v="133"/>
    <n v="57"/>
    <n v="76"/>
    <m/>
    <m/>
    <m/>
    <m/>
    <m/>
    <m/>
    <m/>
  </r>
  <r>
    <x v="1"/>
    <x v="0"/>
    <s v="2015_Minnipa"/>
    <n v="12"/>
    <n v="4"/>
    <n v="45"/>
    <n v="4"/>
    <x v="10"/>
    <x v="11"/>
    <s v="N0"/>
    <n v="77"/>
    <n v="25"/>
    <n v="52"/>
    <m/>
    <m/>
    <m/>
    <m/>
    <m/>
    <m/>
    <m/>
  </r>
  <r>
    <x v="1"/>
    <x v="0"/>
    <s v="2015_Minnipa"/>
    <n v="12"/>
    <n v="3"/>
    <n v="46"/>
    <n v="4"/>
    <x v="9"/>
    <x v="11"/>
    <s v="N0"/>
    <n v="120"/>
    <n v="40"/>
    <n v="80"/>
    <m/>
    <m/>
    <m/>
    <m/>
    <m/>
    <m/>
    <m/>
  </r>
  <r>
    <x v="1"/>
    <x v="0"/>
    <s v="2015_Minnipa"/>
    <n v="12"/>
    <n v="2"/>
    <n v="47"/>
    <n v="4"/>
    <x v="3"/>
    <x v="11"/>
    <s v="N0"/>
    <n v="69"/>
    <n v="24"/>
    <n v="44"/>
    <m/>
    <m/>
    <m/>
    <m/>
    <m/>
    <m/>
    <m/>
  </r>
  <r>
    <x v="1"/>
    <x v="0"/>
    <s v="2015_Minnipa"/>
    <n v="12"/>
    <n v="1"/>
    <n v="48"/>
    <n v="4"/>
    <x v="8"/>
    <x v="11"/>
    <s v="N0"/>
    <n v="75"/>
    <n v="30"/>
    <n v="45"/>
    <m/>
    <m/>
    <m/>
    <m/>
    <m/>
    <m/>
    <m/>
  </r>
  <r>
    <x v="1"/>
    <x v="0"/>
    <s v="2015_Minnipa"/>
    <n v="1"/>
    <n v="1"/>
    <n v="1"/>
    <n v="1"/>
    <x v="10"/>
    <x v="12"/>
    <s v="N2"/>
    <n v="98"/>
    <n v="33"/>
    <n v="64"/>
    <m/>
    <m/>
    <m/>
    <m/>
    <m/>
    <m/>
    <m/>
  </r>
  <r>
    <x v="1"/>
    <x v="0"/>
    <s v="2015_Minnipa"/>
    <n v="1"/>
    <n v="2"/>
    <n v="2"/>
    <n v="1"/>
    <x v="5"/>
    <x v="12"/>
    <s v="N2"/>
    <n v="78"/>
    <n v="20"/>
    <n v="59"/>
    <m/>
    <m/>
    <m/>
    <m/>
    <m/>
    <m/>
    <m/>
  </r>
  <r>
    <x v="1"/>
    <x v="0"/>
    <s v="2015_Minnipa"/>
    <n v="1"/>
    <n v="3"/>
    <n v="3"/>
    <n v="1"/>
    <x v="11"/>
    <x v="12"/>
    <s v="N2"/>
    <n v="74"/>
    <n v="19"/>
    <n v="55"/>
    <m/>
    <m/>
    <m/>
    <m/>
    <m/>
    <m/>
    <m/>
  </r>
  <r>
    <x v="1"/>
    <x v="0"/>
    <s v="2015_Minnipa"/>
    <n v="1"/>
    <n v="4"/>
    <n v="4"/>
    <n v="1"/>
    <x v="4"/>
    <x v="12"/>
    <s v="N2"/>
    <n v="87"/>
    <n v="19"/>
    <n v="68"/>
    <m/>
    <m/>
    <m/>
    <m/>
    <m/>
    <m/>
    <m/>
  </r>
  <r>
    <x v="1"/>
    <x v="0"/>
    <s v="2015_Minnipa"/>
    <n v="2"/>
    <n v="4"/>
    <n v="5"/>
    <n v="1"/>
    <x v="8"/>
    <x v="12"/>
    <s v="N2"/>
    <n v="135"/>
    <n v="52"/>
    <n v="83"/>
    <m/>
    <m/>
    <m/>
    <m/>
    <m/>
    <m/>
    <m/>
  </r>
  <r>
    <x v="1"/>
    <x v="0"/>
    <s v="2015_Minnipa"/>
    <n v="2"/>
    <n v="3"/>
    <n v="6"/>
    <n v="1"/>
    <x v="2"/>
    <x v="12"/>
    <s v="N2"/>
    <n v="141"/>
    <n v="48"/>
    <n v="93"/>
    <m/>
    <m/>
    <m/>
    <m/>
    <m/>
    <m/>
    <m/>
  </r>
  <r>
    <x v="1"/>
    <x v="0"/>
    <s v="2015_Minnipa"/>
    <n v="2"/>
    <n v="2"/>
    <n v="7"/>
    <n v="1"/>
    <x v="1"/>
    <x v="12"/>
    <s v="N2"/>
    <n v="146"/>
    <n v="50"/>
    <n v="96"/>
    <m/>
    <m/>
    <m/>
    <m/>
    <m/>
    <m/>
    <m/>
  </r>
  <r>
    <x v="1"/>
    <x v="0"/>
    <s v="2015_Minnipa"/>
    <n v="2"/>
    <n v="1"/>
    <n v="8"/>
    <n v="1"/>
    <x v="0"/>
    <x v="12"/>
    <s v="N2"/>
    <n v="118"/>
    <n v="50"/>
    <n v="68"/>
    <m/>
    <m/>
    <m/>
    <m/>
    <m/>
    <m/>
    <m/>
  </r>
  <r>
    <x v="1"/>
    <x v="0"/>
    <s v="2015_Minnipa"/>
    <n v="3"/>
    <n v="1"/>
    <n v="9"/>
    <n v="1"/>
    <x v="9"/>
    <x v="12"/>
    <s v="N2"/>
    <n v="127"/>
    <n v="42"/>
    <n v="85"/>
    <m/>
    <m/>
    <m/>
    <m/>
    <m/>
    <m/>
    <m/>
  </r>
  <r>
    <x v="1"/>
    <x v="0"/>
    <s v="2015_Minnipa"/>
    <n v="3"/>
    <n v="2"/>
    <n v="10"/>
    <n v="1"/>
    <x v="6"/>
    <x v="12"/>
    <s v="N2"/>
    <n v="148"/>
    <n v="58"/>
    <n v="90"/>
    <m/>
    <m/>
    <m/>
    <m/>
    <m/>
    <m/>
    <m/>
  </r>
  <r>
    <x v="1"/>
    <x v="0"/>
    <s v="2015_Minnipa"/>
    <n v="3"/>
    <n v="3"/>
    <n v="11"/>
    <n v="1"/>
    <x v="7"/>
    <x v="12"/>
    <s v="N2"/>
    <n v="123"/>
    <n v="30"/>
    <n v="93"/>
    <m/>
    <m/>
    <m/>
    <m/>
    <m/>
    <m/>
    <m/>
  </r>
  <r>
    <x v="1"/>
    <x v="0"/>
    <s v="2015_Minnipa"/>
    <n v="3"/>
    <n v="4"/>
    <n v="12"/>
    <n v="1"/>
    <x v="3"/>
    <x v="12"/>
    <s v="N2"/>
    <n v="167"/>
    <n v="63"/>
    <n v="104"/>
    <m/>
    <m/>
    <m/>
    <m/>
    <m/>
    <m/>
    <m/>
  </r>
  <r>
    <x v="1"/>
    <x v="0"/>
    <s v="2015_Minnipa"/>
    <n v="4"/>
    <n v="4"/>
    <n v="13"/>
    <n v="2"/>
    <x v="11"/>
    <x v="12"/>
    <s v="N2"/>
    <n v="162"/>
    <n v="81"/>
    <n v="81"/>
    <m/>
    <m/>
    <m/>
    <m/>
    <m/>
    <m/>
    <m/>
  </r>
  <r>
    <x v="1"/>
    <x v="0"/>
    <s v="2015_Minnipa"/>
    <n v="4"/>
    <n v="3"/>
    <n v="14"/>
    <n v="2"/>
    <x v="3"/>
    <x v="12"/>
    <s v="N2"/>
    <n v="146"/>
    <n v="55"/>
    <n v="91"/>
    <m/>
    <m/>
    <m/>
    <m/>
    <m/>
    <m/>
    <m/>
  </r>
  <r>
    <x v="1"/>
    <x v="0"/>
    <s v="2015_Minnipa"/>
    <n v="4"/>
    <n v="2"/>
    <n v="15"/>
    <n v="2"/>
    <x v="9"/>
    <x v="12"/>
    <s v="N2"/>
    <n v="164"/>
    <n v="63"/>
    <n v="101"/>
    <m/>
    <m/>
    <m/>
    <m/>
    <m/>
    <m/>
    <m/>
  </r>
  <r>
    <x v="1"/>
    <x v="0"/>
    <s v="2015_Minnipa"/>
    <n v="4"/>
    <n v="1"/>
    <n v="16"/>
    <n v="2"/>
    <x v="1"/>
    <x v="12"/>
    <s v="N2"/>
    <n v="139"/>
    <n v="57"/>
    <n v="81"/>
    <m/>
    <m/>
    <m/>
    <m/>
    <m/>
    <m/>
    <m/>
  </r>
  <r>
    <x v="1"/>
    <x v="0"/>
    <s v="2015_Minnipa"/>
    <n v="5"/>
    <n v="1"/>
    <n v="17"/>
    <n v="2"/>
    <x v="7"/>
    <x v="12"/>
    <s v="N2"/>
    <n v="143"/>
    <n v="47"/>
    <n v="95"/>
    <m/>
    <m/>
    <m/>
    <m/>
    <m/>
    <m/>
    <m/>
  </r>
  <r>
    <x v="1"/>
    <x v="0"/>
    <s v="2015_Minnipa"/>
    <n v="5"/>
    <n v="2"/>
    <n v="18"/>
    <n v="2"/>
    <x v="8"/>
    <x v="12"/>
    <s v="N2"/>
    <n v="122"/>
    <n v="43"/>
    <n v="79"/>
    <m/>
    <m/>
    <m/>
    <m/>
    <m/>
    <m/>
    <m/>
  </r>
  <r>
    <x v="1"/>
    <x v="0"/>
    <s v="2015_Minnipa"/>
    <n v="5"/>
    <n v="3"/>
    <n v="19"/>
    <n v="2"/>
    <x v="10"/>
    <x v="12"/>
    <s v="N2"/>
    <n v="135"/>
    <n v="45"/>
    <n v="90"/>
    <m/>
    <m/>
    <m/>
    <m/>
    <m/>
    <m/>
    <m/>
  </r>
  <r>
    <x v="1"/>
    <x v="0"/>
    <s v="2015_Minnipa"/>
    <n v="5"/>
    <n v="4"/>
    <n v="20"/>
    <n v="2"/>
    <x v="6"/>
    <x v="12"/>
    <s v="N2"/>
    <n v="143"/>
    <n v="54"/>
    <n v="90"/>
    <m/>
    <m/>
    <m/>
    <m/>
    <m/>
    <m/>
    <m/>
  </r>
  <r>
    <x v="1"/>
    <x v="0"/>
    <s v="2015_Minnipa"/>
    <n v="6"/>
    <n v="4"/>
    <n v="21"/>
    <n v="2"/>
    <x v="0"/>
    <x v="12"/>
    <s v="N2"/>
    <n v="81"/>
    <n v="21"/>
    <n v="60"/>
    <m/>
    <m/>
    <m/>
    <m/>
    <m/>
    <m/>
    <m/>
  </r>
  <r>
    <x v="1"/>
    <x v="0"/>
    <s v="2015_Minnipa"/>
    <n v="6"/>
    <n v="3"/>
    <n v="22"/>
    <n v="2"/>
    <x v="5"/>
    <x v="12"/>
    <s v="N2"/>
    <n v="155"/>
    <n v="56"/>
    <n v="99"/>
    <m/>
    <m/>
    <m/>
    <m/>
    <m/>
    <m/>
    <m/>
  </r>
  <r>
    <x v="1"/>
    <x v="0"/>
    <s v="2015_Minnipa"/>
    <n v="6"/>
    <n v="2"/>
    <n v="23"/>
    <n v="2"/>
    <x v="2"/>
    <x v="12"/>
    <s v="N2"/>
    <n v="126"/>
    <n v="37"/>
    <n v="90"/>
    <m/>
    <m/>
    <m/>
    <m/>
    <m/>
    <m/>
    <m/>
  </r>
  <r>
    <x v="1"/>
    <x v="0"/>
    <s v="2015_Minnipa"/>
    <n v="6"/>
    <n v="1"/>
    <n v="24"/>
    <n v="2"/>
    <x v="4"/>
    <x v="12"/>
    <s v="N2"/>
    <n v="123"/>
    <n v="45"/>
    <n v="78"/>
    <m/>
    <m/>
    <m/>
    <m/>
    <m/>
    <m/>
    <m/>
  </r>
  <r>
    <x v="1"/>
    <x v="0"/>
    <s v="2015_Minnipa"/>
    <n v="7"/>
    <n v="1"/>
    <n v="25"/>
    <n v="3"/>
    <x v="2"/>
    <x v="12"/>
    <s v="N2"/>
    <n v="94"/>
    <n v="31"/>
    <n v="63"/>
    <m/>
    <m/>
    <m/>
    <m/>
    <m/>
    <m/>
    <m/>
  </r>
  <r>
    <x v="1"/>
    <x v="0"/>
    <s v="2015_Minnipa"/>
    <n v="7"/>
    <n v="2"/>
    <n v="26"/>
    <n v="3"/>
    <x v="10"/>
    <x v="12"/>
    <s v="N2"/>
    <n v="123"/>
    <n v="40"/>
    <n v="83"/>
    <m/>
    <m/>
    <m/>
    <m/>
    <m/>
    <m/>
    <m/>
  </r>
  <r>
    <x v="1"/>
    <x v="0"/>
    <s v="2015_Minnipa"/>
    <n v="7"/>
    <n v="3"/>
    <n v="27"/>
    <n v="3"/>
    <x v="0"/>
    <x v="12"/>
    <s v="N2"/>
    <n v="113"/>
    <n v="25"/>
    <n v="88"/>
    <m/>
    <m/>
    <m/>
    <m/>
    <m/>
    <m/>
    <m/>
  </r>
  <r>
    <x v="1"/>
    <x v="0"/>
    <s v="2015_Minnipa"/>
    <n v="7"/>
    <n v="4"/>
    <n v="28"/>
    <n v="3"/>
    <x v="9"/>
    <x v="12"/>
    <s v="N2"/>
    <n v="139"/>
    <n v="38"/>
    <n v="101"/>
    <m/>
    <m/>
    <m/>
    <m/>
    <m/>
    <m/>
    <m/>
  </r>
  <r>
    <x v="1"/>
    <x v="0"/>
    <s v="2015_Minnipa"/>
    <n v="8"/>
    <n v="4"/>
    <n v="29"/>
    <n v="3"/>
    <x v="5"/>
    <x v="12"/>
    <s v="N2"/>
    <n v="113"/>
    <n v="27"/>
    <n v="86"/>
    <m/>
    <m/>
    <m/>
    <m/>
    <m/>
    <m/>
    <m/>
  </r>
  <r>
    <x v="1"/>
    <x v="0"/>
    <s v="2015_Minnipa"/>
    <n v="8"/>
    <n v="3"/>
    <n v="30"/>
    <n v="3"/>
    <x v="8"/>
    <x v="12"/>
    <s v="N2"/>
    <n v="78"/>
    <n v="30"/>
    <n v="48"/>
    <m/>
    <m/>
    <m/>
    <m/>
    <m/>
    <m/>
    <m/>
  </r>
  <r>
    <x v="1"/>
    <x v="0"/>
    <s v="2015_Minnipa"/>
    <n v="8"/>
    <n v="2"/>
    <n v="31"/>
    <n v="3"/>
    <x v="4"/>
    <x v="12"/>
    <s v="N2"/>
    <n v="190"/>
    <n v="50"/>
    <n v="140"/>
    <m/>
    <m/>
    <m/>
    <m/>
    <m/>
    <m/>
    <m/>
  </r>
  <r>
    <x v="1"/>
    <x v="0"/>
    <s v="2015_Minnipa"/>
    <n v="8"/>
    <n v="1"/>
    <n v="32"/>
    <n v="3"/>
    <x v="3"/>
    <x v="12"/>
    <s v="N2"/>
    <n v="105"/>
    <n v="32"/>
    <n v="74"/>
    <m/>
    <m/>
    <m/>
    <m/>
    <m/>
    <m/>
    <m/>
  </r>
  <r>
    <x v="1"/>
    <x v="0"/>
    <s v="2015_Minnipa"/>
    <n v="9"/>
    <n v="1"/>
    <n v="33"/>
    <n v="3"/>
    <x v="6"/>
    <x v="12"/>
    <s v="N2"/>
    <n v="113"/>
    <n v="31"/>
    <n v="83"/>
    <m/>
    <m/>
    <m/>
    <m/>
    <m/>
    <m/>
    <m/>
  </r>
  <r>
    <x v="1"/>
    <x v="0"/>
    <s v="2015_Minnipa"/>
    <n v="9"/>
    <n v="2"/>
    <n v="34"/>
    <n v="3"/>
    <x v="11"/>
    <x v="12"/>
    <s v="N2"/>
    <n v="233"/>
    <n v="89"/>
    <n v="145"/>
    <m/>
    <m/>
    <m/>
    <m/>
    <m/>
    <m/>
    <m/>
  </r>
  <r>
    <x v="1"/>
    <x v="0"/>
    <s v="2015_Minnipa"/>
    <n v="9"/>
    <n v="3"/>
    <n v="35"/>
    <n v="3"/>
    <x v="1"/>
    <x v="12"/>
    <s v="N2"/>
    <n v="189"/>
    <n v="74"/>
    <n v="115"/>
    <m/>
    <m/>
    <m/>
    <m/>
    <m/>
    <m/>
    <m/>
  </r>
  <r>
    <x v="1"/>
    <x v="0"/>
    <s v="2015_Minnipa"/>
    <n v="9"/>
    <n v="4"/>
    <n v="36"/>
    <n v="3"/>
    <x v="7"/>
    <x v="12"/>
    <s v="N2"/>
    <n v="80"/>
    <n v="26"/>
    <n v="54"/>
    <m/>
    <m/>
    <m/>
    <m/>
    <m/>
    <m/>
    <m/>
  </r>
  <r>
    <x v="1"/>
    <x v="0"/>
    <s v="2015_Minnipa"/>
    <n v="10"/>
    <n v="4"/>
    <n v="37"/>
    <n v="4"/>
    <x v="2"/>
    <x v="12"/>
    <s v="N2"/>
    <n v="101"/>
    <n v="28"/>
    <n v="73"/>
    <m/>
    <m/>
    <m/>
    <m/>
    <m/>
    <m/>
    <m/>
  </r>
  <r>
    <x v="1"/>
    <x v="0"/>
    <s v="2015_Minnipa"/>
    <n v="10"/>
    <n v="3"/>
    <n v="38"/>
    <n v="4"/>
    <x v="6"/>
    <x v="12"/>
    <s v="N2"/>
    <n v="88"/>
    <n v="22"/>
    <n v="65"/>
    <m/>
    <m/>
    <m/>
    <m/>
    <m/>
    <m/>
    <m/>
  </r>
  <r>
    <x v="1"/>
    <x v="0"/>
    <s v="2015_Minnipa"/>
    <n v="10"/>
    <n v="2"/>
    <n v="39"/>
    <n v="4"/>
    <x v="7"/>
    <x v="12"/>
    <s v="N2"/>
    <n v="130"/>
    <n v="43"/>
    <n v="87"/>
    <m/>
    <m/>
    <m/>
    <m/>
    <m/>
    <m/>
    <m/>
  </r>
  <r>
    <x v="1"/>
    <x v="0"/>
    <s v="2015_Minnipa"/>
    <n v="10"/>
    <n v="1"/>
    <n v="40"/>
    <n v="4"/>
    <x v="5"/>
    <x v="12"/>
    <s v="N2"/>
    <n v="112"/>
    <n v="34"/>
    <n v="78"/>
    <m/>
    <m/>
    <m/>
    <m/>
    <m/>
    <m/>
    <m/>
  </r>
  <r>
    <x v="1"/>
    <x v="0"/>
    <s v="2015_Minnipa"/>
    <n v="11"/>
    <n v="1"/>
    <n v="41"/>
    <n v="4"/>
    <x v="11"/>
    <x v="12"/>
    <s v="N2"/>
    <n v="124"/>
    <n v="31"/>
    <n v="94"/>
    <m/>
    <m/>
    <m/>
    <m/>
    <m/>
    <m/>
    <m/>
  </r>
  <r>
    <x v="1"/>
    <x v="0"/>
    <s v="2015_Minnipa"/>
    <n v="11"/>
    <n v="2"/>
    <n v="42"/>
    <n v="4"/>
    <x v="0"/>
    <x v="12"/>
    <s v="N2"/>
    <n v="121"/>
    <n v="23"/>
    <n v="99"/>
    <m/>
    <m/>
    <m/>
    <m/>
    <m/>
    <m/>
    <m/>
  </r>
  <r>
    <x v="1"/>
    <x v="0"/>
    <s v="2015_Minnipa"/>
    <n v="11"/>
    <n v="3"/>
    <n v="43"/>
    <n v="4"/>
    <x v="4"/>
    <x v="12"/>
    <s v="N2"/>
    <n v="196"/>
    <n v="63"/>
    <n v="133"/>
    <m/>
    <m/>
    <m/>
    <m/>
    <m/>
    <m/>
    <m/>
  </r>
  <r>
    <x v="1"/>
    <x v="0"/>
    <s v="2015_Minnipa"/>
    <n v="11"/>
    <n v="4"/>
    <n v="44"/>
    <n v="4"/>
    <x v="1"/>
    <x v="12"/>
    <s v="N2"/>
    <n v="166"/>
    <n v="77"/>
    <n v="89"/>
    <m/>
    <m/>
    <m/>
    <m/>
    <m/>
    <m/>
    <m/>
  </r>
  <r>
    <x v="1"/>
    <x v="0"/>
    <s v="2015_Minnipa"/>
    <n v="12"/>
    <n v="4"/>
    <n v="45"/>
    <n v="4"/>
    <x v="10"/>
    <x v="12"/>
    <s v="N2"/>
    <n v="147"/>
    <n v="47"/>
    <n v="99"/>
    <m/>
    <m/>
    <m/>
    <m/>
    <m/>
    <m/>
    <m/>
  </r>
  <r>
    <x v="1"/>
    <x v="0"/>
    <s v="2015_Minnipa"/>
    <n v="12"/>
    <n v="3"/>
    <n v="46"/>
    <n v="4"/>
    <x v="9"/>
    <x v="12"/>
    <s v="N2"/>
    <n v="217"/>
    <n v="76"/>
    <n v="141"/>
    <m/>
    <m/>
    <m/>
    <m/>
    <m/>
    <m/>
    <m/>
  </r>
  <r>
    <x v="1"/>
    <x v="0"/>
    <s v="2015_Minnipa"/>
    <n v="12"/>
    <n v="2"/>
    <n v="47"/>
    <n v="4"/>
    <x v="3"/>
    <x v="12"/>
    <s v="N2"/>
    <n v="100"/>
    <n v="28"/>
    <n v="72"/>
    <m/>
    <m/>
    <m/>
    <m/>
    <m/>
    <m/>
    <m/>
  </r>
  <r>
    <x v="1"/>
    <x v="0"/>
    <s v="2015_Minnipa"/>
    <n v="12"/>
    <n v="1"/>
    <n v="48"/>
    <n v="4"/>
    <x v="8"/>
    <x v="12"/>
    <s v="N2"/>
    <n v="117"/>
    <n v="38"/>
    <n v="79"/>
    <m/>
    <m/>
    <m/>
    <m/>
    <m/>
    <m/>
    <m/>
  </r>
  <r>
    <x v="1"/>
    <x v="0"/>
    <s v="2015_Minnipa"/>
    <n v="1"/>
    <n v="1"/>
    <n v="1"/>
    <n v="1"/>
    <x v="10"/>
    <x v="13"/>
    <s v="F1"/>
    <n v="316"/>
    <n v="182"/>
    <n v="123"/>
    <m/>
    <n v="10.3"/>
    <m/>
    <m/>
    <m/>
    <m/>
    <m/>
  </r>
  <r>
    <x v="1"/>
    <x v="0"/>
    <s v="2015_Minnipa"/>
    <n v="1"/>
    <n v="2"/>
    <n v="2"/>
    <n v="1"/>
    <x v="5"/>
    <x v="13"/>
    <s v="F1"/>
    <n v="262"/>
    <n v="136"/>
    <n v="120"/>
    <m/>
    <n v="6.4"/>
    <m/>
    <m/>
    <m/>
    <m/>
    <m/>
  </r>
  <r>
    <x v="1"/>
    <x v="0"/>
    <s v="2015_Minnipa"/>
    <n v="1"/>
    <n v="3"/>
    <n v="3"/>
    <n v="1"/>
    <x v="11"/>
    <x v="13"/>
    <s v="F1"/>
    <n v="256"/>
    <n v="138"/>
    <n v="116"/>
    <m/>
    <n v="2.4"/>
    <m/>
    <m/>
    <m/>
    <m/>
    <m/>
  </r>
  <r>
    <x v="1"/>
    <x v="0"/>
    <s v="2015_Minnipa"/>
    <n v="1"/>
    <n v="4"/>
    <n v="4"/>
    <n v="1"/>
    <x v="4"/>
    <x v="13"/>
    <s v="F1"/>
    <n v="250"/>
    <n v="132"/>
    <n v="107"/>
    <m/>
    <n v="10.6"/>
    <m/>
    <m/>
    <m/>
    <m/>
    <m/>
  </r>
  <r>
    <x v="1"/>
    <x v="0"/>
    <s v="2015_Minnipa"/>
    <n v="2"/>
    <n v="4"/>
    <n v="5"/>
    <n v="1"/>
    <x v="8"/>
    <x v="13"/>
    <s v="F1"/>
    <n v="352"/>
    <n v="199"/>
    <n v="150"/>
    <m/>
    <n v="3"/>
    <m/>
    <m/>
    <m/>
    <m/>
    <m/>
  </r>
  <r>
    <x v="1"/>
    <x v="0"/>
    <s v="2015_Minnipa"/>
    <n v="2"/>
    <n v="3"/>
    <n v="6"/>
    <n v="1"/>
    <x v="2"/>
    <x v="13"/>
    <s v="F1"/>
    <n v="452"/>
    <n v="393"/>
    <n v="56"/>
    <m/>
    <n v="3.3"/>
    <m/>
    <m/>
    <m/>
    <m/>
    <m/>
  </r>
  <r>
    <x v="1"/>
    <x v="0"/>
    <s v="2015_Minnipa"/>
    <n v="2"/>
    <n v="2"/>
    <n v="7"/>
    <n v="1"/>
    <x v="1"/>
    <x v="13"/>
    <s v="F1"/>
    <n v="399"/>
    <n v="214"/>
    <n v="170"/>
    <m/>
    <n v="14.7"/>
    <m/>
    <m/>
    <m/>
    <m/>
    <m/>
  </r>
  <r>
    <x v="1"/>
    <x v="0"/>
    <s v="2015_Minnipa"/>
    <n v="2"/>
    <n v="1"/>
    <n v="8"/>
    <n v="1"/>
    <x v="0"/>
    <x v="13"/>
    <s v="F1"/>
    <n v="430"/>
    <n v="239"/>
    <n v="182"/>
    <m/>
    <n v="9.4"/>
    <m/>
    <m/>
    <m/>
    <m/>
    <m/>
  </r>
  <r>
    <x v="1"/>
    <x v="0"/>
    <s v="2015_Minnipa"/>
    <n v="3"/>
    <n v="1"/>
    <n v="9"/>
    <n v="1"/>
    <x v="9"/>
    <x v="13"/>
    <s v="F1"/>
    <n v="348"/>
    <n v="207"/>
    <n v="137"/>
    <m/>
    <n v="3.8"/>
    <m/>
    <m/>
    <m/>
    <m/>
    <m/>
  </r>
  <r>
    <x v="1"/>
    <x v="0"/>
    <s v="2015_Minnipa"/>
    <n v="3"/>
    <n v="2"/>
    <n v="10"/>
    <n v="1"/>
    <x v="6"/>
    <x v="13"/>
    <s v="F1"/>
    <n v="319"/>
    <n v="195"/>
    <n v="114"/>
    <m/>
    <n v="9.6"/>
    <m/>
    <m/>
    <m/>
    <m/>
    <m/>
  </r>
  <r>
    <x v="1"/>
    <x v="0"/>
    <s v="2015_Minnipa"/>
    <n v="3"/>
    <n v="3"/>
    <n v="11"/>
    <n v="1"/>
    <x v="7"/>
    <x v="13"/>
    <s v="F1"/>
    <n v="319"/>
    <n v="172"/>
    <n v="143"/>
    <m/>
    <n v="4.8"/>
    <m/>
    <m/>
    <m/>
    <m/>
    <m/>
  </r>
  <r>
    <x v="1"/>
    <x v="0"/>
    <s v="2015_Minnipa"/>
    <n v="3"/>
    <n v="4"/>
    <n v="12"/>
    <n v="1"/>
    <x v="3"/>
    <x v="13"/>
    <s v="F1"/>
    <n v="419"/>
    <n v="228"/>
    <n v="177"/>
    <m/>
    <n v="14.9"/>
    <m/>
    <m/>
    <m/>
    <m/>
    <m/>
  </r>
  <r>
    <x v="1"/>
    <x v="0"/>
    <s v="2015_Minnipa"/>
    <n v="4"/>
    <n v="4"/>
    <n v="13"/>
    <n v="2"/>
    <x v="11"/>
    <x v="13"/>
    <s v="F1"/>
    <n v="456"/>
    <n v="325"/>
    <n v="118"/>
    <m/>
    <n v="12.3"/>
    <m/>
    <m/>
    <m/>
    <m/>
    <m/>
  </r>
  <r>
    <x v="1"/>
    <x v="0"/>
    <s v="2015_Minnipa"/>
    <n v="4"/>
    <n v="3"/>
    <n v="14"/>
    <n v="2"/>
    <x v="3"/>
    <x v="13"/>
    <s v="F1"/>
    <n v="426"/>
    <n v="254"/>
    <n v="157"/>
    <m/>
    <n v="15.7"/>
    <m/>
    <m/>
    <m/>
    <m/>
    <m/>
  </r>
  <r>
    <x v="1"/>
    <x v="0"/>
    <s v="2015_Minnipa"/>
    <n v="4"/>
    <n v="2"/>
    <n v="15"/>
    <n v="2"/>
    <x v="9"/>
    <x v="13"/>
    <s v="F1"/>
    <n v="477"/>
    <n v="332"/>
    <n v="142"/>
    <m/>
    <n v="3"/>
    <m/>
    <m/>
    <m/>
    <m/>
    <m/>
  </r>
  <r>
    <x v="1"/>
    <x v="0"/>
    <s v="2015_Minnipa"/>
    <n v="4"/>
    <n v="1"/>
    <n v="16"/>
    <n v="2"/>
    <x v="1"/>
    <x v="13"/>
    <s v="F1"/>
    <n v="449"/>
    <n v="273"/>
    <n v="173"/>
    <m/>
    <n v="3.2"/>
    <m/>
    <m/>
    <m/>
    <m/>
    <m/>
  </r>
  <r>
    <x v="1"/>
    <x v="0"/>
    <s v="2015_Minnipa"/>
    <n v="5"/>
    <n v="1"/>
    <n v="17"/>
    <n v="2"/>
    <x v="7"/>
    <x v="13"/>
    <s v="F1"/>
    <n v="410"/>
    <n v="248"/>
    <n v="156"/>
    <m/>
    <n v="5.5"/>
    <m/>
    <m/>
    <m/>
    <m/>
    <m/>
  </r>
  <r>
    <x v="1"/>
    <x v="0"/>
    <s v="2015_Minnipa"/>
    <n v="5"/>
    <n v="2"/>
    <n v="18"/>
    <n v="2"/>
    <x v="8"/>
    <x v="13"/>
    <s v="F1"/>
    <n v="393"/>
    <n v="225"/>
    <n v="161"/>
    <m/>
    <n v="6.6"/>
    <m/>
    <m/>
    <m/>
    <m/>
    <m/>
  </r>
  <r>
    <x v="1"/>
    <x v="0"/>
    <s v="2015_Minnipa"/>
    <n v="5"/>
    <n v="3"/>
    <n v="19"/>
    <n v="2"/>
    <x v="10"/>
    <x v="13"/>
    <s v="F1"/>
    <n v="353"/>
    <n v="228"/>
    <n v="122"/>
    <m/>
    <n v="2.9"/>
    <m/>
    <m/>
    <m/>
    <m/>
    <m/>
  </r>
  <r>
    <x v="1"/>
    <x v="0"/>
    <s v="2015_Minnipa"/>
    <n v="5"/>
    <n v="4"/>
    <n v="20"/>
    <n v="2"/>
    <x v="6"/>
    <x v="13"/>
    <s v="F1"/>
    <n v="330"/>
    <n v="188"/>
    <n v="138"/>
    <m/>
    <n v="3.7"/>
    <m/>
    <m/>
    <m/>
    <m/>
    <m/>
  </r>
  <r>
    <x v="1"/>
    <x v="0"/>
    <s v="2015_Minnipa"/>
    <n v="6"/>
    <n v="4"/>
    <n v="21"/>
    <n v="2"/>
    <x v="0"/>
    <x v="13"/>
    <s v="F1"/>
    <n v="338"/>
    <n v="165"/>
    <n v="167"/>
    <m/>
    <n v="6.1"/>
    <m/>
    <m/>
    <m/>
    <m/>
    <m/>
  </r>
  <r>
    <x v="1"/>
    <x v="0"/>
    <s v="2015_Minnipa"/>
    <n v="6"/>
    <n v="3"/>
    <n v="22"/>
    <n v="2"/>
    <x v="5"/>
    <x v="13"/>
    <s v="F1"/>
    <n v="422"/>
    <n v="256"/>
    <n v="157"/>
    <m/>
    <n v="9"/>
    <m/>
    <m/>
    <m/>
    <m/>
    <m/>
  </r>
  <r>
    <x v="1"/>
    <x v="0"/>
    <s v="2015_Minnipa"/>
    <n v="6"/>
    <n v="2"/>
    <n v="23"/>
    <n v="2"/>
    <x v="2"/>
    <x v="13"/>
    <s v="F1"/>
    <n v="418"/>
    <n v="245"/>
    <n v="162"/>
    <m/>
    <n v="11.9"/>
    <m/>
    <m/>
    <m/>
    <m/>
    <m/>
  </r>
  <r>
    <x v="1"/>
    <x v="0"/>
    <s v="2015_Minnipa"/>
    <n v="6"/>
    <n v="1"/>
    <n v="24"/>
    <n v="2"/>
    <x v="4"/>
    <x v="13"/>
    <s v="F1"/>
    <n v="313"/>
    <n v="212"/>
    <n v="100"/>
    <m/>
    <n v="1.7"/>
    <m/>
    <m/>
    <m/>
    <m/>
    <m/>
  </r>
  <r>
    <x v="1"/>
    <x v="0"/>
    <s v="2015_Minnipa"/>
    <n v="7"/>
    <n v="1"/>
    <n v="25"/>
    <n v="3"/>
    <x v="2"/>
    <x v="13"/>
    <s v="F1"/>
    <n v="292"/>
    <n v="150"/>
    <n v="141"/>
    <m/>
    <n v="0.6"/>
    <m/>
    <m/>
    <m/>
    <m/>
    <m/>
  </r>
  <r>
    <x v="1"/>
    <x v="0"/>
    <s v="2015_Minnipa"/>
    <n v="7"/>
    <n v="2"/>
    <n v="26"/>
    <n v="3"/>
    <x v="10"/>
    <x v="13"/>
    <s v="F1"/>
    <n v="361"/>
    <n v="206"/>
    <n v="148"/>
    <m/>
    <n v="6.6"/>
    <m/>
    <m/>
    <m/>
    <m/>
    <m/>
  </r>
  <r>
    <x v="1"/>
    <x v="0"/>
    <s v="2015_Minnipa"/>
    <n v="7"/>
    <n v="3"/>
    <n v="27"/>
    <n v="3"/>
    <x v="0"/>
    <x v="13"/>
    <s v="F1"/>
    <n v="352"/>
    <n v="204"/>
    <n v="141"/>
    <m/>
    <n v="8.1"/>
    <m/>
    <m/>
    <m/>
    <m/>
    <m/>
  </r>
  <r>
    <x v="1"/>
    <x v="0"/>
    <s v="2015_Minnipa"/>
    <n v="7"/>
    <n v="4"/>
    <n v="28"/>
    <n v="3"/>
    <x v="9"/>
    <x v="13"/>
    <s v="F1"/>
    <n v="400"/>
    <n v="272"/>
    <n v="127"/>
    <m/>
    <n v="1"/>
    <m/>
    <m/>
    <m/>
    <m/>
    <m/>
  </r>
  <r>
    <x v="1"/>
    <x v="0"/>
    <s v="2015_Minnipa"/>
    <n v="8"/>
    <n v="4"/>
    <n v="29"/>
    <n v="3"/>
    <x v="5"/>
    <x v="13"/>
    <s v="F1"/>
    <n v="311"/>
    <n v="166"/>
    <n v="142"/>
    <m/>
    <n v="3.1"/>
    <m/>
    <m/>
    <m/>
    <m/>
    <m/>
  </r>
  <r>
    <x v="1"/>
    <x v="0"/>
    <s v="2015_Minnipa"/>
    <n v="8"/>
    <n v="3"/>
    <n v="30"/>
    <n v="3"/>
    <x v="8"/>
    <x v="13"/>
    <s v="F1"/>
    <n v="256"/>
    <n v="187"/>
    <n v="58"/>
    <m/>
    <n v="11"/>
    <m/>
    <m/>
    <m/>
    <m/>
    <m/>
  </r>
  <r>
    <x v="1"/>
    <x v="0"/>
    <s v="2015_Minnipa"/>
    <n v="8"/>
    <n v="2"/>
    <n v="31"/>
    <n v="3"/>
    <x v="4"/>
    <x v="13"/>
    <s v="F1"/>
    <n v="396"/>
    <n v="235"/>
    <n v="134"/>
    <m/>
    <n v="27"/>
    <m/>
    <m/>
    <m/>
    <m/>
    <m/>
  </r>
  <r>
    <x v="1"/>
    <x v="0"/>
    <s v="2015_Minnipa"/>
    <n v="8"/>
    <n v="1"/>
    <n v="32"/>
    <n v="3"/>
    <x v="3"/>
    <x v="13"/>
    <s v="F1"/>
    <n v="381"/>
    <n v="247"/>
    <n v="111"/>
    <m/>
    <n v="22.5"/>
    <m/>
    <m/>
    <m/>
    <m/>
    <m/>
  </r>
  <r>
    <x v="1"/>
    <x v="0"/>
    <s v="2015_Minnipa"/>
    <n v="9"/>
    <n v="1"/>
    <n v="33"/>
    <n v="3"/>
    <x v="6"/>
    <x v="13"/>
    <s v="F1"/>
    <n v="394"/>
    <n v="220"/>
    <n v="150"/>
    <m/>
    <n v="23.6"/>
    <m/>
    <m/>
    <m/>
    <m/>
    <m/>
  </r>
  <r>
    <x v="1"/>
    <x v="0"/>
    <s v="2015_Minnipa"/>
    <n v="9"/>
    <n v="2"/>
    <n v="34"/>
    <n v="3"/>
    <x v="11"/>
    <x v="13"/>
    <s v="F1"/>
    <n v="490"/>
    <n v="320"/>
    <n v="161"/>
    <m/>
    <n v="9.3000000000000007"/>
    <m/>
    <m/>
    <m/>
    <m/>
    <m/>
  </r>
  <r>
    <x v="1"/>
    <x v="0"/>
    <s v="2015_Minnipa"/>
    <n v="9"/>
    <n v="3"/>
    <n v="35"/>
    <n v="3"/>
    <x v="1"/>
    <x v="13"/>
    <s v="F1"/>
    <n v="456"/>
    <n v="303"/>
    <n v="142"/>
    <m/>
    <n v="11.4"/>
    <m/>
    <m/>
    <m/>
    <m/>
    <m/>
  </r>
  <r>
    <x v="1"/>
    <x v="0"/>
    <s v="2015_Minnipa"/>
    <n v="9"/>
    <n v="4"/>
    <n v="36"/>
    <n v="3"/>
    <x v="7"/>
    <x v="13"/>
    <s v="F1"/>
    <n v="426"/>
    <n v="264"/>
    <n v="159"/>
    <m/>
    <n v="3.2"/>
    <m/>
    <m/>
    <m/>
    <m/>
    <m/>
  </r>
  <r>
    <x v="1"/>
    <x v="0"/>
    <s v="2015_Minnipa"/>
    <n v="10"/>
    <n v="4"/>
    <n v="37"/>
    <n v="4"/>
    <x v="2"/>
    <x v="13"/>
    <s v="F1"/>
    <n v="321"/>
    <n v="190"/>
    <n v="116"/>
    <m/>
    <n v="14.7"/>
    <m/>
    <m/>
    <m/>
    <m/>
    <m/>
  </r>
  <r>
    <x v="1"/>
    <x v="0"/>
    <s v="2015_Minnipa"/>
    <n v="10"/>
    <n v="3"/>
    <n v="38"/>
    <n v="4"/>
    <x v="6"/>
    <x v="13"/>
    <s v="F1"/>
    <n v="396"/>
    <n v="237"/>
    <n v="143"/>
    <m/>
    <n v="16"/>
    <m/>
    <m/>
    <m/>
    <m/>
    <m/>
  </r>
  <r>
    <x v="1"/>
    <x v="0"/>
    <s v="2015_Minnipa"/>
    <n v="10"/>
    <n v="2"/>
    <n v="39"/>
    <n v="4"/>
    <x v="7"/>
    <x v="13"/>
    <s v="F1"/>
    <n v="506"/>
    <n v="344"/>
    <n v="162"/>
    <m/>
    <n v="0"/>
    <m/>
    <m/>
    <m/>
    <m/>
    <m/>
  </r>
  <r>
    <x v="1"/>
    <x v="0"/>
    <s v="2015_Minnipa"/>
    <n v="10"/>
    <n v="1"/>
    <n v="40"/>
    <n v="4"/>
    <x v="5"/>
    <x v="13"/>
    <s v="F1"/>
    <n v="354"/>
    <n v="202"/>
    <n v="153"/>
    <m/>
    <n v="0"/>
    <m/>
    <m/>
    <m/>
    <m/>
    <m/>
  </r>
  <r>
    <x v="1"/>
    <x v="0"/>
    <s v="2015_Minnipa"/>
    <n v="11"/>
    <n v="1"/>
    <n v="41"/>
    <n v="4"/>
    <x v="11"/>
    <x v="13"/>
    <s v="F1"/>
    <n v="370"/>
    <n v="237"/>
    <n v="128"/>
    <m/>
    <n v="4.4000000000000004"/>
    <m/>
    <m/>
    <m/>
    <m/>
    <m/>
  </r>
  <r>
    <x v="1"/>
    <x v="0"/>
    <s v="2015_Minnipa"/>
    <n v="11"/>
    <n v="2"/>
    <n v="42"/>
    <n v="4"/>
    <x v="0"/>
    <x v="13"/>
    <s v="F1"/>
    <n v="355"/>
    <n v="206"/>
    <n v="140"/>
    <m/>
    <n v="8.3000000000000007"/>
    <m/>
    <m/>
    <m/>
    <m/>
    <m/>
  </r>
  <r>
    <x v="1"/>
    <x v="0"/>
    <s v="2015_Minnipa"/>
    <n v="11"/>
    <n v="3"/>
    <n v="43"/>
    <n v="4"/>
    <x v="4"/>
    <x v="13"/>
    <s v="F1"/>
    <n v="473"/>
    <n v="288"/>
    <n v="185"/>
    <m/>
    <n v="0"/>
    <m/>
    <m/>
    <m/>
    <m/>
    <m/>
  </r>
  <r>
    <x v="1"/>
    <x v="0"/>
    <s v="2015_Minnipa"/>
    <n v="11"/>
    <n v="4"/>
    <n v="44"/>
    <n v="4"/>
    <x v="1"/>
    <x v="13"/>
    <s v="F1"/>
    <n v="471"/>
    <n v="339"/>
    <n v="119"/>
    <m/>
    <n v="13.6"/>
    <m/>
    <m/>
    <m/>
    <m/>
    <m/>
  </r>
  <r>
    <x v="1"/>
    <x v="0"/>
    <s v="2015_Minnipa"/>
    <n v="12"/>
    <n v="4"/>
    <n v="45"/>
    <n v="4"/>
    <x v="10"/>
    <x v="13"/>
    <s v="F1"/>
    <n v="384"/>
    <n v="233"/>
    <n v="138"/>
    <m/>
    <n v="13.3"/>
    <m/>
    <m/>
    <m/>
    <m/>
    <m/>
  </r>
  <r>
    <x v="1"/>
    <x v="0"/>
    <s v="2015_Minnipa"/>
    <n v="12"/>
    <n v="3"/>
    <n v="46"/>
    <n v="4"/>
    <x v="9"/>
    <x v="13"/>
    <s v="F1"/>
    <n v="538"/>
    <n v="359"/>
    <n v="167"/>
    <m/>
    <n v="11.5"/>
    <m/>
    <m/>
    <m/>
    <m/>
    <m/>
  </r>
  <r>
    <x v="1"/>
    <x v="0"/>
    <s v="2015_Minnipa"/>
    <n v="12"/>
    <n v="2"/>
    <n v="47"/>
    <n v="4"/>
    <x v="3"/>
    <x v="13"/>
    <s v="F1"/>
    <n v="228"/>
    <n v="147"/>
    <n v="75"/>
    <m/>
    <n v="6.2"/>
    <m/>
    <m/>
    <m/>
    <m/>
    <m/>
  </r>
  <r>
    <x v="1"/>
    <x v="0"/>
    <s v="2015_Minnipa"/>
    <n v="12"/>
    <n v="1"/>
    <n v="48"/>
    <n v="4"/>
    <x v="8"/>
    <x v="13"/>
    <s v="F1"/>
    <n v="410"/>
    <n v="279"/>
    <n v="129"/>
    <m/>
    <n v="1.9"/>
    <m/>
    <m/>
    <m/>
    <m/>
    <m/>
  </r>
  <r>
    <x v="1"/>
    <x v="0"/>
    <s v="2015_Minnipa"/>
    <n v="1"/>
    <n v="1"/>
    <n v="1"/>
    <n v="1"/>
    <x v="10"/>
    <x v="14"/>
    <s v="A100"/>
    <n v="762"/>
    <n v="405"/>
    <n v="107"/>
    <n v="220"/>
    <n v="30.6"/>
    <m/>
    <m/>
    <m/>
    <m/>
    <m/>
  </r>
  <r>
    <x v="1"/>
    <x v="0"/>
    <s v="2015_Minnipa"/>
    <n v="1"/>
    <n v="2"/>
    <n v="2"/>
    <n v="1"/>
    <x v="5"/>
    <x v="14"/>
    <s v="A100"/>
    <n v="788"/>
    <n v="433"/>
    <n v="130"/>
    <n v="190"/>
    <n v="35.200000000000003"/>
    <m/>
    <m/>
    <m/>
    <m/>
    <m/>
  </r>
  <r>
    <x v="1"/>
    <x v="0"/>
    <s v="2015_Minnipa"/>
    <n v="1"/>
    <n v="3"/>
    <n v="3"/>
    <n v="1"/>
    <x v="11"/>
    <x v="14"/>
    <s v="A100"/>
    <n v="823"/>
    <n v="475"/>
    <n v="144"/>
    <n v="181"/>
    <n v="22.7"/>
    <m/>
    <m/>
    <m/>
    <m/>
    <m/>
  </r>
  <r>
    <x v="1"/>
    <x v="0"/>
    <s v="2015_Minnipa"/>
    <n v="1"/>
    <n v="4"/>
    <n v="4"/>
    <n v="1"/>
    <x v="4"/>
    <x v="14"/>
    <s v="A100"/>
    <n v="811"/>
    <n v="424"/>
    <n v="132"/>
    <n v="229"/>
    <n v="25.4"/>
    <m/>
    <m/>
    <m/>
    <m/>
    <m/>
  </r>
  <r>
    <x v="1"/>
    <x v="0"/>
    <s v="2015_Minnipa"/>
    <n v="2"/>
    <n v="4"/>
    <n v="5"/>
    <n v="1"/>
    <x v="8"/>
    <x v="14"/>
    <s v="A100"/>
    <n v="654"/>
    <n v="354"/>
    <n v="96"/>
    <n v="169"/>
    <n v="34.799999999999997"/>
    <m/>
    <m/>
    <m/>
    <m/>
    <m/>
  </r>
  <r>
    <x v="1"/>
    <x v="0"/>
    <s v="2015_Minnipa"/>
    <n v="2"/>
    <n v="3"/>
    <n v="6"/>
    <n v="1"/>
    <x v="2"/>
    <x v="14"/>
    <s v="A100"/>
    <n v="853"/>
    <n v="451"/>
    <n v="114"/>
    <n v="233"/>
    <n v="54.6"/>
    <m/>
    <m/>
    <m/>
    <m/>
    <m/>
  </r>
  <r>
    <x v="1"/>
    <x v="0"/>
    <s v="2015_Minnipa"/>
    <n v="2"/>
    <n v="2"/>
    <n v="7"/>
    <n v="1"/>
    <x v="1"/>
    <x v="14"/>
    <s v="A100"/>
    <n v="793"/>
    <n v="452"/>
    <n v="104"/>
    <n v="207"/>
    <n v="30.3"/>
    <m/>
    <m/>
    <m/>
    <m/>
    <m/>
  </r>
  <r>
    <x v="1"/>
    <x v="0"/>
    <s v="2015_Minnipa"/>
    <n v="2"/>
    <n v="1"/>
    <n v="8"/>
    <n v="1"/>
    <x v="0"/>
    <x v="14"/>
    <s v="A100"/>
    <n v="788"/>
    <n v="413"/>
    <n v="114"/>
    <n v="238"/>
    <n v="23.1"/>
    <m/>
    <m/>
    <m/>
    <m/>
    <m/>
  </r>
  <r>
    <x v="1"/>
    <x v="0"/>
    <s v="2015_Minnipa"/>
    <n v="3"/>
    <n v="1"/>
    <n v="9"/>
    <n v="1"/>
    <x v="9"/>
    <x v="14"/>
    <s v="A100"/>
    <n v="719"/>
    <n v="385"/>
    <n v="112"/>
    <n v="203"/>
    <n v="18.8"/>
    <m/>
    <m/>
    <m/>
    <m/>
    <m/>
  </r>
  <r>
    <x v="1"/>
    <x v="0"/>
    <s v="2015_Minnipa"/>
    <n v="3"/>
    <n v="2"/>
    <n v="10"/>
    <n v="1"/>
    <x v="6"/>
    <x v="14"/>
    <s v="A100"/>
    <n v="775"/>
    <n v="412"/>
    <n v="100"/>
    <n v="230"/>
    <n v="33.4"/>
    <m/>
    <m/>
    <m/>
    <m/>
    <m/>
  </r>
  <r>
    <x v="1"/>
    <x v="0"/>
    <s v="2015_Minnipa"/>
    <n v="3"/>
    <n v="3"/>
    <n v="11"/>
    <n v="1"/>
    <x v="7"/>
    <x v="14"/>
    <s v="A100"/>
    <n v="763"/>
    <n v="435"/>
    <n v="131"/>
    <n v="173"/>
    <n v="24.1"/>
    <m/>
    <m/>
    <m/>
    <m/>
    <m/>
  </r>
  <r>
    <x v="1"/>
    <x v="0"/>
    <s v="2015_Minnipa"/>
    <n v="3"/>
    <n v="4"/>
    <n v="12"/>
    <n v="1"/>
    <x v="3"/>
    <x v="14"/>
    <s v="A100"/>
    <n v="975"/>
    <n v="521"/>
    <n v="139"/>
    <n v="242"/>
    <n v="73.599999999999994"/>
    <m/>
    <m/>
    <m/>
    <m/>
    <m/>
  </r>
  <r>
    <x v="1"/>
    <x v="0"/>
    <s v="2015_Minnipa"/>
    <n v="4"/>
    <n v="4"/>
    <n v="13"/>
    <n v="2"/>
    <x v="11"/>
    <x v="14"/>
    <s v="A100"/>
    <n v="813"/>
    <n v="422"/>
    <n v="78"/>
    <n v="258"/>
    <n v="55.1"/>
    <m/>
    <m/>
    <m/>
    <m/>
    <m/>
  </r>
  <r>
    <x v="1"/>
    <x v="0"/>
    <s v="2015_Minnipa"/>
    <n v="4"/>
    <n v="3"/>
    <n v="14"/>
    <n v="2"/>
    <x v="3"/>
    <x v="14"/>
    <s v="A100"/>
    <n v="840"/>
    <n v="443"/>
    <n v="105"/>
    <n v="242"/>
    <n v="49.5"/>
    <m/>
    <m/>
    <m/>
    <m/>
    <m/>
  </r>
  <r>
    <x v="1"/>
    <x v="0"/>
    <s v="2015_Minnipa"/>
    <n v="4"/>
    <n v="2"/>
    <n v="15"/>
    <n v="2"/>
    <x v="9"/>
    <x v="14"/>
    <s v="A100"/>
    <n v="1010"/>
    <n v="583"/>
    <n v="106"/>
    <n v="272"/>
    <n v="50"/>
    <m/>
    <m/>
    <m/>
    <m/>
    <m/>
  </r>
  <r>
    <x v="1"/>
    <x v="0"/>
    <s v="2015_Minnipa"/>
    <n v="4"/>
    <n v="1"/>
    <n v="16"/>
    <n v="2"/>
    <x v="1"/>
    <x v="14"/>
    <s v="A100"/>
    <n v="935"/>
    <n v="540"/>
    <n v="162"/>
    <n v="210"/>
    <n v="22.8"/>
    <m/>
    <m/>
    <m/>
    <m/>
    <m/>
  </r>
  <r>
    <x v="1"/>
    <x v="0"/>
    <s v="2015_Minnipa"/>
    <n v="5"/>
    <n v="1"/>
    <n v="17"/>
    <n v="2"/>
    <x v="7"/>
    <x v="14"/>
    <s v="A100"/>
    <n v="796"/>
    <n v="413"/>
    <n v="92"/>
    <n v="232"/>
    <n v="58.8"/>
    <m/>
    <m/>
    <m/>
    <m/>
    <m/>
  </r>
  <r>
    <x v="1"/>
    <x v="0"/>
    <s v="2015_Minnipa"/>
    <n v="5"/>
    <n v="2"/>
    <n v="18"/>
    <n v="2"/>
    <x v="8"/>
    <x v="14"/>
    <s v="A100"/>
    <n v="777"/>
    <n v="411"/>
    <n v="114"/>
    <n v="199"/>
    <n v="52.6"/>
    <m/>
    <m/>
    <m/>
    <m/>
    <m/>
  </r>
  <r>
    <x v="1"/>
    <x v="0"/>
    <s v="2015_Minnipa"/>
    <n v="5"/>
    <n v="3"/>
    <n v="19"/>
    <n v="2"/>
    <x v="10"/>
    <x v="14"/>
    <s v="A100"/>
    <n v="987"/>
    <n v="510"/>
    <n v="124"/>
    <n v="261"/>
    <n v="92.3"/>
    <m/>
    <m/>
    <m/>
    <m/>
    <m/>
  </r>
  <r>
    <x v="1"/>
    <x v="0"/>
    <s v="2015_Minnipa"/>
    <n v="5"/>
    <n v="4"/>
    <n v="20"/>
    <n v="2"/>
    <x v="6"/>
    <x v="14"/>
    <s v="A100"/>
    <n v="878"/>
    <n v="451"/>
    <n v="117"/>
    <n v="224"/>
    <n v="86.8"/>
    <m/>
    <m/>
    <m/>
    <m/>
    <m/>
  </r>
  <r>
    <x v="1"/>
    <x v="0"/>
    <s v="2015_Minnipa"/>
    <n v="6"/>
    <n v="4"/>
    <n v="21"/>
    <n v="2"/>
    <x v="0"/>
    <x v="14"/>
    <s v="A100"/>
    <n v="653"/>
    <n v="356"/>
    <n v="122"/>
    <n v="148"/>
    <n v="27.7"/>
    <m/>
    <m/>
    <m/>
    <m/>
    <m/>
  </r>
  <r>
    <x v="1"/>
    <x v="0"/>
    <s v="2015_Minnipa"/>
    <n v="6"/>
    <n v="3"/>
    <n v="22"/>
    <n v="2"/>
    <x v="5"/>
    <x v="14"/>
    <s v="A100"/>
    <n v="794"/>
    <n v="431"/>
    <n v="126"/>
    <n v="181"/>
    <n v="56.4"/>
    <m/>
    <m/>
    <m/>
    <m/>
    <m/>
  </r>
  <r>
    <x v="1"/>
    <x v="0"/>
    <s v="2015_Minnipa"/>
    <n v="6"/>
    <n v="2"/>
    <n v="23"/>
    <n v="2"/>
    <x v="2"/>
    <x v="14"/>
    <s v="A100"/>
    <n v="919"/>
    <n v="527"/>
    <n v="134"/>
    <n v="210"/>
    <n v="47.6"/>
    <m/>
    <m/>
    <m/>
    <m/>
    <m/>
  </r>
  <r>
    <x v="1"/>
    <x v="0"/>
    <s v="2015_Minnipa"/>
    <n v="6"/>
    <n v="1"/>
    <n v="24"/>
    <n v="2"/>
    <x v="4"/>
    <x v="14"/>
    <s v="A100"/>
    <n v="742"/>
    <n v="389"/>
    <n v="106"/>
    <n v="224"/>
    <n v="22.3"/>
    <m/>
    <m/>
    <m/>
    <m/>
    <m/>
  </r>
  <r>
    <x v="1"/>
    <x v="0"/>
    <s v="2015_Minnipa"/>
    <n v="7"/>
    <n v="1"/>
    <n v="25"/>
    <n v="3"/>
    <x v="2"/>
    <x v="14"/>
    <s v="A100"/>
    <n v="715"/>
    <n v="404"/>
    <n v="129"/>
    <n v="146"/>
    <n v="36.5"/>
    <m/>
    <m/>
    <m/>
    <m/>
    <m/>
  </r>
  <r>
    <x v="1"/>
    <x v="0"/>
    <s v="2015_Minnipa"/>
    <n v="7"/>
    <n v="2"/>
    <n v="26"/>
    <n v="3"/>
    <x v="10"/>
    <x v="14"/>
    <s v="A100"/>
    <n v="679"/>
    <n v="376"/>
    <n v="77"/>
    <n v="174"/>
    <n v="51.9"/>
    <m/>
    <m/>
    <m/>
    <m/>
    <m/>
  </r>
  <r>
    <x v="1"/>
    <x v="0"/>
    <s v="2015_Minnipa"/>
    <n v="7"/>
    <n v="3"/>
    <n v="27"/>
    <n v="3"/>
    <x v="0"/>
    <x v="14"/>
    <s v="A100"/>
    <n v="742"/>
    <n v="413"/>
    <n v="99"/>
    <n v="171"/>
    <n v="58.6"/>
    <m/>
    <m/>
    <m/>
    <m/>
    <m/>
  </r>
  <r>
    <x v="1"/>
    <x v="0"/>
    <s v="2015_Minnipa"/>
    <n v="7"/>
    <n v="4"/>
    <n v="28"/>
    <n v="3"/>
    <x v="9"/>
    <x v="14"/>
    <s v="A100"/>
    <n v="886"/>
    <n v="519"/>
    <n v="114"/>
    <n v="224"/>
    <n v="29.7"/>
    <m/>
    <m/>
    <m/>
    <m/>
    <m/>
  </r>
  <r>
    <x v="1"/>
    <x v="0"/>
    <s v="2015_Minnipa"/>
    <n v="8"/>
    <n v="4"/>
    <n v="29"/>
    <n v="3"/>
    <x v="5"/>
    <x v="14"/>
    <s v="A100"/>
    <n v="571"/>
    <n v="301"/>
    <n v="97"/>
    <n v="158"/>
    <n v="15.2"/>
    <m/>
    <m/>
    <m/>
    <m/>
    <m/>
  </r>
  <r>
    <x v="1"/>
    <x v="0"/>
    <s v="2015_Minnipa"/>
    <n v="8"/>
    <n v="3"/>
    <n v="30"/>
    <n v="3"/>
    <x v="8"/>
    <x v="14"/>
    <s v="A100"/>
    <n v="454"/>
    <n v="242"/>
    <n v="58"/>
    <n v="138"/>
    <n v="17.100000000000001"/>
    <m/>
    <m/>
    <m/>
    <m/>
    <m/>
  </r>
  <r>
    <x v="1"/>
    <x v="0"/>
    <s v="2015_Minnipa"/>
    <n v="8"/>
    <n v="2"/>
    <n v="31"/>
    <n v="3"/>
    <x v="4"/>
    <x v="14"/>
    <s v="A100"/>
    <n v="830"/>
    <n v="475"/>
    <n v="117"/>
    <n v="202"/>
    <n v="36.1"/>
    <m/>
    <m/>
    <m/>
    <m/>
    <m/>
  </r>
  <r>
    <x v="1"/>
    <x v="0"/>
    <s v="2015_Minnipa"/>
    <n v="8"/>
    <n v="1"/>
    <n v="32"/>
    <n v="3"/>
    <x v="3"/>
    <x v="14"/>
    <s v="A100"/>
    <n v="721"/>
    <n v="387"/>
    <n v="92"/>
    <n v="204"/>
    <n v="38"/>
    <m/>
    <m/>
    <m/>
    <m/>
    <m/>
  </r>
  <r>
    <x v="1"/>
    <x v="0"/>
    <s v="2015_Minnipa"/>
    <n v="9"/>
    <n v="1"/>
    <n v="33"/>
    <n v="3"/>
    <x v="6"/>
    <x v="14"/>
    <s v="A100"/>
    <n v="839"/>
    <n v="423"/>
    <n v="120"/>
    <n v="209"/>
    <n v="86.5"/>
    <m/>
    <m/>
    <m/>
    <m/>
    <m/>
  </r>
  <r>
    <x v="1"/>
    <x v="0"/>
    <s v="2015_Minnipa"/>
    <n v="9"/>
    <n v="2"/>
    <n v="34"/>
    <n v="3"/>
    <x v="11"/>
    <x v="14"/>
    <s v="A100"/>
    <n v="1053"/>
    <n v="590"/>
    <n v="108"/>
    <n v="284"/>
    <n v="71.5"/>
    <m/>
    <m/>
    <m/>
    <m/>
    <m/>
  </r>
  <r>
    <x v="1"/>
    <x v="0"/>
    <s v="2015_Minnipa"/>
    <n v="9"/>
    <n v="3"/>
    <n v="35"/>
    <n v="3"/>
    <x v="1"/>
    <x v="14"/>
    <s v="A100"/>
    <n v="766"/>
    <n v="415"/>
    <n v="88"/>
    <n v="208"/>
    <n v="55.1"/>
    <m/>
    <m/>
    <m/>
    <m/>
    <m/>
  </r>
  <r>
    <x v="1"/>
    <x v="0"/>
    <s v="2015_Minnipa"/>
    <n v="9"/>
    <n v="4"/>
    <n v="36"/>
    <n v="3"/>
    <x v="7"/>
    <x v="14"/>
    <s v="A100"/>
    <n v="800"/>
    <n v="470"/>
    <n v="126"/>
    <n v="178"/>
    <n v="26.7"/>
    <m/>
    <m/>
    <m/>
    <m/>
    <m/>
  </r>
  <r>
    <x v="1"/>
    <x v="0"/>
    <s v="2015_Minnipa"/>
    <n v="10"/>
    <n v="4"/>
    <n v="37"/>
    <n v="4"/>
    <x v="2"/>
    <x v="14"/>
    <s v="A100"/>
    <n v="747"/>
    <n v="390"/>
    <n v="115"/>
    <n v="196"/>
    <n v="47"/>
    <m/>
    <m/>
    <m/>
    <m/>
    <m/>
  </r>
  <r>
    <x v="1"/>
    <x v="0"/>
    <s v="2015_Minnipa"/>
    <n v="10"/>
    <n v="3"/>
    <n v="38"/>
    <n v="4"/>
    <x v="6"/>
    <x v="14"/>
    <s v="A100"/>
    <n v="891"/>
    <n v="487"/>
    <n v="94"/>
    <n v="244"/>
    <n v="65.8"/>
    <m/>
    <m/>
    <m/>
    <m/>
    <m/>
  </r>
  <r>
    <x v="1"/>
    <x v="0"/>
    <s v="2015_Minnipa"/>
    <n v="10"/>
    <n v="2"/>
    <n v="39"/>
    <n v="4"/>
    <x v="7"/>
    <x v="14"/>
    <s v="A100"/>
    <n v="995"/>
    <n v="565"/>
    <n v="122"/>
    <n v="250"/>
    <n v="58.6"/>
    <m/>
    <m/>
    <m/>
    <m/>
    <m/>
  </r>
  <r>
    <x v="1"/>
    <x v="0"/>
    <s v="2015_Minnipa"/>
    <n v="10"/>
    <n v="1"/>
    <n v="40"/>
    <n v="4"/>
    <x v="5"/>
    <x v="14"/>
    <s v="A100"/>
    <n v="817"/>
    <n v="442"/>
    <n v="141"/>
    <n v="181"/>
    <n v="53"/>
    <m/>
    <m/>
    <m/>
    <m/>
    <m/>
  </r>
  <r>
    <x v="1"/>
    <x v="0"/>
    <s v="2015_Minnipa"/>
    <n v="11"/>
    <n v="1"/>
    <n v="41"/>
    <n v="4"/>
    <x v="11"/>
    <x v="14"/>
    <s v="A100"/>
    <n v="925"/>
    <n v="524"/>
    <n v="118"/>
    <n v="242"/>
    <n v="41.2"/>
    <m/>
    <m/>
    <m/>
    <m/>
    <m/>
  </r>
  <r>
    <x v="1"/>
    <x v="0"/>
    <s v="2015_Minnipa"/>
    <n v="11"/>
    <n v="2"/>
    <n v="42"/>
    <n v="4"/>
    <x v="0"/>
    <x v="14"/>
    <s v="A100"/>
    <n v="796"/>
    <n v="435"/>
    <n v="120"/>
    <n v="198"/>
    <n v="42.9"/>
    <m/>
    <m/>
    <m/>
    <m/>
    <m/>
  </r>
  <r>
    <x v="1"/>
    <x v="0"/>
    <s v="2015_Minnipa"/>
    <n v="11"/>
    <n v="3"/>
    <n v="43"/>
    <n v="4"/>
    <x v="4"/>
    <x v="14"/>
    <s v="A100"/>
    <n v="1055"/>
    <n v="605"/>
    <n v="179"/>
    <n v="227"/>
    <n v="43.8"/>
    <m/>
    <m/>
    <m/>
    <m/>
    <m/>
  </r>
  <r>
    <x v="1"/>
    <x v="0"/>
    <s v="2015_Minnipa"/>
    <n v="11"/>
    <n v="4"/>
    <n v="44"/>
    <n v="4"/>
    <x v="1"/>
    <x v="14"/>
    <s v="A100"/>
    <n v="826"/>
    <n v="437"/>
    <n v="82"/>
    <n v="260"/>
    <n v="46.2"/>
    <m/>
    <m/>
    <m/>
    <m/>
    <m/>
  </r>
  <r>
    <x v="1"/>
    <x v="0"/>
    <s v="2015_Minnipa"/>
    <n v="12"/>
    <n v="4"/>
    <n v="45"/>
    <n v="4"/>
    <x v="10"/>
    <x v="14"/>
    <s v="A100"/>
    <n v="665"/>
    <n v="371"/>
    <n v="94"/>
    <n v="164"/>
    <n v="36.5"/>
    <m/>
    <m/>
    <m/>
    <m/>
    <m/>
  </r>
  <r>
    <x v="1"/>
    <x v="0"/>
    <s v="2015_Minnipa"/>
    <n v="12"/>
    <n v="3"/>
    <n v="46"/>
    <n v="4"/>
    <x v="9"/>
    <x v="14"/>
    <s v="A100"/>
    <n v="957"/>
    <n v="548"/>
    <n v="124"/>
    <n v="232"/>
    <n v="53.8"/>
    <m/>
    <m/>
    <m/>
    <m/>
    <m/>
  </r>
  <r>
    <x v="1"/>
    <x v="0"/>
    <s v="2015_Minnipa"/>
    <n v="12"/>
    <n v="2"/>
    <n v="47"/>
    <n v="4"/>
    <x v="3"/>
    <x v="14"/>
    <s v="A100"/>
    <n v="761"/>
    <n v="407"/>
    <n v="125"/>
    <n v="196"/>
    <n v="33.1"/>
    <m/>
    <m/>
    <m/>
    <m/>
    <m/>
  </r>
  <r>
    <x v="1"/>
    <x v="0"/>
    <s v="2015_Minnipa"/>
    <n v="12"/>
    <n v="1"/>
    <n v="48"/>
    <n v="4"/>
    <x v="8"/>
    <x v="14"/>
    <s v="A100"/>
    <n v="873"/>
    <n v="394"/>
    <n v="99"/>
    <n v="349"/>
    <n v="30.7"/>
    <m/>
    <m/>
    <m/>
    <m/>
    <m/>
  </r>
  <r>
    <x v="1"/>
    <x v="0"/>
    <s v="2015_Minnipa"/>
    <n v="1"/>
    <n v="1"/>
    <n v="1"/>
    <n v="1"/>
    <x v="10"/>
    <x v="15"/>
    <s v="GR100"/>
    <n v="834"/>
    <n v="282"/>
    <m/>
    <n v="471"/>
    <n v="77.5"/>
    <m/>
    <m/>
    <m/>
    <m/>
    <m/>
  </r>
  <r>
    <x v="1"/>
    <x v="0"/>
    <s v="2015_Minnipa"/>
    <n v="1"/>
    <n v="2"/>
    <n v="2"/>
    <n v="1"/>
    <x v="5"/>
    <x v="15"/>
    <s v="GR100"/>
    <n v="963"/>
    <n v="349"/>
    <m/>
    <n v="528"/>
    <n v="91.6"/>
    <m/>
    <m/>
    <m/>
    <m/>
    <m/>
  </r>
  <r>
    <x v="1"/>
    <x v="0"/>
    <s v="2015_Minnipa"/>
    <n v="1"/>
    <n v="3"/>
    <n v="3"/>
    <n v="1"/>
    <x v="11"/>
    <x v="15"/>
    <s v="GR100"/>
    <n v="987"/>
    <n v="335"/>
    <m/>
    <n v="538"/>
    <n v="85.2"/>
    <m/>
    <m/>
    <m/>
    <m/>
    <m/>
  </r>
  <r>
    <x v="1"/>
    <x v="0"/>
    <s v="2015_Minnipa"/>
    <n v="1"/>
    <n v="4"/>
    <n v="4"/>
    <n v="1"/>
    <x v="4"/>
    <x v="15"/>
    <s v="GR100"/>
    <n v="829"/>
    <n v="292"/>
    <m/>
    <n v="446"/>
    <n v="90.1"/>
    <m/>
    <m/>
    <m/>
    <m/>
    <m/>
  </r>
  <r>
    <x v="1"/>
    <x v="0"/>
    <s v="2015_Minnipa"/>
    <n v="2"/>
    <n v="4"/>
    <n v="5"/>
    <n v="1"/>
    <x v="8"/>
    <x v="15"/>
    <s v="GR100"/>
    <n v="876"/>
    <n v="328"/>
    <m/>
    <n v="459"/>
    <n v="88.6"/>
    <m/>
    <m/>
    <m/>
    <m/>
    <m/>
  </r>
  <r>
    <x v="1"/>
    <x v="0"/>
    <s v="2015_Minnipa"/>
    <n v="2"/>
    <n v="3"/>
    <n v="6"/>
    <n v="1"/>
    <x v="2"/>
    <x v="15"/>
    <s v="GR100"/>
    <n v="983"/>
    <n v="349"/>
    <m/>
    <n v="519"/>
    <n v="106.9"/>
    <m/>
    <m/>
    <m/>
    <m/>
    <m/>
  </r>
  <r>
    <x v="1"/>
    <x v="0"/>
    <s v="2015_Minnipa"/>
    <n v="2"/>
    <n v="2"/>
    <n v="7"/>
    <n v="1"/>
    <x v="1"/>
    <x v="15"/>
    <s v="GR100"/>
    <n v="796"/>
    <n v="271"/>
    <m/>
    <n v="422"/>
    <n v="83.4"/>
    <m/>
    <m/>
    <m/>
    <m/>
    <m/>
  </r>
  <r>
    <x v="1"/>
    <x v="0"/>
    <s v="2015_Minnipa"/>
    <n v="2"/>
    <n v="1"/>
    <n v="8"/>
    <n v="1"/>
    <x v="0"/>
    <x v="15"/>
    <s v="GR100"/>
    <n v="1029"/>
    <n v="371"/>
    <m/>
    <n v="570"/>
    <n v="84.4"/>
    <m/>
    <m/>
    <m/>
    <m/>
    <m/>
  </r>
  <r>
    <x v="1"/>
    <x v="0"/>
    <s v="2015_Minnipa"/>
    <n v="3"/>
    <n v="1"/>
    <n v="9"/>
    <n v="1"/>
    <x v="9"/>
    <x v="15"/>
    <s v="GR100"/>
    <n v="1141"/>
    <n v="356"/>
    <m/>
    <n v="645"/>
    <n v="125.7"/>
    <m/>
    <m/>
    <m/>
    <m/>
    <m/>
  </r>
  <r>
    <x v="1"/>
    <x v="0"/>
    <s v="2015_Minnipa"/>
    <n v="3"/>
    <n v="2"/>
    <n v="10"/>
    <n v="1"/>
    <x v="6"/>
    <x v="15"/>
    <s v="GR100"/>
    <n v="867"/>
    <n v="312"/>
    <m/>
    <n v="462"/>
    <n v="91.1"/>
    <m/>
    <m/>
    <m/>
    <m/>
    <m/>
  </r>
  <r>
    <x v="1"/>
    <x v="0"/>
    <s v="2015_Minnipa"/>
    <n v="3"/>
    <n v="3"/>
    <n v="11"/>
    <n v="1"/>
    <x v="7"/>
    <x v="15"/>
    <s v="GR100"/>
    <n v="1015"/>
    <n v="335"/>
    <m/>
    <n v="551"/>
    <n v="119.1"/>
    <m/>
    <m/>
    <m/>
    <m/>
    <m/>
  </r>
  <r>
    <x v="1"/>
    <x v="0"/>
    <s v="2015_Minnipa"/>
    <n v="3"/>
    <n v="4"/>
    <n v="12"/>
    <n v="1"/>
    <x v="3"/>
    <x v="15"/>
    <s v="GR100"/>
    <n v="1036"/>
    <n v="380"/>
    <m/>
    <n v="528"/>
    <n v="121.6"/>
    <m/>
    <m/>
    <m/>
    <m/>
    <m/>
  </r>
  <r>
    <x v="1"/>
    <x v="0"/>
    <s v="2015_Minnipa"/>
    <n v="4"/>
    <n v="4"/>
    <n v="13"/>
    <n v="2"/>
    <x v="11"/>
    <x v="15"/>
    <s v="GR100"/>
    <n v="925"/>
    <n v="328"/>
    <m/>
    <n v="526"/>
    <n v="65.3"/>
    <m/>
    <m/>
    <m/>
    <m/>
    <m/>
  </r>
  <r>
    <x v="1"/>
    <x v="0"/>
    <s v="2015_Minnipa"/>
    <n v="4"/>
    <n v="3"/>
    <n v="14"/>
    <n v="2"/>
    <x v="3"/>
    <x v="15"/>
    <s v="GR100"/>
    <n v="991"/>
    <n v="345"/>
    <m/>
    <n v="526"/>
    <n v="114.8"/>
    <m/>
    <m/>
    <m/>
    <m/>
    <m/>
  </r>
  <r>
    <x v="1"/>
    <x v="0"/>
    <s v="2015_Minnipa"/>
    <n v="4"/>
    <n v="2"/>
    <n v="15"/>
    <n v="2"/>
    <x v="9"/>
    <x v="15"/>
    <s v="GR100"/>
    <n v="1040"/>
    <n v="326"/>
    <m/>
    <n v="639"/>
    <n v="72.8"/>
    <m/>
    <m/>
    <m/>
    <m/>
    <m/>
  </r>
  <r>
    <x v="1"/>
    <x v="0"/>
    <s v="2015_Minnipa"/>
    <n v="4"/>
    <n v="1"/>
    <n v="16"/>
    <n v="2"/>
    <x v="1"/>
    <x v="15"/>
    <s v="GR100"/>
    <n v="1052"/>
    <n v="374"/>
    <m/>
    <n v="558"/>
    <n v="113.2"/>
    <m/>
    <m/>
    <m/>
    <m/>
    <m/>
  </r>
  <r>
    <x v="1"/>
    <x v="0"/>
    <s v="2015_Minnipa"/>
    <n v="5"/>
    <n v="1"/>
    <n v="17"/>
    <n v="2"/>
    <x v="7"/>
    <x v="15"/>
    <s v="GR100"/>
    <n v="902"/>
    <n v="327"/>
    <m/>
    <n v="458"/>
    <n v="103.5"/>
    <m/>
    <m/>
    <m/>
    <m/>
    <m/>
  </r>
  <r>
    <x v="1"/>
    <x v="0"/>
    <s v="2015_Minnipa"/>
    <n v="5"/>
    <n v="2"/>
    <n v="18"/>
    <n v="2"/>
    <x v="8"/>
    <x v="15"/>
    <s v="GR100"/>
    <n v="904"/>
    <n v="341"/>
    <m/>
    <n v="482"/>
    <n v="80.599999999999994"/>
    <m/>
    <m/>
    <m/>
    <m/>
    <m/>
  </r>
  <r>
    <x v="1"/>
    <x v="0"/>
    <s v="2015_Minnipa"/>
    <n v="5"/>
    <n v="3"/>
    <n v="19"/>
    <n v="2"/>
    <x v="10"/>
    <x v="15"/>
    <s v="GR100"/>
    <n v="952"/>
    <n v="300"/>
    <m/>
    <n v="521"/>
    <n v="125.9"/>
    <m/>
    <m/>
    <m/>
    <m/>
    <m/>
  </r>
  <r>
    <x v="1"/>
    <x v="0"/>
    <s v="2015_Minnipa"/>
    <n v="5"/>
    <n v="4"/>
    <n v="20"/>
    <n v="2"/>
    <x v="6"/>
    <x v="15"/>
    <s v="GR100"/>
    <n v="962"/>
    <n v="371"/>
    <m/>
    <n v="480"/>
    <n v="102.7"/>
    <m/>
    <m/>
    <m/>
    <m/>
    <m/>
  </r>
  <r>
    <x v="1"/>
    <x v="0"/>
    <s v="2015_Minnipa"/>
    <n v="6"/>
    <n v="4"/>
    <n v="21"/>
    <n v="2"/>
    <x v="0"/>
    <x v="15"/>
    <s v="GR100"/>
    <n v="872"/>
    <n v="289"/>
    <m/>
    <n v="462"/>
    <n v="119.8"/>
    <m/>
    <m/>
    <m/>
    <m/>
    <m/>
  </r>
  <r>
    <x v="1"/>
    <x v="0"/>
    <s v="2015_Minnipa"/>
    <n v="6"/>
    <n v="3"/>
    <n v="22"/>
    <n v="2"/>
    <x v="5"/>
    <x v="15"/>
    <s v="GR100"/>
    <n v="918"/>
    <n v="318"/>
    <m/>
    <n v="386"/>
    <n v="113.1"/>
    <m/>
    <m/>
    <m/>
    <m/>
    <m/>
  </r>
  <r>
    <x v="1"/>
    <x v="0"/>
    <s v="2015_Minnipa"/>
    <n v="6"/>
    <n v="2"/>
    <n v="23"/>
    <n v="2"/>
    <x v="2"/>
    <x v="15"/>
    <s v="GR100"/>
    <n v="1130"/>
    <n v="375"/>
    <m/>
    <n v="558"/>
    <n v="170.3"/>
    <m/>
    <m/>
    <m/>
    <m/>
    <m/>
  </r>
  <r>
    <x v="1"/>
    <x v="0"/>
    <s v="2015_Minnipa"/>
    <n v="6"/>
    <n v="1"/>
    <n v="24"/>
    <n v="2"/>
    <x v="4"/>
    <x v="15"/>
    <s v="GR100"/>
    <n v="973"/>
    <n v="280"/>
    <m/>
    <n v="609"/>
    <n v="83.6"/>
    <m/>
    <m/>
    <m/>
    <m/>
    <m/>
  </r>
  <r>
    <x v="1"/>
    <x v="0"/>
    <s v="2015_Minnipa"/>
    <n v="7"/>
    <n v="1"/>
    <n v="25"/>
    <n v="3"/>
    <x v="2"/>
    <x v="15"/>
    <s v="GR100"/>
    <n v="995"/>
    <n v="312"/>
    <m/>
    <n v="569"/>
    <n v="108.4"/>
    <m/>
    <m/>
    <m/>
    <m/>
    <m/>
  </r>
  <r>
    <x v="1"/>
    <x v="0"/>
    <s v="2015_Minnipa"/>
    <n v="7"/>
    <n v="2"/>
    <n v="26"/>
    <n v="3"/>
    <x v="10"/>
    <x v="15"/>
    <s v="GR100"/>
    <n v="882"/>
    <n v="316"/>
    <m/>
    <n v="458"/>
    <n v="92.1"/>
    <m/>
    <m/>
    <m/>
    <m/>
    <m/>
  </r>
  <r>
    <x v="1"/>
    <x v="0"/>
    <s v="2015_Minnipa"/>
    <n v="7"/>
    <n v="3"/>
    <n v="27"/>
    <n v="3"/>
    <x v="0"/>
    <x v="15"/>
    <s v="GR100"/>
    <n v="861"/>
    <n v="298"/>
    <m/>
    <n v="438"/>
    <n v="117.7"/>
    <m/>
    <m/>
    <m/>
    <m/>
    <m/>
  </r>
  <r>
    <x v="1"/>
    <x v="0"/>
    <s v="2015_Minnipa"/>
    <n v="7"/>
    <n v="4"/>
    <n v="28"/>
    <n v="3"/>
    <x v="9"/>
    <x v="15"/>
    <s v="GR100"/>
    <n v="1009"/>
    <n v="338"/>
    <m/>
    <n v="574"/>
    <n v="81.599999999999994"/>
    <m/>
    <m/>
    <m/>
    <m/>
    <m/>
  </r>
  <r>
    <x v="1"/>
    <x v="0"/>
    <s v="2015_Minnipa"/>
    <n v="8"/>
    <n v="4"/>
    <n v="29"/>
    <n v="3"/>
    <x v="5"/>
    <x v="15"/>
    <s v="GR100"/>
    <n v="877"/>
    <n v="289"/>
    <m/>
    <n v="484"/>
    <n v="103.3"/>
    <m/>
    <m/>
    <m/>
    <m/>
    <m/>
  </r>
  <r>
    <x v="1"/>
    <x v="0"/>
    <s v="2015_Minnipa"/>
    <n v="8"/>
    <n v="3"/>
    <n v="30"/>
    <n v="3"/>
    <x v="8"/>
    <x v="15"/>
    <s v="GR100"/>
    <n v="797"/>
    <n v="272"/>
    <m/>
    <n v="465"/>
    <n v="48.9"/>
    <m/>
    <m/>
    <m/>
    <m/>
    <m/>
  </r>
  <r>
    <x v="1"/>
    <x v="0"/>
    <s v="2015_Minnipa"/>
    <n v="8"/>
    <n v="2"/>
    <n v="31"/>
    <n v="3"/>
    <x v="4"/>
    <x v="15"/>
    <s v="GR100"/>
    <n v="1005"/>
    <n v="353"/>
    <m/>
    <n v="565"/>
    <n v="86.2"/>
    <m/>
    <m/>
    <m/>
    <m/>
    <m/>
  </r>
  <r>
    <x v="1"/>
    <x v="0"/>
    <s v="2015_Minnipa"/>
    <n v="8"/>
    <n v="1"/>
    <n v="32"/>
    <n v="3"/>
    <x v="3"/>
    <x v="15"/>
    <s v="GR100"/>
    <n v="962"/>
    <n v="357"/>
    <m/>
    <n v="512"/>
    <n v="91.6"/>
    <m/>
    <m/>
    <m/>
    <m/>
    <m/>
  </r>
  <r>
    <x v="1"/>
    <x v="0"/>
    <s v="2015_Minnipa"/>
    <n v="9"/>
    <n v="1"/>
    <n v="33"/>
    <n v="3"/>
    <x v="6"/>
    <x v="15"/>
    <s v="GR100"/>
    <n v="940"/>
    <n v="330"/>
    <m/>
    <n v="501"/>
    <n v="96.8"/>
    <m/>
    <m/>
    <m/>
    <m/>
    <m/>
  </r>
  <r>
    <x v="1"/>
    <x v="0"/>
    <s v="2015_Minnipa"/>
    <n v="9"/>
    <n v="2"/>
    <n v="34"/>
    <n v="3"/>
    <x v="11"/>
    <x v="15"/>
    <s v="GR100"/>
    <n v="1120"/>
    <n v="395"/>
    <m/>
    <n v="600"/>
    <n v="111.9"/>
    <m/>
    <m/>
    <m/>
    <m/>
    <m/>
  </r>
  <r>
    <x v="1"/>
    <x v="0"/>
    <s v="2015_Minnipa"/>
    <n v="9"/>
    <n v="3"/>
    <n v="35"/>
    <n v="3"/>
    <x v="1"/>
    <x v="15"/>
    <s v="GR100"/>
    <n v="949"/>
    <n v="347"/>
    <m/>
    <n v="503"/>
    <n v="93.8"/>
    <m/>
    <m/>
    <m/>
    <m/>
    <m/>
  </r>
  <r>
    <x v="1"/>
    <x v="0"/>
    <s v="2015_Minnipa"/>
    <n v="9"/>
    <n v="4"/>
    <n v="36"/>
    <n v="3"/>
    <x v="7"/>
    <x v="15"/>
    <s v="GR100"/>
    <n v="925"/>
    <n v="320"/>
    <m/>
    <n v="486"/>
    <n v="115.5"/>
    <m/>
    <m/>
    <m/>
    <m/>
    <m/>
  </r>
  <r>
    <x v="1"/>
    <x v="0"/>
    <s v="2015_Minnipa"/>
    <n v="10"/>
    <n v="4"/>
    <n v="37"/>
    <n v="4"/>
    <x v="2"/>
    <x v="15"/>
    <s v="GR100"/>
    <n v="781"/>
    <n v="257"/>
    <m/>
    <n v="446"/>
    <n v="66.5"/>
    <m/>
    <m/>
    <m/>
    <m/>
    <m/>
  </r>
  <r>
    <x v="1"/>
    <x v="0"/>
    <s v="2015_Minnipa"/>
    <n v="10"/>
    <n v="3"/>
    <n v="38"/>
    <n v="4"/>
    <x v="6"/>
    <x v="15"/>
    <s v="GR100"/>
    <n v="912"/>
    <n v="332"/>
    <m/>
    <n v="490"/>
    <n v="77.900000000000006"/>
    <m/>
    <m/>
    <m/>
    <m/>
    <m/>
  </r>
  <r>
    <x v="1"/>
    <x v="0"/>
    <s v="2015_Minnipa"/>
    <n v="10"/>
    <n v="2"/>
    <n v="39"/>
    <n v="4"/>
    <x v="7"/>
    <x v="15"/>
    <s v="GR100"/>
    <n v="1173"/>
    <n v="357"/>
    <m/>
    <n v="741"/>
    <n v="73.5"/>
    <m/>
    <m/>
    <m/>
    <m/>
    <m/>
  </r>
  <r>
    <x v="1"/>
    <x v="0"/>
    <s v="2015_Minnipa"/>
    <n v="10"/>
    <n v="1"/>
    <n v="40"/>
    <n v="4"/>
    <x v="5"/>
    <x v="15"/>
    <s v="GR100"/>
    <n v="987"/>
    <n v="344"/>
    <m/>
    <n v="543"/>
    <n v="91.6"/>
    <m/>
    <m/>
    <m/>
    <m/>
    <m/>
  </r>
  <r>
    <x v="1"/>
    <x v="0"/>
    <s v="2015_Minnipa"/>
    <n v="11"/>
    <n v="1"/>
    <n v="41"/>
    <n v="4"/>
    <x v="11"/>
    <x v="15"/>
    <s v="GR100"/>
    <n v="1125"/>
    <n v="372"/>
    <m/>
    <n v="652"/>
    <n v="99.9"/>
    <m/>
    <m/>
    <m/>
    <m/>
    <m/>
  </r>
  <r>
    <x v="1"/>
    <x v="0"/>
    <s v="2015_Minnipa"/>
    <n v="11"/>
    <n v="2"/>
    <n v="42"/>
    <n v="4"/>
    <x v="0"/>
    <x v="15"/>
    <s v="GR100"/>
    <n v="1017"/>
    <n v="322"/>
    <m/>
    <n v="590"/>
    <n v="83.5"/>
    <m/>
    <m/>
    <m/>
    <m/>
    <m/>
  </r>
  <r>
    <x v="1"/>
    <x v="0"/>
    <s v="2015_Minnipa"/>
    <n v="11"/>
    <n v="3"/>
    <n v="43"/>
    <n v="4"/>
    <x v="4"/>
    <x v="15"/>
    <s v="GR100"/>
    <n v="1111"/>
    <n v="383"/>
    <m/>
    <n v="507"/>
    <n v="124.4"/>
    <m/>
    <m/>
    <m/>
    <m/>
    <m/>
  </r>
  <r>
    <x v="1"/>
    <x v="0"/>
    <s v="2015_Minnipa"/>
    <n v="11"/>
    <n v="4"/>
    <n v="44"/>
    <n v="4"/>
    <x v="1"/>
    <x v="15"/>
    <s v="GR100"/>
    <n v="1010"/>
    <n v="381"/>
    <m/>
    <n v="537"/>
    <n v="91.3"/>
    <m/>
    <m/>
    <m/>
    <m/>
    <m/>
  </r>
  <r>
    <x v="1"/>
    <x v="0"/>
    <s v="2015_Minnipa"/>
    <n v="12"/>
    <n v="4"/>
    <n v="45"/>
    <n v="4"/>
    <x v="10"/>
    <x v="15"/>
    <s v="GR100"/>
    <n v="896"/>
    <n v="328"/>
    <m/>
    <n v="461"/>
    <n v="101.3"/>
    <m/>
    <m/>
    <m/>
    <m/>
    <m/>
  </r>
  <r>
    <x v="1"/>
    <x v="0"/>
    <s v="2015_Minnipa"/>
    <n v="12"/>
    <n v="3"/>
    <n v="46"/>
    <n v="4"/>
    <x v="9"/>
    <x v="15"/>
    <s v="GR100"/>
    <n v="1110"/>
    <n v="413"/>
    <m/>
    <n v="572"/>
    <n v="98.4"/>
    <m/>
    <m/>
    <m/>
    <m/>
    <m/>
  </r>
  <r>
    <x v="1"/>
    <x v="0"/>
    <s v="2015_Minnipa"/>
    <n v="12"/>
    <n v="2"/>
    <n v="47"/>
    <n v="4"/>
    <x v="3"/>
    <x v="15"/>
    <s v="GR100"/>
    <n v="931"/>
    <n v="331"/>
    <m/>
    <n v="511"/>
    <n v="83.9"/>
    <m/>
    <m/>
    <m/>
    <m/>
    <m/>
  </r>
  <r>
    <x v="1"/>
    <x v="0"/>
    <s v="2015_Minnipa"/>
    <n v="12"/>
    <n v="1"/>
    <n v="48"/>
    <n v="4"/>
    <x v="8"/>
    <x v="15"/>
    <s v="GR100"/>
    <n v="1108"/>
    <n v="351"/>
    <m/>
    <n v="652"/>
    <n v="90.2"/>
    <m/>
    <m/>
    <m/>
    <m/>
    <m/>
  </r>
  <r>
    <x v="1"/>
    <x v="1"/>
    <s v="2015_Temora"/>
    <n v="1"/>
    <n v="1"/>
    <n v="1"/>
    <n v="1"/>
    <x v="2"/>
    <x v="16"/>
    <s v="N0"/>
    <n v="55"/>
    <m/>
    <m/>
    <m/>
    <m/>
    <n v="-25.99"/>
    <n v="57.4"/>
    <n v="30.8"/>
    <n v="3.157"/>
    <n v="1.694"/>
  </r>
  <r>
    <x v="1"/>
    <x v="1"/>
    <s v="2015_Temora"/>
    <n v="1"/>
    <n v="2"/>
    <n v="2"/>
    <n v="1"/>
    <x v="10"/>
    <x v="16"/>
    <s v="N0"/>
    <n v="52"/>
    <m/>
    <m/>
    <m/>
    <m/>
    <n v="-25.36"/>
    <n v="58.9"/>
    <n v="51.2"/>
    <n v="3.0627999999999997"/>
    <n v="2.6623999999999999"/>
  </r>
  <r>
    <x v="1"/>
    <x v="1"/>
    <s v="2015_Temora"/>
    <n v="1"/>
    <n v="3"/>
    <n v="3"/>
    <n v="1"/>
    <x v="5"/>
    <x v="16"/>
    <s v="N0"/>
    <n v="82"/>
    <m/>
    <m/>
    <m/>
    <m/>
    <n v="-25.83"/>
    <n v="61"/>
    <n v="14.4"/>
    <n v="5.0019999999999998"/>
    <n v="1.1807999999999998"/>
  </r>
  <r>
    <x v="1"/>
    <x v="1"/>
    <s v="2015_Temora"/>
    <n v="1"/>
    <n v="4"/>
    <n v="4"/>
    <n v="1"/>
    <x v="8"/>
    <x v="16"/>
    <s v="N0"/>
    <n v="59"/>
    <m/>
    <m/>
    <m/>
    <m/>
    <n v="-25.68"/>
    <n v="53.8"/>
    <n v="33.1"/>
    <n v="3.1741999999999999"/>
    <n v="1.9529000000000001"/>
  </r>
  <r>
    <x v="1"/>
    <x v="1"/>
    <s v="2015_Temora"/>
    <n v="2"/>
    <n v="4"/>
    <n v="5"/>
    <n v="1"/>
    <x v="7"/>
    <x v="16"/>
    <s v="N0"/>
    <n v="65"/>
    <m/>
    <m/>
    <m/>
    <m/>
    <n v="-25.7"/>
    <n v="57.9"/>
    <n v="28.6"/>
    <n v="3.7635000000000001"/>
    <n v="1.859"/>
  </r>
  <r>
    <x v="1"/>
    <x v="1"/>
    <s v="2015_Temora"/>
    <n v="2"/>
    <n v="3"/>
    <n v="6"/>
    <n v="1"/>
    <x v="3"/>
    <x v="16"/>
    <s v="N0"/>
    <n v="68"/>
    <m/>
    <m/>
    <m/>
    <m/>
    <n v="-25.72"/>
    <n v="62.7"/>
    <n v="17.7"/>
    <n v="4.2636000000000003"/>
    <n v="1.2036"/>
  </r>
  <r>
    <x v="1"/>
    <x v="1"/>
    <s v="2015_Temora"/>
    <n v="2"/>
    <n v="2"/>
    <n v="7"/>
    <n v="1"/>
    <x v="4"/>
    <x v="16"/>
    <s v="N0"/>
    <n v="48"/>
    <m/>
    <m/>
    <m/>
    <m/>
    <n v="-25.43"/>
    <n v="58.2"/>
    <n v="50.5"/>
    <n v="2.7936000000000005"/>
    <n v="2.4239999999999999"/>
  </r>
  <r>
    <x v="1"/>
    <x v="1"/>
    <s v="2015_Temora"/>
    <n v="2"/>
    <n v="1"/>
    <n v="8"/>
    <n v="1"/>
    <x v="9"/>
    <x v="16"/>
    <s v="N0"/>
    <n v="50"/>
    <m/>
    <m/>
    <m/>
    <m/>
    <n v="-25.21"/>
    <n v="55.6"/>
    <n v="48.8"/>
    <n v="2.78"/>
    <n v="2.44"/>
  </r>
  <r>
    <x v="1"/>
    <x v="1"/>
    <s v="2015_Temora"/>
    <n v="3"/>
    <n v="1"/>
    <n v="9"/>
    <n v="1"/>
    <x v="11"/>
    <x v="16"/>
    <s v="N0"/>
    <n v="38"/>
    <m/>
    <m/>
    <m/>
    <m/>
    <n v="-25.44"/>
    <n v="51.9"/>
    <n v="51"/>
    <n v="1.9722"/>
    <n v="1.9379999999999999"/>
  </r>
  <r>
    <x v="1"/>
    <x v="1"/>
    <s v="2015_Temora"/>
    <n v="3"/>
    <n v="2"/>
    <n v="10"/>
    <n v="1"/>
    <x v="1"/>
    <x v="16"/>
    <s v="N0"/>
    <n v="47"/>
    <m/>
    <m/>
    <m/>
    <m/>
    <n v="-25.61"/>
    <n v="58.4"/>
    <n v="32.9"/>
    <n v="2.7447999999999997"/>
    <n v="1.5463"/>
  </r>
  <r>
    <x v="1"/>
    <x v="1"/>
    <s v="2015_Temora"/>
    <n v="3"/>
    <n v="3"/>
    <n v="11"/>
    <n v="1"/>
    <x v="0"/>
    <x v="16"/>
    <s v="N0"/>
    <n v="55"/>
    <m/>
    <m/>
    <m/>
    <m/>
    <n v="-25.5"/>
    <n v="58.7"/>
    <n v="36"/>
    <n v="3.2284999999999999"/>
    <n v="1.98"/>
  </r>
  <r>
    <x v="1"/>
    <x v="1"/>
    <s v="2015_Temora"/>
    <n v="3"/>
    <n v="4"/>
    <n v="12"/>
    <n v="1"/>
    <x v="6"/>
    <x v="16"/>
    <s v="N0"/>
    <n v="62"/>
    <m/>
    <m/>
    <m/>
    <m/>
    <n v="-25.11"/>
    <n v="50.5"/>
    <n v="71.7"/>
    <n v="3.1309999999999998"/>
    <n v="4.4454000000000002"/>
  </r>
  <r>
    <x v="1"/>
    <x v="1"/>
    <s v="2015_Temora"/>
    <n v="4"/>
    <n v="4"/>
    <n v="13"/>
    <n v="2"/>
    <x v="11"/>
    <x v="16"/>
    <s v="N0"/>
    <n v="37"/>
    <m/>
    <m/>
    <m/>
    <m/>
    <n v="-25.27"/>
    <n v="51.7"/>
    <n v="64.400000000000006"/>
    <n v="1.9129"/>
    <n v="2.3828"/>
  </r>
  <r>
    <x v="1"/>
    <x v="1"/>
    <s v="2015_Temora"/>
    <n v="4"/>
    <n v="3"/>
    <n v="14"/>
    <n v="2"/>
    <x v="2"/>
    <x v="16"/>
    <s v="N0"/>
    <n v="53"/>
    <m/>
    <m/>
    <m/>
    <m/>
    <n v="-25.54"/>
    <n v="62.3"/>
    <n v="31.7"/>
    <n v="3.3018999999999998"/>
    <n v="1.6800999999999999"/>
  </r>
  <r>
    <x v="1"/>
    <x v="1"/>
    <s v="2015_Temora"/>
    <n v="4"/>
    <n v="2"/>
    <n v="15"/>
    <n v="2"/>
    <x v="0"/>
    <x v="16"/>
    <s v="N0"/>
    <n v="56"/>
    <m/>
    <m/>
    <m/>
    <m/>
    <n v="-25.29"/>
    <n v="55.5"/>
    <n v="58.1"/>
    <n v="3.1080000000000001"/>
    <n v="3.2536"/>
  </r>
  <r>
    <x v="1"/>
    <x v="1"/>
    <s v="2015_Temora"/>
    <n v="4"/>
    <n v="1"/>
    <n v="16"/>
    <n v="2"/>
    <x v="5"/>
    <x v="16"/>
    <s v="N0"/>
    <n v="61"/>
    <m/>
    <m/>
    <m/>
    <m/>
    <n v="-25.59"/>
    <n v="59.1"/>
    <n v="23.4"/>
    <n v="3.6050999999999997"/>
    <n v="1.4273999999999998"/>
  </r>
  <r>
    <x v="1"/>
    <x v="1"/>
    <s v="2015_Temora"/>
    <n v="5"/>
    <n v="1"/>
    <n v="17"/>
    <n v="2"/>
    <x v="1"/>
    <x v="16"/>
    <s v="N0"/>
    <n v="46"/>
    <m/>
    <m/>
    <m/>
    <m/>
    <n v="-25.41"/>
    <n v="58.9"/>
    <n v="37.200000000000003"/>
    <n v="2.7094"/>
    <n v="1.7112000000000001"/>
  </r>
  <r>
    <x v="1"/>
    <x v="1"/>
    <s v="2015_Temora"/>
    <n v="5"/>
    <n v="2"/>
    <n v="18"/>
    <n v="2"/>
    <x v="7"/>
    <x v="16"/>
    <s v="N0"/>
    <n v="54"/>
    <m/>
    <m/>
    <m/>
    <m/>
    <n v="-25.4"/>
    <n v="59.8"/>
    <n v="33.299999999999997"/>
    <n v="3.2291999999999996"/>
    <n v="1.7981999999999998"/>
  </r>
  <r>
    <x v="1"/>
    <x v="1"/>
    <s v="2015_Temora"/>
    <n v="5"/>
    <n v="3"/>
    <n v="19"/>
    <n v="2"/>
    <x v="6"/>
    <x v="16"/>
    <s v="N0"/>
    <n v="67"/>
    <m/>
    <m/>
    <m/>
    <m/>
    <n v="-25.15"/>
    <n v="56.3"/>
    <n v="45.5"/>
    <n v="3.7721"/>
    <n v="3.0485000000000002"/>
  </r>
  <r>
    <x v="1"/>
    <x v="1"/>
    <s v="2015_Temora"/>
    <n v="5"/>
    <n v="4"/>
    <n v="20"/>
    <n v="2"/>
    <x v="4"/>
    <x v="16"/>
    <s v="N0"/>
    <n v="72"/>
    <m/>
    <m/>
    <m/>
    <m/>
    <n v="-25.7"/>
    <n v="58.2"/>
    <n v="29.9"/>
    <n v="4.1904000000000003"/>
    <n v="2.1527999999999996"/>
  </r>
  <r>
    <x v="1"/>
    <x v="1"/>
    <s v="2015_Temora"/>
    <n v="6"/>
    <n v="4"/>
    <n v="21"/>
    <n v="2"/>
    <x v="3"/>
    <x v="16"/>
    <s v="N0"/>
    <n v="69"/>
    <m/>
    <m/>
    <m/>
    <m/>
    <n v="-25.46"/>
    <n v="54.7"/>
    <n v="31"/>
    <n v="3.7743000000000002"/>
    <n v="2.1389999999999998"/>
  </r>
  <r>
    <x v="1"/>
    <x v="1"/>
    <s v="2015_Temora"/>
    <n v="6"/>
    <n v="3"/>
    <n v="22"/>
    <n v="2"/>
    <x v="10"/>
    <x v="16"/>
    <s v="N0"/>
    <n v="49"/>
    <m/>
    <m/>
    <m/>
    <m/>
    <n v="-25.2"/>
    <n v="57.8"/>
    <n v="52.8"/>
    <n v="2.8321999999999998"/>
    <n v="2.5871999999999997"/>
  </r>
  <r>
    <x v="1"/>
    <x v="1"/>
    <s v="2015_Temora"/>
    <n v="6"/>
    <n v="2"/>
    <n v="23"/>
    <n v="2"/>
    <x v="9"/>
    <x v="16"/>
    <s v="N0"/>
    <n v="37"/>
    <m/>
    <m/>
    <m/>
    <m/>
    <n v="-24.96"/>
    <n v="50"/>
    <n v="76.8"/>
    <n v="1.85"/>
    <n v="2.8416000000000001"/>
  </r>
  <r>
    <x v="1"/>
    <x v="1"/>
    <s v="2015_Temora"/>
    <n v="6"/>
    <n v="1"/>
    <n v="24"/>
    <n v="2"/>
    <x v="8"/>
    <x v="16"/>
    <s v="N0"/>
    <n v="61"/>
    <m/>
    <m/>
    <m/>
    <m/>
    <n v="-25.44"/>
    <n v="57.6"/>
    <n v="27"/>
    <n v="3.5135999999999998"/>
    <n v="1.647"/>
  </r>
  <r>
    <x v="1"/>
    <x v="1"/>
    <s v="2015_Temora"/>
    <n v="7"/>
    <n v="1"/>
    <n v="25"/>
    <n v="3"/>
    <x v="7"/>
    <x v="16"/>
    <s v="N0"/>
    <n v="44"/>
    <m/>
    <m/>
    <m/>
    <m/>
    <n v="-25.67"/>
    <n v="58.5"/>
    <n v="40.299999999999997"/>
    <n v="2.5739999999999998"/>
    <n v="1.7731999999999999"/>
  </r>
  <r>
    <x v="1"/>
    <x v="1"/>
    <s v="2015_Temora"/>
    <n v="7"/>
    <n v="2"/>
    <n v="26"/>
    <n v="3"/>
    <x v="5"/>
    <x v="16"/>
    <s v="N0"/>
    <n v="68"/>
    <m/>
    <m/>
    <m/>
    <m/>
    <n v="-25.91"/>
    <n v="58"/>
    <n v="17.5"/>
    <n v="3.944"/>
    <n v="1.19"/>
  </r>
  <r>
    <x v="1"/>
    <x v="1"/>
    <s v="2015_Temora"/>
    <n v="7"/>
    <n v="3"/>
    <n v="27"/>
    <n v="3"/>
    <x v="4"/>
    <x v="16"/>
    <s v="N0"/>
    <n v="64"/>
    <m/>
    <m/>
    <m/>
    <m/>
    <n v="-25.77"/>
    <n v="56.2"/>
    <n v="32"/>
    <n v="3.5968"/>
    <n v="2.048"/>
  </r>
  <r>
    <x v="1"/>
    <x v="1"/>
    <s v="2015_Temora"/>
    <n v="7"/>
    <n v="4"/>
    <n v="28"/>
    <n v="3"/>
    <x v="2"/>
    <x v="16"/>
    <s v="N0"/>
    <n v="45"/>
    <m/>
    <m/>
    <m/>
    <m/>
    <n v="-25.6"/>
    <n v="57.2"/>
    <n v="54.9"/>
    <n v="2.5739999999999998"/>
    <n v="2.4704999999999999"/>
  </r>
  <r>
    <x v="1"/>
    <x v="1"/>
    <s v="2015_Temora"/>
    <n v="8"/>
    <n v="4"/>
    <n v="29"/>
    <n v="3"/>
    <x v="1"/>
    <x v="16"/>
    <s v="N0"/>
    <n v="60"/>
    <m/>
    <m/>
    <m/>
    <m/>
    <n v="-25.78"/>
    <n v="54.1"/>
    <n v="46.1"/>
    <n v="3.246"/>
    <n v="2.766"/>
  </r>
  <r>
    <x v="1"/>
    <x v="1"/>
    <s v="2015_Temora"/>
    <n v="8"/>
    <n v="3"/>
    <n v="30"/>
    <n v="3"/>
    <x v="8"/>
    <x v="16"/>
    <s v="N0"/>
    <n v="68"/>
    <m/>
    <m/>
    <m/>
    <m/>
    <n v="-25.86"/>
    <n v="60.6"/>
    <n v="27.6"/>
    <n v="4.1208"/>
    <n v="1.8768000000000002"/>
  </r>
  <r>
    <x v="1"/>
    <x v="1"/>
    <s v="2015_Temora"/>
    <n v="8"/>
    <n v="2"/>
    <n v="31"/>
    <n v="3"/>
    <x v="6"/>
    <x v="16"/>
    <s v="N0"/>
    <n v="57"/>
    <m/>
    <m/>
    <m/>
    <m/>
    <n v="-25.09"/>
    <n v="53.5"/>
    <n v="65.8"/>
    <n v="3.0495000000000001"/>
    <n v="3.7505999999999999"/>
  </r>
  <r>
    <x v="1"/>
    <x v="1"/>
    <s v="2015_Temora"/>
    <n v="8"/>
    <n v="1"/>
    <n v="32"/>
    <n v="3"/>
    <x v="10"/>
    <x v="16"/>
    <s v="N0"/>
    <n v="55"/>
    <m/>
    <m/>
    <m/>
    <m/>
    <n v="-25.25"/>
    <n v="57.6"/>
    <n v="62.6"/>
    <n v="3.1680000000000001"/>
    <n v="3.4430000000000001"/>
  </r>
  <r>
    <x v="1"/>
    <x v="1"/>
    <s v="2015_Temora"/>
    <n v="9"/>
    <n v="1"/>
    <n v="33"/>
    <n v="3"/>
    <x v="3"/>
    <x v="16"/>
    <s v="N0"/>
    <n v="46"/>
    <m/>
    <m/>
    <m/>
    <m/>
    <n v="-25.57"/>
    <n v="57.6"/>
    <n v="39.1"/>
    <n v="2.6496"/>
    <n v="1.7986000000000002"/>
  </r>
  <r>
    <x v="1"/>
    <x v="1"/>
    <s v="2015_Temora"/>
    <n v="9"/>
    <n v="2"/>
    <n v="34"/>
    <n v="3"/>
    <x v="11"/>
    <x v="16"/>
    <s v="N0"/>
    <n v="36"/>
    <m/>
    <m/>
    <m/>
    <m/>
    <n v="-25.13"/>
    <n v="51.8"/>
    <n v="71.8"/>
    <n v="1.8648"/>
    <n v="2.5847999999999995"/>
  </r>
  <r>
    <x v="1"/>
    <x v="1"/>
    <s v="2015_Temora"/>
    <n v="9"/>
    <n v="3"/>
    <n v="35"/>
    <n v="3"/>
    <x v="9"/>
    <x v="16"/>
    <s v="N0"/>
    <n v="69"/>
    <m/>
    <m/>
    <m/>
    <m/>
    <n v="-25.46"/>
    <n v="55.8"/>
    <n v="35"/>
    <n v="3.8501999999999996"/>
    <n v="2.415"/>
  </r>
  <r>
    <x v="1"/>
    <x v="1"/>
    <s v="2015_Temora"/>
    <n v="9"/>
    <n v="4"/>
    <n v="36"/>
    <n v="3"/>
    <x v="0"/>
    <x v="16"/>
    <s v="N0"/>
    <n v="91"/>
    <m/>
    <m/>
    <m/>
    <m/>
    <n v="-25.43"/>
    <n v="55.3"/>
    <n v="53.6"/>
    <n v="5.0323000000000002"/>
    <n v="4.8776000000000002"/>
  </r>
  <r>
    <x v="1"/>
    <x v="1"/>
    <s v="2015_Temora"/>
    <n v="10"/>
    <n v="4"/>
    <n v="37"/>
    <n v="4"/>
    <x v="9"/>
    <x v="16"/>
    <s v="N0"/>
    <n v="72"/>
    <m/>
    <m/>
    <m/>
    <m/>
    <n v="-25.13"/>
    <n v="52"/>
    <n v="74"/>
    <n v="3.7440000000000002"/>
    <n v="5.3280000000000003"/>
  </r>
  <r>
    <x v="1"/>
    <x v="1"/>
    <s v="2015_Temora"/>
    <n v="10"/>
    <n v="3"/>
    <n v="38"/>
    <n v="4"/>
    <x v="1"/>
    <x v="16"/>
    <s v="N0"/>
    <n v="57"/>
    <m/>
    <m/>
    <m/>
    <m/>
    <n v="-25.36"/>
    <n v="58.9"/>
    <n v="40.1"/>
    <n v="3.3572999999999995"/>
    <n v="2.2857000000000003"/>
  </r>
  <r>
    <x v="1"/>
    <x v="1"/>
    <s v="2015_Temora"/>
    <n v="10"/>
    <n v="2"/>
    <n v="39"/>
    <n v="4"/>
    <x v="3"/>
    <x v="16"/>
    <s v="N0"/>
    <n v="71"/>
    <m/>
    <m/>
    <m/>
    <m/>
    <n v="-25.28"/>
    <n v="57.4"/>
    <n v="37.9"/>
    <n v="4.0754000000000001"/>
    <n v="2.6909000000000001"/>
  </r>
  <r>
    <x v="1"/>
    <x v="1"/>
    <s v="2015_Temora"/>
    <n v="10"/>
    <n v="1"/>
    <n v="40"/>
    <n v="4"/>
    <x v="6"/>
    <x v="16"/>
    <s v="N0"/>
    <n v="81"/>
    <m/>
    <m/>
    <m/>
    <m/>
    <n v="-25.33"/>
    <n v="59.6"/>
    <n v="34.5"/>
    <n v="4.8276000000000003"/>
    <n v="2.7945000000000002"/>
  </r>
  <r>
    <x v="1"/>
    <x v="1"/>
    <s v="2015_Temora"/>
    <n v="11"/>
    <n v="1"/>
    <n v="41"/>
    <n v="4"/>
    <x v="0"/>
    <x v="16"/>
    <s v="N0"/>
    <n v="42"/>
    <m/>
    <m/>
    <m/>
    <m/>
    <n v="-25.38"/>
    <n v="55.9"/>
    <n v="55.4"/>
    <n v="2.3477999999999999"/>
    <n v="2.3267999999999995"/>
  </r>
  <r>
    <x v="1"/>
    <x v="1"/>
    <s v="2015_Temora"/>
    <n v="11"/>
    <n v="2"/>
    <n v="42"/>
    <n v="4"/>
    <x v="8"/>
    <x v="16"/>
    <s v="N0"/>
    <n v="70"/>
    <m/>
    <m/>
    <m/>
    <m/>
    <n v="-25.46"/>
    <n v="60.3"/>
    <n v="46.7"/>
    <n v="4.2210000000000001"/>
    <n v="3.2690000000000001"/>
  </r>
  <r>
    <x v="1"/>
    <x v="1"/>
    <s v="2015_Temora"/>
    <n v="11"/>
    <n v="3"/>
    <n v="43"/>
    <n v="4"/>
    <x v="11"/>
    <x v="16"/>
    <s v="N0"/>
    <n v="43"/>
    <m/>
    <m/>
    <m/>
    <m/>
    <n v="-25.2"/>
    <n v="54.6"/>
    <n v="64.599999999999994"/>
    <n v="2.3478000000000003"/>
    <n v="2.7777999999999996"/>
  </r>
  <r>
    <x v="1"/>
    <x v="1"/>
    <s v="2015_Temora"/>
    <n v="11"/>
    <n v="4"/>
    <n v="44"/>
    <n v="4"/>
    <x v="10"/>
    <x v="16"/>
    <s v="N0"/>
    <n v="64"/>
    <m/>
    <m/>
    <m/>
    <m/>
    <n v="-25.52"/>
    <n v="54.4"/>
    <n v="45"/>
    <n v="3.4815999999999998"/>
    <n v="2.88"/>
  </r>
  <r>
    <x v="1"/>
    <x v="1"/>
    <s v="2015_Temora"/>
    <n v="12"/>
    <n v="4"/>
    <n v="45"/>
    <n v="4"/>
    <x v="5"/>
    <x v="16"/>
    <s v="N0"/>
    <n v="68"/>
    <m/>
    <m/>
    <m/>
    <m/>
    <n v="-25.64"/>
    <n v="58.9"/>
    <n v="34.799999999999997"/>
    <n v="4.0051999999999994"/>
    <n v="2.3663999999999996"/>
  </r>
  <r>
    <x v="1"/>
    <x v="1"/>
    <s v="2015_Temora"/>
    <n v="12"/>
    <n v="3"/>
    <n v="46"/>
    <n v="4"/>
    <x v="7"/>
    <x v="16"/>
    <s v="N0"/>
    <n v="49"/>
    <m/>
    <m/>
    <m/>
    <m/>
    <n v="-25.6"/>
    <n v="61.2"/>
    <n v="37.5"/>
    <n v="2.9988000000000001"/>
    <n v="1.8374999999999999"/>
  </r>
  <r>
    <x v="1"/>
    <x v="1"/>
    <s v="2015_Temora"/>
    <n v="12"/>
    <n v="2"/>
    <n v="47"/>
    <n v="4"/>
    <x v="2"/>
    <x v="16"/>
    <s v="N0"/>
    <n v="63"/>
    <m/>
    <m/>
    <m/>
    <m/>
    <n v="-25.72"/>
    <n v="63.1"/>
    <n v="20.399999999999999"/>
    <n v="3.9753000000000003"/>
    <n v="1.2851999999999999"/>
  </r>
  <r>
    <x v="1"/>
    <x v="1"/>
    <s v="2015_Temora"/>
    <n v="12"/>
    <n v="1"/>
    <n v="48"/>
    <n v="4"/>
    <x v="4"/>
    <x v="16"/>
    <s v="N0"/>
    <n v="66"/>
    <m/>
    <m/>
    <m/>
    <m/>
    <n v="-25.55"/>
    <n v="61.9"/>
    <n v="42.8"/>
    <n v="4.0853999999999999"/>
    <n v="2.8247999999999998"/>
  </r>
  <r>
    <x v="1"/>
    <x v="1"/>
    <s v="2015_Temora"/>
    <n v="1"/>
    <n v="1"/>
    <n v="1"/>
    <n v="1"/>
    <x v="2"/>
    <x v="17"/>
    <s v="N2"/>
    <n v="275"/>
    <n v="132"/>
    <n v="143"/>
    <m/>
    <m/>
    <n v="-26.24"/>
    <n v="48.9"/>
    <n v="23.8"/>
    <n v="13.4475"/>
    <n v="6.5449999999999999"/>
  </r>
  <r>
    <x v="1"/>
    <x v="1"/>
    <s v="2015_Temora"/>
    <n v="1"/>
    <n v="2"/>
    <n v="2"/>
    <n v="1"/>
    <x v="10"/>
    <x v="17"/>
    <s v="N2"/>
    <n v="224"/>
    <n v="95"/>
    <n v="129"/>
    <m/>
    <m/>
    <n v="-25.73"/>
    <n v="53.7"/>
    <n v="42.1"/>
    <n v="12.0288"/>
    <n v="9.4303999999999988"/>
  </r>
  <r>
    <x v="1"/>
    <x v="1"/>
    <s v="2015_Temora"/>
    <n v="1"/>
    <n v="3"/>
    <n v="3"/>
    <n v="1"/>
    <x v="5"/>
    <x v="17"/>
    <s v="N2"/>
    <n v="309"/>
    <n v="142"/>
    <n v="167"/>
    <m/>
    <m/>
    <n v="-25.96"/>
    <n v="57.6"/>
    <n v="23"/>
    <n v="17.798400000000001"/>
    <n v="7.1070000000000002"/>
  </r>
  <r>
    <x v="1"/>
    <x v="1"/>
    <s v="2015_Temora"/>
    <n v="1"/>
    <n v="4"/>
    <n v="4"/>
    <n v="1"/>
    <x v="8"/>
    <x v="17"/>
    <s v="N2"/>
    <n v="320"/>
    <n v="156"/>
    <n v="164"/>
    <m/>
    <m/>
    <n v="-25.82"/>
    <n v="59.5"/>
    <n v="22"/>
    <n v="19.04"/>
    <n v="7.04"/>
  </r>
  <r>
    <x v="1"/>
    <x v="1"/>
    <s v="2015_Temora"/>
    <n v="2"/>
    <n v="4"/>
    <n v="5"/>
    <n v="1"/>
    <x v="7"/>
    <x v="17"/>
    <s v="N2"/>
    <n v="268"/>
    <n v="135"/>
    <n v="133"/>
    <m/>
    <m/>
    <n v="-26.13"/>
    <n v="59.4"/>
    <n v="12.3"/>
    <n v="15.919199999999998"/>
    <n v="3.2964000000000002"/>
  </r>
  <r>
    <x v="1"/>
    <x v="1"/>
    <s v="2015_Temora"/>
    <n v="2"/>
    <n v="3"/>
    <n v="6"/>
    <n v="1"/>
    <x v="3"/>
    <x v="17"/>
    <s v="N2"/>
    <n v="292"/>
    <n v="137"/>
    <n v="155"/>
    <m/>
    <m/>
    <n v="-25.77"/>
    <n v="53.2"/>
    <n v="33.700000000000003"/>
    <n v="15.534400000000002"/>
    <n v="9.8404000000000007"/>
  </r>
  <r>
    <x v="1"/>
    <x v="1"/>
    <s v="2015_Temora"/>
    <n v="2"/>
    <n v="2"/>
    <n v="7"/>
    <n v="1"/>
    <x v="4"/>
    <x v="17"/>
    <s v="N2"/>
    <n v="336"/>
    <n v="151"/>
    <n v="185"/>
    <m/>
    <m/>
    <n v="-26.31"/>
    <n v="55.2"/>
    <n v="10.1"/>
    <n v="18.5472"/>
    <n v="3.3935999999999997"/>
  </r>
  <r>
    <x v="1"/>
    <x v="1"/>
    <s v="2015_Temora"/>
    <n v="2"/>
    <n v="1"/>
    <n v="8"/>
    <n v="1"/>
    <x v="9"/>
    <x v="17"/>
    <s v="N2"/>
    <n v="280"/>
    <n v="128"/>
    <n v="152"/>
    <m/>
    <m/>
    <n v="-25.59"/>
    <n v="56.6"/>
    <n v="37"/>
    <n v="15.848000000000001"/>
    <n v="10.36"/>
  </r>
  <r>
    <x v="1"/>
    <x v="1"/>
    <s v="2015_Temora"/>
    <n v="3"/>
    <n v="1"/>
    <n v="9"/>
    <n v="1"/>
    <x v="11"/>
    <x v="17"/>
    <s v="N2"/>
    <n v="183"/>
    <n v="80"/>
    <n v="103"/>
    <m/>
    <m/>
    <n v="-25.83"/>
    <n v="58.8"/>
    <n v="21.3"/>
    <n v="10.760399999999999"/>
    <n v="3.8978999999999999"/>
  </r>
  <r>
    <x v="1"/>
    <x v="1"/>
    <s v="2015_Temora"/>
    <n v="3"/>
    <n v="2"/>
    <n v="10"/>
    <n v="1"/>
    <x v="1"/>
    <x v="17"/>
    <s v="N2"/>
    <n v="185"/>
    <n v="70"/>
    <n v="115"/>
    <m/>
    <m/>
    <n v="-26.17"/>
    <n v="61.5"/>
    <n v="1.2"/>
    <n v="11.3775"/>
    <n v="0.222"/>
  </r>
  <r>
    <x v="1"/>
    <x v="1"/>
    <s v="2015_Temora"/>
    <n v="3"/>
    <n v="3"/>
    <n v="11"/>
    <n v="1"/>
    <x v="0"/>
    <x v="17"/>
    <s v="N2"/>
    <n v="184"/>
    <n v="82"/>
    <n v="101"/>
    <m/>
    <m/>
    <n v="-25.66"/>
    <n v="53.2"/>
    <n v="34.799999999999997"/>
    <n v="9.7888000000000019"/>
    <n v="6.4032"/>
  </r>
  <r>
    <x v="1"/>
    <x v="1"/>
    <s v="2015_Temora"/>
    <n v="3"/>
    <n v="4"/>
    <n v="12"/>
    <n v="1"/>
    <x v="6"/>
    <x v="17"/>
    <s v="N2"/>
    <n v="393"/>
    <n v="215"/>
    <n v="178"/>
    <m/>
    <m/>
    <n v="-25.89"/>
    <n v="41.1"/>
    <n v="61.5"/>
    <n v="16.1523"/>
    <n v="24.169499999999999"/>
  </r>
  <r>
    <x v="1"/>
    <x v="1"/>
    <s v="2015_Temora"/>
    <n v="4"/>
    <n v="4"/>
    <n v="13"/>
    <n v="2"/>
    <x v="11"/>
    <x v="17"/>
    <s v="N2"/>
    <n v="214"/>
    <n v="102"/>
    <n v="112"/>
    <m/>
    <m/>
    <n v="-25.74"/>
    <n v="50.4"/>
    <n v="55.6"/>
    <n v="10.785600000000001"/>
    <n v="11.898399999999999"/>
  </r>
  <r>
    <x v="1"/>
    <x v="1"/>
    <s v="2015_Temora"/>
    <n v="4"/>
    <n v="3"/>
    <n v="14"/>
    <n v="2"/>
    <x v="2"/>
    <x v="17"/>
    <s v="N2"/>
    <n v="312"/>
    <n v="140"/>
    <n v="172"/>
    <m/>
    <m/>
    <n v="-26.23"/>
    <n v="55.7"/>
    <n v="17.899999999999999"/>
    <n v="17.378400000000003"/>
    <n v="5.5847999999999995"/>
  </r>
  <r>
    <x v="1"/>
    <x v="1"/>
    <s v="2015_Temora"/>
    <n v="4"/>
    <n v="2"/>
    <n v="15"/>
    <n v="2"/>
    <x v="0"/>
    <x v="17"/>
    <s v="N2"/>
    <n v="252"/>
    <n v="101"/>
    <n v="151"/>
    <m/>
    <m/>
    <n v="-26.08"/>
    <n v="46.4"/>
    <n v="52.8"/>
    <n v="11.6928"/>
    <n v="13.305599999999998"/>
  </r>
  <r>
    <x v="1"/>
    <x v="1"/>
    <s v="2015_Temora"/>
    <n v="4"/>
    <n v="1"/>
    <n v="16"/>
    <n v="2"/>
    <x v="5"/>
    <x v="17"/>
    <s v="N2"/>
    <n v="257"/>
    <n v="120"/>
    <n v="137"/>
    <m/>
    <m/>
    <n v="-25.89"/>
    <n v="54.4"/>
    <n v="18.8"/>
    <n v="13.980799999999999"/>
    <n v="4.8316000000000008"/>
  </r>
  <r>
    <x v="1"/>
    <x v="1"/>
    <s v="2015_Temora"/>
    <n v="5"/>
    <n v="1"/>
    <n v="17"/>
    <n v="2"/>
    <x v="1"/>
    <x v="17"/>
    <s v="N2"/>
    <n v="256"/>
    <n v="115"/>
    <n v="141"/>
    <m/>
    <m/>
    <n v="-26.17"/>
    <n v="55.6"/>
    <n v="23.6"/>
    <n v="14.233600000000001"/>
    <n v="6.0416000000000007"/>
  </r>
  <r>
    <x v="1"/>
    <x v="1"/>
    <s v="2015_Temora"/>
    <n v="5"/>
    <n v="2"/>
    <n v="18"/>
    <n v="2"/>
    <x v="7"/>
    <x v="17"/>
    <s v="N2"/>
    <n v="179"/>
    <n v="70"/>
    <n v="110"/>
    <m/>
    <m/>
    <n v="-26.05"/>
    <n v="57.5"/>
    <n v="26.4"/>
    <n v="10.2925"/>
    <n v="4.7255999999999991"/>
  </r>
  <r>
    <x v="1"/>
    <x v="1"/>
    <s v="2015_Temora"/>
    <n v="5"/>
    <n v="3"/>
    <n v="19"/>
    <n v="2"/>
    <x v="6"/>
    <x v="17"/>
    <s v="N2"/>
    <n v="286"/>
    <n v="138"/>
    <n v="148"/>
    <m/>
    <m/>
    <n v="-25.91"/>
    <n v="50.8"/>
    <n v="55.5"/>
    <n v="14.528799999999999"/>
    <n v="15.872999999999999"/>
  </r>
  <r>
    <x v="1"/>
    <x v="1"/>
    <s v="2015_Temora"/>
    <n v="5"/>
    <n v="4"/>
    <n v="20"/>
    <n v="2"/>
    <x v="4"/>
    <x v="17"/>
    <s v="N2"/>
    <n v="337"/>
    <n v="162"/>
    <n v="175"/>
    <m/>
    <m/>
    <n v="-26"/>
    <n v="57.2"/>
    <n v="36.200000000000003"/>
    <n v="19.276400000000002"/>
    <n v="12.199400000000001"/>
  </r>
  <r>
    <x v="1"/>
    <x v="1"/>
    <s v="2015_Temora"/>
    <n v="6"/>
    <n v="4"/>
    <n v="21"/>
    <n v="2"/>
    <x v="3"/>
    <x v="17"/>
    <s v="N2"/>
    <n v="324"/>
    <n v="163"/>
    <n v="161"/>
    <m/>
    <m/>
    <n v="-25.85"/>
    <n v="48.1"/>
    <n v="52.1"/>
    <n v="15.5844"/>
    <n v="16.880400000000002"/>
  </r>
  <r>
    <x v="1"/>
    <x v="1"/>
    <s v="2015_Temora"/>
    <n v="6"/>
    <n v="3"/>
    <n v="22"/>
    <n v="2"/>
    <x v="10"/>
    <x v="17"/>
    <s v="N2"/>
    <n v="205"/>
    <n v="91"/>
    <n v="113"/>
    <m/>
    <m/>
    <n v="-25.81"/>
    <n v="48.9"/>
    <n v="49.1"/>
    <n v="10.0245"/>
    <n v="10.0655"/>
  </r>
  <r>
    <x v="1"/>
    <x v="1"/>
    <s v="2015_Temora"/>
    <n v="6"/>
    <n v="2"/>
    <n v="23"/>
    <n v="2"/>
    <x v="9"/>
    <x v="17"/>
    <s v="N2"/>
    <n v="245"/>
    <n v="103"/>
    <n v="141"/>
    <m/>
    <m/>
    <n v="-26.21"/>
    <n v="44.7"/>
    <n v="52.6"/>
    <n v="10.951499999999999"/>
    <n v="12.887"/>
  </r>
  <r>
    <x v="1"/>
    <x v="1"/>
    <s v="2015_Temora"/>
    <n v="6"/>
    <n v="1"/>
    <n v="24"/>
    <n v="2"/>
    <x v="8"/>
    <x v="17"/>
    <s v="N2"/>
    <n v="289"/>
    <n v="132"/>
    <n v="157"/>
    <m/>
    <m/>
    <n v="-26.14"/>
    <n v="56.1"/>
    <n v="9.9"/>
    <n v="16.212900000000001"/>
    <n v="2.8611"/>
  </r>
  <r>
    <x v="1"/>
    <x v="1"/>
    <s v="2015_Temora"/>
    <n v="7"/>
    <n v="1"/>
    <n v="25"/>
    <n v="3"/>
    <x v="7"/>
    <x v="17"/>
    <s v="N2"/>
    <n v="202"/>
    <n v="89"/>
    <n v="112"/>
    <m/>
    <m/>
    <n v="-26.27"/>
    <n v="64.7"/>
    <m/>
    <n v="13.069400000000002"/>
    <m/>
  </r>
  <r>
    <x v="1"/>
    <x v="1"/>
    <s v="2015_Temora"/>
    <n v="7"/>
    <n v="2"/>
    <n v="26"/>
    <n v="3"/>
    <x v="5"/>
    <x v="17"/>
    <s v="N2"/>
    <n v="223"/>
    <n v="93"/>
    <n v="130"/>
    <m/>
    <m/>
    <n v="-26.41"/>
    <n v="55.5"/>
    <n v="5.4"/>
    <n v="12.3765"/>
    <n v="1.2041999999999999"/>
  </r>
  <r>
    <x v="1"/>
    <x v="1"/>
    <s v="2015_Temora"/>
    <n v="7"/>
    <n v="3"/>
    <n v="27"/>
    <n v="3"/>
    <x v="4"/>
    <x v="17"/>
    <s v="N2"/>
    <n v="290"/>
    <n v="135"/>
    <n v="155"/>
    <m/>
    <m/>
    <n v="-26.18"/>
    <n v="57.1"/>
    <n v="15.7"/>
    <n v="16.559000000000001"/>
    <n v="4.5529999999999999"/>
  </r>
  <r>
    <x v="1"/>
    <x v="1"/>
    <s v="2015_Temora"/>
    <n v="7"/>
    <n v="4"/>
    <n v="28"/>
    <n v="3"/>
    <x v="2"/>
    <x v="17"/>
    <s v="N2"/>
    <n v="280"/>
    <n v="130"/>
    <n v="151"/>
    <m/>
    <m/>
    <n v="-25.96"/>
    <n v="55.3"/>
    <n v="16.899999999999999"/>
    <n v="15.484"/>
    <n v="4.7320000000000002"/>
  </r>
  <r>
    <x v="1"/>
    <x v="1"/>
    <s v="2015_Temora"/>
    <n v="8"/>
    <n v="4"/>
    <n v="29"/>
    <n v="3"/>
    <x v="1"/>
    <x v="17"/>
    <s v="N2"/>
    <n v="274"/>
    <n v="128"/>
    <n v="146"/>
    <m/>
    <m/>
    <n v="-25.97"/>
    <n v="59.6"/>
    <n v="24.7"/>
    <n v="16.330400000000001"/>
    <n v="6.7678000000000003"/>
  </r>
  <r>
    <x v="1"/>
    <x v="1"/>
    <s v="2015_Temora"/>
    <n v="8"/>
    <n v="3"/>
    <n v="30"/>
    <n v="3"/>
    <x v="8"/>
    <x v="17"/>
    <s v="N2"/>
    <n v="177"/>
    <n v="75"/>
    <n v="102"/>
    <m/>
    <m/>
    <n v="-26.2"/>
    <n v="59.8"/>
    <n v="12.5"/>
    <n v="10.5846"/>
    <n v="2.2124999999999999"/>
  </r>
  <r>
    <x v="1"/>
    <x v="1"/>
    <s v="2015_Temora"/>
    <n v="8"/>
    <n v="2"/>
    <n v="31"/>
    <n v="3"/>
    <x v="6"/>
    <x v="17"/>
    <s v="N2"/>
    <n v="215"/>
    <n v="89"/>
    <n v="126"/>
    <m/>
    <m/>
    <n v="-25.75"/>
    <n v="56.7"/>
    <n v="33"/>
    <n v="12.1905"/>
    <n v="7.0949999999999998"/>
  </r>
  <r>
    <x v="1"/>
    <x v="1"/>
    <s v="2015_Temora"/>
    <n v="8"/>
    <n v="1"/>
    <n v="32"/>
    <n v="3"/>
    <x v="10"/>
    <x v="17"/>
    <s v="N2"/>
    <n v="297"/>
    <n v="139"/>
    <n v="158"/>
    <m/>
    <m/>
    <n v="-25.89"/>
    <n v="52.7"/>
    <n v="40.299999999999997"/>
    <n v="15.651900000000001"/>
    <n v="11.969099999999999"/>
  </r>
  <r>
    <x v="1"/>
    <x v="1"/>
    <s v="2015_Temora"/>
    <n v="9"/>
    <n v="1"/>
    <n v="33"/>
    <n v="3"/>
    <x v="3"/>
    <x v="17"/>
    <s v="N2"/>
    <n v="335"/>
    <n v="180"/>
    <n v="155"/>
    <m/>
    <m/>
    <n v="-25.89"/>
    <n v="46.8"/>
    <n v="47.8"/>
    <n v="15.677999999999999"/>
    <n v="16.012999999999998"/>
  </r>
  <r>
    <x v="1"/>
    <x v="1"/>
    <s v="2015_Temora"/>
    <n v="9"/>
    <n v="2"/>
    <n v="34"/>
    <n v="3"/>
    <x v="11"/>
    <x v="17"/>
    <s v="N2"/>
    <n v="171"/>
    <n v="69"/>
    <n v="102"/>
    <m/>
    <m/>
    <n v="-26.03"/>
    <n v="56.7"/>
    <n v="16.100000000000001"/>
    <n v="9.6957000000000004"/>
    <n v="2.7531000000000003"/>
  </r>
  <r>
    <x v="1"/>
    <x v="1"/>
    <s v="2015_Temora"/>
    <n v="9"/>
    <n v="3"/>
    <n v="35"/>
    <n v="3"/>
    <x v="9"/>
    <x v="17"/>
    <s v="N2"/>
    <n v="228"/>
    <n v="110"/>
    <n v="118"/>
    <m/>
    <m/>
    <n v="-25.73"/>
    <n v="52.7"/>
    <n v="48.9"/>
    <n v="12.015600000000001"/>
    <n v="11.149199999999999"/>
  </r>
  <r>
    <x v="1"/>
    <x v="1"/>
    <s v="2015_Temora"/>
    <n v="9"/>
    <n v="4"/>
    <n v="36"/>
    <n v="3"/>
    <x v="0"/>
    <x v="17"/>
    <s v="N2"/>
    <n v="258"/>
    <n v="128"/>
    <n v="131"/>
    <m/>
    <m/>
    <n v="-25.77"/>
    <n v="48.4"/>
    <n v="48.8"/>
    <n v="12.4872"/>
    <n v="12.590399999999999"/>
  </r>
  <r>
    <x v="1"/>
    <x v="1"/>
    <s v="2015_Temora"/>
    <n v="10"/>
    <n v="4"/>
    <n v="37"/>
    <n v="4"/>
    <x v="9"/>
    <x v="17"/>
    <s v="N2"/>
    <n v="304"/>
    <n v="141"/>
    <n v="163"/>
    <m/>
    <m/>
    <n v="-25.8"/>
    <n v="52"/>
    <n v="40.6"/>
    <n v="15.808"/>
    <n v="12.3424"/>
  </r>
  <r>
    <x v="1"/>
    <x v="1"/>
    <s v="2015_Temora"/>
    <n v="10"/>
    <n v="3"/>
    <n v="38"/>
    <n v="4"/>
    <x v="1"/>
    <x v="17"/>
    <s v="N2"/>
    <n v="197"/>
    <n v="82"/>
    <n v="115"/>
    <m/>
    <m/>
    <n v="-26.39"/>
    <n v="64.599999999999994"/>
    <n v="5"/>
    <n v="12.726199999999999"/>
    <n v="0.98499999999999999"/>
  </r>
  <r>
    <x v="1"/>
    <x v="1"/>
    <s v="2015_Temora"/>
    <n v="10"/>
    <n v="2"/>
    <n v="39"/>
    <n v="4"/>
    <x v="3"/>
    <x v="17"/>
    <s v="N2"/>
    <n v="302"/>
    <n v="148"/>
    <n v="154"/>
    <m/>
    <m/>
    <n v="-25.8"/>
    <n v="48.4"/>
    <n v="47.6"/>
    <n v="14.6168"/>
    <n v="14.375200000000001"/>
  </r>
  <r>
    <x v="1"/>
    <x v="1"/>
    <s v="2015_Temora"/>
    <n v="10"/>
    <n v="1"/>
    <n v="40"/>
    <n v="4"/>
    <x v="6"/>
    <x v="17"/>
    <s v="N2"/>
    <n v="391"/>
    <n v="194"/>
    <n v="197"/>
    <m/>
    <m/>
    <n v="-25.83"/>
    <n v="45.9"/>
    <n v="54.1"/>
    <n v="17.946899999999999"/>
    <n v="21.153100000000002"/>
  </r>
  <r>
    <x v="1"/>
    <x v="1"/>
    <s v="2015_Temora"/>
    <n v="11"/>
    <n v="1"/>
    <n v="41"/>
    <n v="4"/>
    <x v="0"/>
    <x v="17"/>
    <s v="N2"/>
    <n v="270"/>
    <n v="124"/>
    <n v="146"/>
    <m/>
    <m/>
    <n v="-25.9"/>
    <n v="50.8"/>
    <n v="58.5"/>
    <n v="13.715999999999999"/>
    <n v="15.795"/>
  </r>
  <r>
    <x v="1"/>
    <x v="1"/>
    <s v="2015_Temora"/>
    <n v="11"/>
    <n v="2"/>
    <n v="42"/>
    <n v="4"/>
    <x v="8"/>
    <x v="17"/>
    <s v="N2"/>
    <n v="299"/>
    <n v="143"/>
    <n v="157"/>
    <m/>
    <m/>
    <n v="-25.88"/>
    <n v="49.7"/>
    <n v="43"/>
    <n v="14.860300000000001"/>
    <n v="12.856999999999999"/>
  </r>
  <r>
    <x v="1"/>
    <x v="1"/>
    <s v="2015_Temora"/>
    <n v="11"/>
    <n v="3"/>
    <n v="43"/>
    <n v="4"/>
    <x v="11"/>
    <x v="17"/>
    <s v="N2"/>
    <n v="193"/>
    <n v="84"/>
    <n v="109"/>
    <m/>
    <m/>
    <n v="-26.07"/>
    <n v="52.6"/>
    <n v="31.7"/>
    <n v="10.151800000000001"/>
    <n v="6.1180999999999992"/>
  </r>
  <r>
    <x v="1"/>
    <x v="1"/>
    <s v="2015_Temora"/>
    <n v="11"/>
    <n v="4"/>
    <n v="44"/>
    <n v="4"/>
    <x v="10"/>
    <x v="17"/>
    <s v="N2"/>
    <n v="228"/>
    <n v="106"/>
    <n v="121"/>
    <m/>
    <m/>
    <n v="-25.8"/>
    <n v="51.8"/>
    <n v="50.6"/>
    <n v="11.8104"/>
    <n v="11.536800000000001"/>
  </r>
  <r>
    <x v="1"/>
    <x v="1"/>
    <s v="2015_Temora"/>
    <n v="12"/>
    <n v="4"/>
    <n v="45"/>
    <n v="4"/>
    <x v="5"/>
    <x v="17"/>
    <s v="N2"/>
    <n v="249"/>
    <n v="128"/>
    <n v="121"/>
    <m/>
    <m/>
    <n v="-26.09"/>
    <n v="44.9"/>
    <n v="59.9"/>
    <n v="11.180099999999999"/>
    <n v="14.915100000000001"/>
  </r>
  <r>
    <x v="1"/>
    <x v="1"/>
    <s v="2015_Temora"/>
    <n v="12"/>
    <n v="3"/>
    <n v="46"/>
    <n v="4"/>
    <x v="7"/>
    <x v="17"/>
    <s v="N2"/>
    <n v="229"/>
    <n v="110"/>
    <n v="120"/>
    <m/>
    <m/>
    <n v="-26.04"/>
    <n v="51.1"/>
    <n v="45.8"/>
    <n v="11.7019"/>
    <n v="10.488199999999999"/>
  </r>
  <r>
    <x v="1"/>
    <x v="1"/>
    <s v="2015_Temora"/>
    <n v="12"/>
    <n v="2"/>
    <n v="47"/>
    <n v="4"/>
    <x v="2"/>
    <x v="17"/>
    <s v="N2"/>
    <n v="244"/>
    <n v="113"/>
    <n v="131"/>
    <m/>
    <m/>
    <n v="-25.89"/>
    <n v="59.7"/>
    <n v="11.3"/>
    <n v="14.566800000000001"/>
    <n v="2.7572000000000001"/>
  </r>
  <r>
    <x v="1"/>
    <x v="1"/>
    <s v="2015_Temora"/>
    <n v="12"/>
    <n v="1"/>
    <n v="48"/>
    <n v="4"/>
    <x v="4"/>
    <x v="17"/>
    <s v="N2"/>
    <n v="290"/>
    <n v="131"/>
    <n v="159"/>
    <m/>
    <m/>
    <n v="-25.84"/>
    <n v="60.1"/>
    <n v="12.7"/>
    <n v="17.428999999999998"/>
    <n v="3.6829999999999998"/>
  </r>
  <r>
    <x v="1"/>
    <x v="1"/>
    <s v="2015_Temora"/>
    <n v="1"/>
    <n v="1"/>
    <n v="1"/>
    <n v="1"/>
    <x v="2"/>
    <x v="18"/>
    <s v="F1"/>
    <n v="532"/>
    <n v="314"/>
    <n v="219"/>
    <m/>
    <m/>
    <n v="-26.15"/>
    <n v="37.4"/>
    <n v="61.2"/>
    <n v="19.896799999999999"/>
    <n v="32.558399999999999"/>
  </r>
  <r>
    <x v="1"/>
    <x v="1"/>
    <s v="2015_Temora"/>
    <n v="1"/>
    <n v="2"/>
    <n v="2"/>
    <n v="1"/>
    <x v="10"/>
    <x v="18"/>
    <s v="F1"/>
    <n v="604"/>
    <n v="359"/>
    <n v="246"/>
    <m/>
    <m/>
    <n v="-25.88"/>
    <n v="34.5"/>
    <n v="79.099999999999994"/>
    <n v="20.838000000000001"/>
    <n v="47.776399999999995"/>
  </r>
  <r>
    <x v="1"/>
    <x v="1"/>
    <s v="2015_Temora"/>
    <n v="1"/>
    <n v="3"/>
    <n v="3"/>
    <n v="1"/>
    <x v="5"/>
    <x v="18"/>
    <s v="F1"/>
    <n v="584"/>
    <n v="382"/>
    <n v="202"/>
    <m/>
    <m/>
    <n v="-25.51"/>
    <n v="33.5"/>
    <n v="111.1"/>
    <n v="19.564"/>
    <n v="64.88239999999999"/>
  </r>
  <r>
    <x v="1"/>
    <x v="1"/>
    <s v="2015_Temora"/>
    <n v="1"/>
    <n v="4"/>
    <n v="4"/>
    <n v="1"/>
    <x v="8"/>
    <x v="18"/>
    <s v="F1"/>
    <n v="490"/>
    <n v="306"/>
    <n v="185"/>
    <m/>
    <m/>
    <n v="-25.39"/>
    <n v="31.4"/>
    <n v="132.1"/>
    <n v="15.385999999999999"/>
    <n v="64.728999999999999"/>
  </r>
  <r>
    <x v="1"/>
    <x v="1"/>
    <s v="2015_Temora"/>
    <n v="2"/>
    <n v="4"/>
    <n v="5"/>
    <n v="1"/>
    <x v="7"/>
    <x v="18"/>
    <s v="F1"/>
    <n v="540"/>
    <n v="325"/>
    <n v="216"/>
    <m/>
    <m/>
    <n v="-25.78"/>
    <n v="38.200000000000003"/>
    <n v="83.6"/>
    <n v="20.628"/>
    <n v="45.143999999999998"/>
  </r>
  <r>
    <x v="1"/>
    <x v="1"/>
    <s v="2015_Temora"/>
    <n v="2"/>
    <n v="3"/>
    <n v="6"/>
    <n v="1"/>
    <x v="3"/>
    <x v="18"/>
    <s v="F1"/>
    <n v="653"/>
    <n v="440"/>
    <n v="213"/>
    <m/>
    <m/>
    <n v="-25.39"/>
    <n v="29.2"/>
    <n v="124.8"/>
    <n v="19.067599999999999"/>
    <n v="81.494399999999999"/>
  </r>
  <r>
    <x v="1"/>
    <x v="1"/>
    <s v="2015_Temora"/>
    <n v="2"/>
    <n v="2"/>
    <n v="7"/>
    <n v="1"/>
    <x v="4"/>
    <x v="18"/>
    <s v="F1"/>
    <n v="603"/>
    <n v="372"/>
    <n v="231"/>
    <m/>
    <m/>
    <n v="-25.71"/>
    <n v="33.1"/>
    <n v="98.6"/>
    <n v="19.959299999999999"/>
    <n v="59.455799999999996"/>
  </r>
  <r>
    <x v="1"/>
    <x v="1"/>
    <s v="2015_Temora"/>
    <n v="2"/>
    <n v="1"/>
    <n v="8"/>
    <n v="1"/>
    <x v="9"/>
    <x v="18"/>
    <s v="F1"/>
    <n v="530"/>
    <n v="324"/>
    <n v="206"/>
    <m/>
    <m/>
    <n v="-25.3"/>
    <n v="30.4"/>
    <n v="120"/>
    <n v="16.111999999999998"/>
    <n v="63.6"/>
  </r>
  <r>
    <x v="1"/>
    <x v="1"/>
    <s v="2015_Temora"/>
    <n v="3"/>
    <n v="1"/>
    <n v="9"/>
    <n v="1"/>
    <x v="11"/>
    <x v="18"/>
    <s v="F1"/>
    <n v="415"/>
    <n v="224"/>
    <n v="191"/>
    <m/>
    <m/>
    <n v="-25.51"/>
    <n v="36.5"/>
    <n v="101.6"/>
    <n v="15.147500000000001"/>
    <n v="42.164000000000001"/>
  </r>
  <r>
    <x v="1"/>
    <x v="1"/>
    <s v="2015_Temora"/>
    <n v="3"/>
    <n v="2"/>
    <n v="10"/>
    <n v="1"/>
    <x v="1"/>
    <x v="18"/>
    <s v="F1"/>
    <n v="471"/>
    <n v="280"/>
    <n v="191"/>
    <m/>
    <m/>
    <n v="-26.12"/>
    <n v="41.1"/>
    <n v="57.9"/>
    <n v="19.358100000000004"/>
    <n v="27.270899999999997"/>
  </r>
  <r>
    <x v="1"/>
    <x v="1"/>
    <s v="2015_Temora"/>
    <n v="3"/>
    <n v="3"/>
    <n v="11"/>
    <n v="1"/>
    <x v="0"/>
    <x v="18"/>
    <s v="F1"/>
    <n v="412"/>
    <n v="246"/>
    <n v="166"/>
    <m/>
    <m/>
    <n v="-25.21"/>
    <n v="31.9"/>
    <n v="145.5"/>
    <n v="13.142799999999999"/>
    <n v="59.945999999999998"/>
  </r>
  <r>
    <x v="1"/>
    <x v="1"/>
    <s v="2015_Temora"/>
    <n v="3"/>
    <n v="4"/>
    <n v="12"/>
    <n v="1"/>
    <x v="6"/>
    <x v="18"/>
    <s v="F1"/>
    <n v="677"/>
    <n v="456"/>
    <n v="221"/>
    <m/>
    <m/>
    <n v="-25.02"/>
    <n v="28.5"/>
    <n v="135.9"/>
    <n v="19.294499999999999"/>
    <n v="92.004300000000001"/>
  </r>
  <r>
    <x v="1"/>
    <x v="1"/>
    <s v="2015_Temora"/>
    <n v="4"/>
    <n v="4"/>
    <n v="13"/>
    <n v="2"/>
    <x v="11"/>
    <x v="18"/>
    <s v="F1"/>
    <n v="463"/>
    <n v="268"/>
    <n v="196"/>
    <m/>
    <m/>
    <n v="-25.45"/>
    <n v="37.700000000000003"/>
    <n v="119.7"/>
    <n v="17.455100000000002"/>
    <n v="55.421099999999996"/>
  </r>
  <r>
    <x v="1"/>
    <x v="1"/>
    <s v="2015_Temora"/>
    <n v="4"/>
    <n v="3"/>
    <n v="14"/>
    <n v="2"/>
    <x v="2"/>
    <x v="18"/>
    <s v="F1"/>
    <n v="499"/>
    <n v="301"/>
    <n v="198"/>
    <m/>
    <m/>
    <n v="-25.71"/>
    <n v="36.9"/>
    <n v="101.1"/>
    <n v="18.4131"/>
    <n v="50.448899999999995"/>
  </r>
  <r>
    <x v="1"/>
    <x v="1"/>
    <s v="2015_Temora"/>
    <n v="4"/>
    <n v="2"/>
    <n v="15"/>
    <n v="2"/>
    <x v="0"/>
    <x v="18"/>
    <s v="F1"/>
    <n v="567"/>
    <n v="321"/>
    <n v="245"/>
    <m/>
    <m/>
    <n v="-25.97"/>
    <n v="32.799999999999997"/>
    <n v="112.1"/>
    <n v="18.5976"/>
    <n v="63.560699999999997"/>
  </r>
  <r>
    <x v="1"/>
    <x v="1"/>
    <s v="2015_Temora"/>
    <n v="4"/>
    <n v="1"/>
    <n v="16"/>
    <n v="2"/>
    <x v="5"/>
    <x v="18"/>
    <s v="F1"/>
    <n v="592"/>
    <n v="354"/>
    <n v="239"/>
    <m/>
    <m/>
    <n v="-25.78"/>
    <n v="35.700000000000003"/>
    <n v="83.3"/>
    <n v="21.134400000000003"/>
    <n v="49.313600000000001"/>
  </r>
  <r>
    <x v="1"/>
    <x v="1"/>
    <s v="2015_Temora"/>
    <n v="5"/>
    <n v="1"/>
    <n v="17"/>
    <n v="2"/>
    <x v="1"/>
    <x v="18"/>
    <s v="F1"/>
    <n v="591"/>
    <n v="357"/>
    <n v="234"/>
    <m/>
    <m/>
    <n v="-25.78"/>
    <n v="33.4"/>
    <n v="92.9"/>
    <n v="19.739399999999996"/>
    <n v="54.9039"/>
  </r>
  <r>
    <x v="1"/>
    <x v="1"/>
    <s v="2015_Temora"/>
    <n v="5"/>
    <n v="2"/>
    <n v="18"/>
    <n v="2"/>
    <x v="7"/>
    <x v="18"/>
    <s v="F1"/>
    <n v="574"/>
    <n v="325"/>
    <n v="248"/>
    <m/>
    <m/>
    <n v="-25.7"/>
    <n v="38.799999999999997"/>
    <n v="78.8"/>
    <n v="22.271199999999997"/>
    <n v="45.231199999999994"/>
  </r>
  <r>
    <x v="1"/>
    <x v="1"/>
    <s v="2015_Temora"/>
    <n v="5"/>
    <n v="3"/>
    <n v="19"/>
    <n v="2"/>
    <x v="6"/>
    <x v="18"/>
    <s v="F1"/>
    <n v="688"/>
    <n v="457"/>
    <n v="231"/>
    <m/>
    <m/>
    <n v="-25.14"/>
    <n v="31"/>
    <n v="136.1"/>
    <n v="21.327999999999999"/>
    <n v="93.636800000000008"/>
  </r>
  <r>
    <x v="1"/>
    <x v="1"/>
    <s v="2015_Temora"/>
    <n v="5"/>
    <n v="4"/>
    <n v="20"/>
    <n v="2"/>
    <x v="4"/>
    <x v="18"/>
    <s v="F1"/>
    <n v="519"/>
    <n v="311"/>
    <n v="208"/>
    <m/>
    <m/>
    <n v="-26.03"/>
    <n v="37.9"/>
    <n v="72.3"/>
    <n v="19.670099999999998"/>
    <n v="37.523699999999998"/>
  </r>
  <r>
    <x v="1"/>
    <x v="1"/>
    <s v="2015_Temora"/>
    <n v="6"/>
    <n v="4"/>
    <n v="21"/>
    <n v="2"/>
    <x v="3"/>
    <x v="18"/>
    <s v="F1"/>
    <n v="645"/>
    <n v="437"/>
    <n v="208"/>
    <m/>
    <m/>
    <n v="-25.33"/>
    <n v="31.1"/>
    <n v="135.9"/>
    <n v="20.0595"/>
    <n v="87.655500000000004"/>
  </r>
  <r>
    <x v="1"/>
    <x v="1"/>
    <s v="2015_Temora"/>
    <n v="6"/>
    <n v="3"/>
    <n v="22"/>
    <n v="2"/>
    <x v="10"/>
    <x v="18"/>
    <s v="F1"/>
    <n v="558"/>
    <n v="346"/>
    <n v="212"/>
    <m/>
    <m/>
    <n v="-25.25"/>
    <n v="34.799999999999997"/>
    <n v="131.5"/>
    <n v="19.418399999999998"/>
    <n v="73.376999999999995"/>
  </r>
  <r>
    <x v="1"/>
    <x v="1"/>
    <s v="2015_Temora"/>
    <n v="6"/>
    <n v="2"/>
    <n v="23"/>
    <n v="2"/>
    <x v="9"/>
    <x v="18"/>
    <s v="F1"/>
    <n v="537"/>
    <n v="316"/>
    <n v="221"/>
    <m/>
    <m/>
    <n v="-25.88"/>
    <n v="34.5"/>
    <n v="87.1"/>
    <n v="18.526499999999999"/>
    <n v="46.7727"/>
  </r>
  <r>
    <x v="1"/>
    <x v="1"/>
    <s v="2015_Temora"/>
    <n v="6"/>
    <n v="1"/>
    <n v="24"/>
    <n v="2"/>
    <x v="8"/>
    <x v="18"/>
    <s v="F1"/>
    <n v="601"/>
    <n v="341"/>
    <n v="260"/>
    <m/>
    <m/>
    <n v="-25.94"/>
    <n v="43"/>
    <n v="55.1"/>
    <n v="25.843"/>
    <n v="33.115099999999998"/>
  </r>
  <r>
    <x v="1"/>
    <x v="1"/>
    <s v="2015_Temora"/>
    <n v="7"/>
    <n v="1"/>
    <n v="25"/>
    <n v="3"/>
    <x v="7"/>
    <x v="18"/>
    <s v="F1"/>
    <n v="578"/>
    <n v="339"/>
    <n v="239"/>
    <m/>
    <m/>
    <n v="-25.94"/>
    <n v="39"/>
    <n v="66.400000000000006"/>
    <n v="22.542000000000002"/>
    <n v="38.379200000000004"/>
  </r>
  <r>
    <x v="1"/>
    <x v="1"/>
    <s v="2015_Temora"/>
    <n v="7"/>
    <n v="2"/>
    <n v="26"/>
    <n v="3"/>
    <x v="5"/>
    <x v="18"/>
    <s v="F1"/>
    <n v="641"/>
    <n v="412"/>
    <n v="228"/>
    <m/>
    <m/>
    <n v="-25.9"/>
    <n v="34.299999999999997"/>
    <n v="79.7"/>
    <n v="21.9863"/>
    <n v="51.087700000000005"/>
  </r>
  <r>
    <x v="1"/>
    <x v="1"/>
    <s v="2015_Temora"/>
    <n v="7"/>
    <n v="3"/>
    <n v="27"/>
    <n v="3"/>
    <x v="4"/>
    <x v="18"/>
    <s v="F1"/>
    <n v="610"/>
    <n v="364"/>
    <n v="246"/>
    <m/>
    <m/>
    <n v="-25.78"/>
    <n v="40.200000000000003"/>
    <n v="88.6"/>
    <n v="24.521999999999998"/>
    <n v="54.045999999999999"/>
  </r>
  <r>
    <x v="1"/>
    <x v="1"/>
    <s v="2015_Temora"/>
    <n v="7"/>
    <n v="4"/>
    <n v="28"/>
    <n v="3"/>
    <x v="2"/>
    <x v="18"/>
    <s v="F1"/>
    <n v="634"/>
    <n v="389"/>
    <n v="245"/>
    <m/>
    <m/>
    <n v="-25.54"/>
    <n v="37.6"/>
    <n v="91.4"/>
    <n v="23.8384"/>
    <n v="57.947600000000008"/>
  </r>
  <r>
    <x v="1"/>
    <x v="1"/>
    <s v="2015_Temora"/>
    <n v="8"/>
    <n v="4"/>
    <n v="29"/>
    <n v="3"/>
    <x v="1"/>
    <x v="18"/>
    <s v="F1"/>
    <n v="724"/>
    <n v="460"/>
    <n v="264"/>
    <m/>
    <m/>
    <n v="-25.47"/>
    <n v="31.7"/>
    <n v="107.7"/>
    <n v="22.950800000000001"/>
    <n v="77.974800000000002"/>
  </r>
  <r>
    <x v="1"/>
    <x v="1"/>
    <s v="2015_Temora"/>
    <n v="8"/>
    <n v="3"/>
    <n v="30"/>
    <n v="3"/>
    <x v="8"/>
    <x v="18"/>
    <s v="F1"/>
    <n v="616"/>
    <n v="385"/>
    <n v="232"/>
    <m/>
    <m/>
    <n v="-25.69"/>
    <n v="29.1"/>
    <n v="100.8"/>
    <n v="17.925600000000003"/>
    <n v="62.092799999999997"/>
  </r>
  <r>
    <x v="1"/>
    <x v="1"/>
    <s v="2015_Temora"/>
    <n v="8"/>
    <n v="2"/>
    <n v="31"/>
    <n v="3"/>
    <x v="6"/>
    <x v="18"/>
    <s v="F1"/>
    <n v="638"/>
    <n v="420"/>
    <n v="219"/>
    <m/>
    <m/>
    <n v="-25.7"/>
    <n v="29.5"/>
    <n v="94.2"/>
    <n v="18.821000000000002"/>
    <n v="60.099599999999995"/>
  </r>
  <r>
    <x v="1"/>
    <x v="1"/>
    <s v="2015_Temora"/>
    <n v="8"/>
    <n v="1"/>
    <n v="32"/>
    <n v="3"/>
    <x v="10"/>
    <x v="18"/>
    <s v="F1"/>
    <n v="600"/>
    <n v="355"/>
    <n v="246"/>
    <m/>
    <m/>
    <n v="-25.86"/>
    <n v="32.5"/>
    <n v="90.5"/>
    <n v="19.5"/>
    <n v="54.3"/>
  </r>
  <r>
    <x v="1"/>
    <x v="1"/>
    <s v="2015_Temora"/>
    <n v="9"/>
    <n v="1"/>
    <n v="33"/>
    <n v="3"/>
    <x v="3"/>
    <x v="18"/>
    <s v="F1"/>
    <n v="701"/>
    <n v="481"/>
    <n v="220"/>
    <m/>
    <m/>
    <n v="-25.57"/>
    <n v="28.9"/>
    <n v="117.6"/>
    <n v="20.258899999999997"/>
    <n v="82.437599999999989"/>
  </r>
  <r>
    <x v="1"/>
    <x v="1"/>
    <s v="2015_Temora"/>
    <n v="9"/>
    <n v="2"/>
    <n v="34"/>
    <n v="3"/>
    <x v="11"/>
    <x v="18"/>
    <s v="F1"/>
    <n v="381"/>
    <n v="211"/>
    <n v="170"/>
    <m/>
    <m/>
    <n v="-25.58"/>
    <n v="38.9"/>
    <n v="90.7"/>
    <n v="14.8209"/>
    <n v="34.556700000000006"/>
  </r>
  <r>
    <x v="1"/>
    <x v="1"/>
    <s v="2015_Temora"/>
    <n v="9"/>
    <n v="3"/>
    <n v="35"/>
    <n v="3"/>
    <x v="9"/>
    <x v="18"/>
    <s v="F1"/>
    <n v="603"/>
    <n v="359"/>
    <n v="244"/>
    <m/>
    <m/>
    <n v="-25.46"/>
    <n v="35.799999999999997"/>
    <n v="115.8"/>
    <n v="21.587399999999999"/>
    <n v="69.827399999999997"/>
  </r>
  <r>
    <x v="1"/>
    <x v="1"/>
    <s v="2015_Temora"/>
    <n v="9"/>
    <n v="4"/>
    <n v="36"/>
    <n v="3"/>
    <x v="0"/>
    <x v="18"/>
    <s v="F1"/>
    <n v="612"/>
    <n v="376"/>
    <n v="237"/>
    <m/>
    <m/>
    <n v="-25.22"/>
    <n v="34.1"/>
    <n v="109.6"/>
    <n v="20.869199999999999"/>
    <n v="67.075199999999995"/>
  </r>
  <r>
    <x v="1"/>
    <x v="1"/>
    <s v="2015_Temora"/>
    <n v="10"/>
    <n v="4"/>
    <n v="37"/>
    <n v="4"/>
    <x v="9"/>
    <x v="18"/>
    <s v="F1"/>
    <n v="638"/>
    <n v="409"/>
    <n v="229"/>
    <m/>
    <m/>
    <n v="-25.47"/>
    <n v="26.5"/>
    <n v="136.1"/>
    <n v="16.907"/>
    <n v="86.831800000000001"/>
  </r>
  <r>
    <x v="1"/>
    <x v="1"/>
    <s v="2015_Temora"/>
    <n v="10"/>
    <n v="3"/>
    <n v="38"/>
    <n v="4"/>
    <x v="1"/>
    <x v="18"/>
    <s v="F1"/>
    <n v="478"/>
    <n v="281"/>
    <n v="197"/>
    <m/>
    <m/>
    <n v="-25.92"/>
    <n v="39.700000000000003"/>
    <n v="80"/>
    <n v="18.976600000000001"/>
    <n v="38.24"/>
  </r>
  <r>
    <x v="1"/>
    <x v="1"/>
    <s v="2015_Temora"/>
    <n v="10"/>
    <n v="2"/>
    <n v="39"/>
    <n v="4"/>
    <x v="3"/>
    <x v="18"/>
    <s v="F1"/>
    <n v="677"/>
    <n v="463"/>
    <n v="213"/>
    <m/>
    <m/>
    <n v="-25.81"/>
    <n v="38"/>
    <n v="114.6"/>
    <n v="25.725999999999999"/>
    <n v="77.584199999999996"/>
  </r>
  <r>
    <x v="1"/>
    <x v="1"/>
    <s v="2015_Temora"/>
    <n v="10"/>
    <n v="1"/>
    <n v="40"/>
    <n v="4"/>
    <x v="6"/>
    <x v="18"/>
    <s v="F1"/>
    <n v="615"/>
    <n v="394"/>
    <n v="221"/>
    <m/>
    <m/>
    <n v="-25.81"/>
    <n v="30.3"/>
    <n v="103.8"/>
    <n v="18.634499999999999"/>
    <n v="63.837000000000003"/>
  </r>
  <r>
    <x v="1"/>
    <x v="1"/>
    <s v="2015_Temora"/>
    <n v="11"/>
    <n v="1"/>
    <n v="41"/>
    <n v="4"/>
    <x v="0"/>
    <x v="18"/>
    <s v="F1"/>
    <n v="623"/>
    <n v="371"/>
    <n v="253"/>
    <m/>
    <m/>
    <n v="-25.85"/>
    <n v="33.4"/>
    <n v="89.8"/>
    <n v="20.808199999999999"/>
    <n v="55.945399999999999"/>
  </r>
  <r>
    <x v="1"/>
    <x v="1"/>
    <s v="2015_Temora"/>
    <n v="11"/>
    <n v="2"/>
    <n v="42"/>
    <n v="4"/>
    <x v="8"/>
    <x v="18"/>
    <s v="F1"/>
    <n v="537"/>
    <n v="318"/>
    <n v="219"/>
    <m/>
    <m/>
    <n v="-25.86"/>
    <n v="36.200000000000003"/>
    <n v="81.099999999999994"/>
    <n v="19.439400000000003"/>
    <n v="43.550699999999999"/>
  </r>
  <r>
    <x v="1"/>
    <x v="1"/>
    <s v="2015_Temora"/>
    <n v="11"/>
    <n v="3"/>
    <n v="43"/>
    <n v="4"/>
    <x v="11"/>
    <x v="18"/>
    <s v="F1"/>
    <n v="508"/>
    <n v="284"/>
    <n v="224"/>
    <m/>
    <m/>
    <n v="-25.74"/>
    <n v="35.4"/>
    <n v="103.2"/>
    <n v="17.9832"/>
    <n v="52.425599999999996"/>
  </r>
  <r>
    <x v="1"/>
    <x v="1"/>
    <s v="2015_Temora"/>
    <n v="11"/>
    <n v="4"/>
    <n v="44"/>
    <n v="4"/>
    <x v="10"/>
    <x v="18"/>
    <s v="F1"/>
    <n v="554"/>
    <n v="342"/>
    <n v="212"/>
    <m/>
    <m/>
    <n v="-25.46"/>
    <n v="29.1"/>
    <n v="131.30000000000001"/>
    <n v="16.121400000000001"/>
    <n v="72.740200000000016"/>
  </r>
  <r>
    <x v="1"/>
    <x v="1"/>
    <s v="2015_Temora"/>
    <n v="12"/>
    <n v="4"/>
    <n v="45"/>
    <n v="4"/>
    <x v="5"/>
    <x v="18"/>
    <s v="F1"/>
    <n v="607"/>
    <n v="402"/>
    <n v="205"/>
    <m/>
    <m/>
    <n v="-25.89"/>
    <n v="30.6"/>
    <n v="100.6"/>
    <n v="18.574200000000001"/>
    <n v="61.0642"/>
  </r>
  <r>
    <x v="1"/>
    <x v="1"/>
    <s v="2015_Temora"/>
    <n v="12"/>
    <n v="3"/>
    <n v="46"/>
    <n v="4"/>
    <x v="7"/>
    <x v="18"/>
    <s v="F1"/>
    <n v="575"/>
    <n v="331"/>
    <n v="244"/>
    <m/>
    <m/>
    <n v="-25.76"/>
    <n v="37.799999999999997"/>
    <n v="88.3"/>
    <n v="21.734999999999999"/>
    <n v="50.772500000000001"/>
  </r>
  <r>
    <x v="1"/>
    <x v="1"/>
    <s v="2015_Temora"/>
    <n v="12"/>
    <n v="2"/>
    <n v="47"/>
    <n v="4"/>
    <x v="2"/>
    <x v="18"/>
    <s v="F1"/>
    <n v="523"/>
    <n v="304"/>
    <n v="219"/>
    <m/>
    <m/>
    <n v="-25.75"/>
    <n v="39.200000000000003"/>
    <n v="68.2"/>
    <n v="20.501600000000003"/>
    <n v="35.668599999999998"/>
  </r>
  <r>
    <x v="1"/>
    <x v="1"/>
    <s v="2015_Temora"/>
    <n v="12"/>
    <n v="1"/>
    <n v="48"/>
    <n v="4"/>
    <x v="4"/>
    <x v="18"/>
    <s v="F1"/>
    <n v="556"/>
    <n v="229"/>
    <n v="326"/>
    <m/>
    <m/>
    <n v="-26.15"/>
    <n v="41.4"/>
    <n v="53.6"/>
    <n v="23.018399999999996"/>
    <n v="29.801600000000001"/>
  </r>
  <r>
    <x v="1"/>
    <x v="1"/>
    <s v="2015_Temora"/>
    <n v="1"/>
    <n v="1"/>
    <n v="1"/>
    <n v="1"/>
    <x v="2"/>
    <x v="19"/>
    <s v="A100"/>
    <n v="1186"/>
    <n v="668"/>
    <n v="144"/>
    <n v="305"/>
    <n v="69"/>
    <n v="-25.9"/>
    <n v="18.7"/>
    <n v="100.3"/>
    <n v="22.1782"/>
    <n v="118.9558"/>
  </r>
  <r>
    <x v="1"/>
    <x v="1"/>
    <s v="2015_Temora"/>
    <n v="1"/>
    <n v="2"/>
    <n v="2"/>
    <n v="1"/>
    <x v="10"/>
    <x v="20"/>
    <s v="A100"/>
    <n v="1119"/>
    <n v="610"/>
    <n v="135"/>
    <n v="297"/>
    <n v="77"/>
    <n v="-25.3"/>
    <n v="21"/>
    <n v="124.9"/>
    <n v="23.498999999999999"/>
    <n v="139.76310000000001"/>
  </r>
  <r>
    <x v="1"/>
    <x v="1"/>
    <s v="2015_Temora"/>
    <n v="1"/>
    <n v="3"/>
    <n v="3"/>
    <n v="1"/>
    <x v="5"/>
    <x v="19"/>
    <s v="A100"/>
    <n v="943"/>
    <n v="522"/>
    <n v="106"/>
    <n v="264"/>
    <n v="52"/>
    <n v="-25.86"/>
    <n v="17.899999999999999"/>
    <n v="127"/>
    <n v="16.879699999999996"/>
    <n v="119.761"/>
  </r>
  <r>
    <x v="1"/>
    <x v="1"/>
    <s v="2015_Temora"/>
    <n v="1"/>
    <n v="4"/>
    <n v="4"/>
    <n v="1"/>
    <x v="8"/>
    <x v="19"/>
    <s v="A100"/>
    <n v="1246"/>
    <n v="687"/>
    <n v="133"/>
    <n v="352"/>
    <n v="74"/>
    <n v="-25.48"/>
    <n v="19.2"/>
    <n v="144.1"/>
    <n v="23.923200000000001"/>
    <n v="179.54859999999999"/>
  </r>
  <r>
    <x v="1"/>
    <x v="1"/>
    <s v="2015_Temora"/>
    <n v="2"/>
    <n v="4"/>
    <n v="5"/>
    <n v="1"/>
    <x v="7"/>
    <x v="21"/>
    <s v="A100"/>
    <n v="849"/>
    <n v="460"/>
    <n v="52"/>
    <n v="243"/>
    <n v="94"/>
    <n v="-25.37"/>
    <n v="16.5"/>
    <n v="138.1"/>
    <n v="14.0085"/>
    <n v="117.2469"/>
  </r>
  <r>
    <x v="1"/>
    <x v="1"/>
    <s v="2015_Temora"/>
    <n v="2"/>
    <n v="3"/>
    <n v="6"/>
    <n v="1"/>
    <x v="3"/>
    <x v="20"/>
    <s v="A100"/>
    <n v="1149"/>
    <n v="608"/>
    <n v="133"/>
    <n v="355"/>
    <n v="53"/>
    <n v="-25.29"/>
    <n v="17.7"/>
    <n v="160.19999999999999"/>
    <n v="20.337299999999999"/>
    <n v="184.06979999999999"/>
  </r>
  <r>
    <x v="1"/>
    <x v="1"/>
    <s v="2015_Temora"/>
    <n v="2"/>
    <n v="2"/>
    <n v="7"/>
    <n v="1"/>
    <x v="4"/>
    <x v="19"/>
    <s v="A100"/>
    <n v="1160"/>
    <n v="626"/>
    <n v="140"/>
    <n v="315"/>
    <n v="79"/>
    <n v="-25.47"/>
    <n v="21.8"/>
    <n v="107.7"/>
    <n v="25.288"/>
    <n v="124.932"/>
  </r>
  <r>
    <x v="1"/>
    <x v="1"/>
    <s v="2015_Temora"/>
    <n v="2"/>
    <n v="1"/>
    <n v="8"/>
    <n v="1"/>
    <x v="9"/>
    <x v="19"/>
    <s v="A100"/>
    <n v="1133"/>
    <n v="632"/>
    <n v="153"/>
    <n v="288"/>
    <n v="60"/>
    <n v="-25.33"/>
    <n v="15.7"/>
    <n v="128.6"/>
    <n v="17.7881"/>
    <n v="145.7038"/>
  </r>
  <r>
    <x v="1"/>
    <x v="1"/>
    <s v="2015_Temora"/>
    <n v="3"/>
    <n v="1"/>
    <n v="9"/>
    <n v="1"/>
    <x v="11"/>
    <x v="21"/>
    <s v="A100"/>
    <n v="985"/>
    <n v="511"/>
    <n v="107"/>
    <n v="313"/>
    <n v="53"/>
    <n v="-25.36"/>
    <n v="15.4"/>
    <n v="161.19999999999999"/>
    <n v="15.169"/>
    <n v="158.78200000000001"/>
  </r>
  <r>
    <x v="1"/>
    <x v="1"/>
    <s v="2015_Temora"/>
    <n v="3"/>
    <n v="2"/>
    <n v="10"/>
    <n v="1"/>
    <x v="1"/>
    <x v="19"/>
    <s v="A100"/>
    <n v="1054"/>
    <n v="597"/>
    <n v="127"/>
    <n v="276"/>
    <n v="55"/>
    <n v="-25.68"/>
    <n v="18.399999999999999"/>
    <n v="109.6"/>
    <n v="19.393599999999999"/>
    <n v="115.5184"/>
  </r>
  <r>
    <x v="1"/>
    <x v="1"/>
    <s v="2015_Temora"/>
    <n v="3"/>
    <n v="3"/>
    <n v="11"/>
    <n v="1"/>
    <x v="0"/>
    <x v="20"/>
    <s v="A100"/>
    <n v="1007"/>
    <n v="556"/>
    <n v="137"/>
    <n v="249"/>
    <n v="65"/>
    <n v="-25.42"/>
    <n v="21"/>
    <n v="131"/>
    <n v="21.146999999999998"/>
    <n v="131.917"/>
  </r>
  <r>
    <x v="1"/>
    <x v="1"/>
    <s v="2015_Temora"/>
    <n v="3"/>
    <n v="4"/>
    <n v="12"/>
    <n v="1"/>
    <x v="6"/>
    <x v="20"/>
    <s v="A100"/>
    <n v="1175"/>
    <n v="666"/>
    <n v="124"/>
    <n v="336"/>
    <n v="49"/>
    <n v="-25.32"/>
    <n v="15.9"/>
    <n v="152.6"/>
    <n v="18.682500000000001"/>
    <n v="179.30500000000001"/>
  </r>
  <r>
    <x v="1"/>
    <x v="1"/>
    <s v="2015_Temora"/>
    <n v="4"/>
    <n v="4"/>
    <n v="13"/>
    <n v="2"/>
    <x v="11"/>
    <x v="21"/>
    <s v="A100"/>
    <n v="942"/>
    <n v="489"/>
    <n v="106"/>
    <n v="302"/>
    <n v="44"/>
    <n v="-24.71"/>
    <n v="18.7"/>
    <n v="188"/>
    <n v="17.615399999999998"/>
    <n v="177.096"/>
  </r>
  <r>
    <x v="1"/>
    <x v="1"/>
    <s v="2015_Temora"/>
    <n v="4"/>
    <n v="3"/>
    <n v="14"/>
    <n v="2"/>
    <x v="2"/>
    <x v="19"/>
    <s v="A100"/>
    <n v="1173"/>
    <n v="637"/>
    <n v="120"/>
    <n v="346"/>
    <n v="70"/>
    <n v="-25.54"/>
    <n v="18.399999999999999"/>
    <n v="112.6"/>
    <n v="21.583199999999998"/>
    <n v="132.07979999999998"/>
  </r>
  <r>
    <x v="1"/>
    <x v="1"/>
    <s v="2015_Temora"/>
    <n v="4"/>
    <n v="2"/>
    <n v="15"/>
    <n v="2"/>
    <x v="0"/>
    <x v="20"/>
    <s v="A100"/>
    <n v="1100"/>
    <n v="592"/>
    <n v="161"/>
    <n v="290"/>
    <n v="58"/>
    <n v="-25.55"/>
    <n v="17.2"/>
    <n v="137.4"/>
    <n v="18.920000000000002"/>
    <n v="151.13999999999999"/>
  </r>
  <r>
    <x v="1"/>
    <x v="1"/>
    <s v="2015_Temora"/>
    <n v="4"/>
    <n v="1"/>
    <n v="16"/>
    <n v="2"/>
    <x v="5"/>
    <x v="19"/>
    <s v="A100"/>
    <n v="1080"/>
    <n v="588"/>
    <n v="113"/>
    <n v="312"/>
    <n v="66"/>
    <n v="-25.61"/>
    <n v="16.2"/>
    <n v="137.30000000000001"/>
    <n v="17.495999999999999"/>
    <n v="148.28399999999999"/>
  </r>
  <r>
    <x v="1"/>
    <x v="1"/>
    <s v="2015_Temora"/>
    <n v="5"/>
    <n v="1"/>
    <n v="17"/>
    <n v="2"/>
    <x v="1"/>
    <x v="19"/>
    <s v="A100"/>
    <n v="1188"/>
    <n v="660"/>
    <n v="149"/>
    <n v="320"/>
    <n v="58"/>
    <n v="-25.39"/>
    <n v="17.600000000000001"/>
    <n v="142.5"/>
    <n v="20.908800000000003"/>
    <n v="169.29"/>
  </r>
  <r>
    <x v="1"/>
    <x v="1"/>
    <s v="2015_Temora"/>
    <n v="5"/>
    <n v="2"/>
    <n v="18"/>
    <n v="2"/>
    <x v="7"/>
    <x v="21"/>
    <s v="A100"/>
    <n v="1329"/>
    <n v="722"/>
    <n v="136"/>
    <n v="392"/>
    <n v="79"/>
    <n v="-25.5"/>
    <n v="17"/>
    <n v="123.7"/>
    <n v="22.593"/>
    <n v="164.39730000000003"/>
  </r>
  <r>
    <x v="1"/>
    <x v="1"/>
    <s v="2015_Temora"/>
    <n v="5"/>
    <n v="3"/>
    <n v="19"/>
    <n v="2"/>
    <x v="6"/>
    <x v="20"/>
    <s v="A100"/>
    <n v="1104"/>
    <n v="636"/>
    <n v="80"/>
    <n v="319"/>
    <n v="70"/>
    <n v="-25.59"/>
    <n v="15.3"/>
    <n v="151.4"/>
    <n v="16.891200000000001"/>
    <n v="167.1456"/>
  </r>
  <r>
    <x v="1"/>
    <x v="1"/>
    <s v="2015_Temora"/>
    <n v="5"/>
    <n v="4"/>
    <n v="20"/>
    <n v="2"/>
    <x v="4"/>
    <x v="19"/>
    <s v="A100"/>
    <n v="1083"/>
    <n v="591"/>
    <n v="105"/>
    <n v="317"/>
    <n v="71"/>
    <n v="-25.5"/>
    <n v="17.5"/>
    <n v="137.5"/>
    <n v="18.952500000000001"/>
    <n v="148.91249999999999"/>
  </r>
  <r>
    <x v="1"/>
    <x v="1"/>
    <s v="2015_Temora"/>
    <n v="6"/>
    <n v="4"/>
    <n v="21"/>
    <n v="2"/>
    <x v="3"/>
    <x v="20"/>
    <s v="A100"/>
    <n v="1292"/>
    <n v="685"/>
    <n v="121"/>
    <n v="434"/>
    <n v="52"/>
    <n v="-25.14"/>
    <n v="18.2"/>
    <n v="171.3"/>
    <n v="23.514399999999998"/>
    <n v="221.31960000000001"/>
  </r>
  <r>
    <x v="1"/>
    <x v="1"/>
    <s v="2015_Temora"/>
    <n v="6"/>
    <n v="3"/>
    <n v="22"/>
    <n v="2"/>
    <x v="10"/>
    <x v="20"/>
    <s v="A100"/>
    <n v="1048"/>
    <n v="577"/>
    <n v="111"/>
    <n v="301"/>
    <n v="60"/>
    <n v="-25.36"/>
    <n v="17.100000000000001"/>
    <n v="170.2"/>
    <n v="17.920800000000003"/>
    <n v="178.36959999999996"/>
  </r>
  <r>
    <x v="1"/>
    <x v="1"/>
    <s v="2015_Temora"/>
    <n v="6"/>
    <n v="2"/>
    <n v="23"/>
    <n v="2"/>
    <x v="9"/>
    <x v="19"/>
    <s v="A100"/>
    <n v="1192"/>
    <n v="639"/>
    <n v="181"/>
    <n v="307"/>
    <n v="66"/>
    <n v="-25.61"/>
    <n v="17"/>
    <n v="105.5"/>
    <n v="20.263999999999999"/>
    <n v="125.756"/>
  </r>
  <r>
    <x v="1"/>
    <x v="1"/>
    <s v="2015_Temora"/>
    <n v="6"/>
    <n v="1"/>
    <n v="24"/>
    <n v="2"/>
    <x v="8"/>
    <x v="19"/>
    <s v="A100"/>
    <n v="1138"/>
    <n v="592"/>
    <n v="140"/>
    <n v="323"/>
    <n v="83"/>
    <n v="-25.25"/>
    <n v="16.100000000000001"/>
    <n v="134.69999999999999"/>
    <n v="18.321800000000003"/>
    <n v="153.28859999999997"/>
  </r>
  <r>
    <x v="1"/>
    <x v="1"/>
    <s v="2015_Temora"/>
    <n v="7"/>
    <n v="1"/>
    <n v="25"/>
    <n v="3"/>
    <x v="7"/>
    <x v="21"/>
    <s v="A100"/>
    <n v="1046"/>
    <n v="578"/>
    <n v="66"/>
    <n v="286"/>
    <n v="116"/>
    <n v="-25.34"/>
    <n v="15.8"/>
    <n v="134.80000000000001"/>
    <n v="16.526799999999998"/>
    <n v="141.00080000000003"/>
  </r>
  <r>
    <x v="1"/>
    <x v="1"/>
    <s v="2015_Temora"/>
    <n v="7"/>
    <n v="2"/>
    <n v="26"/>
    <n v="3"/>
    <x v="5"/>
    <x v="19"/>
    <s v="A100"/>
    <n v="1199"/>
    <n v="659"/>
    <n v="102"/>
    <n v="379"/>
    <n v="59"/>
    <n v="-25.46"/>
    <n v="16.5"/>
    <n v="134"/>
    <n v="19.7835"/>
    <n v="160.666"/>
  </r>
  <r>
    <x v="1"/>
    <x v="1"/>
    <s v="2015_Temora"/>
    <n v="7"/>
    <n v="3"/>
    <n v="27"/>
    <n v="3"/>
    <x v="4"/>
    <x v="19"/>
    <s v="A100"/>
    <n v="1019"/>
    <n v="590"/>
    <n v="87"/>
    <n v="269"/>
    <n v="72"/>
    <n v="-25.58"/>
    <n v="16.8"/>
    <n v="132.5"/>
    <n v="17.119199999999999"/>
    <n v="135.01750000000001"/>
  </r>
  <r>
    <x v="1"/>
    <x v="1"/>
    <s v="2015_Temora"/>
    <n v="7"/>
    <n v="4"/>
    <n v="28"/>
    <n v="3"/>
    <x v="2"/>
    <x v="19"/>
    <s v="A100"/>
    <n v="1079"/>
    <n v="607"/>
    <n v="103"/>
    <n v="297"/>
    <n v="71"/>
    <n v="-25.45"/>
    <n v="16.7"/>
    <n v="121.1"/>
    <n v="18.019299999999998"/>
    <n v="130.6669"/>
  </r>
  <r>
    <x v="1"/>
    <x v="1"/>
    <s v="2015_Temora"/>
    <n v="8"/>
    <n v="4"/>
    <n v="29"/>
    <n v="3"/>
    <x v="1"/>
    <x v="19"/>
    <s v="A100"/>
    <n v="1071"/>
    <n v="572"/>
    <n v="131"/>
    <n v="308"/>
    <n v="59"/>
    <n v="-25.54"/>
    <n v="19.5"/>
    <n v="137.69999999999999"/>
    <n v="20.884499999999999"/>
    <n v="147.47669999999999"/>
  </r>
  <r>
    <x v="1"/>
    <x v="1"/>
    <s v="2015_Temora"/>
    <n v="8"/>
    <n v="3"/>
    <n v="30"/>
    <n v="3"/>
    <x v="8"/>
    <x v="19"/>
    <s v="A100"/>
    <n v="1172"/>
    <n v="653"/>
    <n v="126"/>
    <n v="332"/>
    <n v="62"/>
    <n v="-25.46"/>
    <n v="17"/>
    <n v="145.5"/>
    <n v="19.923999999999999"/>
    <n v="170.52600000000001"/>
  </r>
  <r>
    <x v="1"/>
    <x v="1"/>
    <s v="2015_Temora"/>
    <n v="8"/>
    <n v="2"/>
    <n v="31"/>
    <n v="3"/>
    <x v="6"/>
    <x v="20"/>
    <s v="A100"/>
    <n v="1225"/>
    <n v="644"/>
    <n v="126"/>
    <n v="363"/>
    <n v="92"/>
    <n v="-25.39"/>
    <n v="17.7"/>
    <n v="124.8"/>
    <n v="21.682500000000001"/>
    <n v="152.88"/>
  </r>
  <r>
    <x v="1"/>
    <x v="1"/>
    <s v="2015_Temora"/>
    <n v="8"/>
    <n v="1"/>
    <n v="32"/>
    <n v="3"/>
    <x v="10"/>
    <x v="20"/>
    <s v="A100"/>
    <n v="1122"/>
    <n v="598"/>
    <n v="126"/>
    <n v="313"/>
    <n v="85"/>
    <n v="-25.55"/>
    <n v="20.6"/>
    <n v="126.5"/>
    <n v="23.113199999999999"/>
    <n v="141.93299999999999"/>
  </r>
  <r>
    <x v="1"/>
    <x v="1"/>
    <s v="2015_Temora"/>
    <n v="9"/>
    <n v="1"/>
    <n v="33"/>
    <n v="3"/>
    <x v="3"/>
    <x v="20"/>
    <s v="A100"/>
    <n v="1282"/>
    <n v="671"/>
    <n v="155"/>
    <n v="411"/>
    <n v="45"/>
    <n v="-25.1"/>
    <n v="19.899999999999999"/>
    <n v="166.8"/>
    <n v="25.511800000000001"/>
    <n v="213.83760000000001"/>
  </r>
  <r>
    <x v="1"/>
    <x v="1"/>
    <s v="2015_Temora"/>
    <n v="9"/>
    <n v="2"/>
    <n v="34"/>
    <n v="3"/>
    <x v="11"/>
    <x v="21"/>
    <s v="A100"/>
    <n v="1125"/>
    <n v="605"/>
    <n v="130"/>
    <n v="353"/>
    <n v="37"/>
    <n v="-25.01"/>
    <n v="16.2"/>
    <n v="185.1"/>
    <n v="18.225000000000001"/>
    <n v="208.23750000000001"/>
  </r>
  <r>
    <x v="1"/>
    <x v="1"/>
    <s v="2015_Temora"/>
    <n v="9"/>
    <n v="3"/>
    <n v="35"/>
    <n v="3"/>
    <x v="9"/>
    <x v="19"/>
    <s v="A100"/>
    <n v="1212"/>
    <n v="711"/>
    <n v="170"/>
    <n v="281"/>
    <n v="50"/>
    <n v="-25.35"/>
    <n v="14.7"/>
    <n v="147.9"/>
    <n v="17.816399999999998"/>
    <n v="179.25480000000002"/>
  </r>
  <r>
    <x v="1"/>
    <x v="1"/>
    <s v="2015_Temora"/>
    <n v="9"/>
    <n v="4"/>
    <n v="36"/>
    <n v="3"/>
    <x v="0"/>
    <x v="20"/>
    <s v="A100"/>
    <n v="1068"/>
    <n v="608"/>
    <n v="135"/>
    <n v="278"/>
    <n v="46"/>
    <n v="-24.96"/>
    <n v="19.600000000000001"/>
    <n v="187.6"/>
    <n v="20.932800000000004"/>
    <n v="200.35679999999999"/>
  </r>
  <r>
    <x v="1"/>
    <x v="1"/>
    <s v="2015_Temora"/>
    <n v="10"/>
    <n v="4"/>
    <n v="37"/>
    <n v="4"/>
    <x v="9"/>
    <x v="19"/>
    <s v="A100"/>
    <n v="1309"/>
    <n v="729"/>
    <n v="172"/>
    <n v="354"/>
    <n v="54"/>
    <n v="-25.25"/>
    <n v="23"/>
    <n v="132.6"/>
    <n v="30.106999999999999"/>
    <n v="173.57339999999999"/>
  </r>
  <r>
    <x v="1"/>
    <x v="1"/>
    <s v="2015_Temora"/>
    <n v="10"/>
    <n v="3"/>
    <n v="38"/>
    <n v="4"/>
    <x v="1"/>
    <x v="19"/>
    <s v="A100"/>
    <n v="1275"/>
    <n v="708"/>
    <n v="153"/>
    <n v="339"/>
    <n v="75"/>
    <n v="-25.65"/>
    <n v="26.5"/>
    <n v="98.8"/>
    <n v="33.787500000000001"/>
    <n v="125.97"/>
  </r>
  <r>
    <x v="1"/>
    <x v="1"/>
    <s v="2015_Temora"/>
    <n v="10"/>
    <n v="2"/>
    <n v="39"/>
    <n v="4"/>
    <x v="3"/>
    <x v="20"/>
    <s v="A100"/>
    <n v="1402"/>
    <n v="779"/>
    <n v="107"/>
    <n v="433"/>
    <n v="83"/>
    <n v="-25.43"/>
    <n v="18.7"/>
    <n v="173.1"/>
    <n v="26.217399999999998"/>
    <n v="242.68619999999999"/>
  </r>
  <r>
    <x v="1"/>
    <x v="1"/>
    <s v="2015_Temora"/>
    <n v="10"/>
    <n v="1"/>
    <n v="40"/>
    <n v="4"/>
    <x v="6"/>
    <x v="20"/>
    <s v="A100"/>
    <n v="1225"/>
    <n v="706"/>
    <n v="109"/>
    <n v="331"/>
    <n v="78"/>
    <n v="-25.19"/>
    <n v="18.8"/>
    <n v="198.4"/>
    <n v="23.03"/>
    <n v="243.04"/>
  </r>
  <r>
    <x v="1"/>
    <x v="1"/>
    <s v="2015_Temora"/>
    <n v="11"/>
    <n v="1"/>
    <n v="41"/>
    <n v="4"/>
    <x v="0"/>
    <x v="20"/>
    <s v="A100"/>
    <n v="1004"/>
    <n v="559"/>
    <n v="137"/>
    <n v="261"/>
    <n v="48"/>
    <n v="-25.06"/>
    <n v="23.8"/>
    <n v="178.4"/>
    <n v="23.895199999999999"/>
    <n v="179.11360000000002"/>
  </r>
  <r>
    <x v="1"/>
    <x v="1"/>
    <s v="2015_Temora"/>
    <n v="11"/>
    <n v="2"/>
    <n v="42"/>
    <n v="4"/>
    <x v="8"/>
    <x v="19"/>
    <s v="A100"/>
    <n v="1336"/>
    <n v="747"/>
    <n v="107"/>
    <n v="413"/>
    <n v="69"/>
    <n v="-25.58"/>
    <n v="16.2"/>
    <n v="170.6"/>
    <n v="21.6432"/>
    <n v="227.92160000000001"/>
  </r>
  <r>
    <x v="1"/>
    <x v="1"/>
    <s v="2015_Temora"/>
    <n v="11"/>
    <n v="3"/>
    <n v="43"/>
    <n v="4"/>
    <x v="11"/>
    <x v="21"/>
    <s v="A100"/>
    <n v="971"/>
    <n v="522"/>
    <n v="132"/>
    <n v="279"/>
    <n v="38"/>
    <n v="-25.39"/>
    <n v="18.600000000000001"/>
    <n v="162.1"/>
    <n v="18.060600000000001"/>
    <n v="157.3991"/>
  </r>
  <r>
    <x v="1"/>
    <x v="1"/>
    <s v="2015_Temora"/>
    <n v="11"/>
    <n v="4"/>
    <n v="44"/>
    <n v="4"/>
    <x v="10"/>
    <x v="20"/>
    <s v="A100"/>
    <n v="1162"/>
    <n v="629"/>
    <n v="118"/>
    <n v="349"/>
    <n v="66"/>
    <n v="-25.6"/>
    <n v="19.3"/>
    <n v="151.1"/>
    <n v="22.426600000000001"/>
    <n v="175.57819999999998"/>
  </r>
  <r>
    <x v="1"/>
    <x v="1"/>
    <s v="2015_Temora"/>
    <n v="12"/>
    <n v="4"/>
    <n v="45"/>
    <n v="4"/>
    <x v="5"/>
    <x v="19"/>
    <s v="A100"/>
    <n v="1074"/>
    <n v="609"/>
    <n v="74"/>
    <n v="339"/>
    <n v="52"/>
    <n v="-26.02"/>
    <n v="17.399999999999999"/>
    <n v="135.6"/>
    <n v="18.6876"/>
    <n v="145.6344"/>
  </r>
  <r>
    <x v="1"/>
    <x v="1"/>
    <s v="2015_Temora"/>
    <n v="12"/>
    <n v="3"/>
    <n v="46"/>
    <n v="4"/>
    <x v="7"/>
    <x v="21"/>
    <s v="A100"/>
    <n v="1054"/>
    <n v="576"/>
    <n v="60"/>
    <n v="284"/>
    <n v="135"/>
    <n v="-25.76"/>
    <n v="20.399999999999999"/>
    <n v="122.7"/>
    <n v="21.5016"/>
    <n v="129.32580000000002"/>
  </r>
  <r>
    <x v="1"/>
    <x v="1"/>
    <s v="2015_Temora"/>
    <n v="12"/>
    <n v="2"/>
    <n v="47"/>
    <n v="4"/>
    <x v="2"/>
    <x v="19"/>
    <s v="A100"/>
    <n v="1319"/>
    <n v="712"/>
    <n v="132"/>
    <n v="378"/>
    <n v="98"/>
    <n v="-25.91"/>
    <n v="23.1"/>
    <n v="125.8"/>
    <n v="30.468900000000001"/>
    <n v="165.93019999999999"/>
  </r>
  <r>
    <x v="1"/>
    <x v="1"/>
    <s v="2015_Temora"/>
    <n v="12"/>
    <n v="1"/>
    <n v="48"/>
    <n v="4"/>
    <x v="4"/>
    <x v="19"/>
    <s v="A100"/>
    <n v="1188"/>
    <n v="628"/>
    <n v="131"/>
    <n v="340"/>
    <n v="88"/>
    <n v="-25.79"/>
    <n v="24.9"/>
    <n v="113.3"/>
    <n v="29.581199999999995"/>
    <n v="134.60040000000001"/>
  </r>
  <r>
    <x v="1"/>
    <x v="1"/>
    <s v="2015_Temora"/>
    <n v="1"/>
    <n v="1"/>
    <n v="1"/>
    <n v="1"/>
    <x v="2"/>
    <x v="22"/>
    <s v="GR100"/>
    <n v="948"/>
    <n v="405"/>
    <m/>
    <n v="474"/>
    <n v="69"/>
    <m/>
    <m/>
    <m/>
    <m/>
    <m/>
  </r>
  <r>
    <x v="1"/>
    <x v="1"/>
    <s v="2015_Temora"/>
    <n v="1"/>
    <n v="2"/>
    <n v="2"/>
    <n v="1"/>
    <x v="10"/>
    <x v="22"/>
    <s v="GR100"/>
    <n v="1066"/>
    <n v="352"/>
    <m/>
    <n v="614"/>
    <n v="99"/>
    <m/>
    <m/>
    <m/>
    <m/>
    <m/>
  </r>
  <r>
    <x v="1"/>
    <x v="1"/>
    <s v="2015_Temora"/>
    <n v="1"/>
    <n v="3"/>
    <n v="3"/>
    <n v="1"/>
    <x v="5"/>
    <x v="22"/>
    <s v="GR100"/>
    <n v="1030"/>
    <n v="365"/>
    <m/>
    <n v="567"/>
    <n v="97"/>
    <m/>
    <m/>
    <m/>
    <m/>
    <m/>
  </r>
  <r>
    <x v="1"/>
    <x v="1"/>
    <s v="2015_Temora"/>
    <n v="1"/>
    <n v="4"/>
    <n v="4"/>
    <n v="1"/>
    <x v="8"/>
    <x v="22"/>
    <s v="GR100"/>
    <n v="947"/>
    <n v="381"/>
    <m/>
    <n v="502"/>
    <n v="64"/>
    <m/>
    <m/>
    <m/>
    <m/>
    <m/>
  </r>
  <r>
    <x v="1"/>
    <x v="1"/>
    <s v="2015_Temora"/>
    <n v="2"/>
    <n v="4"/>
    <n v="5"/>
    <n v="1"/>
    <x v="7"/>
    <x v="22"/>
    <s v="GR100"/>
    <n v="959"/>
    <n v="366"/>
    <m/>
    <n v="517"/>
    <n v="77"/>
    <m/>
    <m/>
    <m/>
    <m/>
    <m/>
  </r>
  <r>
    <x v="1"/>
    <x v="1"/>
    <s v="2015_Temora"/>
    <n v="2"/>
    <n v="3"/>
    <n v="6"/>
    <n v="1"/>
    <x v="3"/>
    <x v="22"/>
    <s v="GR100"/>
    <n v="1528"/>
    <n v="486"/>
    <m/>
    <n v="900"/>
    <n v="142"/>
    <m/>
    <m/>
    <m/>
    <m/>
    <m/>
  </r>
  <r>
    <x v="1"/>
    <x v="1"/>
    <s v="2015_Temora"/>
    <n v="2"/>
    <n v="2"/>
    <n v="7"/>
    <n v="1"/>
    <x v="4"/>
    <x v="22"/>
    <s v="GR100"/>
    <n v="1148"/>
    <n v="458"/>
    <m/>
    <n v="604"/>
    <n v="86"/>
    <m/>
    <m/>
    <m/>
    <m/>
    <m/>
  </r>
  <r>
    <x v="1"/>
    <x v="1"/>
    <s v="2015_Temora"/>
    <n v="2"/>
    <n v="1"/>
    <n v="8"/>
    <n v="1"/>
    <x v="9"/>
    <x v="22"/>
    <s v="GR100"/>
    <n v="985"/>
    <n v="361"/>
    <m/>
    <n v="529"/>
    <n v="95"/>
    <m/>
    <m/>
    <m/>
    <m/>
    <m/>
  </r>
  <r>
    <x v="1"/>
    <x v="1"/>
    <s v="2015_Temora"/>
    <n v="3"/>
    <n v="1"/>
    <n v="9"/>
    <n v="1"/>
    <x v="11"/>
    <x v="22"/>
    <s v="GR100"/>
    <n v="1061"/>
    <n v="358"/>
    <m/>
    <n v="626"/>
    <n v="77"/>
    <m/>
    <m/>
    <m/>
    <m/>
    <m/>
  </r>
  <r>
    <x v="1"/>
    <x v="1"/>
    <s v="2015_Temora"/>
    <n v="3"/>
    <n v="2"/>
    <n v="10"/>
    <n v="1"/>
    <x v="1"/>
    <x v="22"/>
    <s v="GR100"/>
    <n v="1022"/>
    <n v="368"/>
    <m/>
    <n v="564"/>
    <n v="90"/>
    <m/>
    <m/>
    <m/>
    <m/>
    <m/>
  </r>
  <r>
    <x v="1"/>
    <x v="1"/>
    <s v="2015_Temora"/>
    <n v="3"/>
    <n v="3"/>
    <n v="11"/>
    <n v="1"/>
    <x v="0"/>
    <x v="22"/>
    <s v="GR100"/>
    <n v="1137"/>
    <n v="387"/>
    <m/>
    <n v="662"/>
    <n v="88"/>
    <m/>
    <m/>
    <m/>
    <m/>
    <m/>
  </r>
  <r>
    <x v="1"/>
    <x v="1"/>
    <s v="2015_Temora"/>
    <n v="3"/>
    <n v="4"/>
    <n v="12"/>
    <n v="1"/>
    <x v="6"/>
    <x v="22"/>
    <s v="GR100"/>
    <n v="1188"/>
    <n v="410"/>
    <m/>
    <n v="687"/>
    <n v="92"/>
    <m/>
    <m/>
    <m/>
    <m/>
    <m/>
  </r>
  <r>
    <x v="1"/>
    <x v="1"/>
    <s v="2015_Temora"/>
    <n v="4"/>
    <n v="4"/>
    <n v="13"/>
    <n v="2"/>
    <x v="11"/>
    <x v="22"/>
    <s v="GR100"/>
    <n v="1175"/>
    <n v="366"/>
    <m/>
    <n v="729"/>
    <n v="80"/>
    <m/>
    <m/>
    <m/>
    <m/>
    <m/>
  </r>
  <r>
    <x v="1"/>
    <x v="1"/>
    <s v="2015_Temora"/>
    <n v="4"/>
    <n v="3"/>
    <n v="14"/>
    <n v="2"/>
    <x v="2"/>
    <x v="22"/>
    <s v="GR100"/>
    <n v="1060"/>
    <n v="416"/>
    <m/>
    <n v="559"/>
    <n v="85"/>
    <m/>
    <m/>
    <m/>
    <m/>
    <m/>
  </r>
  <r>
    <x v="1"/>
    <x v="1"/>
    <s v="2015_Temora"/>
    <n v="4"/>
    <n v="2"/>
    <n v="15"/>
    <n v="2"/>
    <x v="0"/>
    <x v="22"/>
    <s v="GR100"/>
    <n v="1139"/>
    <n v="400"/>
    <m/>
    <n v="625"/>
    <n v="114"/>
    <m/>
    <m/>
    <m/>
    <m/>
    <m/>
  </r>
  <r>
    <x v="1"/>
    <x v="1"/>
    <s v="2015_Temora"/>
    <n v="4"/>
    <n v="1"/>
    <n v="16"/>
    <n v="2"/>
    <x v="5"/>
    <x v="22"/>
    <s v="GR100"/>
    <n v="1019"/>
    <n v="398"/>
    <m/>
    <n v="539"/>
    <n v="82"/>
    <m/>
    <m/>
    <m/>
    <m/>
    <m/>
  </r>
  <r>
    <x v="1"/>
    <x v="1"/>
    <s v="2015_Temora"/>
    <n v="5"/>
    <n v="1"/>
    <n v="17"/>
    <n v="2"/>
    <x v="1"/>
    <x v="22"/>
    <s v="GR100"/>
    <n v="1199"/>
    <n v="480"/>
    <m/>
    <n v="624"/>
    <n v="95"/>
    <m/>
    <m/>
    <m/>
    <m/>
    <m/>
  </r>
  <r>
    <x v="1"/>
    <x v="1"/>
    <s v="2015_Temora"/>
    <n v="5"/>
    <n v="2"/>
    <n v="18"/>
    <n v="2"/>
    <x v="7"/>
    <x v="22"/>
    <s v="GR100"/>
    <n v="1104"/>
    <n v="378"/>
    <m/>
    <n v="604"/>
    <n v="122"/>
    <m/>
    <m/>
    <m/>
    <m/>
    <m/>
  </r>
  <r>
    <x v="1"/>
    <x v="1"/>
    <s v="2015_Temora"/>
    <n v="5"/>
    <n v="3"/>
    <n v="19"/>
    <n v="2"/>
    <x v="6"/>
    <x v="22"/>
    <s v="GR100"/>
    <n v="1110"/>
    <n v="364"/>
    <m/>
    <n v="672"/>
    <n v="74"/>
    <m/>
    <m/>
    <m/>
    <m/>
    <m/>
  </r>
  <r>
    <x v="1"/>
    <x v="1"/>
    <s v="2015_Temora"/>
    <n v="5"/>
    <n v="4"/>
    <n v="20"/>
    <n v="2"/>
    <x v="4"/>
    <x v="22"/>
    <s v="GR100"/>
    <n v="1028"/>
    <n v="381"/>
    <m/>
    <n v="566"/>
    <n v="81"/>
    <m/>
    <m/>
    <m/>
    <m/>
    <m/>
  </r>
  <r>
    <x v="1"/>
    <x v="1"/>
    <s v="2015_Temora"/>
    <n v="6"/>
    <n v="4"/>
    <n v="21"/>
    <n v="2"/>
    <x v="3"/>
    <x v="22"/>
    <s v="GR100"/>
    <n v="1048"/>
    <n v="360"/>
    <m/>
    <n v="621"/>
    <n v="67"/>
    <m/>
    <m/>
    <m/>
    <m/>
    <m/>
  </r>
  <r>
    <x v="1"/>
    <x v="1"/>
    <s v="2015_Temora"/>
    <n v="6"/>
    <n v="3"/>
    <n v="22"/>
    <n v="2"/>
    <x v="10"/>
    <x v="22"/>
    <s v="GR100"/>
    <n v="1120"/>
    <n v="337"/>
    <m/>
    <n v="696"/>
    <n v="86"/>
    <m/>
    <m/>
    <m/>
    <m/>
    <m/>
  </r>
  <r>
    <x v="1"/>
    <x v="1"/>
    <s v="2015_Temora"/>
    <n v="6"/>
    <n v="2"/>
    <n v="23"/>
    <n v="2"/>
    <x v="9"/>
    <x v="22"/>
    <s v="GR100"/>
    <n v="1134"/>
    <n v="395"/>
    <m/>
    <n v="590"/>
    <n v="150"/>
    <m/>
    <m/>
    <m/>
    <m/>
    <m/>
  </r>
  <r>
    <x v="1"/>
    <x v="1"/>
    <s v="2015_Temora"/>
    <n v="6"/>
    <n v="1"/>
    <n v="24"/>
    <n v="2"/>
    <x v="8"/>
    <x v="22"/>
    <s v="GR100"/>
    <n v="1034"/>
    <n v="437"/>
    <m/>
    <n v="494"/>
    <n v="103"/>
    <m/>
    <m/>
    <m/>
    <m/>
    <m/>
  </r>
  <r>
    <x v="1"/>
    <x v="1"/>
    <s v="2015_Temora"/>
    <n v="7"/>
    <n v="1"/>
    <n v="25"/>
    <n v="3"/>
    <x v="7"/>
    <x v="22"/>
    <s v="GR100"/>
    <n v="973"/>
    <n v="390"/>
    <m/>
    <n v="490"/>
    <n v="93"/>
    <m/>
    <m/>
    <m/>
    <m/>
    <m/>
  </r>
  <r>
    <x v="1"/>
    <x v="1"/>
    <s v="2015_Temora"/>
    <n v="7"/>
    <n v="2"/>
    <n v="26"/>
    <n v="3"/>
    <x v="5"/>
    <x v="22"/>
    <s v="GR100"/>
    <n v="1032"/>
    <n v="370"/>
    <m/>
    <n v="577"/>
    <n v="85"/>
    <m/>
    <m/>
    <m/>
    <m/>
    <m/>
  </r>
  <r>
    <x v="1"/>
    <x v="1"/>
    <s v="2015_Temora"/>
    <n v="7"/>
    <n v="3"/>
    <n v="27"/>
    <n v="3"/>
    <x v="4"/>
    <x v="22"/>
    <s v="GR100"/>
    <n v="1143"/>
    <n v="425"/>
    <m/>
    <n v="614"/>
    <n v="104"/>
    <m/>
    <m/>
    <m/>
    <m/>
    <m/>
  </r>
  <r>
    <x v="1"/>
    <x v="1"/>
    <s v="2015_Temora"/>
    <n v="7"/>
    <n v="4"/>
    <n v="28"/>
    <n v="3"/>
    <x v="2"/>
    <x v="22"/>
    <s v="GR100"/>
    <n v="956"/>
    <n v="431"/>
    <m/>
    <n v="444"/>
    <n v="81"/>
    <m/>
    <m/>
    <m/>
    <m/>
    <m/>
  </r>
  <r>
    <x v="1"/>
    <x v="1"/>
    <s v="2015_Temora"/>
    <n v="8"/>
    <n v="4"/>
    <n v="29"/>
    <n v="3"/>
    <x v="1"/>
    <x v="22"/>
    <s v="GR100"/>
    <n v="842"/>
    <n v="353"/>
    <m/>
    <n v="423"/>
    <n v="66"/>
    <m/>
    <m/>
    <m/>
    <m/>
    <m/>
  </r>
  <r>
    <x v="1"/>
    <x v="1"/>
    <s v="2015_Temora"/>
    <n v="8"/>
    <n v="3"/>
    <n v="30"/>
    <n v="3"/>
    <x v="8"/>
    <x v="22"/>
    <s v="GR100"/>
    <n v="955"/>
    <n v="357"/>
    <m/>
    <n v="498"/>
    <n v="100"/>
    <m/>
    <m/>
    <m/>
    <m/>
    <m/>
  </r>
  <r>
    <x v="1"/>
    <x v="1"/>
    <s v="2015_Temora"/>
    <n v="8"/>
    <n v="2"/>
    <n v="31"/>
    <n v="3"/>
    <x v="6"/>
    <x v="22"/>
    <s v="GR100"/>
    <n v="1318"/>
    <n v="448"/>
    <m/>
    <n v="799"/>
    <n v="71"/>
    <m/>
    <m/>
    <m/>
    <m/>
    <m/>
  </r>
  <r>
    <x v="1"/>
    <x v="1"/>
    <s v="2015_Temora"/>
    <n v="8"/>
    <n v="1"/>
    <n v="32"/>
    <n v="3"/>
    <x v="10"/>
    <x v="22"/>
    <s v="GR100"/>
    <n v="1104"/>
    <n v="339"/>
    <m/>
    <n v="679"/>
    <n v="85"/>
    <m/>
    <m/>
    <m/>
    <m/>
    <m/>
  </r>
  <r>
    <x v="1"/>
    <x v="1"/>
    <s v="2015_Temora"/>
    <n v="9"/>
    <n v="1"/>
    <n v="33"/>
    <n v="3"/>
    <x v="3"/>
    <x v="22"/>
    <s v="GR100"/>
    <n v="1206"/>
    <n v="418"/>
    <m/>
    <n v="699"/>
    <n v="89"/>
    <m/>
    <m/>
    <m/>
    <m/>
    <m/>
  </r>
  <r>
    <x v="1"/>
    <x v="1"/>
    <s v="2015_Temora"/>
    <n v="9"/>
    <n v="2"/>
    <n v="34"/>
    <n v="3"/>
    <x v="11"/>
    <x v="22"/>
    <s v="GR100"/>
    <n v="1081"/>
    <n v="342"/>
    <m/>
    <n v="675"/>
    <n v="64"/>
    <m/>
    <m/>
    <m/>
    <m/>
    <m/>
  </r>
  <r>
    <x v="1"/>
    <x v="1"/>
    <s v="2015_Temora"/>
    <n v="9"/>
    <n v="3"/>
    <n v="35"/>
    <n v="3"/>
    <x v="9"/>
    <x v="22"/>
    <s v="GR100"/>
    <n v="1243"/>
    <n v="436"/>
    <m/>
    <n v="671"/>
    <n v="135"/>
    <m/>
    <m/>
    <m/>
    <m/>
    <m/>
  </r>
  <r>
    <x v="1"/>
    <x v="1"/>
    <s v="2015_Temora"/>
    <n v="9"/>
    <n v="4"/>
    <n v="36"/>
    <n v="3"/>
    <x v="0"/>
    <x v="22"/>
    <s v="GR100"/>
    <n v="1122"/>
    <n v="410"/>
    <m/>
    <n v="618"/>
    <n v="94"/>
    <m/>
    <m/>
    <m/>
    <m/>
    <m/>
  </r>
  <r>
    <x v="1"/>
    <x v="1"/>
    <s v="2015_Temora"/>
    <n v="10"/>
    <n v="4"/>
    <n v="37"/>
    <n v="4"/>
    <x v="9"/>
    <x v="22"/>
    <s v="GR100"/>
    <n v="992"/>
    <n v="352"/>
    <m/>
    <n v="551"/>
    <n v="89"/>
    <m/>
    <m/>
    <m/>
    <m/>
    <m/>
  </r>
  <r>
    <x v="1"/>
    <x v="1"/>
    <s v="2015_Temora"/>
    <n v="10"/>
    <n v="3"/>
    <n v="38"/>
    <n v="4"/>
    <x v="1"/>
    <x v="22"/>
    <s v="GR100"/>
    <n v="1243"/>
    <n v="508"/>
    <m/>
    <n v="623"/>
    <n v="112"/>
    <m/>
    <m/>
    <m/>
    <m/>
    <m/>
  </r>
  <r>
    <x v="1"/>
    <x v="1"/>
    <s v="2015_Temora"/>
    <n v="10"/>
    <n v="2"/>
    <n v="39"/>
    <n v="4"/>
    <x v="3"/>
    <x v="22"/>
    <s v="GR100"/>
    <n v="1274"/>
    <n v="381"/>
    <m/>
    <n v="824"/>
    <n v="68"/>
    <m/>
    <m/>
    <m/>
    <m/>
    <m/>
  </r>
  <r>
    <x v="1"/>
    <x v="1"/>
    <s v="2015_Temora"/>
    <n v="10"/>
    <n v="1"/>
    <n v="40"/>
    <n v="4"/>
    <x v="6"/>
    <x v="22"/>
    <s v="GR100"/>
    <n v="1195"/>
    <n v="433"/>
    <m/>
    <n v="684"/>
    <n v="78"/>
    <m/>
    <m/>
    <m/>
    <m/>
    <m/>
  </r>
  <r>
    <x v="1"/>
    <x v="1"/>
    <s v="2015_Temora"/>
    <n v="11"/>
    <n v="1"/>
    <n v="41"/>
    <n v="4"/>
    <x v="0"/>
    <x v="22"/>
    <s v="GR100"/>
    <n v="1172"/>
    <n v="457"/>
    <m/>
    <n v="592"/>
    <n v="123"/>
    <m/>
    <m/>
    <m/>
    <m/>
    <m/>
  </r>
  <r>
    <x v="1"/>
    <x v="1"/>
    <s v="2015_Temora"/>
    <n v="11"/>
    <n v="2"/>
    <n v="42"/>
    <n v="4"/>
    <x v="8"/>
    <x v="22"/>
    <s v="GR100"/>
    <n v="789"/>
    <n v="309"/>
    <m/>
    <n v="423"/>
    <n v="58"/>
    <m/>
    <m/>
    <m/>
    <m/>
    <m/>
  </r>
  <r>
    <x v="1"/>
    <x v="1"/>
    <s v="2015_Temora"/>
    <n v="11"/>
    <n v="3"/>
    <n v="43"/>
    <n v="4"/>
    <x v="11"/>
    <x v="22"/>
    <s v="GR100"/>
    <n v="1140"/>
    <n v="353"/>
    <m/>
    <n v="697"/>
    <n v="91"/>
    <m/>
    <m/>
    <m/>
    <m/>
    <m/>
  </r>
  <r>
    <x v="1"/>
    <x v="1"/>
    <s v="2015_Temora"/>
    <n v="11"/>
    <n v="4"/>
    <n v="44"/>
    <n v="4"/>
    <x v="10"/>
    <x v="22"/>
    <s v="GR100"/>
    <n v="1052"/>
    <n v="346"/>
    <m/>
    <n v="613"/>
    <n v="94"/>
    <m/>
    <m/>
    <m/>
    <m/>
    <m/>
  </r>
  <r>
    <x v="1"/>
    <x v="1"/>
    <s v="2015_Temora"/>
    <n v="12"/>
    <n v="4"/>
    <n v="45"/>
    <n v="4"/>
    <x v="5"/>
    <x v="22"/>
    <s v="GR100"/>
    <n v="1083"/>
    <n v="396"/>
    <m/>
    <n v="604"/>
    <n v="83"/>
    <m/>
    <m/>
    <m/>
    <m/>
    <m/>
  </r>
  <r>
    <x v="1"/>
    <x v="1"/>
    <s v="2015_Temora"/>
    <n v="12"/>
    <n v="3"/>
    <n v="46"/>
    <n v="4"/>
    <x v="7"/>
    <x v="22"/>
    <s v="GR100"/>
    <n v="1180"/>
    <n v="464"/>
    <m/>
    <n v="602"/>
    <n v="114"/>
    <m/>
    <m/>
    <m/>
    <m/>
    <m/>
  </r>
  <r>
    <x v="1"/>
    <x v="1"/>
    <s v="2015_Temora"/>
    <n v="12"/>
    <n v="2"/>
    <n v="47"/>
    <n v="4"/>
    <x v="2"/>
    <x v="22"/>
    <s v="GR100"/>
    <n v="1024"/>
    <n v="407"/>
    <m/>
    <n v="521"/>
    <n v="96"/>
    <m/>
    <m/>
    <m/>
    <m/>
    <m/>
  </r>
  <r>
    <x v="1"/>
    <x v="1"/>
    <s v="2015_Temora"/>
    <n v="12"/>
    <n v="1"/>
    <n v="48"/>
    <n v="4"/>
    <x v="4"/>
    <x v="22"/>
    <s v="GR100"/>
    <n v="944"/>
    <n v="386"/>
    <m/>
    <n v="465"/>
    <n v="93"/>
    <m/>
    <m/>
    <m/>
    <m/>
    <m/>
  </r>
  <r>
    <x v="0"/>
    <x v="2"/>
    <s v="2014_Junee"/>
    <n v="1"/>
    <n v="1"/>
    <n v="1"/>
    <n v="1"/>
    <x v="4"/>
    <x v="23"/>
    <s v="N0"/>
    <n v="19"/>
    <m/>
    <m/>
    <m/>
    <m/>
    <m/>
    <m/>
    <m/>
    <m/>
    <m/>
  </r>
  <r>
    <x v="0"/>
    <x v="2"/>
    <s v="2014_Junee"/>
    <n v="1"/>
    <n v="2"/>
    <n v="2"/>
    <n v="1"/>
    <x v="5"/>
    <x v="23"/>
    <s v="N0"/>
    <n v="25"/>
    <m/>
    <m/>
    <m/>
    <m/>
    <m/>
    <m/>
    <m/>
    <m/>
    <m/>
  </r>
  <r>
    <x v="0"/>
    <x v="2"/>
    <s v="2014_Junee"/>
    <n v="1"/>
    <n v="3"/>
    <n v="3"/>
    <n v="1"/>
    <x v="10"/>
    <x v="23"/>
    <s v="N0"/>
    <n v="19"/>
    <m/>
    <m/>
    <m/>
    <m/>
    <m/>
    <m/>
    <m/>
    <m/>
    <m/>
  </r>
  <r>
    <x v="0"/>
    <x v="2"/>
    <s v="2014_Junee"/>
    <n v="1"/>
    <n v="4"/>
    <n v="4"/>
    <n v="1"/>
    <x v="2"/>
    <x v="23"/>
    <s v="N0"/>
    <n v="39"/>
    <m/>
    <m/>
    <m/>
    <m/>
    <m/>
    <m/>
    <m/>
    <m/>
    <m/>
  </r>
  <r>
    <x v="0"/>
    <x v="2"/>
    <s v="2014_Junee"/>
    <n v="1"/>
    <n v="5"/>
    <n v="5"/>
    <n v="1"/>
    <x v="7"/>
    <x v="23"/>
    <s v="N0"/>
    <n v="29"/>
    <m/>
    <m/>
    <m/>
    <m/>
    <m/>
    <m/>
    <m/>
    <m/>
    <m/>
  </r>
  <r>
    <x v="0"/>
    <x v="2"/>
    <s v="2014_Junee"/>
    <n v="1"/>
    <n v="6"/>
    <n v="6"/>
    <n v="1"/>
    <x v="1"/>
    <x v="23"/>
    <s v="N0"/>
    <n v="23"/>
    <m/>
    <m/>
    <m/>
    <m/>
    <m/>
    <m/>
    <m/>
    <m/>
    <m/>
  </r>
  <r>
    <x v="0"/>
    <x v="2"/>
    <s v="2014_Junee"/>
    <n v="2"/>
    <n v="6"/>
    <n v="7"/>
    <n v="1"/>
    <x v="11"/>
    <x v="23"/>
    <s v="N0"/>
    <n v="18"/>
    <m/>
    <m/>
    <m/>
    <m/>
    <m/>
    <m/>
    <m/>
    <m/>
    <m/>
  </r>
  <r>
    <x v="0"/>
    <x v="2"/>
    <s v="2014_Junee"/>
    <n v="2"/>
    <n v="5"/>
    <n v="8"/>
    <n v="1"/>
    <x v="8"/>
    <x v="23"/>
    <s v="N0"/>
    <n v="30"/>
    <m/>
    <m/>
    <m/>
    <m/>
    <m/>
    <m/>
    <m/>
    <m/>
    <m/>
  </r>
  <r>
    <x v="0"/>
    <x v="2"/>
    <s v="2014_Junee"/>
    <n v="2"/>
    <n v="4"/>
    <n v="9"/>
    <n v="1"/>
    <x v="6"/>
    <x v="23"/>
    <s v="N0"/>
    <n v="43"/>
    <m/>
    <m/>
    <m/>
    <m/>
    <m/>
    <m/>
    <m/>
    <m/>
    <m/>
  </r>
  <r>
    <x v="0"/>
    <x v="2"/>
    <s v="2014_Junee"/>
    <n v="2"/>
    <n v="3"/>
    <n v="10"/>
    <n v="1"/>
    <x v="3"/>
    <x v="23"/>
    <s v="N0"/>
    <n v="29"/>
    <m/>
    <m/>
    <m/>
    <m/>
    <m/>
    <m/>
    <m/>
    <m/>
    <m/>
  </r>
  <r>
    <x v="0"/>
    <x v="2"/>
    <s v="2014_Junee"/>
    <n v="2"/>
    <n v="2"/>
    <n v="11"/>
    <n v="1"/>
    <x v="9"/>
    <x v="23"/>
    <s v="N0"/>
    <n v="27"/>
    <m/>
    <m/>
    <m/>
    <m/>
    <m/>
    <m/>
    <m/>
    <m/>
    <m/>
  </r>
  <r>
    <x v="0"/>
    <x v="2"/>
    <s v="2014_Junee"/>
    <n v="2"/>
    <n v="1"/>
    <n v="12"/>
    <n v="1"/>
    <x v="0"/>
    <x v="23"/>
    <s v="N0"/>
    <n v="32"/>
    <m/>
    <m/>
    <m/>
    <m/>
    <m/>
    <m/>
    <m/>
    <m/>
    <m/>
  </r>
  <r>
    <x v="0"/>
    <x v="2"/>
    <s v="2014_Junee"/>
    <n v="3"/>
    <n v="1"/>
    <n v="13"/>
    <n v="2"/>
    <x v="7"/>
    <x v="23"/>
    <s v="N0"/>
    <n v="37"/>
    <m/>
    <m/>
    <m/>
    <m/>
    <m/>
    <m/>
    <m/>
    <m/>
    <m/>
  </r>
  <r>
    <x v="0"/>
    <x v="2"/>
    <s v="2014_Junee"/>
    <n v="3"/>
    <n v="2"/>
    <n v="14"/>
    <n v="2"/>
    <x v="3"/>
    <x v="23"/>
    <s v="N0"/>
    <n v="29"/>
    <m/>
    <m/>
    <m/>
    <m/>
    <m/>
    <m/>
    <m/>
    <m/>
    <m/>
  </r>
  <r>
    <x v="0"/>
    <x v="2"/>
    <s v="2014_Junee"/>
    <n v="3"/>
    <n v="3"/>
    <n v="15"/>
    <n v="2"/>
    <x v="4"/>
    <x v="23"/>
    <s v="N0"/>
    <n v="19"/>
    <m/>
    <m/>
    <m/>
    <m/>
    <m/>
    <m/>
    <m/>
    <m/>
    <m/>
  </r>
  <r>
    <x v="0"/>
    <x v="2"/>
    <s v="2014_Junee"/>
    <n v="3"/>
    <n v="4"/>
    <n v="16"/>
    <n v="2"/>
    <x v="8"/>
    <x v="23"/>
    <s v="N0"/>
    <n v="32"/>
    <m/>
    <m/>
    <m/>
    <m/>
    <m/>
    <m/>
    <m/>
    <m/>
    <m/>
  </r>
  <r>
    <x v="0"/>
    <x v="2"/>
    <s v="2014_Junee"/>
    <n v="3"/>
    <n v="5"/>
    <n v="17"/>
    <n v="2"/>
    <x v="0"/>
    <x v="23"/>
    <s v="N0"/>
    <n v="25"/>
    <m/>
    <m/>
    <m/>
    <m/>
    <m/>
    <m/>
    <m/>
    <m/>
    <m/>
  </r>
  <r>
    <x v="0"/>
    <x v="2"/>
    <s v="2014_Junee"/>
    <n v="3"/>
    <n v="6"/>
    <n v="18"/>
    <n v="2"/>
    <x v="2"/>
    <x v="23"/>
    <s v="N0"/>
    <n v="37"/>
    <m/>
    <m/>
    <m/>
    <m/>
    <m/>
    <m/>
    <m/>
    <m/>
    <m/>
  </r>
  <r>
    <x v="0"/>
    <x v="2"/>
    <s v="2014_Junee"/>
    <n v="4"/>
    <n v="6"/>
    <n v="19"/>
    <n v="2"/>
    <x v="5"/>
    <x v="23"/>
    <s v="N0"/>
    <n v="24"/>
    <m/>
    <m/>
    <m/>
    <m/>
    <m/>
    <m/>
    <m/>
    <m/>
    <m/>
  </r>
  <r>
    <x v="0"/>
    <x v="2"/>
    <s v="2014_Junee"/>
    <n v="4"/>
    <n v="5"/>
    <n v="20"/>
    <n v="2"/>
    <x v="6"/>
    <x v="23"/>
    <s v="N0"/>
    <n v="35"/>
    <m/>
    <m/>
    <m/>
    <m/>
    <m/>
    <m/>
    <m/>
    <m/>
    <m/>
  </r>
  <r>
    <x v="0"/>
    <x v="2"/>
    <s v="2014_Junee"/>
    <n v="4"/>
    <n v="4"/>
    <n v="21"/>
    <n v="2"/>
    <x v="1"/>
    <x v="23"/>
    <s v="N0"/>
    <n v="28"/>
    <m/>
    <m/>
    <m/>
    <m/>
    <m/>
    <m/>
    <m/>
    <m/>
    <m/>
  </r>
  <r>
    <x v="0"/>
    <x v="2"/>
    <s v="2014_Junee"/>
    <n v="4"/>
    <n v="3"/>
    <n v="22"/>
    <n v="2"/>
    <x v="9"/>
    <x v="23"/>
    <s v="N0"/>
    <n v="31"/>
    <m/>
    <m/>
    <m/>
    <m/>
    <m/>
    <m/>
    <m/>
    <m/>
    <m/>
  </r>
  <r>
    <x v="0"/>
    <x v="2"/>
    <s v="2014_Junee"/>
    <n v="4"/>
    <n v="2"/>
    <n v="23"/>
    <n v="2"/>
    <x v="11"/>
    <x v="23"/>
    <s v="N0"/>
    <n v="22"/>
    <m/>
    <m/>
    <m/>
    <m/>
    <m/>
    <m/>
    <m/>
    <m/>
    <m/>
  </r>
  <r>
    <x v="0"/>
    <x v="2"/>
    <s v="2014_Junee"/>
    <n v="4"/>
    <n v="1"/>
    <n v="24"/>
    <n v="2"/>
    <x v="10"/>
    <x v="23"/>
    <s v="N0"/>
    <n v="30"/>
    <m/>
    <m/>
    <m/>
    <m/>
    <m/>
    <m/>
    <m/>
    <m/>
    <m/>
  </r>
  <r>
    <x v="0"/>
    <x v="2"/>
    <s v="2014_Junee"/>
    <n v="5"/>
    <n v="1"/>
    <n v="25"/>
    <n v="3"/>
    <x v="6"/>
    <x v="23"/>
    <s v="N0"/>
    <n v="28"/>
    <m/>
    <m/>
    <m/>
    <m/>
    <m/>
    <m/>
    <m/>
    <m/>
    <m/>
  </r>
  <r>
    <x v="0"/>
    <x v="2"/>
    <s v="2014_Junee"/>
    <n v="5"/>
    <n v="2"/>
    <n v="26"/>
    <n v="3"/>
    <x v="10"/>
    <x v="23"/>
    <s v="N0"/>
    <n v="23"/>
    <m/>
    <m/>
    <m/>
    <m/>
    <m/>
    <m/>
    <m/>
    <m/>
    <m/>
  </r>
  <r>
    <x v="0"/>
    <x v="2"/>
    <s v="2014_Junee"/>
    <n v="5"/>
    <n v="3"/>
    <n v="27"/>
    <n v="3"/>
    <x v="1"/>
    <x v="23"/>
    <s v="N0"/>
    <n v="22"/>
    <m/>
    <m/>
    <m/>
    <m/>
    <m/>
    <m/>
    <m/>
    <m/>
    <m/>
  </r>
  <r>
    <x v="0"/>
    <x v="2"/>
    <s v="2014_Junee"/>
    <n v="5"/>
    <n v="4"/>
    <n v="28"/>
    <n v="3"/>
    <x v="0"/>
    <x v="23"/>
    <s v="N0"/>
    <n v="32"/>
    <m/>
    <m/>
    <m/>
    <m/>
    <m/>
    <m/>
    <m/>
    <m/>
    <m/>
  </r>
  <r>
    <x v="0"/>
    <x v="2"/>
    <s v="2014_Junee"/>
    <n v="5"/>
    <n v="5"/>
    <n v="29"/>
    <n v="3"/>
    <x v="5"/>
    <x v="23"/>
    <s v="N0"/>
    <n v="36"/>
    <m/>
    <m/>
    <m/>
    <m/>
    <m/>
    <m/>
    <m/>
    <m/>
    <m/>
  </r>
  <r>
    <x v="0"/>
    <x v="2"/>
    <s v="2014_Junee"/>
    <n v="5"/>
    <n v="6"/>
    <n v="30"/>
    <n v="3"/>
    <x v="3"/>
    <x v="23"/>
    <s v="N0"/>
    <n v="32"/>
    <m/>
    <m/>
    <m/>
    <m/>
    <m/>
    <m/>
    <m/>
    <m/>
    <m/>
  </r>
  <r>
    <x v="0"/>
    <x v="2"/>
    <s v="2014_Junee"/>
    <n v="6"/>
    <n v="6"/>
    <n v="31"/>
    <n v="3"/>
    <x v="7"/>
    <x v="23"/>
    <s v="N0"/>
    <n v="29"/>
    <m/>
    <m/>
    <m/>
    <m/>
    <m/>
    <m/>
    <m/>
    <m/>
    <m/>
  </r>
  <r>
    <x v="0"/>
    <x v="2"/>
    <s v="2014_Junee"/>
    <n v="6"/>
    <n v="5"/>
    <n v="32"/>
    <n v="3"/>
    <x v="4"/>
    <x v="23"/>
    <s v="N0"/>
    <n v="24"/>
    <m/>
    <m/>
    <m/>
    <m/>
    <m/>
    <m/>
    <m/>
    <m/>
    <m/>
  </r>
  <r>
    <x v="0"/>
    <x v="2"/>
    <s v="2014_Junee"/>
    <n v="6"/>
    <n v="4"/>
    <n v="33"/>
    <n v="3"/>
    <x v="11"/>
    <x v="23"/>
    <s v="N0"/>
    <n v="18"/>
    <m/>
    <m/>
    <m/>
    <m/>
    <m/>
    <m/>
    <m/>
    <m/>
    <m/>
  </r>
  <r>
    <x v="0"/>
    <x v="2"/>
    <s v="2014_Junee"/>
    <n v="6"/>
    <n v="3"/>
    <n v="34"/>
    <n v="3"/>
    <x v="2"/>
    <x v="23"/>
    <s v="N0"/>
    <n v="36"/>
    <m/>
    <m/>
    <m/>
    <m/>
    <m/>
    <m/>
    <m/>
    <m/>
    <m/>
  </r>
  <r>
    <x v="0"/>
    <x v="2"/>
    <s v="2014_Junee"/>
    <n v="6"/>
    <n v="2"/>
    <n v="35"/>
    <n v="3"/>
    <x v="8"/>
    <x v="23"/>
    <s v="N0"/>
    <n v="27"/>
    <m/>
    <m/>
    <m/>
    <m/>
    <m/>
    <m/>
    <m/>
    <m/>
    <m/>
  </r>
  <r>
    <x v="0"/>
    <x v="2"/>
    <s v="2014_Junee"/>
    <n v="6"/>
    <n v="1"/>
    <n v="36"/>
    <n v="3"/>
    <x v="9"/>
    <x v="23"/>
    <s v="N0"/>
    <n v="27"/>
    <m/>
    <m/>
    <m/>
    <m/>
    <m/>
    <m/>
    <m/>
    <m/>
    <m/>
  </r>
  <r>
    <x v="0"/>
    <x v="2"/>
    <s v="2014_Junee"/>
    <n v="7"/>
    <n v="1"/>
    <n v="37"/>
    <n v="4"/>
    <x v="2"/>
    <x v="23"/>
    <s v="N0"/>
    <n v="32"/>
    <m/>
    <m/>
    <m/>
    <m/>
    <m/>
    <m/>
    <m/>
    <m/>
    <m/>
  </r>
  <r>
    <x v="0"/>
    <x v="2"/>
    <s v="2014_Junee"/>
    <n v="7"/>
    <n v="2"/>
    <n v="38"/>
    <n v="4"/>
    <x v="4"/>
    <x v="23"/>
    <s v="N0"/>
    <n v="15"/>
    <m/>
    <m/>
    <m/>
    <m/>
    <m/>
    <m/>
    <m/>
    <m/>
    <m/>
  </r>
  <r>
    <x v="0"/>
    <x v="2"/>
    <s v="2014_Junee"/>
    <n v="7"/>
    <n v="3"/>
    <n v="39"/>
    <n v="4"/>
    <x v="6"/>
    <x v="23"/>
    <s v="N0"/>
    <n v="23"/>
    <m/>
    <m/>
    <m/>
    <m/>
    <m/>
    <m/>
    <m/>
    <m/>
    <m/>
  </r>
  <r>
    <x v="0"/>
    <x v="2"/>
    <s v="2014_Junee"/>
    <n v="7"/>
    <n v="4"/>
    <n v="40"/>
    <n v="4"/>
    <x v="7"/>
    <x v="23"/>
    <s v="N0"/>
    <n v="32"/>
    <m/>
    <m/>
    <m/>
    <m/>
    <m/>
    <m/>
    <m/>
    <m/>
    <m/>
  </r>
  <r>
    <x v="0"/>
    <x v="2"/>
    <s v="2014_Junee"/>
    <n v="7"/>
    <n v="5"/>
    <n v="41"/>
    <n v="4"/>
    <x v="9"/>
    <x v="23"/>
    <s v="N0"/>
    <n v="35"/>
    <m/>
    <m/>
    <m/>
    <m/>
    <m/>
    <m/>
    <m/>
    <m/>
    <m/>
  </r>
  <r>
    <x v="0"/>
    <x v="2"/>
    <s v="2014_Junee"/>
    <n v="7"/>
    <n v="6"/>
    <n v="42"/>
    <n v="4"/>
    <x v="10"/>
    <x v="23"/>
    <s v="N0"/>
    <n v="27"/>
    <m/>
    <m/>
    <m/>
    <m/>
    <m/>
    <m/>
    <m/>
    <m/>
    <m/>
  </r>
  <r>
    <x v="0"/>
    <x v="2"/>
    <s v="2014_Junee"/>
    <n v="8"/>
    <n v="6"/>
    <n v="43"/>
    <n v="4"/>
    <x v="0"/>
    <x v="23"/>
    <s v="N0"/>
    <n v="29"/>
    <m/>
    <m/>
    <m/>
    <m/>
    <m/>
    <m/>
    <m/>
    <m/>
    <m/>
  </r>
  <r>
    <x v="0"/>
    <x v="2"/>
    <s v="2014_Junee"/>
    <n v="8"/>
    <n v="5"/>
    <n v="44"/>
    <n v="4"/>
    <x v="11"/>
    <x v="23"/>
    <s v="N0"/>
    <n v="18"/>
    <m/>
    <m/>
    <m/>
    <m/>
    <m/>
    <m/>
    <m/>
    <m/>
    <m/>
  </r>
  <r>
    <x v="0"/>
    <x v="2"/>
    <s v="2014_Junee"/>
    <n v="8"/>
    <n v="4"/>
    <n v="45"/>
    <n v="4"/>
    <x v="5"/>
    <x v="23"/>
    <s v="N0"/>
    <n v="31"/>
    <m/>
    <m/>
    <m/>
    <m/>
    <m/>
    <m/>
    <m/>
    <m/>
    <m/>
  </r>
  <r>
    <x v="0"/>
    <x v="2"/>
    <s v="2014_Junee"/>
    <n v="8"/>
    <n v="3"/>
    <n v="46"/>
    <n v="4"/>
    <x v="8"/>
    <x v="23"/>
    <s v="N0"/>
    <n v="25"/>
    <m/>
    <m/>
    <m/>
    <m/>
    <m/>
    <m/>
    <m/>
    <m/>
    <m/>
  </r>
  <r>
    <x v="0"/>
    <x v="2"/>
    <s v="2014_Junee"/>
    <n v="8"/>
    <n v="2"/>
    <n v="47"/>
    <n v="4"/>
    <x v="1"/>
    <x v="23"/>
    <s v="N0"/>
    <n v="28"/>
    <m/>
    <m/>
    <m/>
    <m/>
    <m/>
    <m/>
    <m/>
    <m/>
    <m/>
  </r>
  <r>
    <x v="0"/>
    <x v="2"/>
    <s v="2014_Junee"/>
    <n v="8"/>
    <n v="1"/>
    <n v="48"/>
    <n v="4"/>
    <x v="3"/>
    <x v="23"/>
    <s v="N0"/>
    <n v="24"/>
    <m/>
    <m/>
    <m/>
    <m/>
    <m/>
    <m/>
    <m/>
    <m/>
    <m/>
  </r>
  <r>
    <x v="0"/>
    <x v="2"/>
    <s v="2014_Junee"/>
    <n v="1"/>
    <n v="1"/>
    <n v="1"/>
    <n v="1"/>
    <x v="4"/>
    <x v="24"/>
    <s v="N2"/>
    <n v="75"/>
    <m/>
    <m/>
    <m/>
    <m/>
    <n v="-26.31"/>
    <n v="43.1"/>
    <n v="139.9"/>
    <n v="3.2324999999999999"/>
    <n v="10.4925"/>
  </r>
  <r>
    <x v="0"/>
    <x v="2"/>
    <s v="2014_Junee"/>
    <n v="1"/>
    <n v="2"/>
    <n v="2"/>
    <n v="1"/>
    <x v="5"/>
    <x v="24"/>
    <s v="N2"/>
    <n v="118"/>
    <m/>
    <m/>
    <m/>
    <m/>
    <n v="-25.78"/>
    <n v="38.200000000000003"/>
    <n v="116.2"/>
    <n v="4.5076000000000001"/>
    <n v="13.711600000000001"/>
  </r>
  <r>
    <x v="0"/>
    <x v="2"/>
    <s v="2014_Junee"/>
    <n v="1"/>
    <n v="3"/>
    <n v="3"/>
    <n v="1"/>
    <x v="10"/>
    <x v="24"/>
    <s v="N2"/>
    <n v="129"/>
    <m/>
    <m/>
    <m/>
    <m/>
    <n v="-25.55"/>
    <n v="40.4"/>
    <n v="119.8"/>
    <n v="5.2115999999999998"/>
    <n v="15.454199999999998"/>
  </r>
  <r>
    <x v="0"/>
    <x v="2"/>
    <s v="2014_Junee"/>
    <n v="1"/>
    <n v="4"/>
    <n v="4"/>
    <n v="1"/>
    <x v="2"/>
    <x v="24"/>
    <s v="N2"/>
    <n v="170"/>
    <m/>
    <m/>
    <m/>
    <m/>
    <n v="-25.81"/>
    <n v="41.5"/>
    <n v="106.2"/>
    <n v="7.0549999999999997"/>
    <n v="18.053999999999998"/>
  </r>
  <r>
    <x v="0"/>
    <x v="2"/>
    <s v="2014_Junee"/>
    <n v="1"/>
    <n v="5"/>
    <n v="5"/>
    <n v="1"/>
    <x v="7"/>
    <x v="24"/>
    <s v="N2"/>
    <n v="150"/>
    <m/>
    <m/>
    <m/>
    <m/>
    <n v="-25.75"/>
    <n v="41.5"/>
    <n v="94.9"/>
    <n v="6.2249999999999996"/>
    <n v="14.234999999999999"/>
  </r>
  <r>
    <x v="0"/>
    <x v="2"/>
    <s v="2014_Junee"/>
    <n v="1"/>
    <n v="6"/>
    <n v="6"/>
    <n v="1"/>
    <x v="1"/>
    <x v="24"/>
    <s v="N2"/>
    <n v="117"/>
    <m/>
    <m/>
    <m/>
    <m/>
    <n v="-25.92"/>
    <n v="40"/>
    <n v="113"/>
    <n v="4.68"/>
    <n v="13.221"/>
  </r>
  <r>
    <x v="0"/>
    <x v="2"/>
    <s v="2014_Junee"/>
    <n v="2"/>
    <n v="6"/>
    <n v="7"/>
    <n v="1"/>
    <x v="11"/>
    <x v="24"/>
    <s v="N2"/>
    <n v="146"/>
    <m/>
    <m/>
    <m/>
    <m/>
    <n v="-25.83"/>
    <n v="43.9"/>
    <n v="98.8"/>
    <n v="6.4093999999999998"/>
    <n v="14.424799999999999"/>
  </r>
  <r>
    <x v="0"/>
    <x v="2"/>
    <s v="2014_Junee"/>
    <n v="2"/>
    <n v="5"/>
    <n v="8"/>
    <n v="1"/>
    <x v="8"/>
    <x v="24"/>
    <s v="N2"/>
    <n v="136"/>
    <m/>
    <m/>
    <m/>
    <m/>
    <n v="-25.96"/>
    <n v="41.6"/>
    <n v="92.5"/>
    <n v="5.6576000000000004"/>
    <n v="12.58"/>
  </r>
  <r>
    <x v="0"/>
    <x v="2"/>
    <s v="2014_Junee"/>
    <n v="2"/>
    <n v="4"/>
    <n v="9"/>
    <n v="1"/>
    <x v="6"/>
    <x v="24"/>
    <s v="N2"/>
    <n v="209"/>
    <m/>
    <m/>
    <m/>
    <m/>
    <n v="-25.72"/>
    <n v="38.6"/>
    <n v="89.4"/>
    <n v="8.067400000000001"/>
    <n v="18.684600000000003"/>
  </r>
  <r>
    <x v="0"/>
    <x v="2"/>
    <s v="2014_Junee"/>
    <n v="2"/>
    <n v="3"/>
    <n v="10"/>
    <n v="1"/>
    <x v="3"/>
    <x v="24"/>
    <s v="N2"/>
    <n v="138"/>
    <m/>
    <m/>
    <m/>
    <m/>
    <n v="-25.92"/>
    <n v="40.200000000000003"/>
    <n v="94.1"/>
    <n v="5.5476000000000001"/>
    <n v="12.985799999999999"/>
  </r>
  <r>
    <x v="0"/>
    <x v="2"/>
    <s v="2014_Junee"/>
    <n v="2"/>
    <n v="2"/>
    <n v="11"/>
    <n v="1"/>
    <x v="9"/>
    <x v="24"/>
    <s v="N2"/>
    <n v="130"/>
    <m/>
    <m/>
    <m/>
    <m/>
    <n v="-25.25"/>
    <n v="37.4"/>
    <n v="157.30000000000001"/>
    <n v="4.8620000000000001"/>
    <n v="20.449000000000002"/>
  </r>
  <r>
    <x v="0"/>
    <x v="2"/>
    <s v="2014_Junee"/>
    <n v="2"/>
    <n v="1"/>
    <n v="12"/>
    <n v="1"/>
    <x v="0"/>
    <x v="24"/>
    <s v="N2"/>
    <n v="129"/>
    <m/>
    <m/>
    <m/>
    <m/>
    <n v="-25.66"/>
    <n v="41.8"/>
    <n v="120.6"/>
    <n v="5.3921999999999999"/>
    <n v="15.557399999999999"/>
  </r>
  <r>
    <x v="0"/>
    <x v="2"/>
    <s v="2014_Junee"/>
    <n v="3"/>
    <n v="1"/>
    <n v="13"/>
    <n v="2"/>
    <x v="7"/>
    <x v="24"/>
    <s v="N2"/>
    <n v="170"/>
    <m/>
    <m/>
    <m/>
    <m/>
    <n v="-25.76"/>
    <n v="39"/>
    <n v="103.9"/>
    <n v="6.63"/>
    <n v="17.663"/>
  </r>
  <r>
    <x v="0"/>
    <x v="2"/>
    <s v="2014_Junee"/>
    <n v="3"/>
    <n v="2"/>
    <n v="14"/>
    <n v="2"/>
    <x v="3"/>
    <x v="24"/>
    <s v="N2"/>
    <n v="132"/>
    <m/>
    <m/>
    <m/>
    <m/>
    <n v="-25.93"/>
    <n v="40.6"/>
    <n v="82.8"/>
    <n v="5.3591999999999995"/>
    <n v="10.929600000000001"/>
  </r>
  <r>
    <x v="0"/>
    <x v="2"/>
    <s v="2014_Junee"/>
    <n v="3"/>
    <n v="3"/>
    <n v="15"/>
    <n v="2"/>
    <x v="4"/>
    <x v="24"/>
    <s v="N2"/>
    <n v="84"/>
    <m/>
    <m/>
    <m/>
    <m/>
    <n v="-25.77"/>
    <n v="39.4"/>
    <n v="105.5"/>
    <n v="3.3096000000000001"/>
    <n v="8.8620000000000001"/>
  </r>
  <r>
    <x v="0"/>
    <x v="2"/>
    <s v="2014_Junee"/>
    <n v="3"/>
    <n v="4"/>
    <n v="16"/>
    <n v="2"/>
    <x v="8"/>
    <x v="24"/>
    <s v="N2"/>
    <n v="148"/>
    <m/>
    <m/>
    <m/>
    <m/>
    <n v="-25.74"/>
    <n v="41.4"/>
    <n v="103.7"/>
    <n v="6.1272000000000002"/>
    <n v="15.3476"/>
  </r>
  <r>
    <x v="0"/>
    <x v="2"/>
    <s v="2014_Junee"/>
    <n v="3"/>
    <n v="5"/>
    <n v="17"/>
    <n v="2"/>
    <x v="0"/>
    <x v="24"/>
    <s v="N2"/>
    <n v="145"/>
    <m/>
    <m/>
    <m/>
    <m/>
    <n v="-25.69"/>
    <n v="44.5"/>
    <n v="96.1"/>
    <n v="6.4524999999999997"/>
    <n v="13.9345"/>
  </r>
  <r>
    <x v="0"/>
    <x v="2"/>
    <s v="2014_Junee"/>
    <n v="3"/>
    <n v="6"/>
    <n v="18"/>
    <n v="2"/>
    <x v="2"/>
    <x v="24"/>
    <s v="N2"/>
    <n v="169"/>
    <m/>
    <m/>
    <m/>
    <m/>
    <n v="-26.22"/>
    <n v="44.6"/>
    <n v="70.5"/>
    <n v="7.5374000000000008"/>
    <n v="11.9145"/>
  </r>
  <r>
    <x v="0"/>
    <x v="2"/>
    <s v="2014_Junee"/>
    <n v="4"/>
    <n v="6"/>
    <n v="19"/>
    <n v="2"/>
    <x v="5"/>
    <x v="24"/>
    <s v="N2"/>
    <n v="155"/>
    <m/>
    <m/>
    <m/>
    <m/>
    <n v="-26.31"/>
    <n v="43.4"/>
    <n v="62.5"/>
    <n v="6.7270000000000003"/>
    <n v="9.6875"/>
  </r>
  <r>
    <x v="0"/>
    <x v="2"/>
    <s v="2014_Junee"/>
    <n v="4"/>
    <n v="5"/>
    <n v="20"/>
    <n v="2"/>
    <x v="6"/>
    <x v="24"/>
    <s v="N2"/>
    <n v="178"/>
    <m/>
    <m/>
    <m/>
    <m/>
    <n v="-25.73"/>
    <n v="38.799999999999997"/>
    <n v="97.5"/>
    <n v="6.9063999999999997"/>
    <n v="17.355"/>
  </r>
  <r>
    <x v="0"/>
    <x v="2"/>
    <s v="2014_Junee"/>
    <n v="4"/>
    <n v="4"/>
    <n v="21"/>
    <n v="2"/>
    <x v="1"/>
    <x v="24"/>
    <s v="N2"/>
    <n v="151"/>
    <m/>
    <m/>
    <m/>
    <m/>
    <n v="-26.02"/>
    <n v="42.2"/>
    <n v="89"/>
    <n v="6.3722000000000003"/>
    <n v="13.439"/>
  </r>
  <r>
    <x v="0"/>
    <x v="2"/>
    <s v="2014_Junee"/>
    <n v="4"/>
    <n v="3"/>
    <n v="22"/>
    <n v="2"/>
    <x v="9"/>
    <x v="24"/>
    <s v="N2"/>
    <n v="163"/>
    <m/>
    <m/>
    <m/>
    <m/>
    <n v="-25.16"/>
    <n v="38.1"/>
    <n v="146.4"/>
    <n v="6.2103000000000002"/>
    <n v="23.863199999999999"/>
  </r>
  <r>
    <x v="0"/>
    <x v="2"/>
    <s v="2014_Junee"/>
    <n v="4"/>
    <n v="2"/>
    <n v="23"/>
    <n v="2"/>
    <x v="11"/>
    <x v="24"/>
    <s v="N2"/>
    <n v="93"/>
    <m/>
    <m/>
    <m/>
    <m/>
    <n v="-25.33"/>
    <n v="38.200000000000003"/>
    <n v="118.8"/>
    <n v="3.5526000000000004"/>
    <n v="11.048399999999999"/>
  </r>
  <r>
    <x v="0"/>
    <x v="2"/>
    <s v="2014_Junee"/>
    <n v="4"/>
    <n v="1"/>
    <n v="24"/>
    <n v="2"/>
    <x v="10"/>
    <x v="24"/>
    <s v="N2"/>
    <n v="134"/>
    <m/>
    <m/>
    <m/>
    <m/>
    <n v="-25.42"/>
    <n v="39.200000000000003"/>
    <n v="111.6"/>
    <n v="5.2528000000000006"/>
    <n v="14.9544"/>
  </r>
  <r>
    <x v="0"/>
    <x v="2"/>
    <s v="2014_Junee"/>
    <n v="5"/>
    <n v="1"/>
    <n v="25"/>
    <n v="3"/>
    <x v="6"/>
    <x v="24"/>
    <s v="N2"/>
    <n v="153"/>
    <m/>
    <m/>
    <m/>
    <m/>
    <n v="-25.12"/>
    <n v="38.799999999999997"/>
    <n v="153.69999999999999"/>
    <n v="5.9363999999999999"/>
    <n v="23.516099999999998"/>
  </r>
  <r>
    <x v="0"/>
    <x v="2"/>
    <s v="2014_Junee"/>
    <n v="5"/>
    <n v="2"/>
    <n v="26"/>
    <n v="3"/>
    <x v="10"/>
    <x v="24"/>
    <s v="N2"/>
    <n v="118"/>
    <m/>
    <m/>
    <m/>
    <m/>
    <n v="-25.74"/>
    <n v="40.5"/>
    <n v="115.7"/>
    <n v="4.7789999999999999"/>
    <n v="13.6526"/>
  </r>
  <r>
    <x v="0"/>
    <x v="2"/>
    <s v="2014_Junee"/>
    <n v="5"/>
    <n v="3"/>
    <n v="27"/>
    <n v="3"/>
    <x v="1"/>
    <x v="24"/>
    <s v="N2"/>
    <n v="106"/>
    <m/>
    <m/>
    <m/>
    <m/>
    <n v="-26.02"/>
    <n v="42.1"/>
    <n v="100.9"/>
    <n v="4.4626000000000001"/>
    <n v="10.695400000000001"/>
  </r>
  <r>
    <x v="0"/>
    <x v="2"/>
    <s v="2014_Junee"/>
    <n v="5"/>
    <n v="4"/>
    <n v="28"/>
    <n v="3"/>
    <x v="0"/>
    <x v="24"/>
    <s v="N2"/>
    <n v="178"/>
    <m/>
    <m/>
    <m/>
    <m/>
    <n v="-26.13"/>
    <n v="46.7"/>
    <n v="77.599999999999994"/>
    <n v="8.3125999999999998"/>
    <n v="13.812799999999999"/>
  </r>
  <r>
    <x v="0"/>
    <x v="2"/>
    <s v="2014_Junee"/>
    <n v="5"/>
    <n v="5"/>
    <n v="29"/>
    <n v="3"/>
    <x v="5"/>
    <x v="24"/>
    <s v="N2"/>
    <n v="173"/>
    <m/>
    <m/>
    <m/>
    <m/>
    <n v="-25.77"/>
    <n v="38.9"/>
    <n v="99.9"/>
    <n v="6.7297000000000002"/>
    <n v="17.282700000000002"/>
  </r>
  <r>
    <x v="0"/>
    <x v="2"/>
    <s v="2014_Junee"/>
    <n v="5"/>
    <n v="6"/>
    <n v="30"/>
    <n v="3"/>
    <x v="3"/>
    <x v="24"/>
    <s v="N2"/>
    <n v="187"/>
    <m/>
    <m/>
    <m/>
    <m/>
    <n v="-26.02"/>
    <n v="42.4"/>
    <n v="74.400000000000006"/>
    <n v="7.9287999999999998"/>
    <n v="13.912800000000001"/>
  </r>
  <r>
    <x v="0"/>
    <x v="2"/>
    <s v="2014_Junee"/>
    <n v="6"/>
    <n v="6"/>
    <n v="31"/>
    <n v="3"/>
    <x v="7"/>
    <x v="24"/>
    <s v="N2"/>
    <n v="145"/>
    <m/>
    <m/>
    <m/>
    <m/>
    <n v="-26.08"/>
    <n v="43.6"/>
    <n v="90.4"/>
    <n v="6.3220000000000001"/>
    <n v="13.108000000000001"/>
  </r>
  <r>
    <x v="0"/>
    <x v="2"/>
    <s v="2014_Junee"/>
    <n v="6"/>
    <n v="5"/>
    <n v="32"/>
    <n v="3"/>
    <x v="4"/>
    <x v="24"/>
    <s v="N2"/>
    <n v="152"/>
    <m/>
    <m/>
    <m/>
    <m/>
    <n v="-26.01"/>
    <n v="44.6"/>
    <n v="86.1"/>
    <n v="6.7791999999999994"/>
    <n v="13.087199999999999"/>
  </r>
  <r>
    <x v="0"/>
    <x v="2"/>
    <s v="2014_Junee"/>
    <n v="6"/>
    <n v="4"/>
    <n v="33"/>
    <n v="3"/>
    <x v="11"/>
    <x v="24"/>
    <s v="N2"/>
    <n v="95"/>
    <m/>
    <m/>
    <m/>
    <m/>
    <n v="-25.55"/>
    <n v="44.4"/>
    <n v="119"/>
    <n v="4.218"/>
    <n v="11.305"/>
  </r>
  <r>
    <x v="0"/>
    <x v="2"/>
    <s v="2014_Junee"/>
    <n v="6"/>
    <n v="3"/>
    <n v="34"/>
    <n v="3"/>
    <x v="2"/>
    <x v="24"/>
    <s v="N2"/>
    <n v="169"/>
    <m/>
    <m/>
    <m/>
    <m/>
    <n v="-25.71"/>
    <n v="41.7"/>
    <n v="115.1"/>
    <n v="7.0472999999999999"/>
    <n v="19.451899999999998"/>
  </r>
  <r>
    <x v="0"/>
    <x v="2"/>
    <s v="2014_Junee"/>
    <n v="6"/>
    <n v="2"/>
    <n v="35"/>
    <n v="3"/>
    <x v="8"/>
    <x v="24"/>
    <s v="N2"/>
    <n v="112"/>
    <m/>
    <m/>
    <m/>
    <m/>
    <n v="-25.98"/>
    <n v="39.700000000000003"/>
    <n v="105.1"/>
    <n v="4.4464000000000006"/>
    <n v="11.771199999999999"/>
  </r>
  <r>
    <x v="0"/>
    <x v="2"/>
    <s v="2014_Junee"/>
    <n v="6"/>
    <n v="1"/>
    <n v="36"/>
    <n v="3"/>
    <x v="9"/>
    <x v="24"/>
    <s v="N2"/>
    <n v="112"/>
    <m/>
    <m/>
    <m/>
    <m/>
    <n v="-25.19"/>
    <n v="38.9"/>
    <n v="169"/>
    <n v="4.3567999999999998"/>
    <n v="18.928000000000001"/>
  </r>
  <r>
    <x v="0"/>
    <x v="2"/>
    <s v="2014_Junee"/>
    <n v="7"/>
    <n v="1"/>
    <n v="37"/>
    <n v="4"/>
    <x v="2"/>
    <x v="24"/>
    <s v="N2"/>
    <n v="133"/>
    <m/>
    <m/>
    <m/>
    <m/>
    <n v="-26.09"/>
    <n v="41.7"/>
    <n v="106.6"/>
    <n v="5.5461"/>
    <n v="14.1778"/>
  </r>
  <r>
    <x v="0"/>
    <x v="2"/>
    <s v="2014_Junee"/>
    <n v="7"/>
    <n v="2"/>
    <n v="38"/>
    <n v="4"/>
    <x v="4"/>
    <x v="24"/>
    <s v="N2"/>
    <n v="98"/>
    <m/>
    <m/>
    <m/>
    <m/>
    <n v="-26.03"/>
    <n v="44.2"/>
    <n v="89.7"/>
    <n v="4.3316000000000008"/>
    <n v="8.7905999999999995"/>
  </r>
  <r>
    <x v="0"/>
    <x v="2"/>
    <s v="2014_Junee"/>
    <n v="7"/>
    <n v="3"/>
    <n v="39"/>
    <n v="4"/>
    <x v="6"/>
    <x v="24"/>
    <s v="N2"/>
    <n v="157"/>
    <m/>
    <m/>
    <m/>
    <m/>
    <n v="-25.43"/>
    <n v="40"/>
    <n v="137.4"/>
    <n v="6.28"/>
    <n v="21.5718"/>
  </r>
  <r>
    <x v="0"/>
    <x v="2"/>
    <s v="2014_Junee"/>
    <n v="7"/>
    <n v="4"/>
    <n v="40"/>
    <n v="4"/>
    <x v="7"/>
    <x v="24"/>
    <s v="N2"/>
    <n v="159"/>
    <m/>
    <m/>
    <m/>
    <m/>
    <n v="-26.29"/>
    <n v="41.6"/>
    <n v="88.3"/>
    <n v="6.6144000000000007"/>
    <n v="14.039699999999998"/>
  </r>
  <r>
    <x v="0"/>
    <x v="2"/>
    <s v="2014_Junee"/>
    <n v="7"/>
    <n v="5"/>
    <n v="41"/>
    <n v="4"/>
    <x v="9"/>
    <x v="24"/>
    <s v="N2"/>
    <n v="148"/>
    <m/>
    <m/>
    <m/>
    <m/>
    <n v="-25.19"/>
    <n v="39.6"/>
    <n v="170"/>
    <n v="5.8608000000000002"/>
    <n v="25.16"/>
  </r>
  <r>
    <x v="0"/>
    <x v="2"/>
    <s v="2014_Junee"/>
    <n v="7"/>
    <n v="6"/>
    <n v="42"/>
    <n v="4"/>
    <x v="10"/>
    <x v="24"/>
    <s v="N2"/>
    <n v="125"/>
    <m/>
    <m/>
    <m/>
    <m/>
    <n v="-25.6"/>
    <n v="45.7"/>
    <n v="105.1"/>
    <n v="5.7125000000000004"/>
    <n v="13.137499999999999"/>
  </r>
  <r>
    <x v="0"/>
    <x v="2"/>
    <s v="2014_Junee"/>
    <n v="8"/>
    <n v="6"/>
    <n v="43"/>
    <n v="4"/>
    <x v="0"/>
    <x v="24"/>
    <s v="N2"/>
    <n v="112"/>
    <m/>
    <m/>
    <m/>
    <m/>
    <m/>
    <m/>
    <m/>
    <m/>
    <m/>
  </r>
  <r>
    <x v="0"/>
    <x v="2"/>
    <s v="2014_Junee"/>
    <n v="8"/>
    <n v="5"/>
    <n v="44"/>
    <n v="4"/>
    <x v="11"/>
    <x v="24"/>
    <s v="N2"/>
    <n v="122"/>
    <m/>
    <m/>
    <m/>
    <m/>
    <n v="-25.49"/>
    <n v="43.7"/>
    <n v="124.7"/>
    <n v="5.3314000000000004"/>
    <n v="15.2134"/>
  </r>
  <r>
    <x v="0"/>
    <x v="2"/>
    <s v="2014_Junee"/>
    <n v="8"/>
    <n v="4"/>
    <n v="45"/>
    <n v="4"/>
    <x v="5"/>
    <x v="24"/>
    <s v="N2"/>
    <n v="115"/>
    <m/>
    <m/>
    <m/>
    <m/>
    <n v="-25.96"/>
    <n v="43.4"/>
    <n v="95.7"/>
    <n v="4.9909999999999997"/>
    <n v="11.0055"/>
  </r>
  <r>
    <x v="0"/>
    <x v="2"/>
    <s v="2014_Junee"/>
    <n v="8"/>
    <n v="3"/>
    <n v="46"/>
    <n v="4"/>
    <x v="8"/>
    <x v="24"/>
    <s v="N2"/>
    <n v="141"/>
    <m/>
    <m/>
    <m/>
    <m/>
    <n v="-25.77"/>
    <n v="38.299999999999997"/>
    <n v="118.8"/>
    <n v="5.4002999999999997"/>
    <n v="16.750799999999998"/>
  </r>
  <r>
    <x v="0"/>
    <x v="2"/>
    <s v="2014_Junee"/>
    <n v="8"/>
    <n v="2"/>
    <n v="47"/>
    <n v="4"/>
    <x v="1"/>
    <x v="24"/>
    <s v="N2"/>
    <n v="116"/>
    <m/>
    <m/>
    <m/>
    <m/>
    <m/>
    <m/>
    <m/>
    <m/>
    <m/>
  </r>
  <r>
    <x v="0"/>
    <x v="2"/>
    <s v="2014_Junee"/>
    <n v="8"/>
    <n v="1"/>
    <n v="48"/>
    <n v="4"/>
    <x v="3"/>
    <x v="24"/>
    <s v="N2"/>
    <n v="109"/>
    <m/>
    <m/>
    <m/>
    <m/>
    <n v="-25.33"/>
    <n v="39.299999999999997"/>
    <n v="149.19999999999999"/>
    <n v="4.2836999999999996"/>
    <n v="16.262799999999999"/>
  </r>
  <r>
    <x v="0"/>
    <x v="2"/>
    <s v="2014_Junee"/>
    <n v="1"/>
    <n v="1"/>
    <n v="1"/>
    <n v="1"/>
    <x v="4"/>
    <x v="25"/>
    <s v="F1"/>
    <n v="312"/>
    <m/>
    <m/>
    <m/>
    <m/>
    <m/>
    <m/>
    <m/>
    <m/>
    <m/>
  </r>
  <r>
    <x v="0"/>
    <x v="2"/>
    <s v="2014_Junee"/>
    <n v="1"/>
    <n v="2"/>
    <n v="2"/>
    <n v="1"/>
    <x v="5"/>
    <x v="25"/>
    <s v="F1"/>
    <n v="372"/>
    <m/>
    <m/>
    <m/>
    <m/>
    <m/>
    <m/>
    <m/>
    <m/>
    <m/>
  </r>
  <r>
    <x v="0"/>
    <x v="2"/>
    <s v="2014_Junee"/>
    <n v="1"/>
    <n v="3"/>
    <n v="3"/>
    <n v="1"/>
    <x v="10"/>
    <x v="25"/>
    <s v="F1"/>
    <n v="476"/>
    <m/>
    <m/>
    <m/>
    <m/>
    <m/>
    <m/>
    <m/>
    <m/>
    <m/>
  </r>
  <r>
    <x v="0"/>
    <x v="2"/>
    <s v="2014_Junee"/>
    <n v="1"/>
    <n v="4"/>
    <n v="4"/>
    <n v="1"/>
    <x v="2"/>
    <x v="25"/>
    <s v="F1"/>
    <n v="440"/>
    <m/>
    <m/>
    <m/>
    <m/>
    <m/>
    <m/>
    <m/>
    <m/>
    <m/>
  </r>
  <r>
    <x v="0"/>
    <x v="2"/>
    <s v="2014_Junee"/>
    <n v="1"/>
    <n v="5"/>
    <n v="5"/>
    <n v="1"/>
    <x v="7"/>
    <x v="25"/>
    <s v="F1"/>
    <n v="443"/>
    <m/>
    <m/>
    <m/>
    <m/>
    <m/>
    <m/>
    <m/>
    <m/>
    <m/>
  </r>
  <r>
    <x v="0"/>
    <x v="2"/>
    <s v="2014_Junee"/>
    <n v="1"/>
    <n v="6"/>
    <n v="6"/>
    <n v="1"/>
    <x v="1"/>
    <x v="25"/>
    <s v="F1"/>
    <n v="375"/>
    <m/>
    <m/>
    <m/>
    <m/>
    <m/>
    <m/>
    <m/>
    <m/>
    <m/>
  </r>
  <r>
    <x v="0"/>
    <x v="2"/>
    <s v="2014_Junee"/>
    <n v="2"/>
    <n v="6"/>
    <n v="7"/>
    <n v="1"/>
    <x v="11"/>
    <x v="25"/>
    <s v="F1"/>
    <n v="425"/>
    <m/>
    <m/>
    <m/>
    <m/>
    <m/>
    <m/>
    <m/>
    <m/>
    <m/>
  </r>
  <r>
    <x v="0"/>
    <x v="2"/>
    <s v="2014_Junee"/>
    <n v="2"/>
    <n v="5"/>
    <n v="8"/>
    <n v="1"/>
    <x v="8"/>
    <x v="25"/>
    <s v="F1"/>
    <n v="565"/>
    <m/>
    <m/>
    <m/>
    <m/>
    <m/>
    <m/>
    <m/>
    <m/>
    <m/>
  </r>
  <r>
    <x v="0"/>
    <x v="2"/>
    <s v="2014_Junee"/>
    <n v="2"/>
    <n v="4"/>
    <n v="9"/>
    <n v="1"/>
    <x v="6"/>
    <x v="25"/>
    <s v="F1"/>
    <n v="655"/>
    <m/>
    <m/>
    <m/>
    <m/>
    <m/>
    <m/>
    <m/>
    <m/>
    <m/>
  </r>
  <r>
    <x v="0"/>
    <x v="2"/>
    <s v="2014_Junee"/>
    <n v="2"/>
    <n v="3"/>
    <n v="10"/>
    <n v="1"/>
    <x v="3"/>
    <x v="25"/>
    <s v="F1"/>
    <n v="509"/>
    <m/>
    <m/>
    <m/>
    <m/>
    <m/>
    <m/>
    <m/>
    <m/>
    <m/>
  </r>
  <r>
    <x v="0"/>
    <x v="2"/>
    <s v="2014_Junee"/>
    <n v="2"/>
    <n v="2"/>
    <n v="11"/>
    <n v="1"/>
    <x v="9"/>
    <x v="25"/>
    <s v="F1"/>
    <n v="481"/>
    <m/>
    <m/>
    <m/>
    <m/>
    <m/>
    <m/>
    <m/>
    <m/>
    <m/>
  </r>
  <r>
    <x v="0"/>
    <x v="2"/>
    <s v="2014_Junee"/>
    <n v="2"/>
    <n v="1"/>
    <n v="12"/>
    <n v="1"/>
    <x v="0"/>
    <x v="25"/>
    <s v="F1"/>
    <n v="509"/>
    <m/>
    <m/>
    <m/>
    <m/>
    <m/>
    <m/>
    <m/>
    <m/>
    <m/>
  </r>
  <r>
    <x v="0"/>
    <x v="2"/>
    <s v="2014_Junee"/>
    <n v="3"/>
    <n v="1"/>
    <n v="13"/>
    <n v="2"/>
    <x v="7"/>
    <x v="25"/>
    <s v="F1"/>
    <n v="432"/>
    <m/>
    <m/>
    <m/>
    <m/>
    <m/>
    <m/>
    <m/>
    <m/>
    <m/>
  </r>
  <r>
    <x v="0"/>
    <x v="2"/>
    <s v="2014_Junee"/>
    <n v="3"/>
    <n v="2"/>
    <n v="14"/>
    <n v="2"/>
    <x v="3"/>
    <x v="25"/>
    <s v="F1"/>
    <n v="550"/>
    <m/>
    <m/>
    <m/>
    <m/>
    <m/>
    <m/>
    <m/>
    <m/>
    <m/>
  </r>
  <r>
    <x v="0"/>
    <x v="2"/>
    <s v="2014_Junee"/>
    <n v="3"/>
    <n v="3"/>
    <n v="15"/>
    <n v="2"/>
    <x v="4"/>
    <x v="25"/>
    <s v="F1"/>
    <n v="381"/>
    <m/>
    <m/>
    <m/>
    <m/>
    <m/>
    <m/>
    <m/>
    <m/>
    <m/>
  </r>
  <r>
    <x v="0"/>
    <x v="2"/>
    <s v="2014_Junee"/>
    <n v="3"/>
    <n v="4"/>
    <n v="16"/>
    <n v="2"/>
    <x v="8"/>
    <x v="25"/>
    <s v="F1"/>
    <n v="410"/>
    <m/>
    <m/>
    <m/>
    <m/>
    <m/>
    <m/>
    <m/>
    <m/>
    <m/>
  </r>
  <r>
    <x v="0"/>
    <x v="2"/>
    <s v="2014_Junee"/>
    <n v="3"/>
    <n v="5"/>
    <n v="17"/>
    <n v="2"/>
    <x v="0"/>
    <x v="25"/>
    <s v="F1"/>
    <n v="499"/>
    <m/>
    <m/>
    <m/>
    <m/>
    <m/>
    <m/>
    <m/>
    <m/>
    <m/>
  </r>
  <r>
    <x v="0"/>
    <x v="2"/>
    <s v="2014_Junee"/>
    <n v="3"/>
    <n v="6"/>
    <n v="18"/>
    <n v="2"/>
    <x v="2"/>
    <x v="25"/>
    <s v="F1"/>
    <n v="454"/>
    <m/>
    <m/>
    <m/>
    <m/>
    <m/>
    <m/>
    <m/>
    <m/>
    <m/>
  </r>
  <r>
    <x v="0"/>
    <x v="2"/>
    <s v="2014_Junee"/>
    <n v="4"/>
    <n v="6"/>
    <n v="19"/>
    <n v="2"/>
    <x v="5"/>
    <x v="25"/>
    <s v="F1"/>
    <n v="293"/>
    <m/>
    <m/>
    <m/>
    <m/>
    <m/>
    <m/>
    <m/>
    <m/>
    <m/>
  </r>
  <r>
    <x v="0"/>
    <x v="2"/>
    <s v="2014_Junee"/>
    <n v="4"/>
    <n v="5"/>
    <n v="20"/>
    <n v="2"/>
    <x v="6"/>
    <x v="25"/>
    <s v="F1"/>
    <n v="638"/>
    <m/>
    <m/>
    <m/>
    <m/>
    <m/>
    <m/>
    <m/>
    <m/>
    <m/>
  </r>
  <r>
    <x v="0"/>
    <x v="2"/>
    <s v="2014_Junee"/>
    <n v="4"/>
    <n v="4"/>
    <n v="21"/>
    <n v="2"/>
    <x v="1"/>
    <x v="25"/>
    <s v="F1"/>
    <n v="549"/>
    <m/>
    <m/>
    <m/>
    <m/>
    <m/>
    <m/>
    <m/>
    <m/>
    <m/>
  </r>
  <r>
    <x v="0"/>
    <x v="2"/>
    <s v="2014_Junee"/>
    <n v="4"/>
    <n v="3"/>
    <n v="22"/>
    <n v="2"/>
    <x v="9"/>
    <x v="25"/>
    <s v="F1"/>
    <n v="458"/>
    <m/>
    <m/>
    <m/>
    <m/>
    <m/>
    <m/>
    <m/>
    <m/>
    <m/>
  </r>
  <r>
    <x v="0"/>
    <x v="2"/>
    <s v="2014_Junee"/>
    <n v="4"/>
    <n v="2"/>
    <n v="23"/>
    <n v="2"/>
    <x v="11"/>
    <x v="25"/>
    <s v="F1"/>
    <n v="364"/>
    <m/>
    <m/>
    <m/>
    <m/>
    <m/>
    <m/>
    <m/>
    <m/>
    <m/>
  </r>
  <r>
    <x v="0"/>
    <x v="2"/>
    <s v="2014_Junee"/>
    <n v="4"/>
    <n v="1"/>
    <n v="24"/>
    <n v="2"/>
    <x v="10"/>
    <x v="25"/>
    <s v="F1"/>
    <n v="402"/>
    <m/>
    <m/>
    <m/>
    <m/>
    <m/>
    <m/>
    <m/>
    <m/>
    <m/>
  </r>
  <r>
    <x v="0"/>
    <x v="2"/>
    <s v="2014_Junee"/>
    <n v="5"/>
    <n v="1"/>
    <n v="25"/>
    <n v="3"/>
    <x v="6"/>
    <x v="25"/>
    <s v="F1"/>
    <n v="511"/>
    <m/>
    <m/>
    <m/>
    <m/>
    <m/>
    <m/>
    <m/>
    <m/>
    <m/>
  </r>
  <r>
    <x v="0"/>
    <x v="2"/>
    <s v="2014_Junee"/>
    <n v="5"/>
    <n v="2"/>
    <n v="26"/>
    <n v="3"/>
    <x v="10"/>
    <x v="25"/>
    <s v="F1"/>
    <n v="401"/>
    <m/>
    <m/>
    <m/>
    <m/>
    <m/>
    <m/>
    <m/>
    <m/>
    <m/>
  </r>
  <r>
    <x v="0"/>
    <x v="2"/>
    <s v="2014_Junee"/>
    <n v="5"/>
    <n v="3"/>
    <n v="27"/>
    <n v="3"/>
    <x v="1"/>
    <x v="25"/>
    <s v="F1"/>
    <n v="473"/>
    <m/>
    <m/>
    <m/>
    <m/>
    <m/>
    <m/>
    <m/>
    <m/>
    <m/>
  </r>
  <r>
    <x v="0"/>
    <x v="2"/>
    <s v="2014_Junee"/>
    <n v="5"/>
    <n v="4"/>
    <n v="28"/>
    <n v="3"/>
    <x v="0"/>
    <x v="25"/>
    <s v="F1"/>
    <n v="482"/>
    <m/>
    <m/>
    <m/>
    <m/>
    <m/>
    <m/>
    <m/>
    <m/>
    <m/>
  </r>
  <r>
    <x v="0"/>
    <x v="2"/>
    <s v="2014_Junee"/>
    <n v="5"/>
    <n v="5"/>
    <n v="29"/>
    <n v="3"/>
    <x v="5"/>
    <x v="25"/>
    <s v="F1"/>
    <n v="505"/>
    <m/>
    <m/>
    <m/>
    <m/>
    <m/>
    <m/>
    <m/>
    <m/>
    <m/>
  </r>
  <r>
    <x v="0"/>
    <x v="2"/>
    <s v="2014_Junee"/>
    <n v="5"/>
    <n v="6"/>
    <n v="30"/>
    <n v="3"/>
    <x v="3"/>
    <x v="25"/>
    <s v="F1"/>
    <n v="566"/>
    <m/>
    <m/>
    <m/>
    <m/>
    <m/>
    <m/>
    <m/>
    <m/>
    <m/>
  </r>
  <r>
    <x v="0"/>
    <x v="2"/>
    <s v="2014_Junee"/>
    <n v="6"/>
    <n v="6"/>
    <n v="31"/>
    <n v="3"/>
    <x v="7"/>
    <x v="25"/>
    <s v="F1"/>
    <n v="464"/>
    <m/>
    <m/>
    <m/>
    <m/>
    <m/>
    <m/>
    <m/>
    <m/>
    <m/>
  </r>
  <r>
    <x v="0"/>
    <x v="2"/>
    <s v="2014_Junee"/>
    <n v="6"/>
    <n v="5"/>
    <n v="32"/>
    <n v="3"/>
    <x v="4"/>
    <x v="25"/>
    <s v="F1"/>
    <n v="484"/>
    <m/>
    <m/>
    <m/>
    <m/>
    <m/>
    <m/>
    <m/>
    <m/>
    <m/>
  </r>
  <r>
    <x v="0"/>
    <x v="2"/>
    <s v="2014_Junee"/>
    <n v="6"/>
    <n v="4"/>
    <n v="33"/>
    <n v="3"/>
    <x v="11"/>
    <x v="25"/>
    <s v="F1"/>
    <n v="409"/>
    <m/>
    <m/>
    <m/>
    <m/>
    <m/>
    <m/>
    <m/>
    <m/>
    <m/>
  </r>
  <r>
    <x v="0"/>
    <x v="2"/>
    <s v="2014_Junee"/>
    <n v="6"/>
    <n v="3"/>
    <n v="34"/>
    <n v="3"/>
    <x v="2"/>
    <x v="25"/>
    <s v="F1"/>
    <n v="519"/>
    <m/>
    <m/>
    <m/>
    <m/>
    <m/>
    <m/>
    <m/>
    <m/>
    <m/>
  </r>
  <r>
    <x v="0"/>
    <x v="2"/>
    <s v="2014_Junee"/>
    <n v="6"/>
    <n v="2"/>
    <n v="35"/>
    <n v="3"/>
    <x v="8"/>
    <x v="25"/>
    <s v="F1"/>
    <n v="466"/>
    <m/>
    <m/>
    <m/>
    <m/>
    <m/>
    <m/>
    <m/>
    <m/>
    <m/>
  </r>
  <r>
    <x v="0"/>
    <x v="2"/>
    <s v="2014_Junee"/>
    <n v="6"/>
    <n v="1"/>
    <n v="36"/>
    <n v="3"/>
    <x v="9"/>
    <x v="25"/>
    <s v="F1"/>
    <n v="473"/>
    <m/>
    <m/>
    <m/>
    <m/>
    <m/>
    <m/>
    <m/>
    <m/>
    <m/>
  </r>
  <r>
    <x v="0"/>
    <x v="2"/>
    <s v="2014_Junee"/>
    <n v="7"/>
    <n v="1"/>
    <n v="37"/>
    <n v="4"/>
    <x v="2"/>
    <x v="25"/>
    <s v="F1"/>
    <n v="480"/>
    <m/>
    <m/>
    <m/>
    <m/>
    <m/>
    <m/>
    <m/>
    <m/>
    <m/>
  </r>
  <r>
    <x v="0"/>
    <x v="2"/>
    <s v="2014_Junee"/>
    <n v="7"/>
    <n v="2"/>
    <n v="38"/>
    <n v="4"/>
    <x v="4"/>
    <x v="25"/>
    <s v="F1"/>
    <n v="383"/>
    <m/>
    <m/>
    <m/>
    <m/>
    <m/>
    <m/>
    <m/>
    <m/>
    <m/>
  </r>
  <r>
    <x v="0"/>
    <x v="2"/>
    <s v="2014_Junee"/>
    <n v="7"/>
    <n v="3"/>
    <n v="39"/>
    <n v="4"/>
    <x v="6"/>
    <x v="25"/>
    <s v="F1"/>
    <n v="541"/>
    <m/>
    <m/>
    <m/>
    <m/>
    <m/>
    <m/>
    <m/>
    <m/>
    <m/>
  </r>
  <r>
    <x v="0"/>
    <x v="2"/>
    <s v="2014_Junee"/>
    <n v="7"/>
    <n v="4"/>
    <n v="40"/>
    <n v="4"/>
    <x v="7"/>
    <x v="25"/>
    <s v="F1"/>
    <n v="405"/>
    <m/>
    <m/>
    <m/>
    <m/>
    <m/>
    <m/>
    <m/>
    <m/>
    <m/>
  </r>
  <r>
    <x v="0"/>
    <x v="2"/>
    <s v="2014_Junee"/>
    <n v="7"/>
    <n v="5"/>
    <n v="41"/>
    <n v="4"/>
    <x v="9"/>
    <x v="25"/>
    <s v="F1"/>
    <n v="572"/>
    <m/>
    <m/>
    <m/>
    <m/>
    <m/>
    <m/>
    <m/>
    <m/>
    <m/>
  </r>
  <r>
    <x v="0"/>
    <x v="2"/>
    <s v="2014_Junee"/>
    <n v="7"/>
    <n v="6"/>
    <n v="42"/>
    <n v="4"/>
    <x v="10"/>
    <x v="25"/>
    <s v="F1"/>
    <n v="406"/>
    <m/>
    <m/>
    <m/>
    <m/>
    <m/>
    <m/>
    <m/>
    <m/>
    <m/>
  </r>
  <r>
    <x v="0"/>
    <x v="2"/>
    <s v="2014_Junee"/>
    <n v="8"/>
    <n v="6"/>
    <n v="43"/>
    <n v="4"/>
    <x v="0"/>
    <x v="25"/>
    <s v="F1"/>
    <n v="442"/>
    <m/>
    <m/>
    <m/>
    <m/>
    <m/>
    <m/>
    <m/>
    <m/>
    <m/>
  </r>
  <r>
    <x v="0"/>
    <x v="2"/>
    <s v="2014_Junee"/>
    <n v="8"/>
    <n v="5"/>
    <n v="44"/>
    <n v="4"/>
    <x v="11"/>
    <x v="25"/>
    <s v="F1"/>
    <n v="448"/>
    <m/>
    <m/>
    <m/>
    <m/>
    <m/>
    <m/>
    <m/>
    <m/>
    <m/>
  </r>
  <r>
    <x v="0"/>
    <x v="2"/>
    <s v="2014_Junee"/>
    <n v="8"/>
    <n v="4"/>
    <n v="45"/>
    <n v="4"/>
    <x v="5"/>
    <x v="25"/>
    <s v="F1"/>
    <n v="360"/>
    <m/>
    <m/>
    <m/>
    <m/>
    <m/>
    <m/>
    <m/>
    <m/>
    <m/>
  </r>
  <r>
    <x v="0"/>
    <x v="2"/>
    <s v="2014_Junee"/>
    <n v="8"/>
    <n v="3"/>
    <n v="46"/>
    <n v="4"/>
    <x v="8"/>
    <x v="25"/>
    <s v="F1"/>
    <n v="496"/>
    <m/>
    <m/>
    <m/>
    <m/>
    <m/>
    <m/>
    <m/>
    <m/>
    <m/>
  </r>
  <r>
    <x v="0"/>
    <x v="2"/>
    <s v="2014_Junee"/>
    <n v="8"/>
    <n v="2"/>
    <n v="47"/>
    <n v="4"/>
    <x v="1"/>
    <x v="25"/>
    <s v="F1"/>
    <n v="469"/>
    <m/>
    <m/>
    <m/>
    <m/>
    <m/>
    <m/>
    <m/>
    <m/>
    <m/>
  </r>
  <r>
    <x v="0"/>
    <x v="2"/>
    <s v="2014_Junee"/>
    <n v="8"/>
    <n v="1"/>
    <n v="48"/>
    <n v="4"/>
    <x v="3"/>
    <x v="25"/>
    <s v="F1"/>
    <n v="485"/>
    <m/>
    <m/>
    <m/>
    <m/>
    <m/>
    <m/>
    <m/>
    <m/>
    <m/>
  </r>
  <r>
    <x v="0"/>
    <x v="2"/>
    <s v="2014_Junee"/>
    <n v="1"/>
    <n v="1"/>
    <n v="1"/>
    <n v="1"/>
    <x v="4"/>
    <x v="26"/>
    <s v="A100"/>
    <n v="834"/>
    <n v="438"/>
    <n v="130"/>
    <n v="219"/>
    <n v="46"/>
    <m/>
    <m/>
    <m/>
    <m/>
    <m/>
  </r>
  <r>
    <x v="0"/>
    <x v="2"/>
    <s v="2014_Junee"/>
    <n v="1"/>
    <n v="2"/>
    <n v="2"/>
    <n v="1"/>
    <x v="5"/>
    <x v="26"/>
    <s v="A100"/>
    <n v="661"/>
    <n v="358"/>
    <n v="87"/>
    <n v="178"/>
    <n v="37"/>
    <m/>
    <m/>
    <m/>
    <m/>
    <m/>
  </r>
  <r>
    <x v="0"/>
    <x v="2"/>
    <s v="2014_Junee"/>
    <n v="1"/>
    <n v="3"/>
    <n v="3"/>
    <n v="1"/>
    <x v="10"/>
    <x v="27"/>
    <s v="A100"/>
    <n v="699"/>
    <n v="340"/>
    <n v="118"/>
    <n v="187"/>
    <n v="55"/>
    <m/>
    <m/>
    <m/>
    <m/>
    <m/>
  </r>
  <r>
    <x v="0"/>
    <x v="2"/>
    <s v="2014_Junee"/>
    <n v="1"/>
    <n v="4"/>
    <n v="4"/>
    <n v="1"/>
    <x v="2"/>
    <x v="26"/>
    <s v="A100"/>
    <n v="774"/>
    <n v="407"/>
    <n v="114"/>
    <n v="214"/>
    <n v="39"/>
    <m/>
    <m/>
    <m/>
    <m/>
    <m/>
  </r>
  <r>
    <x v="0"/>
    <x v="2"/>
    <s v="2014_Junee"/>
    <n v="1"/>
    <n v="5"/>
    <n v="5"/>
    <n v="1"/>
    <x v="7"/>
    <x v="26"/>
    <s v="A100"/>
    <n v="837"/>
    <n v="443"/>
    <n v="134"/>
    <n v="220"/>
    <n v="39"/>
    <m/>
    <m/>
    <m/>
    <m/>
    <m/>
  </r>
  <r>
    <x v="0"/>
    <x v="2"/>
    <s v="2014_Junee"/>
    <n v="1"/>
    <n v="6"/>
    <n v="6"/>
    <n v="1"/>
    <x v="1"/>
    <x v="26"/>
    <s v="A100"/>
    <n v="727"/>
    <n v="402"/>
    <n v="108"/>
    <n v="192"/>
    <n v="26"/>
    <m/>
    <m/>
    <m/>
    <m/>
    <m/>
  </r>
  <r>
    <x v="0"/>
    <x v="2"/>
    <s v="2014_Junee"/>
    <n v="2"/>
    <n v="6"/>
    <n v="7"/>
    <n v="1"/>
    <x v="11"/>
    <x v="28"/>
    <s v="A100"/>
    <n v="892"/>
    <n v="480"/>
    <n v="160"/>
    <n v="219"/>
    <n v="34"/>
    <n v="-25.51"/>
    <n v="15.8"/>
    <n v="109.5"/>
    <n v="14.0936"/>
    <n v="97.674000000000007"/>
  </r>
  <r>
    <x v="0"/>
    <x v="2"/>
    <s v="2014_Junee"/>
    <n v="2"/>
    <n v="5"/>
    <n v="8"/>
    <n v="1"/>
    <x v="8"/>
    <x v="26"/>
    <s v="A100"/>
    <n v="858"/>
    <n v="451"/>
    <n v="121"/>
    <n v="222"/>
    <n v="63"/>
    <m/>
    <m/>
    <m/>
    <m/>
    <m/>
  </r>
  <r>
    <x v="0"/>
    <x v="2"/>
    <s v="2014_Junee"/>
    <n v="2"/>
    <n v="4"/>
    <n v="9"/>
    <n v="1"/>
    <x v="6"/>
    <x v="27"/>
    <s v="A100"/>
    <n v="901"/>
    <n v="481"/>
    <n v="93"/>
    <n v="222"/>
    <n v="106"/>
    <m/>
    <m/>
    <m/>
    <m/>
    <m/>
  </r>
  <r>
    <x v="0"/>
    <x v="2"/>
    <s v="2014_Junee"/>
    <n v="2"/>
    <n v="3"/>
    <n v="10"/>
    <n v="1"/>
    <x v="3"/>
    <x v="27"/>
    <s v="A100"/>
    <n v="814"/>
    <n v="446"/>
    <n v="115"/>
    <n v="211"/>
    <n v="41"/>
    <m/>
    <m/>
    <m/>
    <m/>
    <m/>
  </r>
  <r>
    <x v="0"/>
    <x v="2"/>
    <s v="2014_Junee"/>
    <n v="2"/>
    <n v="2"/>
    <n v="11"/>
    <n v="1"/>
    <x v="9"/>
    <x v="28"/>
    <s v="A100"/>
    <n v="814"/>
    <n v="481"/>
    <n v="116"/>
    <n v="175"/>
    <n v="41"/>
    <n v="-25.51"/>
    <n v="14.7"/>
    <n v="106.3"/>
    <n v="11.9658"/>
    <n v="86.528199999999998"/>
  </r>
  <r>
    <x v="0"/>
    <x v="2"/>
    <s v="2014_Junee"/>
    <n v="2"/>
    <n v="1"/>
    <n v="12"/>
    <n v="1"/>
    <x v="0"/>
    <x v="27"/>
    <s v="A100"/>
    <n v="829"/>
    <n v="458"/>
    <n v="118"/>
    <n v="189"/>
    <n v="64"/>
    <n v="-25.4"/>
    <n v="17.5"/>
    <n v="110.4"/>
    <n v="14.5075"/>
    <n v="91.521600000000007"/>
  </r>
  <r>
    <x v="0"/>
    <x v="2"/>
    <s v="2014_Junee"/>
    <n v="3"/>
    <n v="1"/>
    <n v="13"/>
    <n v="2"/>
    <x v="7"/>
    <x v="26"/>
    <s v="A100"/>
    <n v="686"/>
    <n v="375"/>
    <n v="91"/>
    <n v="180"/>
    <n v="40"/>
    <m/>
    <m/>
    <m/>
    <m/>
    <m/>
  </r>
  <r>
    <x v="0"/>
    <x v="2"/>
    <s v="2014_Junee"/>
    <n v="3"/>
    <n v="2"/>
    <n v="14"/>
    <n v="2"/>
    <x v="3"/>
    <x v="27"/>
    <s v="A100"/>
    <n v="847"/>
    <n v="417"/>
    <n v="108"/>
    <n v="252"/>
    <n v="71"/>
    <n v="-24.97"/>
    <n v="14.6"/>
    <n v="127.7"/>
    <n v="12.366199999999999"/>
    <n v="108.1619"/>
  </r>
  <r>
    <x v="0"/>
    <x v="2"/>
    <s v="2014_Junee"/>
    <n v="3"/>
    <n v="3"/>
    <n v="15"/>
    <n v="2"/>
    <x v="4"/>
    <x v="26"/>
    <s v="A100"/>
    <n v="826"/>
    <n v="448"/>
    <n v="131"/>
    <n v="214"/>
    <n v="32"/>
    <m/>
    <m/>
    <m/>
    <m/>
    <m/>
  </r>
  <r>
    <x v="0"/>
    <x v="2"/>
    <s v="2014_Junee"/>
    <n v="3"/>
    <n v="4"/>
    <n v="16"/>
    <n v="2"/>
    <x v="8"/>
    <x v="26"/>
    <s v="A100"/>
    <n v="784"/>
    <n v="417"/>
    <n v="112"/>
    <n v="216"/>
    <n v="39"/>
    <m/>
    <m/>
    <m/>
    <m/>
    <m/>
  </r>
  <r>
    <x v="0"/>
    <x v="2"/>
    <s v="2014_Junee"/>
    <n v="3"/>
    <n v="5"/>
    <n v="17"/>
    <n v="2"/>
    <x v="0"/>
    <x v="27"/>
    <s v="A100"/>
    <n v="854"/>
    <n v="448"/>
    <n v="171"/>
    <n v="180"/>
    <n v="55"/>
    <n v="-25.67"/>
    <n v="19.7"/>
    <n v="85.2"/>
    <n v="16.823799999999999"/>
    <n v="72.760800000000003"/>
  </r>
  <r>
    <x v="0"/>
    <x v="2"/>
    <s v="2014_Junee"/>
    <n v="3"/>
    <n v="6"/>
    <n v="18"/>
    <n v="2"/>
    <x v="2"/>
    <x v="26"/>
    <s v="A100"/>
    <n v="865"/>
    <n v="467"/>
    <n v="140"/>
    <n v="207"/>
    <n v="50"/>
    <m/>
    <m/>
    <m/>
    <m/>
    <m/>
  </r>
  <r>
    <x v="0"/>
    <x v="2"/>
    <s v="2014_Junee"/>
    <n v="4"/>
    <n v="6"/>
    <n v="19"/>
    <n v="2"/>
    <x v="5"/>
    <x v="26"/>
    <s v="A100"/>
    <n v="476"/>
    <n v="251"/>
    <n v="91"/>
    <n v="124"/>
    <n v="10"/>
    <m/>
    <m/>
    <m/>
    <m/>
    <m/>
  </r>
  <r>
    <x v="0"/>
    <x v="2"/>
    <s v="2014_Junee"/>
    <n v="4"/>
    <n v="5"/>
    <n v="20"/>
    <n v="2"/>
    <x v="6"/>
    <x v="27"/>
    <s v="A100"/>
    <n v="1018"/>
    <n v="569"/>
    <n v="116"/>
    <n v="236"/>
    <n v="97"/>
    <m/>
    <m/>
    <m/>
    <m/>
    <m/>
  </r>
  <r>
    <x v="0"/>
    <x v="2"/>
    <s v="2014_Junee"/>
    <n v="4"/>
    <n v="4"/>
    <n v="21"/>
    <n v="2"/>
    <x v="1"/>
    <x v="26"/>
    <s v="A100"/>
    <n v="756"/>
    <n v="386"/>
    <n v="101"/>
    <n v="209"/>
    <n v="60"/>
    <m/>
    <m/>
    <m/>
    <m/>
    <m/>
  </r>
  <r>
    <x v="0"/>
    <x v="2"/>
    <s v="2014_Junee"/>
    <n v="4"/>
    <n v="3"/>
    <n v="22"/>
    <n v="2"/>
    <x v="9"/>
    <x v="28"/>
    <s v="A100"/>
    <n v="902"/>
    <n v="526"/>
    <n v="150"/>
    <n v="193"/>
    <n v="32"/>
    <n v="-25.38"/>
    <n v="14.3"/>
    <n v="114.4"/>
    <n v="12.8986"/>
    <n v="103.1888"/>
  </r>
  <r>
    <x v="0"/>
    <x v="2"/>
    <s v="2014_Junee"/>
    <n v="4"/>
    <n v="2"/>
    <n v="23"/>
    <n v="2"/>
    <x v="11"/>
    <x v="28"/>
    <s v="A100"/>
    <n v="843"/>
    <n v="480"/>
    <n v="146"/>
    <n v="178"/>
    <n v="38"/>
    <n v="-25.07"/>
    <n v="16.100000000000001"/>
    <n v="143.1"/>
    <n v="13.5723"/>
    <n v="120.63329999999999"/>
  </r>
  <r>
    <x v="0"/>
    <x v="2"/>
    <s v="2014_Junee"/>
    <n v="4"/>
    <n v="1"/>
    <n v="24"/>
    <n v="2"/>
    <x v="10"/>
    <x v="27"/>
    <s v="A100"/>
    <n v="714"/>
    <n v="361"/>
    <n v="121"/>
    <n v="175"/>
    <n v="56"/>
    <m/>
    <m/>
    <m/>
    <m/>
    <m/>
  </r>
  <r>
    <x v="0"/>
    <x v="2"/>
    <s v="2014_Junee"/>
    <n v="5"/>
    <n v="1"/>
    <n v="25"/>
    <n v="3"/>
    <x v="6"/>
    <x v="27"/>
    <s v="A100"/>
    <n v="867"/>
    <n v="475"/>
    <n v="100"/>
    <n v="232"/>
    <n v="60"/>
    <n v="-25.72"/>
    <n v="12.5"/>
    <n v="99.2"/>
    <n v="10.8375"/>
    <n v="86.006400000000014"/>
  </r>
  <r>
    <x v="0"/>
    <x v="2"/>
    <s v="2014_Junee"/>
    <n v="5"/>
    <n v="2"/>
    <n v="26"/>
    <n v="3"/>
    <x v="10"/>
    <x v="27"/>
    <s v="A100"/>
    <n v="755"/>
    <n v="382"/>
    <n v="111"/>
    <n v="214"/>
    <n v="48"/>
    <n v="-25.1"/>
    <n v="14.5"/>
    <n v="101.7"/>
    <n v="10.9475"/>
    <n v="76.783500000000004"/>
  </r>
  <r>
    <x v="0"/>
    <x v="2"/>
    <s v="2014_Junee"/>
    <n v="5"/>
    <n v="3"/>
    <n v="27"/>
    <n v="3"/>
    <x v="1"/>
    <x v="26"/>
    <s v="A100"/>
    <n v="847"/>
    <n v="433"/>
    <n v="114"/>
    <n v="223"/>
    <n v="77"/>
    <m/>
    <m/>
    <m/>
    <m/>
    <m/>
  </r>
  <r>
    <x v="0"/>
    <x v="2"/>
    <s v="2014_Junee"/>
    <n v="5"/>
    <n v="4"/>
    <n v="28"/>
    <n v="3"/>
    <x v="0"/>
    <x v="27"/>
    <s v="A100"/>
    <n v="899"/>
    <n v="488"/>
    <n v="134"/>
    <n v="205"/>
    <n v="73"/>
    <m/>
    <m/>
    <m/>
    <m/>
    <m/>
  </r>
  <r>
    <x v="0"/>
    <x v="2"/>
    <s v="2014_Junee"/>
    <n v="5"/>
    <n v="5"/>
    <n v="29"/>
    <n v="3"/>
    <x v="5"/>
    <x v="26"/>
    <s v="A100"/>
    <n v="826"/>
    <n v="415"/>
    <n v="108"/>
    <n v="242"/>
    <n v="62"/>
    <m/>
    <m/>
    <m/>
    <m/>
    <m/>
  </r>
  <r>
    <x v="0"/>
    <x v="2"/>
    <s v="2014_Junee"/>
    <n v="5"/>
    <n v="6"/>
    <n v="30"/>
    <n v="3"/>
    <x v="3"/>
    <x v="27"/>
    <s v="A100"/>
    <n v="990"/>
    <n v="533"/>
    <n v="148"/>
    <n v="261"/>
    <n v="47"/>
    <n v="-25.24"/>
    <n v="14.1"/>
    <n v="98.8"/>
    <n v="13.959"/>
    <n v="97.811999999999998"/>
  </r>
  <r>
    <x v="0"/>
    <x v="2"/>
    <s v="2014_Junee"/>
    <n v="6"/>
    <n v="6"/>
    <n v="31"/>
    <n v="3"/>
    <x v="7"/>
    <x v="26"/>
    <s v="A100"/>
    <n v="730"/>
    <n v="396"/>
    <n v="112"/>
    <n v="156"/>
    <n v="66"/>
    <m/>
    <m/>
    <m/>
    <m/>
    <m/>
  </r>
  <r>
    <x v="0"/>
    <x v="2"/>
    <s v="2014_Junee"/>
    <n v="6"/>
    <n v="5"/>
    <n v="32"/>
    <n v="3"/>
    <x v="4"/>
    <x v="26"/>
    <s v="A100"/>
    <n v="775"/>
    <n v="397"/>
    <n v="120"/>
    <n v="168"/>
    <n v="90"/>
    <m/>
    <m/>
    <m/>
    <m/>
    <m/>
  </r>
  <r>
    <x v="0"/>
    <x v="2"/>
    <s v="2014_Junee"/>
    <n v="6"/>
    <n v="4"/>
    <n v="33"/>
    <n v="3"/>
    <x v="11"/>
    <x v="28"/>
    <s v="A100"/>
    <n v="840"/>
    <n v="475"/>
    <n v="178"/>
    <n v="163"/>
    <n v="23"/>
    <n v="-25.53"/>
    <n v="16.3"/>
    <n v="109"/>
    <n v="13.692"/>
    <n v="91.56"/>
  </r>
  <r>
    <x v="0"/>
    <x v="2"/>
    <s v="2014_Junee"/>
    <n v="6"/>
    <n v="3"/>
    <n v="34"/>
    <n v="3"/>
    <x v="2"/>
    <x v="26"/>
    <s v="A100"/>
    <n v="852"/>
    <n v="427"/>
    <n v="99"/>
    <n v="211"/>
    <n v="115"/>
    <m/>
    <m/>
    <m/>
    <m/>
    <m/>
  </r>
  <r>
    <x v="0"/>
    <x v="2"/>
    <s v="2014_Junee"/>
    <n v="6"/>
    <n v="2"/>
    <n v="35"/>
    <n v="3"/>
    <x v="8"/>
    <x v="26"/>
    <s v="A100"/>
    <n v="850"/>
    <n v="427"/>
    <n v="96"/>
    <n v="248"/>
    <n v="79"/>
    <m/>
    <m/>
    <m/>
    <m/>
    <m/>
  </r>
  <r>
    <x v="0"/>
    <x v="2"/>
    <s v="2014_Junee"/>
    <n v="6"/>
    <n v="1"/>
    <n v="36"/>
    <n v="3"/>
    <x v="9"/>
    <x v="28"/>
    <s v="A100"/>
    <n v="827"/>
    <n v="495"/>
    <n v="104"/>
    <n v="178"/>
    <n v="50"/>
    <n v="-25.24"/>
    <n v="13.9"/>
    <n v="120.5"/>
    <n v="11.4953"/>
    <n v="99.653499999999994"/>
  </r>
  <r>
    <x v="0"/>
    <x v="2"/>
    <s v="2014_Junee"/>
    <n v="7"/>
    <n v="1"/>
    <n v="37"/>
    <n v="4"/>
    <x v="2"/>
    <x v="26"/>
    <s v="A100"/>
    <n v="762"/>
    <n v="397"/>
    <n v="100"/>
    <n v="194"/>
    <n v="71"/>
    <n v="-25.58"/>
    <n v="11.5"/>
    <n v="104.5"/>
    <n v="8.7629999999999999"/>
    <n v="79.629000000000005"/>
  </r>
  <r>
    <x v="0"/>
    <x v="2"/>
    <s v="2014_Junee"/>
    <n v="7"/>
    <n v="2"/>
    <n v="38"/>
    <n v="4"/>
    <x v="4"/>
    <x v="26"/>
    <s v="A100"/>
    <n v="743"/>
    <n v="381"/>
    <n v="130"/>
    <n v="170"/>
    <n v="61"/>
    <n v="-25.49"/>
    <n v="14.1"/>
    <n v="121.2"/>
    <n v="10.476299999999998"/>
    <n v="90.051600000000008"/>
  </r>
  <r>
    <x v="0"/>
    <x v="2"/>
    <s v="2014_Junee"/>
    <n v="7"/>
    <n v="3"/>
    <n v="39"/>
    <n v="4"/>
    <x v="6"/>
    <x v="27"/>
    <s v="A100"/>
    <n v="783"/>
    <n v="437"/>
    <n v="104"/>
    <n v="192"/>
    <n v="49"/>
    <n v="-25.55"/>
    <n v="13.3"/>
    <n v="97.9"/>
    <n v="10.413900000000002"/>
    <n v="76.65570000000001"/>
  </r>
  <r>
    <x v="0"/>
    <x v="2"/>
    <s v="2014_Junee"/>
    <n v="7"/>
    <n v="4"/>
    <n v="40"/>
    <n v="4"/>
    <x v="7"/>
    <x v="26"/>
    <s v="A100"/>
    <n v="712"/>
    <n v="394"/>
    <n v="70"/>
    <n v="160"/>
    <n v="87"/>
    <n v="-25.38"/>
    <n v="14.4"/>
    <n v="101.1"/>
    <n v="10.252800000000001"/>
    <n v="71.983199999999997"/>
  </r>
  <r>
    <x v="0"/>
    <x v="2"/>
    <s v="2014_Junee"/>
    <n v="7"/>
    <n v="5"/>
    <n v="41"/>
    <n v="4"/>
    <x v="9"/>
    <x v="28"/>
    <s v="A100"/>
    <n v="955"/>
    <n v="540"/>
    <n v="164"/>
    <n v="196"/>
    <n v="55"/>
    <n v="-25.59"/>
    <n v="15.7"/>
    <n v="106.3"/>
    <n v="14.993499999999999"/>
    <n v="101.51649999999999"/>
  </r>
  <r>
    <x v="0"/>
    <x v="2"/>
    <s v="2014_Junee"/>
    <n v="7"/>
    <n v="6"/>
    <n v="42"/>
    <n v="4"/>
    <x v="10"/>
    <x v="27"/>
    <s v="A100"/>
    <n v="806"/>
    <n v="378"/>
    <n v="124"/>
    <n v="199"/>
    <n v="105"/>
    <m/>
    <m/>
    <m/>
    <m/>
    <m/>
  </r>
  <r>
    <x v="0"/>
    <x v="2"/>
    <s v="2014_Junee"/>
    <n v="8"/>
    <n v="6"/>
    <n v="43"/>
    <n v="4"/>
    <x v="0"/>
    <x v="27"/>
    <s v="A100"/>
    <n v="838"/>
    <n v="469"/>
    <n v="133"/>
    <n v="168"/>
    <n v="69"/>
    <m/>
    <m/>
    <m/>
    <m/>
    <m/>
  </r>
  <r>
    <x v="0"/>
    <x v="2"/>
    <s v="2014_Junee"/>
    <n v="8"/>
    <n v="5"/>
    <n v="44"/>
    <n v="4"/>
    <x v="11"/>
    <x v="28"/>
    <s v="A100"/>
    <n v="756"/>
    <n v="473"/>
    <n v="131"/>
    <n v="130"/>
    <n v="22"/>
    <n v="-25.48"/>
    <n v="17.100000000000001"/>
    <n v="117.4"/>
    <n v="12.9276"/>
    <n v="88.754400000000004"/>
  </r>
  <r>
    <x v="0"/>
    <x v="2"/>
    <s v="2014_Junee"/>
    <n v="8"/>
    <n v="4"/>
    <n v="45"/>
    <n v="4"/>
    <x v="5"/>
    <x v="26"/>
    <s v="A100"/>
    <n v="698"/>
    <n v="349"/>
    <n v="106"/>
    <n v="196"/>
    <n v="47"/>
    <m/>
    <m/>
    <m/>
    <m/>
    <m/>
  </r>
  <r>
    <x v="0"/>
    <x v="2"/>
    <s v="2014_Junee"/>
    <n v="8"/>
    <n v="3"/>
    <n v="46"/>
    <n v="4"/>
    <x v="8"/>
    <x v="26"/>
    <s v="A100"/>
    <n v="839"/>
    <n v="426"/>
    <n v="122"/>
    <n v="220"/>
    <n v="70"/>
    <n v="-25.36"/>
    <n v="15.3"/>
    <n v="116.6"/>
    <n v="12.8367"/>
    <n v="97.827399999999997"/>
  </r>
  <r>
    <x v="0"/>
    <x v="2"/>
    <s v="2014_Junee"/>
    <n v="8"/>
    <n v="2"/>
    <n v="47"/>
    <n v="4"/>
    <x v="1"/>
    <x v="26"/>
    <s v="A100"/>
    <n v="804"/>
    <n v="414"/>
    <n v="115"/>
    <n v="206"/>
    <n v="69"/>
    <n v="-25.47"/>
    <n v="13.8"/>
    <n v="110.8"/>
    <n v="11.0952"/>
    <n v="89.083199999999991"/>
  </r>
  <r>
    <x v="0"/>
    <x v="2"/>
    <s v="2014_Junee"/>
    <n v="8"/>
    <n v="1"/>
    <n v="48"/>
    <n v="4"/>
    <x v="3"/>
    <x v="27"/>
    <s v="A100"/>
    <n v="837"/>
    <n v="429"/>
    <n v="126"/>
    <n v="242"/>
    <n v="40"/>
    <n v="-25.55"/>
    <n v="13.6"/>
    <n v="105.9"/>
    <n v="11.383199999999999"/>
    <n v="88.638300000000001"/>
  </r>
  <r>
    <x v="0"/>
    <x v="2"/>
    <s v="2014_Junee"/>
    <n v="1"/>
    <n v="1"/>
    <n v="1"/>
    <n v="1"/>
    <x v="4"/>
    <x v="29"/>
    <s v="GR100"/>
    <n v="819"/>
    <n v="305"/>
    <m/>
    <n v="406"/>
    <n v="108"/>
    <m/>
    <m/>
    <m/>
    <m/>
    <m/>
  </r>
  <r>
    <x v="0"/>
    <x v="2"/>
    <s v="2014_Junee"/>
    <n v="1"/>
    <n v="2"/>
    <n v="2"/>
    <n v="1"/>
    <x v="5"/>
    <x v="29"/>
    <s v="GR100"/>
    <n v="571"/>
    <n v="205"/>
    <m/>
    <n v="300"/>
    <n v="66"/>
    <m/>
    <m/>
    <m/>
    <m/>
    <m/>
  </r>
  <r>
    <x v="0"/>
    <x v="2"/>
    <s v="2014_Junee"/>
    <n v="1"/>
    <n v="3"/>
    <n v="3"/>
    <n v="1"/>
    <x v="10"/>
    <x v="29"/>
    <s v="GR100"/>
    <n v="788"/>
    <n v="243"/>
    <m/>
    <n v="449"/>
    <n v="96"/>
    <m/>
    <m/>
    <m/>
    <m/>
    <m/>
  </r>
  <r>
    <x v="0"/>
    <x v="2"/>
    <s v="2014_Junee"/>
    <n v="1"/>
    <n v="4"/>
    <n v="4"/>
    <n v="1"/>
    <x v="2"/>
    <x v="29"/>
    <s v="GR100"/>
    <n v="852"/>
    <n v="283"/>
    <m/>
    <n v="452"/>
    <n v="117"/>
    <m/>
    <m/>
    <m/>
    <m/>
    <m/>
  </r>
  <r>
    <x v="0"/>
    <x v="2"/>
    <s v="2014_Junee"/>
    <n v="1"/>
    <n v="5"/>
    <n v="5"/>
    <n v="1"/>
    <x v="7"/>
    <x v="29"/>
    <s v="GR100"/>
    <n v="800"/>
    <n v="275"/>
    <m/>
    <n v="407"/>
    <n v="118"/>
    <m/>
    <m/>
    <m/>
    <m/>
    <m/>
  </r>
  <r>
    <x v="0"/>
    <x v="2"/>
    <s v="2014_Junee"/>
    <n v="1"/>
    <n v="6"/>
    <n v="6"/>
    <n v="1"/>
    <x v="1"/>
    <x v="29"/>
    <s v="GR100"/>
    <n v="850"/>
    <n v="292"/>
    <m/>
    <n v="450"/>
    <n v="109"/>
    <m/>
    <m/>
    <m/>
    <m/>
    <m/>
  </r>
  <r>
    <x v="0"/>
    <x v="2"/>
    <s v="2014_Junee"/>
    <n v="2"/>
    <n v="6"/>
    <n v="7"/>
    <n v="1"/>
    <x v="11"/>
    <x v="29"/>
    <s v="GR100"/>
    <n v="920"/>
    <n v="292"/>
    <m/>
    <n v="519"/>
    <n v="109"/>
    <m/>
    <m/>
    <m/>
    <m/>
    <m/>
  </r>
  <r>
    <x v="0"/>
    <x v="2"/>
    <s v="2014_Junee"/>
    <n v="2"/>
    <n v="5"/>
    <n v="8"/>
    <n v="1"/>
    <x v="8"/>
    <x v="29"/>
    <s v="GR100"/>
    <n v="853"/>
    <n v="321"/>
    <m/>
    <n v="388"/>
    <n v="143"/>
    <m/>
    <m/>
    <m/>
    <m/>
    <m/>
  </r>
  <r>
    <x v="0"/>
    <x v="2"/>
    <s v="2014_Junee"/>
    <n v="2"/>
    <n v="4"/>
    <n v="9"/>
    <n v="1"/>
    <x v="6"/>
    <x v="29"/>
    <s v="GR100"/>
    <n v="996"/>
    <n v="331"/>
    <m/>
    <n v="541"/>
    <n v="125"/>
    <m/>
    <m/>
    <m/>
    <m/>
    <m/>
  </r>
  <r>
    <x v="0"/>
    <x v="2"/>
    <s v="2014_Junee"/>
    <n v="2"/>
    <n v="3"/>
    <n v="10"/>
    <n v="1"/>
    <x v="3"/>
    <x v="29"/>
    <s v="GR100"/>
    <n v="987"/>
    <n v="305"/>
    <m/>
    <n v="572"/>
    <n v="109"/>
    <m/>
    <m/>
    <m/>
    <m/>
    <m/>
  </r>
  <r>
    <x v="0"/>
    <x v="2"/>
    <s v="2014_Junee"/>
    <n v="2"/>
    <n v="2"/>
    <n v="11"/>
    <n v="1"/>
    <x v="9"/>
    <x v="29"/>
    <s v="GR100"/>
    <n v="954"/>
    <n v="325"/>
    <m/>
    <n v="528"/>
    <n v="100"/>
    <m/>
    <m/>
    <m/>
    <m/>
    <m/>
  </r>
  <r>
    <x v="0"/>
    <x v="2"/>
    <s v="2014_Junee"/>
    <n v="2"/>
    <n v="1"/>
    <n v="12"/>
    <n v="1"/>
    <x v="0"/>
    <x v="29"/>
    <s v="GR100"/>
    <n v="958"/>
    <n v="323"/>
    <m/>
    <n v="518"/>
    <n v="117"/>
    <m/>
    <m/>
    <m/>
    <m/>
    <m/>
  </r>
  <r>
    <x v="0"/>
    <x v="2"/>
    <s v="2014_Junee"/>
    <n v="3"/>
    <n v="1"/>
    <n v="13"/>
    <n v="2"/>
    <x v="7"/>
    <x v="29"/>
    <s v="GR100"/>
    <n v="774"/>
    <n v="288"/>
    <m/>
    <n v="379"/>
    <n v="107"/>
    <m/>
    <m/>
    <m/>
    <m/>
    <m/>
  </r>
  <r>
    <x v="0"/>
    <x v="2"/>
    <s v="2014_Junee"/>
    <n v="3"/>
    <n v="2"/>
    <n v="14"/>
    <n v="2"/>
    <x v="3"/>
    <x v="29"/>
    <s v="GR100"/>
    <n v="962"/>
    <n v="287"/>
    <m/>
    <n v="575"/>
    <n v="100"/>
    <m/>
    <m/>
    <m/>
    <m/>
    <m/>
  </r>
  <r>
    <x v="0"/>
    <x v="2"/>
    <s v="2014_Junee"/>
    <n v="3"/>
    <n v="3"/>
    <n v="15"/>
    <n v="2"/>
    <x v="4"/>
    <x v="29"/>
    <s v="GR100"/>
    <n v="764"/>
    <n v="290"/>
    <m/>
    <n v="355"/>
    <n v="119"/>
    <m/>
    <m/>
    <m/>
    <m/>
    <m/>
  </r>
  <r>
    <x v="0"/>
    <x v="2"/>
    <s v="2014_Junee"/>
    <n v="3"/>
    <n v="4"/>
    <n v="16"/>
    <n v="2"/>
    <x v="8"/>
    <x v="29"/>
    <s v="GR100"/>
    <n v="867"/>
    <n v="306"/>
    <m/>
    <n v="441"/>
    <n v="119"/>
    <m/>
    <m/>
    <m/>
    <m/>
    <m/>
  </r>
  <r>
    <x v="0"/>
    <x v="2"/>
    <s v="2014_Junee"/>
    <n v="3"/>
    <n v="5"/>
    <n v="17"/>
    <n v="2"/>
    <x v="0"/>
    <x v="29"/>
    <s v="GR100"/>
    <n v="990"/>
    <n v="339"/>
    <m/>
    <n v="510"/>
    <n v="141"/>
    <m/>
    <m/>
    <m/>
    <m/>
    <m/>
  </r>
  <r>
    <x v="0"/>
    <x v="2"/>
    <s v="2014_Junee"/>
    <n v="3"/>
    <n v="6"/>
    <n v="18"/>
    <n v="2"/>
    <x v="2"/>
    <x v="29"/>
    <s v="GR100"/>
    <n v="901"/>
    <n v="333"/>
    <m/>
    <n v="449"/>
    <n v="119"/>
    <m/>
    <m/>
    <m/>
    <m/>
    <m/>
  </r>
  <r>
    <x v="0"/>
    <x v="2"/>
    <s v="2014_Junee"/>
    <n v="4"/>
    <n v="6"/>
    <n v="19"/>
    <n v="2"/>
    <x v="5"/>
    <x v="29"/>
    <s v="GR100"/>
    <n v="830"/>
    <n v="300"/>
    <m/>
    <n v="407"/>
    <n v="123"/>
    <m/>
    <m/>
    <m/>
    <m/>
    <m/>
  </r>
  <r>
    <x v="0"/>
    <x v="2"/>
    <s v="2014_Junee"/>
    <n v="4"/>
    <n v="5"/>
    <n v="20"/>
    <n v="2"/>
    <x v="6"/>
    <x v="29"/>
    <s v="GR100"/>
    <n v="1084"/>
    <n v="367"/>
    <m/>
    <n v="571"/>
    <n v="146"/>
    <m/>
    <m/>
    <m/>
    <m/>
    <m/>
  </r>
  <r>
    <x v="0"/>
    <x v="2"/>
    <s v="2014_Junee"/>
    <n v="4"/>
    <n v="4"/>
    <n v="21"/>
    <n v="2"/>
    <x v="1"/>
    <x v="29"/>
    <s v="GR100"/>
    <n v="891"/>
    <n v="316"/>
    <m/>
    <n v="422"/>
    <n v="153"/>
    <m/>
    <m/>
    <m/>
    <m/>
    <m/>
  </r>
  <r>
    <x v="0"/>
    <x v="2"/>
    <s v="2014_Junee"/>
    <n v="4"/>
    <n v="3"/>
    <n v="22"/>
    <n v="2"/>
    <x v="9"/>
    <x v="29"/>
    <s v="GR100"/>
    <n v="988"/>
    <n v="338"/>
    <m/>
    <n v="545"/>
    <n v="105"/>
    <m/>
    <m/>
    <m/>
    <m/>
    <m/>
  </r>
  <r>
    <x v="0"/>
    <x v="2"/>
    <s v="2014_Junee"/>
    <n v="4"/>
    <n v="2"/>
    <n v="23"/>
    <n v="2"/>
    <x v="11"/>
    <x v="29"/>
    <s v="GR100"/>
    <n v="895"/>
    <n v="279"/>
    <m/>
    <n v="511"/>
    <n v="105"/>
    <m/>
    <m/>
    <m/>
    <m/>
    <m/>
  </r>
  <r>
    <x v="0"/>
    <x v="2"/>
    <s v="2014_Junee"/>
    <n v="4"/>
    <n v="1"/>
    <n v="24"/>
    <n v="2"/>
    <x v="10"/>
    <x v="29"/>
    <s v="GR100"/>
    <n v="967"/>
    <n v="309"/>
    <m/>
    <n v="525"/>
    <n v="133"/>
    <m/>
    <m/>
    <m/>
    <m/>
    <m/>
  </r>
  <r>
    <x v="0"/>
    <x v="2"/>
    <s v="2014_Junee"/>
    <n v="5"/>
    <n v="1"/>
    <n v="25"/>
    <n v="3"/>
    <x v="6"/>
    <x v="29"/>
    <s v="GR100"/>
    <n v="1041"/>
    <n v="342"/>
    <m/>
    <n v="610"/>
    <n v="88"/>
    <m/>
    <m/>
    <m/>
    <m/>
    <m/>
  </r>
  <r>
    <x v="0"/>
    <x v="2"/>
    <s v="2014_Junee"/>
    <n v="5"/>
    <n v="2"/>
    <n v="26"/>
    <n v="3"/>
    <x v="10"/>
    <x v="29"/>
    <s v="GR100"/>
    <n v="871"/>
    <n v="289"/>
    <m/>
    <n v="512"/>
    <n v="70"/>
    <m/>
    <m/>
    <m/>
    <m/>
    <m/>
  </r>
  <r>
    <x v="0"/>
    <x v="2"/>
    <s v="2014_Junee"/>
    <n v="5"/>
    <n v="3"/>
    <n v="27"/>
    <n v="3"/>
    <x v="1"/>
    <x v="29"/>
    <s v="GR100"/>
    <n v="839"/>
    <n v="328"/>
    <m/>
    <n v="426"/>
    <n v="85"/>
    <m/>
    <m/>
    <m/>
    <m/>
    <m/>
  </r>
  <r>
    <x v="0"/>
    <x v="2"/>
    <s v="2014_Junee"/>
    <n v="5"/>
    <n v="4"/>
    <n v="28"/>
    <n v="3"/>
    <x v="0"/>
    <x v="29"/>
    <s v="GR100"/>
    <n v="958"/>
    <n v="332"/>
    <m/>
    <n v="541"/>
    <n v="85"/>
    <m/>
    <m/>
    <m/>
    <m/>
    <m/>
  </r>
  <r>
    <x v="0"/>
    <x v="2"/>
    <s v="2014_Junee"/>
    <n v="5"/>
    <n v="5"/>
    <n v="29"/>
    <n v="3"/>
    <x v="5"/>
    <x v="29"/>
    <s v="GR100"/>
    <n v="778"/>
    <n v="305"/>
    <m/>
    <n v="391"/>
    <n v="83"/>
    <m/>
    <m/>
    <m/>
    <m/>
    <m/>
  </r>
  <r>
    <x v="0"/>
    <x v="2"/>
    <s v="2014_Junee"/>
    <n v="5"/>
    <n v="6"/>
    <n v="30"/>
    <n v="3"/>
    <x v="3"/>
    <x v="29"/>
    <s v="GR100"/>
    <n v="1051"/>
    <n v="326"/>
    <m/>
    <n v="648"/>
    <n v="78"/>
    <m/>
    <m/>
    <m/>
    <m/>
    <m/>
  </r>
  <r>
    <x v="0"/>
    <x v="2"/>
    <s v="2014_Junee"/>
    <n v="6"/>
    <n v="6"/>
    <n v="31"/>
    <n v="3"/>
    <x v="7"/>
    <x v="29"/>
    <s v="GR100"/>
    <n v="826"/>
    <n v="300"/>
    <m/>
    <n v="421"/>
    <n v="105"/>
    <m/>
    <m/>
    <m/>
    <m/>
    <m/>
  </r>
  <r>
    <x v="0"/>
    <x v="2"/>
    <s v="2014_Junee"/>
    <n v="6"/>
    <n v="5"/>
    <n v="32"/>
    <n v="3"/>
    <x v="4"/>
    <x v="29"/>
    <s v="GR100"/>
    <n v="799"/>
    <n v="302"/>
    <m/>
    <n v="410"/>
    <n v="87"/>
    <m/>
    <m/>
    <m/>
    <m/>
    <m/>
  </r>
  <r>
    <x v="0"/>
    <x v="2"/>
    <s v="2014_Junee"/>
    <n v="6"/>
    <n v="4"/>
    <n v="33"/>
    <n v="3"/>
    <x v="11"/>
    <x v="29"/>
    <s v="GR100"/>
    <n v="834"/>
    <n v="238"/>
    <m/>
    <n v="540"/>
    <n v="55"/>
    <m/>
    <m/>
    <m/>
    <m/>
    <m/>
  </r>
  <r>
    <x v="0"/>
    <x v="2"/>
    <s v="2014_Junee"/>
    <n v="6"/>
    <n v="3"/>
    <n v="34"/>
    <n v="3"/>
    <x v="2"/>
    <x v="29"/>
    <s v="GR100"/>
    <n v="819"/>
    <n v="296"/>
    <m/>
    <n v="434"/>
    <n v="89"/>
    <m/>
    <m/>
    <m/>
    <m/>
    <m/>
  </r>
  <r>
    <x v="0"/>
    <x v="2"/>
    <s v="2014_Junee"/>
    <n v="6"/>
    <n v="2"/>
    <n v="35"/>
    <n v="3"/>
    <x v="8"/>
    <x v="29"/>
    <s v="GR100"/>
    <n v="890"/>
    <n v="306"/>
    <m/>
    <n v="500"/>
    <n v="84"/>
    <m/>
    <m/>
    <m/>
    <m/>
    <m/>
  </r>
  <r>
    <x v="0"/>
    <x v="2"/>
    <s v="2014_Junee"/>
    <n v="6"/>
    <n v="1"/>
    <n v="36"/>
    <n v="3"/>
    <x v="9"/>
    <x v="29"/>
    <s v="GR100"/>
    <n v="904"/>
    <n v="306"/>
    <m/>
    <n v="521"/>
    <n v="77"/>
    <m/>
    <m/>
    <m/>
    <m/>
    <m/>
  </r>
  <r>
    <x v="0"/>
    <x v="2"/>
    <s v="2014_Junee"/>
    <n v="7"/>
    <n v="1"/>
    <n v="37"/>
    <n v="4"/>
    <x v="2"/>
    <x v="29"/>
    <s v="GR100"/>
    <n v="848"/>
    <n v="291"/>
    <m/>
    <n v="471"/>
    <n v="85"/>
    <m/>
    <m/>
    <m/>
    <m/>
    <m/>
  </r>
  <r>
    <x v="0"/>
    <x v="2"/>
    <s v="2014_Junee"/>
    <n v="7"/>
    <n v="2"/>
    <n v="38"/>
    <n v="4"/>
    <x v="4"/>
    <x v="29"/>
    <s v="GR100"/>
    <n v="821"/>
    <n v="298"/>
    <m/>
    <n v="431"/>
    <n v="92"/>
    <m/>
    <m/>
    <m/>
    <m/>
    <m/>
  </r>
  <r>
    <x v="0"/>
    <x v="2"/>
    <s v="2014_Junee"/>
    <n v="7"/>
    <n v="3"/>
    <n v="39"/>
    <n v="4"/>
    <x v="6"/>
    <x v="29"/>
    <s v="GR100"/>
    <n v="1017"/>
    <n v="294"/>
    <m/>
    <n v="651"/>
    <n v="71"/>
    <m/>
    <m/>
    <m/>
    <m/>
    <m/>
  </r>
  <r>
    <x v="0"/>
    <x v="2"/>
    <s v="2014_Junee"/>
    <n v="7"/>
    <n v="4"/>
    <n v="40"/>
    <n v="4"/>
    <x v="7"/>
    <x v="29"/>
    <s v="GR100"/>
    <n v="736"/>
    <n v="263"/>
    <m/>
    <n v="413"/>
    <n v="61"/>
    <m/>
    <m/>
    <m/>
    <m/>
    <m/>
  </r>
  <r>
    <x v="0"/>
    <x v="2"/>
    <s v="2014_Junee"/>
    <n v="7"/>
    <n v="5"/>
    <n v="41"/>
    <n v="4"/>
    <x v="9"/>
    <x v="29"/>
    <s v="GR100"/>
    <n v="925"/>
    <n v="352"/>
    <m/>
    <n v="533"/>
    <n v="40"/>
    <m/>
    <m/>
    <m/>
    <m/>
    <m/>
  </r>
  <r>
    <x v="0"/>
    <x v="2"/>
    <s v="2014_Junee"/>
    <n v="7"/>
    <n v="6"/>
    <n v="42"/>
    <n v="4"/>
    <x v="10"/>
    <x v="29"/>
    <s v="GR100"/>
    <n v="917"/>
    <n v="295"/>
    <m/>
    <n v="599"/>
    <n v="23"/>
    <m/>
    <m/>
    <m/>
    <m/>
    <m/>
  </r>
  <r>
    <x v="0"/>
    <x v="2"/>
    <s v="2014_Junee"/>
    <n v="8"/>
    <n v="6"/>
    <n v="43"/>
    <n v="4"/>
    <x v="0"/>
    <x v="29"/>
    <s v="GR100"/>
    <n v="952"/>
    <n v="277"/>
    <m/>
    <n v="618"/>
    <n v="57"/>
    <m/>
    <m/>
    <m/>
    <m/>
    <m/>
  </r>
  <r>
    <x v="0"/>
    <x v="2"/>
    <s v="2014_Junee"/>
    <n v="8"/>
    <n v="5"/>
    <n v="44"/>
    <n v="4"/>
    <x v="11"/>
    <x v="29"/>
    <s v="GR100"/>
    <n v="916"/>
    <n v="284"/>
    <m/>
    <n v="571"/>
    <n v="61"/>
    <m/>
    <m/>
    <m/>
    <m/>
    <m/>
  </r>
  <r>
    <x v="0"/>
    <x v="2"/>
    <s v="2014_Junee"/>
    <n v="8"/>
    <n v="4"/>
    <n v="45"/>
    <n v="4"/>
    <x v="5"/>
    <x v="29"/>
    <s v="GR100"/>
    <n v="678"/>
    <n v="224"/>
    <m/>
    <n v="409"/>
    <n v="44"/>
    <m/>
    <m/>
    <m/>
    <m/>
    <m/>
  </r>
  <r>
    <x v="0"/>
    <x v="2"/>
    <s v="2014_Junee"/>
    <n v="8"/>
    <n v="3"/>
    <n v="46"/>
    <n v="4"/>
    <x v="8"/>
    <x v="29"/>
    <s v="GR100"/>
    <n v="812"/>
    <n v="280"/>
    <m/>
    <n v="472"/>
    <n v="60"/>
    <m/>
    <m/>
    <m/>
    <m/>
    <m/>
  </r>
  <r>
    <x v="0"/>
    <x v="2"/>
    <s v="2014_Junee"/>
    <n v="8"/>
    <n v="2"/>
    <n v="47"/>
    <n v="4"/>
    <x v="1"/>
    <x v="29"/>
    <s v="GR100"/>
    <n v="821"/>
    <n v="278"/>
    <m/>
    <n v="496"/>
    <n v="47"/>
    <m/>
    <m/>
    <m/>
    <m/>
    <m/>
  </r>
  <r>
    <x v="0"/>
    <x v="2"/>
    <s v="2014_Junee"/>
    <n v="8"/>
    <n v="1"/>
    <n v="48"/>
    <n v="4"/>
    <x v="3"/>
    <x v="29"/>
    <s v="GR100"/>
    <n v="884"/>
    <n v="265"/>
    <m/>
    <n v="565"/>
    <n v="53"/>
    <m/>
    <m/>
    <m/>
    <m/>
    <m/>
  </r>
  <r>
    <x v="0"/>
    <x v="3"/>
    <s v="2014_Gatton_Irrigated"/>
    <n v="1"/>
    <n v="1"/>
    <n v="1"/>
    <n v="1"/>
    <x v="8"/>
    <x v="23"/>
    <s v="N0"/>
    <n v="158"/>
    <n v="59"/>
    <n v="100"/>
    <m/>
    <n v="0"/>
    <n v="-25.35"/>
    <n v="43.7"/>
    <n v="25.4"/>
    <n v="6.9046000000000003"/>
    <n v="4.0131999999999994"/>
  </r>
  <r>
    <x v="0"/>
    <x v="3"/>
    <s v="2014_Gatton_Irrigated"/>
    <n v="1"/>
    <n v="2"/>
    <n v="2"/>
    <n v="1"/>
    <x v="9"/>
    <x v="23"/>
    <s v="N0"/>
    <n v="192"/>
    <n v="72"/>
    <n v="119"/>
    <m/>
    <n v="0"/>
    <n v="-25.42"/>
    <n v="38.5"/>
    <n v="40.299999999999997"/>
    <n v="7.3920000000000003"/>
    <n v="7.7375999999999996"/>
  </r>
  <r>
    <x v="0"/>
    <x v="3"/>
    <s v="2014_Gatton_Irrigated"/>
    <n v="1"/>
    <n v="3"/>
    <n v="3"/>
    <n v="1"/>
    <x v="11"/>
    <x v="23"/>
    <s v="N0"/>
    <n v="111"/>
    <n v="39"/>
    <n v="72"/>
    <m/>
    <n v="0"/>
    <n v="-25.57"/>
    <n v="44.7"/>
    <n v="38.799999999999997"/>
    <n v="4.9617000000000004"/>
    <n v="4.3067999999999991"/>
  </r>
  <r>
    <x v="0"/>
    <x v="3"/>
    <s v="2014_Gatton_Irrigated"/>
    <n v="1"/>
    <n v="4"/>
    <n v="4"/>
    <n v="1"/>
    <x v="6"/>
    <x v="23"/>
    <s v="N0"/>
    <n v="146"/>
    <n v="56"/>
    <n v="90"/>
    <m/>
    <n v="0"/>
    <m/>
    <m/>
    <m/>
    <m/>
    <m/>
  </r>
  <r>
    <x v="0"/>
    <x v="3"/>
    <s v="2014_Gatton_Irrigated"/>
    <n v="1"/>
    <n v="5"/>
    <n v="5"/>
    <n v="1"/>
    <x v="4"/>
    <x v="23"/>
    <s v="N0"/>
    <n v="121"/>
    <n v="44"/>
    <n v="77"/>
    <m/>
    <n v="0"/>
    <n v="-25.43"/>
    <n v="43"/>
    <n v="35.6"/>
    <n v="5.2030000000000003"/>
    <n v="4.3076000000000008"/>
  </r>
  <r>
    <x v="0"/>
    <x v="3"/>
    <s v="2014_Gatton_Irrigated"/>
    <n v="1"/>
    <n v="6"/>
    <n v="6"/>
    <n v="1"/>
    <x v="7"/>
    <x v="23"/>
    <s v="N0"/>
    <n v="155"/>
    <n v="58"/>
    <n v="97"/>
    <m/>
    <n v="0"/>
    <m/>
    <m/>
    <m/>
    <m/>
    <m/>
  </r>
  <r>
    <x v="0"/>
    <x v="3"/>
    <s v="2014_Gatton_Irrigated"/>
    <n v="2"/>
    <n v="6"/>
    <n v="7"/>
    <n v="1"/>
    <x v="2"/>
    <x v="23"/>
    <s v="N0"/>
    <n v="177"/>
    <n v="59"/>
    <n v="118"/>
    <m/>
    <n v="0"/>
    <n v="-25.07"/>
    <n v="39.1"/>
    <n v="50"/>
    <n v="6.9207000000000001"/>
    <n v="8.85"/>
  </r>
  <r>
    <x v="0"/>
    <x v="3"/>
    <s v="2014_Gatton_Irrigated"/>
    <n v="2"/>
    <n v="5"/>
    <n v="8"/>
    <n v="1"/>
    <x v="5"/>
    <x v="23"/>
    <s v="N0"/>
    <n v="149"/>
    <n v="60"/>
    <n v="89"/>
    <m/>
    <n v="0"/>
    <n v="-25.57"/>
    <n v="39.799999999999997"/>
    <n v="27.4"/>
    <n v="5.9302000000000001"/>
    <n v="4.0826000000000002"/>
  </r>
  <r>
    <x v="0"/>
    <x v="3"/>
    <s v="2014_Gatton_Irrigated"/>
    <n v="2"/>
    <n v="4"/>
    <n v="9"/>
    <n v="1"/>
    <x v="3"/>
    <x v="23"/>
    <s v="N0"/>
    <n v="151"/>
    <n v="49"/>
    <n v="102"/>
    <m/>
    <n v="0"/>
    <n v="-25.36"/>
    <n v="45.2"/>
    <n v="13.2"/>
    <n v="6.8252000000000006"/>
    <n v="1.9931999999999999"/>
  </r>
  <r>
    <x v="0"/>
    <x v="3"/>
    <s v="2014_Gatton_Irrigated"/>
    <n v="2"/>
    <n v="3"/>
    <n v="10"/>
    <n v="1"/>
    <x v="1"/>
    <x v="23"/>
    <s v="N0"/>
    <n v="113"/>
    <n v="38"/>
    <n v="75"/>
    <m/>
    <n v="0"/>
    <m/>
    <m/>
    <m/>
    <m/>
    <m/>
  </r>
  <r>
    <x v="0"/>
    <x v="3"/>
    <s v="2014_Gatton_Irrigated"/>
    <n v="2"/>
    <n v="2"/>
    <n v="11"/>
    <n v="1"/>
    <x v="10"/>
    <x v="23"/>
    <s v="N0"/>
    <n v="188"/>
    <n v="65"/>
    <n v="123"/>
    <m/>
    <n v="0"/>
    <n v="-25.68"/>
    <n v="49.7"/>
    <n v="19.100000000000001"/>
    <n v="9.3436000000000003"/>
    <n v="3.5908000000000002"/>
  </r>
  <r>
    <x v="0"/>
    <x v="3"/>
    <s v="2014_Gatton_Irrigated"/>
    <n v="2"/>
    <n v="1"/>
    <n v="12"/>
    <n v="1"/>
    <x v="0"/>
    <x v="23"/>
    <s v="N0"/>
    <n v="175"/>
    <n v="56"/>
    <n v="119"/>
    <m/>
    <n v="0"/>
    <n v="-25.69"/>
    <n v="47.7"/>
    <n v="12.3"/>
    <n v="8.3475000000000001"/>
    <n v="2.1524999999999999"/>
  </r>
  <r>
    <x v="0"/>
    <x v="3"/>
    <s v="2014_Gatton_Irrigated"/>
    <n v="3"/>
    <n v="1"/>
    <n v="1"/>
    <n v="2"/>
    <x v="2"/>
    <x v="23"/>
    <s v="N0"/>
    <n v="155"/>
    <n v="58"/>
    <n v="97"/>
    <m/>
    <n v="0"/>
    <n v="-25.59"/>
    <n v="45.3"/>
    <n v="17.399999999999999"/>
    <n v="7.0214999999999996"/>
    <n v="2.6970000000000001"/>
  </r>
  <r>
    <x v="0"/>
    <x v="3"/>
    <s v="2014_Gatton_Irrigated"/>
    <n v="3"/>
    <n v="2"/>
    <n v="2"/>
    <n v="2"/>
    <x v="3"/>
    <x v="23"/>
    <s v="N0"/>
    <n v="143"/>
    <n v="48"/>
    <n v="95"/>
    <m/>
    <n v="0"/>
    <n v="-25.49"/>
    <n v="47"/>
    <n v="16.100000000000001"/>
    <n v="6.7210000000000001"/>
    <n v="2.3023000000000002"/>
  </r>
  <r>
    <x v="0"/>
    <x v="3"/>
    <s v="2014_Gatton_Irrigated"/>
    <n v="3"/>
    <n v="3"/>
    <n v="3"/>
    <n v="2"/>
    <x v="10"/>
    <x v="23"/>
    <s v="N0"/>
    <n v="139"/>
    <n v="46"/>
    <n v="93"/>
    <m/>
    <n v="0"/>
    <n v="-25.58"/>
    <n v="49.1"/>
    <n v="33.1"/>
    <n v="6.8249000000000004"/>
    <n v="4.6009000000000002"/>
  </r>
  <r>
    <x v="0"/>
    <x v="3"/>
    <s v="2014_Gatton_Irrigated"/>
    <n v="3"/>
    <n v="4"/>
    <n v="4"/>
    <n v="2"/>
    <x v="5"/>
    <x v="23"/>
    <s v="N0"/>
    <n v="121"/>
    <n v="47"/>
    <n v="74"/>
    <m/>
    <n v="0"/>
    <n v="-25.75"/>
    <n v="40"/>
    <n v="24.9"/>
    <n v="4.84"/>
    <n v="3.0128999999999997"/>
  </r>
  <r>
    <x v="0"/>
    <x v="3"/>
    <s v="2014_Gatton_Irrigated"/>
    <n v="3"/>
    <n v="5"/>
    <n v="5"/>
    <n v="2"/>
    <x v="1"/>
    <x v="23"/>
    <s v="N0"/>
    <n v="100"/>
    <n v="34"/>
    <n v="66"/>
    <m/>
    <n v="0"/>
    <n v="-25.28"/>
    <n v="45.1"/>
    <n v="19.399999999999999"/>
    <n v="4.51"/>
    <n v="1.9399999999999997"/>
  </r>
  <r>
    <x v="0"/>
    <x v="3"/>
    <s v="2014_Gatton_Irrigated"/>
    <n v="3"/>
    <n v="6"/>
    <n v="6"/>
    <n v="2"/>
    <x v="0"/>
    <x v="23"/>
    <s v="N0"/>
    <n v="153"/>
    <n v="47"/>
    <n v="106"/>
    <m/>
    <n v="0"/>
    <n v="-25.68"/>
    <n v="46.7"/>
    <n v="16.7"/>
    <n v="7.1451000000000002"/>
    <n v="2.5550999999999999"/>
  </r>
  <r>
    <x v="0"/>
    <x v="3"/>
    <s v="2014_Gatton_Irrigated"/>
    <n v="4"/>
    <n v="6"/>
    <n v="7"/>
    <n v="2"/>
    <x v="6"/>
    <x v="23"/>
    <s v="N0"/>
    <n v="154"/>
    <n v="53"/>
    <n v="100"/>
    <m/>
    <n v="0"/>
    <n v="-25.47"/>
    <n v="46.4"/>
    <n v="23.7"/>
    <n v="7.1455999999999991"/>
    <n v="3.6497999999999999"/>
  </r>
  <r>
    <x v="0"/>
    <x v="3"/>
    <s v="2014_Gatton_Irrigated"/>
    <n v="4"/>
    <n v="5"/>
    <n v="8"/>
    <n v="2"/>
    <x v="9"/>
    <x v="23"/>
    <s v="N0"/>
    <n v="126"/>
    <n v="44"/>
    <n v="82"/>
    <m/>
    <n v="0"/>
    <n v="-25.79"/>
    <n v="46"/>
    <n v="15.8"/>
    <n v="5.7960000000000003"/>
    <n v="1.9908000000000001"/>
  </r>
  <r>
    <x v="0"/>
    <x v="3"/>
    <s v="2014_Gatton_Irrigated"/>
    <n v="4"/>
    <n v="4"/>
    <n v="9"/>
    <n v="2"/>
    <x v="7"/>
    <x v="23"/>
    <s v="N0"/>
    <n v="114"/>
    <n v="45"/>
    <n v="70"/>
    <m/>
    <n v="0"/>
    <n v="-25.57"/>
    <n v="41"/>
    <n v="26.8"/>
    <n v="4.6740000000000004"/>
    <n v="3.0552000000000001"/>
  </r>
  <r>
    <x v="0"/>
    <x v="3"/>
    <s v="2014_Gatton_Irrigated"/>
    <n v="4"/>
    <n v="3"/>
    <n v="10"/>
    <n v="2"/>
    <x v="8"/>
    <x v="23"/>
    <s v="N0"/>
    <n v="142"/>
    <n v="26"/>
    <n v="115"/>
    <m/>
    <n v="0"/>
    <n v="-25.07"/>
    <n v="38.700000000000003"/>
    <n v="48.9"/>
    <n v="5.495400000000001"/>
    <n v="6.9438000000000004"/>
  </r>
  <r>
    <x v="0"/>
    <x v="3"/>
    <s v="2014_Gatton_Irrigated"/>
    <n v="4"/>
    <n v="2"/>
    <n v="11"/>
    <n v="2"/>
    <x v="4"/>
    <x v="23"/>
    <s v="N0"/>
    <n v="101"/>
    <n v="19"/>
    <n v="82"/>
    <m/>
    <n v="0"/>
    <n v="-25.5"/>
    <n v="43.2"/>
    <n v="40.4"/>
    <n v="4.3632000000000009"/>
    <n v="4.0804"/>
  </r>
  <r>
    <x v="0"/>
    <x v="3"/>
    <s v="2014_Gatton_Irrigated"/>
    <n v="4"/>
    <n v="1"/>
    <n v="12"/>
    <n v="2"/>
    <x v="11"/>
    <x v="23"/>
    <s v="N0"/>
    <n v="100"/>
    <n v="34"/>
    <n v="66"/>
    <m/>
    <n v="0"/>
    <m/>
    <m/>
    <m/>
    <m/>
    <m/>
  </r>
  <r>
    <x v="0"/>
    <x v="3"/>
    <s v="2014_Gatton_Irrigated"/>
    <n v="5"/>
    <n v="1"/>
    <n v="1"/>
    <n v="3"/>
    <x v="3"/>
    <x v="23"/>
    <s v="N0"/>
    <n v="157"/>
    <n v="56"/>
    <n v="101"/>
    <m/>
    <n v="0"/>
    <n v="-25.68"/>
    <n v="38.4"/>
    <n v="47.8"/>
    <n v="6.0288000000000004"/>
    <n v="7.504599999999999"/>
  </r>
  <r>
    <x v="0"/>
    <x v="3"/>
    <s v="2014_Gatton_Irrigated"/>
    <n v="5"/>
    <n v="2"/>
    <n v="2"/>
    <n v="3"/>
    <x v="8"/>
    <x v="23"/>
    <s v="N0"/>
    <n v="172"/>
    <n v="59"/>
    <n v="113"/>
    <m/>
    <n v="0"/>
    <n v="-25.35"/>
    <n v="43.1"/>
    <n v="33"/>
    <n v="7.4131999999999998"/>
    <n v="5.6760000000000002"/>
  </r>
  <r>
    <x v="0"/>
    <x v="3"/>
    <s v="2014_Gatton_Irrigated"/>
    <n v="5"/>
    <n v="3"/>
    <n v="3"/>
    <n v="3"/>
    <x v="5"/>
    <x v="23"/>
    <s v="N0"/>
    <n v="150"/>
    <n v="60"/>
    <n v="90"/>
    <m/>
    <n v="0"/>
    <n v="-26"/>
    <n v="47"/>
    <n v="23.7"/>
    <n v="7.05"/>
    <n v="3.5550000000000002"/>
  </r>
  <r>
    <x v="0"/>
    <x v="3"/>
    <s v="2014_Gatton_Irrigated"/>
    <n v="5"/>
    <n v="4"/>
    <n v="4"/>
    <n v="3"/>
    <x v="9"/>
    <x v="23"/>
    <s v="N0"/>
    <n v="159"/>
    <n v="59"/>
    <n v="100"/>
    <m/>
    <n v="0"/>
    <n v="-25.55"/>
    <n v="40.9"/>
    <n v="60.7"/>
    <n v="6.5030999999999999"/>
    <n v="9.6513000000000009"/>
  </r>
  <r>
    <x v="0"/>
    <x v="3"/>
    <s v="2014_Gatton_Irrigated"/>
    <n v="5"/>
    <n v="5"/>
    <n v="5"/>
    <n v="3"/>
    <x v="0"/>
    <x v="23"/>
    <s v="N0"/>
    <n v="169"/>
    <n v="54"/>
    <n v="115"/>
    <m/>
    <n v="0"/>
    <n v="-25.61"/>
    <n v="43.1"/>
    <n v="24.7"/>
    <n v="7.2839000000000009"/>
    <n v="4.1743000000000006"/>
  </r>
  <r>
    <x v="0"/>
    <x v="3"/>
    <s v="2014_Gatton_Irrigated"/>
    <n v="5"/>
    <n v="6"/>
    <n v="6"/>
    <n v="3"/>
    <x v="11"/>
    <x v="23"/>
    <s v="N0"/>
    <n v="120"/>
    <n v="43"/>
    <n v="77"/>
    <m/>
    <n v="0"/>
    <n v="-25.84"/>
    <n v="43.3"/>
    <n v="36.1"/>
    <n v="5.1959999999999997"/>
    <n v="4.3319999999999999"/>
  </r>
  <r>
    <x v="0"/>
    <x v="3"/>
    <s v="2014_Gatton_Irrigated"/>
    <n v="6"/>
    <n v="6"/>
    <n v="7"/>
    <n v="3"/>
    <x v="10"/>
    <x v="23"/>
    <s v="N0"/>
    <n v="128"/>
    <n v="41"/>
    <n v="87"/>
    <m/>
    <n v="0"/>
    <n v="-25.83"/>
    <n v="44.4"/>
    <n v="15.9"/>
    <n v="5.6832000000000003"/>
    <n v="2.0352000000000001"/>
  </r>
  <r>
    <x v="0"/>
    <x v="3"/>
    <s v="2014_Gatton_Irrigated"/>
    <n v="6"/>
    <n v="5"/>
    <n v="8"/>
    <n v="3"/>
    <x v="4"/>
    <x v="23"/>
    <s v="N0"/>
    <n v="138"/>
    <n v="50"/>
    <n v="88"/>
    <m/>
    <n v="0"/>
    <n v="-25.79"/>
    <n v="46.9"/>
    <n v="11.5"/>
    <n v="6.4722"/>
    <n v="1.587"/>
  </r>
  <r>
    <x v="0"/>
    <x v="3"/>
    <s v="2014_Gatton_Irrigated"/>
    <n v="6"/>
    <n v="4"/>
    <n v="9"/>
    <n v="3"/>
    <x v="2"/>
    <x v="23"/>
    <s v="N0"/>
    <n v="160"/>
    <n v="58"/>
    <n v="102"/>
    <m/>
    <n v="0"/>
    <n v="-25.23"/>
    <n v="42.9"/>
    <n v="37.1"/>
    <n v="6.8639999999999999"/>
    <n v="5.9359999999999999"/>
  </r>
  <r>
    <x v="0"/>
    <x v="3"/>
    <s v="2014_Gatton_Irrigated"/>
    <n v="6"/>
    <n v="3"/>
    <n v="10"/>
    <n v="3"/>
    <x v="6"/>
    <x v="23"/>
    <s v="N0"/>
    <n v="157"/>
    <n v="55"/>
    <n v="102"/>
    <m/>
    <n v="0"/>
    <n v="-25.9"/>
    <n v="44.9"/>
    <n v="32.799999999999997"/>
    <n v="7.0493000000000006"/>
    <n v="5.1495999999999995"/>
  </r>
  <r>
    <x v="0"/>
    <x v="3"/>
    <s v="2014_Gatton_Irrigated"/>
    <n v="6"/>
    <n v="2"/>
    <n v="11"/>
    <n v="3"/>
    <x v="1"/>
    <x v="23"/>
    <s v="N0"/>
    <n v="127"/>
    <n v="42"/>
    <n v="85"/>
    <m/>
    <n v="0"/>
    <n v="-25.83"/>
    <n v="45.4"/>
    <n v="17.600000000000001"/>
    <n v="5.7658000000000005"/>
    <n v="2.2352000000000003"/>
  </r>
  <r>
    <x v="0"/>
    <x v="3"/>
    <s v="2014_Gatton_Irrigated"/>
    <n v="6"/>
    <n v="1"/>
    <n v="12"/>
    <n v="3"/>
    <x v="7"/>
    <x v="23"/>
    <s v="N0"/>
    <n v="134"/>
    <n v="53"/>
    <n v="81"/>
    <m/>
    <n v="0"/>
    <n v="-25.99"/>
    <n v="40.9"/>
    <n v="13.1"/>
    <n v="5.480599999999999"/>
    <n v="1.7553999999999998"/>
  </r>
  <r>
    <x v="0"/>
    <x v="3"/>
    <s v="2014_Gatton_Irrigated"/>
    <n v="7"/>
    <n v="1"/>
    <n v="1"/>
    <n v="4"/>
    <x v="10"/>
    <x v="23"/>
    <s v="N0"/>
    <n v="185"/>
    <n v="59"/>
    <n v="125"/>
    <m/>
    <n v="0"/>
    <n v="-25.99"/>
    <n v="46.5"/>
    <n v="35.700000000000003"/>
    <n v="8.6024999999999991"/>
    <n v="6.6045000000000007"/>
  </r>
  <r>
    <x v="0"/>
    <x v="3"/>
    <s v="2014_Gatton_Irrigated"/>
    <n v="7"/>
    <n v="2"/>
    <n v="2"/>
    <n v="4"/>
    <x v="6"/>
    <x v="23"/>
    <s v="N0"/>
    <n v="168"/>
    <n v="58"/>
    <n v="110"/>
    <m/>
    <n v="0"/>
    <n v="-25.32"/>
    <n v="39.5"/>
    <n v="30.8"/>
    <n v="6.6360000000000001"/>
    <n v="5.1744000000000003"/>
  </r>
  <r>
    <x v="0"/>
    <x v="3"/>
    <s v="2014_Gatton_Irrigated"/>
    <n v="7"/>
    <n v="3"/>
    <n v="3"/>
    <n v="4"/>
    <x v="7"/>
    <x v="23"/>
    <s v="N0"/>
    <n v="122"/>
    <n v="46"/>
    <n v="76"/>
    <m/>
    <n v="0"/>
    <n v="-25.89"/>
    <n v="43.7"/>
    <n v="36.9"/>
    <n v="5.3314000000000004"/>
    <n v="4.5018000000000002"/>
  </r>
  <r>
    <x v="0"/>
    <x v="3"/>
    <s v="2014_Gatton_Irrigated"/>
    <n v="7"/>
    <n v="4"/>
    <n v="4"/>
    <n v="4"/>
    <x v="1"/>
    <x v="23"/>
    <s v="N0"/>
    <n v="110"/>
    <n v="37"/>
    <n v="74"/>
    <m/>
    <n v="0"/>
    <n v="-25.65"/>
    <n v="44.1"/>
    <n v="31.4"/>
    <n v="4.851"/>
    <n v="3.4540000000000002"/>
  </r>
  <r>
    <x v="0"/>
    <x v="3"/>
    <s v="2014_Gatton_Irrigated"/>
    <n v="7"/>
    <n v="5"/>
    <n v="5"/>
    <n v="4"/>
    <x v="2"/>
    <x v="23"/>
    <s v="N0"/>
    <n v="167"/>
    <n v="59"/>
    <n v="108"/>
    <m/>
    <n v="0"/>
    <n v="-25.83"/>
    <n v="41.6"/>
    <n v="16.600000000000001"/>
    <n v="6.9471999999999996"/>
    <n v="2.7722000000000002"/>
  </r>
  <r>
    <x v="0"/>
    <x v="3"/>
    <s v="2014_Gatton_Irrigated"/>
    <n v="7"/>
    <n v="6"/>
    <n v="6"/>
    <n v="4"/>
    <x v="8"/>
    <x v="23"/>
    <s v="N0"/>
    <n v="156"/>
    <n v="56"/>
    <n v="99"/>
    <m/>
    <n v="0"/>
    <n v="-25.69"/>
    <n v="39.9"/>
    <n v="29.4"/>
    <n v="6.2243999999999993"/>
    <n v="4.5863999999999994"/>
  </r>
  <r>
    <x v="0"/>
    <x v="3"/>
    <s v="2014_Gatton_Irrigated"/>
    <n v="8"/>
    <n v="6"/>
    <n v="7"/>
    <n v="4"/>
    <x v="9"/>
    <x v="23"/>
    <s v="N0"/>
    <n v="151"/>
    <n v="56"/>
    <n v="95"/>
    <m/>
    <n v="0"/>
    <n v="-25.44"/>
    <n v="37.6"/>
    <n v="51.2"/>
    <n v="5.6776"/>
    <n v="7.7312000000000003"/>
  </r>
  <r>
    <x v="0"/>
    <x v="3"/>
    <s v="2014_Gatton_Irrigated"/>
    <n v="8"/>
    <n v="5"/>
    <n v="8"/>
    <n v="4"/>
    <x v="3"/>
    <x v="23"/>
    <s v="N0"/>
    <n v="159"/>
    <n v="52"/>
    <n v="107"/>
    <m/>
    <n v="0"/>
    <n v="-25.87"/>
    <n v="42.9"/>
    <n v="8.1999999999999993"/>
    <n v="6.8210999999999995"/>
    <n v="1.3037999999999998"/>
  </r>
  <r>
    <x v="0"/>
    <x v="3"/>
    <s v="2014_Gatton_Irrigated"/>
    <n v="8"/>
    <n v="4"/>
    <n v="9"/>
    <n v="4"/>
    <x v="4"/>
    <x v="23"/>
    <s v="N0"/>
    <n v="147"/>
    <n v="55"/>
    <n v="92"/>
    <m/>
    <n v="0"/>
    <n v="-25.82"/>
    <n v="39.9"/>
    <n v="11.5"/>
    <n v="5.8653000000000004"/>
    <n v="1.6904999999999999"/>
  </r>
  <r>
    <x v="0"/>
    <x v="3"/>
    <s v="2014_Gatton_Irrigated"/>
    <n v="8"/>
    <n v="3"/>
    <n v="10"/>
    <n v="4"/>
    <x v="0"/>
    <x v="23"/>
    <s v="N0"/>
    <n v="177"/>
    <n v="53"/>
    <n v="124"/>
    <m/>
    <n v="0"/>
    <n v="-25.87"/>
    <n v="36.5"/>
    <n v="28.2"/>
    <n v="6.4604999999999997"/>
    <n v="4.9913999999999996"/>
  </r>
  <r>
    <x v="0"/>
    <x v="3"/>
    <s v="2014_Gatton_Irrigated"/>
    <n v="8"/>
    <n v="2"/>
    <n v="11"/>
    <n v="4"/>
    <x v="5"/>
    <x v="23"/>
    <s v="N0"/>
    <n v="136"/>
    <n v="55"/>
    <n v="81"/>
    <m/>
    <n v="0"/>
    <n v="-26.14"/>
    <n v="45"/>
    <n v="20.9"/>
    <n v="6.12"/>
    <n v="2.8423999999999996"/>
  </r>
  <r>
    <x v="0"/>
    <x v="3"/>
    <s v="2014_Gatton_Irrigated"/>
    <n v="8"/>
    <n v="1"/>
    <n v="12"/>
    <n v="4"/>
    <x v="11"/>
    <x v="23"/>
    <s v="N0"/>
    <n v="111"/>
    <n v="38"/>
    <n v="73"/>
    <m/>
    <n v="0"/>
    <n v="-26.05"/>
    <n v="48.2"/>
    <n v="11.6"/>
    <n v="5.350200000000001"/>
    <n v="1.2875999999999999"/>
  </r>
  <r>
    <x v="0"/>
    <x v="3"/>
    <s v="2014_Gatton_Irrigated"/>
    <n v="1"/>
    <n v="1"/>
    <n v="1"/>
    <n v="1"/>
    <x v="8"/>
    <x v="30"/>
    <s v="N2"/>
    <n v="488"/>
    <n v="196"/>
    <n v="251"/>
    <m/>
    <n v="40"/>
    <m/>
    <m/>
    <m/>
    <m/>
    <m/>
  </r>
  <r>
    <x v="0"/>
    <x v="3"/>
    <s v="2014_Gatton_Irrigated"/>
    <n v="1"/>
    <n v="2"/>
    <n v="2"/>
    <n v="1"/>
    <x v="9"/>
    <x v="30"/>
    <s v="N2"/>
    <n v="550"/>
    <n v="211"/>
    <n v="329"/>
    <m/>
    <n v="10"/>
    <m/>
    <m/>
    <m/>
    <m/>
    <m/>
  </r>
  <r>
    <x v="0"/>
    <x v="3"/>
    <s v="2014_Gatton_Irrigated"/>
    <n v="1"/>
    <n v="3"/>
    <n v="3"/>
    <n v="1"/>
    <x v="11"/>
    <x v="30"/>
    <s v="N2"/>
    <n v="329"/>
    <n v="114"/>
    <n v="212"/>
    <m/>
    <n v="4"/>
    <m/>
    <m/>
    <m/>
    <m/>
    <m/>
  </r>
  <r>
    <x v="0"/>
    <x v="3"/>
    <s v="2014_Gatton_Irrigated"/>
    <n v="1"/>
    <n v="4"/>
    <n v="4"/>
    <n v="1"/>
    <x v="6"/>
    <x v="30"/>
    <s v="N2"/>
    <n v="619"/>
    <n v="235"/>
    <n v="343"/>
    <m/>
    <n v="40"/>
    <m/>
    <m/>
    <m/>
    <m/>
    <m/>
  </r>
  <r>
    <x v="0"/>
    <x v="3"/>
    <s v="2014_Gatton_Irrigated"/>
    <n v="1"/>
    <n v="5"/>
    <n v="5"/>
    <n v="1"/>
    <x v="4"/>
    <x v="30"/>
    <s v="N2"/>
    <n v="389"/>
    <n v="140"/>
    <n v="244"/>
    <m/>
    <n v="5"/>
    <m/>
    <m/>
    <m/>
    <m/>
    <m/>
  </r>
  <r>
    <x v="0"/>
    <x v="3"/>
    <s v="2014_Gatton_Irrigated"/>
    <n v="1"/>
    <n v="6"/>
    <n v="6"/>
    <n v="1"/>
    <x v="7"/>
    <x v="31"/>
    <s v="N2"/>
    <n v="225"/>
    <n v="74"/>
    <n v="151"/>
    <m/>
    <n v="0"/>
    <m/>
    <m/>
    <m/>
    <m/>
    <m/>
  </r>
  <r>
    <x v="0"/>
    <x v="3"/>
    <s v="2014_Gatton_Irrigated"/>
    <n v="2"/>
    <n v="6"/>
    <n v="7"/>
    <n v="1"/>
    <x v="2"/>
    <x v="30"/>
    <s v="N2"/>
    <n v="546"/>
    <n v="226"/>
    <n v="277"/>
    <m/>
    <n v="43"/>
    <m/>
    <m/>
    <m/>
    <m/>
    <m/>
  </r>
  <r>
    <x v="0"/>
    <x v="3"/>
    <s v="2014_Gatton_Irrigated"/>
    <n v="2"/>
    <n v="5"/>
    <n v="8"/>
    <n v="1"/>
    <x v="5"/>
    <x v="31"/>
    <s v="N2"/>
    <n v="312"/>
    <n v="125"/>
    <n v="181"/>
    <m/>
    <n v="6"/>
    <m/>
    <m/>
    <m/>
    <m/>
    <m/>
  </r>
  <r>
    <x v="0"/>
    <x v="3"/>
    <s v="2014_Gatton_Irrigated"/>
    <n v="2"/>
    <n v="4"/>
    <n v="9"/>
    <n v="1"/>
    <x v="3"/>
    <x v="30"/>
    <s v="N2"/>
    <n v="512"/>
    <n v="176"/>
    <n v="256"/>
    <m/>
    <n v="79"/>
    <m/>
    <m/>
    <m/>
    <m/>
    <m/>
  </r>
  <r>
    <x v="0"/>
    <x v="3"/>
    <s v="2014_Gatton_Irrigated"/>
    <n v="2"/>
    <n v="3"/>
    <n v="10"/>
    <n v="1"/>
    <x v="1"/>
    <x v="32"/>
    <s v="N2"/>
    <n v="677"/>
    <n v="269"/>
    <n v="334"/>
    <m/>
    <n v="74"/>
    <m/>
    <m/>
    <m/>
    <m/>
    <m/>
  </r>
  <r>
    <x v="0"/>
    <x v="3"/>
    <s v="2014_Gatton_Irrigated"/>
    <n v="2"/>
    <n v="2"/>
    <n v="11"/>
    <n v="1"/>
    <x v="10"/>
    <x v="30"/>
    <s v="N2"/>
    <n v="434"/>
    <n v="157"/>
    <n v="239"/>
    <m/>
    <n v="38"/>
    <m/>
    <m/>
    <m/>
    <m/>
    <m/>
  </r>
  <r>
    <x v="0"/>
    <x v="3"/>
    <s v="2014_Gatton_Irrigated"/>
    <n v="2"/>
    <n v="1"/>
    <n v="12"/>
    <n v="1"/>
    <x v="0"/>
    <x v="32"/>
    <s v="N2"/>
    <n v="617"/>
    <n v="219"/>
    <n v="325"/>
    <m/>
    <n v="73"/>
    <m/>
    <m/>
    <m/>
    <m/>
    <m/>
  </r>
  <r>
    <x v="0"/>
    <x v="3"/>
    <s v="2014_Gatton_Irrigated"/>
    <n v="3"/>
    <n v="1"/>
    <n v="1"/>
    <n v="2"/>
    <x v="2"/>
    <x v="30"/>
    <s v="N2"/>
    <n v="440"/>
    <n v="181"/>
    <n v="222"/>
    <m/>
    <n v="37"/>
    <m/>
    <m/>
    <m/>
    <m/>
    <m/>
  </r>
  <r>
    <x v="0"/>
    <x v="3"/>
    <s v="2014_Gatton_Irrigated"/>
    <n v="3"/>
    <n v="2"/>
    <n v="2"/>
    <n v="2"/>
    <x v="3"/>
    <x v="30"/>
    <s v="N2"/>
    <n v="552"/>
    <n v="213"/>
    <n v="313"/>
    <m/>
    <n v="26"/>
    <m/>
    <m/>
    <m/>
    <m/>
    <m/>
  </r>
  <r>
    <x v="0"/>
    <x v="3"/>
    <s v="2014_Gatton_Irrigated"/>
    <n v="3"/>
    <n v="3"/>
    <n v="3"/>
    <n v="2"/>
    <x v="10"/>
    <x v="30"/>
    <s v="N2"/>
    <n v="447"/>
    <n v="170"/>
    <n v="254"/>
    <m/>
    <n v="22"/>
    <m/>
    <m/>
    <m/>
    <m/>
    <m/>
  </r>
  <r>
    <x v="0"/>
    <x v="3"/>
    <s v="2014_Gatton_Irrigated"/>
    <n v="3"/>
    <n v="4"/>
    <n v="4"/>
    <n v="2"/>
    <x v="5"/>
    <x v="31"/>
    <s v="N2"/>
    <n v="135"/>
    <n v="52"/>
    <n v="83"/>
    <m/>
    <n v="0"/>
    <m/>
    <m/>
    <m/>
    <m/>
    <m/>
  </r>
  <r>
    <x v="0"/>
    <x v="3"/>
    <s v="2014_Gatton_Irrigated"/>
    <n v="3"/>
    <n v="5"/>
    <n v="5"/>
    <n v="2"/>
    <x v="1"/>
    <x v="32"/>
    <s v="N2"/>
    <n v="506"/>
    <n v="149"/>
    <n v="323"/>
    <m/>
    <n v="33"/>
    <m/>
    <m/>
    <m/>
    <m/>
    <m/>
  </r>
  <r>
    <x v="0"/>
    <x v="3"/>
    <s v="2014_Gatton_Irrigated"/>
    <n v="3"/>
    <n v="6"/>
    <n v="6"/>
    <n v="2"/>
    <x v="0"/>
    <x v="32"/>
    <s v="N2"/>
    <n v="431"/>
    <n v="156"/>
    <n v="230"/>
    <m/>
    <n v="44"/>
    <m/>
    <m/>
    <m/>
    <m/>
    <m/>
  </r>
  <r>
    <x v="0"/>
    <x v="3"/>
    <s v="2014_Gatton_Irrigated"/>
    <n v="4"/>
    <n v="6"/>
    <n v="7"/>
    <n v="2"/>
    <x v="6"/>
    <x v="30"/>
    <s v="N2"/>
    <n v="477"/>
    <n v="191"/>
    <n v="258"/>
    <m/>
    <n v="28"/>
    <m/>
    <m/>
    <m/>
    <m/>
    <m/>
  </r>
  <r>
    <x v="0"/>
    <x v="3"/>
    <s v="2014_Gatton_Irrigated"/>
    <n v="4"/>
    <n v="5"/>
    <n v="8"/>
    <n v="2"/>
    <x v="9"/>
    <x v="30"/>
    <s v="N2"/>
    <n v="482"/>
    <n v="189"/>
    <n v="272"/>
    <m/>
    <n v="20"/>
    <m/>
    <m/>
    <m/>
    <m/>
    <m/>
  </r>
  <r>
    <x v="0"/>
    <x v="3"/>
    <s v="2014_Gatton_Irrigated"/>
    <n v="4"/>
    <n v="4"/>
    <n v="9"/>
    <n v="2"/>
    <x v="7"/>
    <x v="31"/>
    <s v="N2"/>
    <n v="186"/>
    <n v="64"/>
    <n v="123"/>
    <m/>
    <n v="0"/>
    <m/>
    <m/>
    <m/>
    <m/>
    <m/>
  </r>
  <r>
    <x v="0"/>
    <x v="3"/>
    <s v="2014_Gatton_Irrigated"/>
    <n v="4"/>
    <n v="3"/>
    <n v="10"/>
    <n v="2"/>
    <x v="8"/>
    <x v="30"/>
    <s v="N2"/>
    <n v="395"/>
    <n v="171"/>
    <n v="190"/>
    <m/>
    <n v="34"/>
    <m/>
    <m/>
    <m/>
    <m/>
    <m/>
  </r>
  <r>
    <x v="0"/>
    <x v="3"/>
    <s v="2014_Gatton_Irrigated"/>
    <n v="4"/>
    <n v="2"/>
    <n v="11"/>
    <n v="2"/>
    <x v="4"/>
    <x v="30"/>
    <s v="N2"/>
    <n v="412"/>
    <n v="169"/>
    <n v="225"/>
    <m/>
    <n v="18"/>
    <m/>
    <m/>
    <m/>
    <m/>
    <m/>
  </r>
  <r>
    <x v="0"/>
    <x v="3"/>
    <s v="2014_Gatton_Irrigated"/>
    <n v="4"/>
    <n v="1"/>
    <n v="12"/>
    <n v="2"/>
    <x v="11"/>
    <x v="30"/>
    <s v="N2"/>
    <n v="357"/>
    <n v="116"/>
    <n v="232"/>
    <m/>
    <n v="8"/>
    <m/>
    <m/>
    <m/>
    <m/>
    <m/>
  </r>
  <r>
    <x v="0"/>
    <x v="3"/>
    <s v="2014_Gatton_Irrigated"/>
    <n v="5"/>
    <n v="1"/>
    <n v="1"/>
    <n v="3"/>
    <x v="3"/>
    <x v="30"/>
    <s v="N2"/>
    <n v="484"/>
    <n v="185"/>
    <n v="262"/>
    <m/>
    <n v="37"/>
    <m/>
    <m/>
    <m/>
    <m/>
    <m/>
  </r>
  <r>
    <x v="0"/>
    <x v="3"/>
    <s v="2014_Gatton_Irrigated"/>
    <n v="5"/>
    <n v="2"/>
    <n v="2"/>
    <n v="3"/>
    <x v="8"/>
    <x v="30"/>
    <s v="N2"/>
    <n v="479"/>
    <n v="214"/>
    <n v="240"/>
    <m/>
    <n v="25"/>
    <m/>
    <m/>
    <m/>
    <m/>
    <m/>
  </r>
  <r>
    <x v="0"/>
    <x v="3"/>
    <s v="2014_Gatton_Irrigated"/>
    <n v="5"/>
    <n v="3"/>
    <n v="3"/>
    <n v="3"/>
    <x v="5"/>
    <x v="31"/>
    <s v="N2"/>
    <n v="213"/>
    <n v="89"/>
    <n v="122"/>
    <m/>
    <n v="2"/>
    <m/>
    <m/>
    <m/>
    <m/>
    <m/>
  </r>
  <r>
    <x v="0"/>
    <x v="3"/>
    <s v="2014_Gatton_Irrigated"/>
    <n v="5"/>
    <n v="4"/>
    <n v="4"/>
    <n v="3"/>
    <x v="9"/>
    <x v="30"/>
    <s v="N2"/>
    <n v="418"/>
    <n v="180"/>
    <n v="230"/>
    <m/>
    <n v="8"/>
    <m/>
    <m/>
    <m/>
    <m/>
    <m/>
  </r>
  <r>
    <x v="0"/>
    <x v="3"/>
    <s v="2014_Gatton_Irrigated"/>
    <n v="5"/>
    <n v="5"/>
    <n v="5"/>
    <n v="3"/>
    <x v="0"/>
    <x v="32"/>
    <s v="N2"/>
    <n v="680"/>
    <n v="255"/>
    <n v="363"/>
    <m/>
    <n v="62"/>
    <m/>
    <m/>
    <m/>
    <m/>
    <m/>
  </r>
  <r>
    <x v="0"/>
    <x v="3"/>
    <s v="2014_Gatton_Irrigated"/>
    <n v="5"/>
    <n v="6"/>
    <n v="6"/>
    <n v="3"/>
    <x v="11"/>
    <x v="30"/>
    <s v="N2"/>
    <n v="340"/>
    <n v="115"/>
    <n v="218"/>
    <m/>
    <n v="7"/>
    <m/>
    <m/>
    <m/>
    <m/>
    <m/>
  </r>
  <r>
    <x v="0"/>
    <x v="3"/>
    <s v="2014_Gatton_Irrigated"/>
    <n v="6"/>
    <n v="6"/>
    <n v="7"/>
    <n v="3"/>
    <x v="10"/>
    <x v="30"/>
    <s v="N2"/>
    <n v="373"/>
    <n v="157"/>
    <n v="192"/>
    <m/>
    <n v="25"/>
    <m/>
    <m/>
    <m/>
    <m/>
    <m/>
  </r>
  <r>
    <x v="0"/>
    <x v="3"/>
    <s v="2014_Gatton_Irrigated"/>
    <n v="6"/>
    <n v="5"/>
    <n v="8"/>
    <n v="3"/>
    <x v="4"/>
    <x v="30"/>
    <s v="N2"/>
    <n v="406"/>
    <n v="172"/>
    <n v="219"/>
    <m/>
    <n v="15"/>
    <m/>
    <m/>
    <m/>
    <m/>
    <m/>
  </r>
  <r>
    <x v="0"/>
    <x v="3"/>
    <s v="2014_Gatton_Irrigated"/>
    <n v="6"/>
    <n v="4"/>
    <n v="9"/>
    <n v="3"/>
    <x v="2"/>
    <x v="30"/>
    <s v="N2"/>
    <n v="321"/>
    <n v="131"/>
    <n v="159"/>
    <m/>
    <n v="31"/>
    <m/>
    <m/>
    <m/>
    <m/>
    <m/>
  </r>
  <r>
    <x v="0"/>
    <x v="3"/>
    <s v="2014_Gatton_Irrigated"/>
    <n v="6"/>
    <n v="3"/>
    <n v="10"/>
    <n v="3"/>
    <x v="6"/>
    <x v="30"/>
    <s v="N2"/>
    <n v="392"/>
    <n v="168"/>
    <n v="193"/>
    <m/>
    <n v="31"/>
    <m/>
    <m/>
    <m/>
    <m/>
    <m/>
  </r>
  <r>
    <x v="0"/>
    <x v="3"/>
    <s v="2014_Gatton_Irrigated"/>
    <n v="6"/>
    <n v="2"/>
    <n v="11"/>
    <n v="3"/>
    <x v="1"/>
    <x v="32"/>
    <s v="N2"/>
    <n v="496"/>
    <n v="186"/>
    <n v="248"/>
    <m/>
    <n v="62"/>
    <m/>
    <m/>
    <m/>
    <m/>
    <m/>
  </r>
  <r>
    <x v="0"/>
    <x v="3"/>
    <s v="2014_Gatton_Irrigated"/>
    <n v="6"/>
    <n v="1"/>
    <n v="12"/>
    <n v="3"/>
    <x v="7"/>
    <x v="31"/>
    <s v="N2"/>
    <n v="250"/>
    <n v="85"/>
    <n v="164"/>
    <m/>
    <n v="1"/>
    <m/>
    <m/>
    <m/>
    <m/>
    <m/>
  </r>
  <r>
    <x v="0"/>
    <x v="3"/>
    <s v="2014_Gatton_Irrigated"/>
    <n v="7"/>
    <n v="1"/>
    <n v="1"/>
    <n v="4"/>
    <x v="10"/>
    <x v="30"/>
    <s v="N2"/>
    <n v="400"/>
    <n v="159"/>
    <n v="202"/>
    <m/>
    <n v="39"/>
    <m/>
    <m/>
    <m/>
    <m/>
    <m/>
  </r>
  <r>
    <x v="0"/>
    <x v="3"/>
    <s v="2014_Gatton_Irrigated"/>
    <n v="7"/>
    <n v="2"/>
    <n v="2"/>
    <n v="4"/>
    <x v="6"/>
    <x v="30"/>
    <s v="N2"/>
    <n v="481"/>
    <n v="189"/>
    <n v="244"/>
    <m/>
    <n v="48"/>
    <m/>
    <m/>
    <m/>
    <m/>
    <m/>
  </r>
  <r>
    <x v="0"/>
    <x v="3"/>
    <s v="2014_Gatton_Irrigated"/>
    <n v="7"/>
    <n v="3"/>
    <n v="3"/>
    <n v="4"/>
    <x v="7"/>
    <x v="31"/>
    <s v="N2"/>
    <n v="228"/>
    <n v="74"/>
    <n v="154"/>
    <m/>
    <n v="0"/>
    <m/>
    <m/>
    <m/>
    <m/>
    <m/>
  </r>
  <r>
    <x v="0"/>
    <x v="3"/>
    <s v="2014_Gatton_Irrigated"/>
    <n v="7"/>
    <n v="4"/>
    <n v="4"/>
    <n v="4"/>
    <x v="1"/>
    <x v="32"/>
    <s v="N2"/>
    <n v="505"/>
    <n v="198"/>
    <n v="246"/>
    <m/>
    <n v="61"/>
    <m/>
    <m/>
    <m/>
    <m/>
    <m/>
  </r>
  <r>
    <x v="0"/>
    <x v="3"/>
    <s v="2014_Gatton_Irrigated"/>
    <n v="7"/>
    <n v="5"/>
    <n v="5"/>
    <n v="4"/>
    <x v="2"/>
    <x v="30"/>
    <s v="N2"/>
    <n v="558"/>
    <n v="231"/>
    <n v="293"/>
    <m/>
    <n v="35"/>
    <m/>
    <m/>
    <m/>
    <m/>
    <m/>
  </r>
  <r>
    <x v="0"/>
    <x v="3"/>
    <s v="2014_Gatton_Irrigated"/>
    <n v="7"/>
    <n v="6"/>
    <n v="6"/>
    <n v="4"/>
    <x v="8"/>
    <x v="30"/>
    <s v="N2"/>
    <n v="439"/>
    <n v="177"/>
    <n v="233"/>
    <m/>
    <n v="28"/>
    <m/>
    <m/>
    <m/>
    <m/>
    <m/>
  </r>
  <r>
    <x v="0"/>
    <x v="3"/>
    <s v="2014_Gatton_Irrigated"/>
    <n v="8"/>
    <n v="6"/>
    <n v="7"/>
    <n v="4"/>
    <x v="9"/>
    <x v="30"/>
    <s v="N2"/>
    <n v="504"/>
    <n v="199"/>
    <n v="292"/>
    <m/>
    <n v="13"/>
    <m/>
    <m/>
    <m/>
    <m/>
    <m/>
  </r>
  <r>
    <x v="0"/>
    <x v="3"/>
    <s v="2014_Gatton_Irrigated"/>
    <n v="8"/>
    <n v="5"/>
    <n v="8"/>
    <n v="4"/>
    <x v="3"/>
    <x v="30"/>
    <s v="N2"/>
    <n v="466"/>
    <n v="191"/>
    <n v="249"/>
    <m/>
    <n v="27"/>
    <m/>
    <m/>
    <m/>
    <m/>
    <m/>
  </r>
  <r>
    <x v="0"/>
    <x v="3"/>
    <s v="2014_Gatton_Irrigated"/>
    <n v="8"/>
    <n v="4"/>
    <n v="9"/>
    <n v="4"/>
    <x v="4"/>
    <x v="30"/>
    <s v="N2"/>
    <n v="495"/>
    <n v="191"/>
    <n v="283"/>
    <m/>
    <n v="21"/>
    <m/>
    <m/>
    <m/>
    <m/>
    <m/>
  </r>
  <r>
    <x v="0"/>
    <x v="3"/>
    <s v="2014_Gatton_Irrigated"/>
    <n v="8"/>
    <n v="3"/>
    <n v="10"/>
    <n v="4"/>
    <x v="0"/>
    <x v="32"/>
    <s v="N2"/>
    <n v="716"/>
    <n v="261"/>
    <n v="378"/>
    <m/>
    <n v="77"/>
    <m/>
    <m/>
    <m/>
    <m/>
    <m/>
  </r>
  <r>
    <x v="0"/>
    <x v="3"/>
    <s v="2014_Gatton_Irrigated"/>
    <n v="8"/>
    <n v="2"/>
    <n v="11"/>
    <n v="4"/>
    <x v="5"/>
    <x v="31"/>
    <s v="N2"/>
    <n v="208"/>
    <n v="85"/>
    <n v="124"/>
    <m/>
    <n v="0"/>
    <m/>
    <m/>
    <m/>
    <m/>
    <m/>
  </r>
  <r>
    <x v="0"/>
    <x v="3"/>
    <s v="2014_Gatton_Irrigated"/>
    <n v="8"/>
    <n v="1"/>
    <n v="12"/>
    <n v="4"/>
    <x v="11"/>
    <x v="30"/>
    <s v="N2"/>
    <n v="419"/>
    <n v="150"/>
    <n v="254"/>
    <m/>
    <n v="15"/>
    <m/>
    <m/>
    <m/>
    <m/>
    <m/>
  </r>
  <r>
    <x v="0"/>
    <x v="3"/>
    <s v="2014_Gatton_Irrigated"/>
    <n v="1"/>
    <n v="1"/>
    <n v="1"/>
    <n v="1"/>
    <x v="8"/>
    <x v="33"/>
    <s v="F1"/>
    <n v="704"/>
    <n v="359"/>
    <n v="340"/>
    <m/>
    <n v="4"/>
    <n v="-25.48"/>
    <n v="21.1"/>
    <n v="95.2"/>
    <n v="14.854400000000002"/>
    <n v="67.020800000000008"/>
  </r>
  <r>
    <x v="0"/>
    <x v="3"/>
    <s v="2014_Gatton_Irrigated"/>
    <n v="1"/>
    <n v="2"/>
    <n v="2"/>
    <n v="1"/>
    <x v="9"/>
    <x v="33"/>
    <s v="F1"/>
    <n v="726"/>
    <n v="325"/>
    <n v="317"/>
    <m/>
    <n v="84"/>
    <n v="-25.64"/>
    <n v="29.3"/>
    <n v="56.6"/>
    <n v="21.271799999999999"/>
    <n v="41.0916"/>
  </r>
  <r>
    <x v="0"/>
    <x v="3"/>
    <s v="2014_Gatton_Irrigated"/>
    <n v="1"/>
    <n v="3"/>
    <n v="3"/>
    <n v="1"/>
    <x v="11"/>
    <x v="33"/>
    <s v="F1"/>
    <n v="592"/>
    <n v="200"/>
    <n v="348"/>
    <m/>
    <n v="45"/>
    <m/>
    <m/>
    <m/>
    <m/>
    <m/>
  </r>
  <r>
    <x v="0"/>
    <x v="3"/>
    <s v="2014_Gatton_Irrigated"/>
    <n v="1"/>
    <n v="4"/>
    <n v="4"/>
    <n v="1"/>
    <x v="6"/>
    <x v="33"/>
    <s v="F1"/>
    <n v="666"/>
    <n v="300"/>
    <n v="317"/>
    <m/>
    <n v="49"/>
    <m/>
    <m/>
    <m/>
    <m/>
    <m/>
  </r>
  <r>
    <x v="0"/>
    <x v="3"/>
    <s v="2014_Gatton_Irrigated"/>
    <n v="1"/>
    <n v="5"/>
    <n v="5"/>
    <n v="1"/>
    <x v="4"/>
    <x v="33"/>
    <s v="F1"/>
    <n v="701"/>
    <n v="361"/>
    <n v="292"/>
    <m/>
    <n v="49"/>
    <n v="-25.9"/>
    <n v="21.6"/>
    <n v="91"/>
    <n v="15.1416"/>
    <n v="63.790999999999997"/>
  </r>
  <r>
    <x v="0"/>
    <x v="3"/>
    <s v="2014_Gatton_Irrigated"/>
    <n v="1"/>
    <n v="6"/>
    <n v="6"/>
    <n v="1"/>
    <x v="7"/>
    <x v="32"/>
    <s v="F1"/>
    <n v="498"/>
    <n v="203"/>
    <n v="267"/>
    <m/>
    <n v="29"/>
    <m/>
    <m/>
    <m/>
    <m/>
    <m/>
  </r>
  <r>
    <x v="0"/>
    <x v="3"/>
    <s v="2014_Gatton_Irrigated"/>
    <n v="2"/>
    <n v="6"/>
    <n v="7"/>
    <n v="1"/>
    <x v="2"/>
    <x v="33"/>
    <s v="F1"/>
    <n v="797"/>
    <n v="459"/>
    <n v="327"/>
    <m/>
    <n v="11"/>
    <n v="-25.55"/>
    <n v="22.7"/>
    <n v="87.6"/>
    <n v="18.091899999999999"/>
    <n v="69.8172"/>
  </r>
  <r>
    <x v="0"/>
    <x v="3"/>
    <s v="2014_Gatton_Irrigated"/>
    <n v="2"/>
    <n v="5"/>
    <n v="8"/>
    <n v="1"/>
    <x v="5"/>
    <x v="32"/>
    <s v="F1"/>
    <n v="614"/>
    <n v="309"/>
    <n v="270"/>
    <m/>
    <n v="35"/>
    <m/>
    <m/>
    <m/>
    <m/>
    <m/>
  </r>
  <r>
    <x v="0"/>
    <x v="3"/>
    <s v="2014_Gatton_Irrigated"/>
    <n v="2"/>
    <n v="4"/>
    <n v="9"/>
    <n v="1"/>
    <x v="3"/>
    <x v="33"/>
    <s v="F1"/>
    <n v="736"/>
    <n v="394"/>
    <n v="281"/>
    <m/>
    <n v="61"/>
    <n v="-25.36"/>
    <n v="23.4"/>
    <n v="90"/>
    <n v="17.222399999999997"/>
    <n v="66.239999999999995"/>
  </r>
  <r>
    <x v="0"/>
    <x v="3"/>
    <s v="2014_Gatton_Irrigated"/>
    <n v="2"/>
    <n v="3"/>
    <n v="10"/>
    <n v="1"/>
    <x v="1"/>
    <x v="33"/>
    <s v="F1"/>
    <n v="686"/>
    <n v="320"/>
    <n v="348"/>
    <m/>
    <n v="18"/>
    <n v="-25.62"/>
    <n v="29.3"/>
    <n v="65.2"/>
    <n v="20.099799999999998"/>
    <n v="44.727200000000003"/>
  </r>
  <r>
    <x v="0"/>
    <x v="3"/>
    <s v="2014_Gatton_Irrigated"/>
    <n v="2"/>
    <n v="2"/>
    <n v="11"/>
    <n v="1"/>
    <x v="10"/>
    <x v="33"/>
    <s v="F1"/>
    <n v="810"/>
    <n v="323"/>
    <n v="301"/>
    <m/>
    <n v="186"/>
    <n v="-25.54"/>
    <n v="29.9"/>
    <n v="77.8"/>
    <n v="24.219000000000001"/>
    <n v="63.018000000000001"/>
  </r>
  <r>
    <x v="0"/>
    <x v="3"/>
    <s v="2014_Gatton_Irrigated"/>
    <n v="2"/>
    <n v="1"/>
    <n v="12"/>
    <n v="1"/>
    <x v="0"/>
    <x v="33"/>
    <s v="F1"/>
    <n v="715"/>
    <n v="319"/>
    <n v="358"/>
    <m/>
    <n v="38"/>
    <n v="-25.76"/>
    <n v="24.9"/>
    <n v="66.099999999999994"/>
    <n v="17.8035"/>
    <n v="47.261499999999991"/>
  </r>
  <r>
    <x v="0"/>
    <x v="3"/>
    <s v="2014_Gatton_Irrigated"/>
    <n v="3"/>
    <n v="1"/>
    <n v="1"/>
    <n v="2"/>
    <x v="2"/>
    <x v="33"/>
    <s v="F1"/>
    <n v="759"/>
    <n v="342"/>
    <n v="253"/>
    <m/>
    <n v="163"/>
    <n v="-25.76"/>
    <n v="21.6"/>
    <n v="87.3"/>
    <n v="16.394400000000001"/>
    <n v="66.2607"/>
  </r>
  <r>
    <x v="0"/>
    <x v="3"/>
    <s v="2014_Gatton_Irrigated"/>
    <n v="3"/>
    <n v="2"/>
    <n v="2"/>
    <n v="2"/>
    <x v="3"/>
    <x v="33"/>
    <s v="F1"/>
    <n v="785"/>
    <n v="428"/>
    <n v="345"/>
    <m/>
    <n v="12"/>
    <n v="-25.46"/>
    <n v="22.2"/>
    <n v="84.2"/>
    <n v="17.427"/>
    <n v="66.096999999999994"/>
  </r>
  <r>
    <x v="0"/>
    <x v="3"/>
    <s v="2014_Gatton_Irrigated"/>
    <n v="3"/>
    <n v="3"/>
    <n v="3"/>
    <n v="2"/>
    <x v="10"/>
    <x v="33"/>
    <s v="F1"/>
    <n v="698"/>
    <n v="376"/>
    <n v="308"/>
    <m/>
    <n v="13"/>
    <n v="-25.72"/>
    <n v="24.1"/>
    <n v="89.1"/>
    <n v="16.8218"/>
    <n v="62.191799999999994"/>
  </r>
  <r>
    <x v="0"/>
    <x v="3"/>
    <s v="2014_Gatton_Irrigated"/>
    <n v="3"/>
    <n v="4"/>
    <n v="4"/>
    <n v="2"/>
    <x v="5"/>
    <x v="32"/>
    <s v="F1"/>
    <n v="511"/>
    <n v="216"/>
    <n v="281"/>
    <m/>
    <n v="14"/>
    <m/>
    <m/>
    <m/>
    <n v="0"/>
    <n v="0"/>
  </r>
  <r>
    <x v="0"/>
    <x v="3"/>
    <s v="2014_Gatton_Irrigated"/>
    <n v="3"/>
    <n v="5"/>
    <n v="5"/>
    <n v="2"/>
    <x v="1"/>
    <x v="33"/>
    <s v="F1"/>
    <n v="685"/>
    <n v="305"/>
    <n v="330"/>
    <m/>
    <n v="49"/>
    <n v="-25.49"/>
    <n v="22.6"/>
    <n v="77"/>
    <n v="15.481000000000002"/>
    <n v="52.744999999999997"/>
  </r>
  <r>
    <x v="0"/>
    <x v="3"/>
    <s v="2014_Gatton_Irrigated"/>
    <n v="3"/>
    <n v="6"/>
    <n v="6"/>
    <n v="2"/>
    <x v="0"/>
    <x v="33"/>
    <s v="F1"/>
    <n v="685"/>
    <n v="295"/>
    <n v="346"/>
    <m/>
    <n v="43"/>
    <n v="-25.39"/>
    <n v="23.2"/>
    <n v="91.7"/>
    <n v="15.891999999999999"/>
    <n v="62.814500000000002"/>
  </r>
  <r>
    <x v="0"/>
    <x v="3"/>
    <s v="2014_Gatton_Irrigated"/>
    <n v="4"/>
    <n v="6"/>
    <n v="7"/>
    <n v="2"/>
    <x v="6"/>
    <x v="33"/>
    <s v="F1"/>
    <n v="716"/>
    <n v="392"/>
    <n v="272"/>
    <m/>
    <n v="52"/>
    <n v="-25.59"/>
    <n v="21.9"/>
    <n v="70.3"/>
    <n v="15.680399999999999"/>
    <n v="50.334799999999994"/>
  </r>
  <r>
    <x v="0"/>
    <x v="3"/>
    <s v="2014_Gatton_Irrigated"/>
    <n v="4"/>
    <n v="5"/>
    <n v="8"/>
    <n v="2"/>
    <x v="9"/>
    <x v="33"/>
    <s v="F1"/>
    <n v="768"/>
    <n v="332"/>
    <n v="357"/>
    <m/>
    <n v="79"/>
    <n v="-25.58"/>
    <n v="21"/>
    <n v="97.8"/>
    <n v="16.128"/>
    <n v="75.110399999999998"/>
  </r>
  <r>
    <x v="0"/>
    <x v="3"/>
    <s v="2014_Gatton_Irrigated"/>
    <n v="4"/>
    <n v="4"/>
    <n v="9"/>
    <n v="2"/>
    <x v="7"/>
    <x v="32"/>
    <s v="F1"/>
    <n v="630"/>
    <n v="279"/>
    <n v="316"/>
    <m/>
    <n v="35"/>
    <n v="-25.43"/>
    <n v="24.9"/>
    <n v="89.3"/>
    <n v="15.686999999999999"/>
    <n v="56.259"/>
  </r>
  <r>
    <x v="0"/>
    <x v="3"/>
    <s v="2014_Gatton_Irrigated"/>
    <n v="4"/>
    <n v="3"/>
    <n v="10"/>
    <n v="2"/>
    <x v="8"/>
    <x v="33"/>
    <s v="F1"/>
    <n v="694"/>
    <n v="394"/>
    <n v="270"/>
    <m/>
    <n v="29"/>
    <n v="-25.46"/>
    <n v="23.5"/>
    <n v="93.3"/>
    <n v="16.309000000000001"/>
    <n v="64.750199999999992"/>
  </r>
  <r>
    <x v="0"/>
    <x v="3"/>
    <s v="2014_Gatton_Irrigated"/>
    <n v="4"/>
    <n v="2"/>
    <n v="11"/>
    <n v="2"/>
    <x v="4"/>
    <x v="33"/>
    <s v="F1"/>
    <n v="609"/>
    <n v="295"/>
    <n v="298"/>
    <m/>
    <n v="16"/>
    <n v="-25.8"/>
    <n v="26.2"/>
    <n v="75.5"/>
    <n v="15.9558"/>
    <n v="45.979500000000002"/>
  </r>
  <r>
    <x v="0"/>
    <x v="3"/>
    <s v="2014_Gatton_Irrigated"/>
    <n v="4"/>
    <n v="1"/>
    <n v="12"/>
    <n v="2"/>
    <x v="11"/>
    <x v="33"/>
    <s v="F1"/>
    <n v="638"/>
    <n v="256"/>
    <n v="311"/>
    <m/>
    <n v="72"/>
    <n v="-25.73"/>
    <n v="22.1"/>
    <n v="100.6"/>
    <n v="14.099800000000002"/>
    <n v="64.1828"/>
  </r>
  <r>
    <x v="0"/>
    <x v="3"/>
    <s v="2014_Gatton_Irrigated"/>
    <n v="5"/>
    <n v="1"/>
    <n v="1"/>
    <n v="3"/>
    <x v="3"/>
    <x v="33"/>
    <s v="F1"/>
    <n v="887"/>
    <n v="450"/>
    <n v="357"/>
    <m/>
    <n v="80"/>
    <n v="-25.8"/>
    <n v="21.6"/>
    <n v="80.2"/>
    <n v="19.159200000000002"/>
    <n v="71.137400000000014"/>
  </r>
  <r>
    <x v="0"/>
    <x v="3"/>
    <s v="2014_Gatton_Irrigated"/>
    <n v="5"/>
    <n v="2"/>
    <n v="2"/>
    <n v="3"/>
    <x v="8"/>
    <x v="33"/>
    <s v="F1"/>
    <n v="699"/>
    <n v="371"/>
    <n v="299"/>
    <m/>
    <n v="29"/>
    <n v="-25.85"/>
    <n v="20.3"/>
    <n v="79.8"/>
    <n v="14.1897"/>
    <n v="55.780199999999994"/>
  </r>
  <r>
    <x v="0"/>
    <x v="3"/>
    <s v="2014_Gatton_Irrigated"/>
    <n v="5"/>
    <n v="3"/>
    <n v="3"/>
    <n v="3"/>
    <x v="5"/>
    <x v="32"/>
    <s v="F1"/>
    <n v="686"/>
    <n v="356"/>
    <n v="293"/>
    <m/>
    <n v="37"/>
    <m/>
    <m/>
    <m/>
    <m/>
    <m/>
  </r>
  <r>
    <x v="0"/>
    <x v="3"/>
    <s v="2014_Gatton_Irrigated"/>
    <n v="5"/>
    <n v="4"/>
    <n v="4"/>
    <n v="3"/>
    <x v="9"/>
    <x v="33"/>
    <s v="F1"/>
    <n v="813"/>
    <n v="356"/>
    <n v="353"/>
    <m/>
    <n v="104"/>
    <n v="-25.46"/>
    <n v="23.7"/>
    <n v="78"/>
    <n v="19.268099999999997"/>
    <n v="63.414000000000001"/>
  </r>
  <r>
    <x v="0"/>
    <x v="3"/>
    <s v="2014_Gatton_Irrigated"/>
    <n v="5"/>
    <n v="5"/>
    <n v="5"/>
    <n v="3"/>
    <x v="0"/>
    <x v="33"/>
    <s v="F1"/>
    <n v="766"/>
    <n v="325"/>
    <n v="405"/>
    <m/>
    <n v="35"/>
    <n v="-25.77"/>
    <n v="25.5"/>
    <n v="71.099999999999994"/>
    <n v="19.533000000000001"/>
    <n v="54.462600000000002"/>
  </r>
  <r>
    <x v="0"/>
    <x v="3"/>
    <s v="2014_Gatton_Irrigated"/>
    <n v="5"/>
    <n v="6"/>
    <n v="6"/>
    <n v="3"/>
    <x v="11"/>
    <x v="33"/>
    <s v="F1"/>
    <n v="629"/>
    <n v="242"/>
    <n v="354"/>
    <m/>
    <n v="33"/>
    <m/>
    <m/>
    <m/>
    <m/>
    <m/>
  </r>
  <r>
    <x v="0"/>
    <x v="3"/>
    <s v="2014_Gatton_Irrigated"/>
    <n v="6"/>
    <n v="6"/>
    <n v="7"/>
    <n v="3"/>
    <x v="10"/>
    <x v="33"/>
    <s v="F1"/>
    <n v="740"/>
    <n v="365"/>
    <n v="303"/>
    <m/>
    <n v="72"/>
    <n v="-25.37"/>
    <n v="24.1"/>
    <n v="66.5"/>
    <n v="17.834"/>
    <n v="49.21"/>
  </r>
  <r>
    <x v="0"/>
    <x v="3"/>
    <s v="2014_Gatton_Irrigated"/>
    <n v="6"/>
    <n v="5"/>
    <n v="8"/>
    <n v="3"/>
    <x v="4"/>
    <x v="33"/>
    <s v="F1"/>
    <n v="679"/>
    <n v="340"/>
    <n v="300"/>
    <m/>
    <n v="40"/>
    <n v="-25.5"/>
    <n v="21.1"/>
    <n v="76.400000000000006"/>
    <n v="14.326900000000002"/>
    <n v="51.875600000000006"/>
  </r>
  <r>
    <x v="0"/>
    <x v="3"/>
    <s v="2014_Gatton_Irrigated"/>
    <n v="6"/>
    <n v="4"/>
    <n v="9"/>
    <n v="3"/>
    <x v="2"/>
    <x v="33"/>
    <s v="F1"/>
    <n v="681"/>
    <n v="333"/>
    <n v="279"/>
    <m/>
    <n v="69"/>
    <n v="-25.08"/>
    <n v="21.4"/>
    <n v="82.9"/>
    <n v="14.573399999999999"/>
    <n v="56.454900000000002"/>
  </r>
  <r>
    <x v="0"/>
    <x v="3"/>
    <s v="2014_Gatton_Irrigated"/>
    <n v="6"/>
    <n v="3"/>
    <n v="10"/>
    <n v="3"/>
    <x v="6"/>
    <x v="33"/>
    <s v="F1"/>
    <n v="1124"/>
    <n v="574"/>
    <n v="368"/>
    <m/>
    <n v="182"/>
    <n v="-25.64"/>
    <n v="20.6"/>
    <n v="77.900000000000006"/>
    <n v="23.154400000000003"/>
    <n v="87.559600000000003"/>
  </r>
  <r>
    <x v="0"/>
    <x v="3"/>
    <s v="2014_Gatton_Irrigated"/>
    <n v="6"/>
    <n v="2"/>
    <n v="11"/>
    <n v="3"/>
    <x v="1"/>
    <x v="33"/>
    <s v="F1"/>
    <n v="811"/>
    <n v="375"/>
    <n v="349"/>
    <m/>
    <n v="87"/>
    <m/>
    <m/>
    <m/>
    <m/>
    <m/>
  </r>
  <r>
    <x v="0"/>
    <x v="3"/>
    <s v="2014_Gatton_Irrigated"/>
    <n v="6"/>
    <n v="1"/>
    <n v="12"/>
    <n v="3"/>
    <x v="7"/>
    <x v="32"/>
    <s v="F1"/>
    <n v="542"/>
    <n v="235"/>
    <n v="259"/>
    <m/>
    <n v="48"/>
    <m/>
    <m/>
    <m/>
    <m/>
    <m/>
  </r>
  <r>
    <x v="0"/>
    <x v="3"/>
    <s v="2014_Gatton_Irrigated"/>
    <n v="7"/>
    <n v="1"/>
    <n v="1"/>
    <n v="4"/>
    <x v="10"/>
    <x v="33"/>
    <s v="F1"/>
    <n v="784"/>
    <n v="331"/>
    <n v="324"/>
    <m/>
    <n v="130"/>
    <m/>
    <m/>
    <m/>
    <m/>
    <m/>
  </r>
  <r>
    <x v="0"/>
    <x v="3"/>
    <s v="2014_Gatton_Irrigated"/>
    <n v="7"/>
    <n v="2"/>
    <n v="2"/>
    <n v="4"/>
    <x v="6"/>
    <x v="33"/>
    <s v="F1"/>
    <n v="622"/>
    <n v="294"/>
    <n v="225"/>
    <m/>
    <n v="103"/>
    <n v="-25.57"/>
    <n v="22.2"/>
    <n v="60.2"/>
    <n v="13.808399999999999"/>
    <n v="37.444400000000002"/>
  </r>
  <r>
    <x v="0"/>
    <x v="3"/>
    <s v="2014_Gatton_Irrigated"/>
    <n v="7"/>
    <n v="3"/>
    <n v="3"/>
    <n v="4"/>
    <x v="7"/>
    <x v="32"/>
    <s v="F1"/>
    <n v="582"/>
    <n v="326"/>
    <n v="238"/>
    <m/>
    <n v="17"/>
    <m/>
    <m/>
    <m/>
    <m/>
    <m/>
  </r>
  <r>
    <x v="0"/>
    <x v="3"/>
    <s v="2014_Gatton_Irrigated"/>
    <n v="7"/>
    <n v="4"/>
    <n v="4"/>
    <n v="4"/>
    <x v="1"/>
    <x v="33"/>
    <s v="F1"/>
    <n v="635"/>
    <n v="243"/>
    <n v="311"/>
    <m/>
    <n v="81"/>
    <m/>
    <m/>
    <m/>
    <m/>
    <m/>
  </r>
  <r>
    <x v="0"/>
    <x v="3"/>
    <s v="2014_Gatton_Irrigated"/>
    <n v="7"/>
    <n v="5"/>
    <n v="5"/>
    <n v="4"/>
    <x v="2"/>
    <x v="33"/>
    <s v="F1"/>
    <n v="751"/>
    <n v="333"/>
    <n v="331"/>
    <m/>
    <n v="87"/>
    <m/>
    <m/>
    <m/>
    <m/>
    <m/>
  </r>
  <r>
    <x v="0"/>
    <x v="3"/>
    <s v="2014_Gatton_Irrigated"/>
    <n v="7"/>
    <n v="6"/>
    <n v="6"/>
    <n v="4"/>
    <x v="8"/>
    <x v="33"/>
    <s v="F1"/>
    <n v="742"/>
    <n v="352"/>
    <n v="316"/>
    <m/>
    <n v="74"/>
    <n v="-25.77"/>
    <n v="20.7"/>
    <n v="82.6"/>
    <n v="15.359399999999999"/>
    <n v="61.289199999999994"/>
  </r>
  <r>
    <x v="0"/>
    <x v="3"/>
    <s v="2014_Gatton_Irrigated"/>
    <n v="8"/>
    <n v="6"/>
    <n v="7"/>
    <n v="4"/>
    <x v="9"/>
    <x v="33"/>
    <s v="F1"/>
    <n v="730"/>
    <n v="366"/>
    <n v="317"/>
    <m/>
    <n v="47"/>
    <n v="-25.68"/>
    <n v="21.7"/>
    <n v="92.3"/>
    <n v="15.840999999999999"/>
    <n v="67.379000000000005"/>
  </r>
  <r>
    <x v="0"/>
    <x v="3"/>
    <s v="2014_Gatton_Irrigated"/>
    <n v="8"/>
    <n v="5"/>
    <n v="8"/>
    <n v="4"/>
    <x v="3"/>
    <x v="33"/>
    <s v="F1"/>
    <n v="735"/>
    <n v="391"/>
    <n v="289"/>
    <m/>
    <n v="55"/>
    <m/>
    <m/>
    <m/>
    <m/>
    <m/>
  </r>
  <r>
    <x v="0"/>
    <x v="3"/>
    <s v="2014_Gatton_Irrigated"/>
    <n v="8"/>
    <n v="4"/>
    <n v="9"/>
    <n v="4"/>
    <x v="4"/>
    <x v="33"/>
    <s v="F1"/>
    <n v="793"/>
    <n v="382"/>
    <n v="366"/>
    <m/>
    <n v="44"/>
    <m/>
    <m/>
    <m/>
    <m/>
    <m/>
  </r>
  <r>
    <x v="0"/>
    <x v="3"/>
    <s v="2014_Gatton_Irrigated"/>
    <n v="8"/>
    <n v="3"/>
    <n v="10"/>
    <n v="4"/>
    <x v="0"/>
    <x v="33"/>
    <s v="F1"/>
    <n v="763"/>
    <n v="321"/>
    <n v="367"/>
    <m/>
    <n v="75"/>
    <n v="-25.59"/>
    <n v="28.5"/>
    <n v="73.5"/>
    <n v="21.7455"/>
    <n v="56.080500000000001"/>
  </r>
  <r>
    <x v="0"/>
    <x v="3"/>
    <s v="2014_Gatton_Irrigated"/>
    <n v="8"/>
    <n v="2"/>
    <n v="11"/>
    <n v="4"/>
    <x v="5"/>
    <x v="32"/>
    <s v="F1"/>
    <n v="510"/>
    <n v="223"/>
    <n v="248"/>
    <m/>
    <n v="38"/>
    <m/>
    <m/>
    <m/>
    <m/>
    <m/>
  </r>
  <r>
    <x v="0"/>
    <x v="3"/>
    <s v="2014_Gatton_Irrigated"/>
    <n v="8"/>
    <n v="1"/>
    <n v="12"/>
    <n v="4"/>
    <x v="11"/>
    <x v="33"/>
    <s v="F1"/>
    <n v="590"/>
    <n v="269"/>
    <n v="280"/>
    <m/>
    <n v="41"/>
    <m/>
    <m/>
    <m/>
    <m/>
    <m/>
  </r>
  <r>
    <x v="0"/>
    <x v="3"/>
    <s v="2014_Gatton_Irrigated"/>
    <n v="1"/>
    <n v="1"/>
    <n v="1"/>
    <n v="1"/>
    <x v="8"/>
    <x v="34"/>
    <s v="A100"/>
    <n v="1214"/>
    <n v="509"/>
    <n v="330"/>
    <n v="125"/>
    <n v="250"/>
    <n v="-26.15"/>
    <n v="15.2"/>
    <n v="70"/>
    <n v="18.4528"/>
    <n v="84.98"/>
  </r>
  <r>
    <x v="0"/>
    <x v="3"/>
    <s v="2014_Gatton_Irrigated"/>
    <n v="1"/>
    <n v="2"/>
    <n v="2"/>
    <n v="1"/>
    <x v="9"/>
    <x v="34"/>
    <s v="A100"/>
    <n v="1175"/>
    <n v="561"/>
    <n v="364"/>
    <n v="146"/>
    <n v="104"/>
    <n v="-26.22"/>
    <n v="16.7"/>
    <n v="49.2"/>
    <n v="19.622499999999999"/>
    <n v="57.81"/>
  </r>
  <r>
    <x v="0"/>
    <x v="3"/>
    <s v="2014_Gatton_Irrigated"/>
    <n v="1"/>
    <n v="3"/>
    <n v="3"/>
    <n v="1"/>
    <x v="11"/>
    <x v="35"/>
    <s v="A100"/>
    <n v="1310"/>
    <n v="600"/>
    <n v="403"/>
    <n v="235"/>
    <n v="72"/>
    <n v="-26.14"/>
    <n v="17.2"/>
    <n v="67"/>
    <n v="22.532"/>
    <n v="87.77"/>
  </r>
  <r>
    <x v="0"/>
    <x v="3"/>
    <s v="2014_Gatton_Irrigated"/>
    <n v="1"/>
    <n v="4"/>
    <n v="4"/>
    <n v="1"/>
    <x v="6"/>
    <x v="34"/>
    <s v="A100"/>
    <n v="1088"/>
    <n v="511"/>
    <n v="240"/>
    <n v="187"/>
    <n v="150"/>
    <n v="-26.23"/>
    <n v="14.6"/>
    <n v="53.8"/>
    <n v="15.884799999999998"/>
    <n v="58.534399999999991"/>
  </r>
  <r>
    <x v="0"/>
    <x v="3"/>
    <s v="2014_Gatton_Irrigated"/>
    <n v="1"/>
    <n v="5"/>
    <n v="5"/>
    <n v="1"/>
    <x v="4"/>
    <x v="34"/>
    <s v="A100"/>
    <n v="1113"/>
    <n v="569"/>
    <n v="271"/>
    <n v="176"/>
    <n v="96"/>
    <n v="-26.16"/>
    <n v="16.899999999999999"/>
    <n v="73.900000000000006"/>
    <n v="18.809699999999996"/>
    <n v="82.250700000000009"/>
  </r>
  <r>
    <x v="0"/>
    <x v="3"/>
    <s v="2014_Gatton_Irrigated"/>
    <n v="1"/>
    <n v="6"/>
    <n v="6"/>
    <n v="1"/>
    <x v="7"/>
    <x v="34"/>
    <s v="A100"/>
    <n v="1127"/>
    <n v="583"/>
    <n v="281"/>
    <n v="168"/>
    <n v="95"/>
    <n v="-26.14"/>
    <n v="13.2"/>
    <n v="81.400000000000006"/>
    <n v="14.8764"/>
    <n v="91.737800000000007"/>
  </r>
  <r>
    <x v="0"/>
    <x v="3"/>
    <s v="2014_Gatton_Irrigated"/>
    <n v="2"/>
    <n v="6"/>
    <n v="7"/>
    <n v="1"/>
    <x v="2"/>
    <x v="34"/>
    <s v="A100"/>
    <n v="1713"/>
    <n v="803"/>
    <n v="414"/>
    <n v="234"/>
    <n v="263"/>
    <n v="-26.31"/>
    <n v="12.1"/>
    <n v="79.2"/>
    <n v="20.7273"/>
    <n v="135.6696"/>
  </r>
  <r>
    <x v="0"/>
    <x v="3"/>
    <s v="2014_Gatton_Irrigated"/>
    <n v="2"/>
    <n v="5"/>
    <n v="8"/>
    <n v="1"/>
    <x v="5"/>
    <x v="5"/>
    <s v="A100"/>
    <n v="997"/>
    <n v="503"/>
    <n v="257"/>
    <n v="186"/>
    <n v="51"/>
    <n v="-26.1"/>
    <n v="19.3"/>
    <n v="64.7"/>
    <n v="19.242100000000001"/>
    <n v="64.505899999999997"/>
  </r>
  <r>
    <x v="0"/>
    <x v="3"/>
    <s v="2014_Gatton_Irrigated"/>
    <n v="2"/>
    <n v="4"/>
    <n v="9"/>
    <n v="1"/>
    <x v="3"/>
    <x v="34"/>
    <s v="A100"/>
    <n v="1253"/>
    <n v="573"/>
    <n v="284"/>
    <n v="289"/>
    <n v="108"/>
    <n v="-25.8"/>
    <n v="15.3"/>
    <n v="70.2"/>
    <n v="19.170900000000003"/>
    <n v="87.960599999999999"/>
  </r>
  <r>
    <x v="0"/>
    <x v="3"/>
    <s v="2014_Gatton_Irrigated"/>
    <n v="2"/>
    <n v="3"/>
    <n v="10"/>
    <n v="1"/>
    <x v="1"/>
    <x v="35"/>
    <s v="A100"/>
    <n v="1203"/>
    <n v="607"/>
    <n v="260"/>
    <n v="204"/>
    <n v="132"/>
    <n v="-26.12"/>
    <n v="14.3"/>
    <n v="79.2"/>
    <n v="17.202900000000003"/>
    <n v="95.277600000000007"/>
  </r>
  <r>
    <x v="0"/>
    <x v="3"/>
    <s v="2014_Gatton_Irrigated"/>
    <n v="2"/>
    <n v="2"/>
    <n v="11"/>
    <n v="1"/>
    <x v="10"/>
    <x v="34"/>
    <s v="A100"/>
    <n v="1321"/>
    <n v="565"/>
    <n v="348"/>
    <n v="258"/>
    <n v="150"/>
    <n v="-25.76"/>
    <n v="17.899999999999999"/>
    <n v="65.8"/>
    <n v="23.645899999999997"/>
    <n v="86.921800000000005"/>
  </r>
  <r>
    <x v="0"/>
    <x v="3"/>
    <s v="2014_Gatton_Irrigated"/>
    <n v="2"/>
    <n v="1"/>
    <n v="12"/>
    <n v="1"/>
    <x v="0"/>
    <x v="35"/>
    <s v="A100"/>
    <n v="1218"/>
    <n v="504"/>
    <n v="290"/>
    <n v="193"/>
    <n v="232"/>
    <n v="-25.88"/>
    <n v="16.899999999999999"/>
    <n v="75.400000000000006"/>
    <n v="20.584199999999996"/>
    <n v="91.83720000000001"/>
  </r>
  <r>
    <x v="0"/>
    <x v="3"/>
    <s v="2014_Gatton_Irrigated"/>
    <n v="3"/>
    <n v="1"/>
    <n v="1"/>
    <n v="2"/>
    <x v="2"/>
    <x v="34"/>
    <s v="A100"/>
    <n v="1033"/>
    <n v="527"/>
    <n v="221"/>
    <n v="171"/>
    <n v="114"/>
    <n v="-26.14"/>
    <n v="13"/>
    <n v="75.8"/>
    <n v="13.429"/>
    <n v="78.301400000000001"/>
  </r>
  <r>
    <x v="0"/>
    <x v="3"/>
    <s v="2014_Gatton_Irrigated"/>
    <n v="3"/>
    <n v="2"/>
    <n v="2"/>
    <n v="2"/>
    <x v="3"/>
    <x v="34"/>
    <s v="A100"/>
    <n v="1203"/>
    <n v="549"/>
    <n v="307"/>
    <n v="246"/>
    <n v="102"/>
    <n v="-26.33"/>
    <n v="16.600000000000001"/>
    <n v="68.400000000000006"/>
    <n v="19.969800000000003"/>
    <n v="82.285200000000017"/>
  </r>
  <r>
    <x v="0"/>
    <x v="3"/>
    <s v="2014_Gatton_Irrigated"/>
    <n v="3"/>
    <n v="3"/>
    <n v="3"/>
    <n v="2"/>
    <x v="10"/>
    <x v="34"/>
    <s v="A100"/>
    <n v="1119"/>
    <n v="506"/>
    <n v="264"/>
    <n v="223"/>
    <n v="126"/>
    <n v="-25.87"/>
    <n v="17.5"/>
    <n v="71.2"/>
    <n v="19.5825"/>
    <n v="79.672800000000009"/>
  </r>
  <r>
    <x v="0"/>
    <x v="3"/>
    <s v="2014_Gatton_Irrigated"/>
    <n v="3"/>
    <n v="4"/>
    <n v="4"/>
    <n v="2"/>
    <x v="5"/>
    <x v="5"/>
    <s v="A100"/>
    <n v="1067"/>
    <n v="552"/>
    <n v="257"/>
    <n v="221"/>
    <n v="37"/>
    <n v="-26.3"/>
    <n v="15.9"/>
    <n v="76.099999999999994"/>
    <n v="16.965299999999999"/>
    <n v="81.198700000000002"/>
  </r>
  <r>
    <x v="0"/>
    <x v="3"/>
    <s v="2014_Gatton_Irrigated"/>
    <n v="3"/>
    <n v="5"/>
    <n v="5"/>
    <n v="2"/>
    <x v="1"/>
    <x v="35"/>
    <s v="A100"/>
    <n v="1380"/>
    <n v="698"/>
    <n v="247"/>
    <n v="273"/>
    <n v="161"/>
    <n v="-25.94"/>
    <n v="13.7"/>
    <n v="79.2"/>
    <n v="18.905999999999999"/>
    <n v="109.29600000000001"/>
  </r>
  <r>
    <x v="0"/>
    <x v="3"/>
    <s v="2014_Gatton_Irrigated"/>
    <n v="3"/>
    <n v="6"/>
    <n v="6"/>
    <n v="2"/>
    <x v="0"/>
    <x v="35"/>
    <s v="A100"/>
    <n v="1272"/>
    <n v="594"/>
    <n v="245"/>
    <n v="293"/>
    <n v="141"/>
    <n v="-26.06"/>
    <n v="11.7"/>
    <n v="72.5"/>
    <n v="14.882400000000001"/>
    <n v="92.22"/>
  </r>
  <r>
    <x v="0"/>
    <x v="3"/>
    <s v="2014_Gatton_Irrigated"/>
    <n v="4"/>
    <n v="6"/>
    <n v="7"/>
    <n v="2"/>
    <x v="6"/>
    <x v="34"/>
    <s v="A100"/>
    <n v="1213"/>
    <n v="540"/>
    <n v="236"/>
    <n v="156"/>
    <n v="281"/>
    <n v="-26.24"/>
    <n v="13.1"/>
    <n v="65.599999999999994"/>
    <n v="15.8903"/>
    <n v="79.572799999999987"/>
  </r>
  <r>
    <x v="0"/>
    <x v="3"/>
    <s v="2014_Gatton_Irrigated"/>
    <n v="4"/>
    <n v="5"/>
    <n v="8"/>
    <n v="2"/>
    <x v="9"/>
    <x v="34"/>
    <s v="A100"/>
    <n v="1192"/>
    <n v="575"/>
    <n v="328"/>
    <n v="173"/>
    <n v="116"/>
    <n v="-26.07"/>
    <n v="17.5"/>
    <n v="64.400000000000006"/>
    <n v="20.86"/>
    <n v="76.764800000000008"/>
  </r>
  <r>
    <x v="0"/>
    <x v="3"/>
    <s v="2014_Gatton_Irrigated"/>
    <n v="4"/>
    <n v="4"/>
    <n v="9"/>
    <n v="2"/>
    <x v="7"/>
    <x v="34"/>
    <s v="A100"/>
    <n v="1186"/>
    <n v="587"/>
    <n v="322"/>
    <n v="161"/>
    <n v="116"/>
    <n v="-26.4"/>
    <n v="15.7"/>
    <n v="43.3"/>
    <n v="18.620200000000001"/>
    <n v="51.353799999999993"/>
  </r>
  <r>
    <x v="0"/>
    <x v="3"/>
    <s v="2014_Gatton_Irrigated"/>
    <n v="4"/>
    <n v="3"/>
    <n v="10"/>
    <n v="2"/>
    <x v="8"/>
    <x v="34"/>
    <s v="A100"/>
    <n v="1121"/>
    <n v="502"/>
    <n v="240"/>
    <n v="167"/>
    <n v="212"/>
    <n v="-25.97"/>
    <n v="16.5"/>
    <n v="76.2"/>
    <n v="18.496500000000001"/>
    <n v="85.420199999999994"/>
  </r>
  <r>
    <x v="0"/>
    <x v="3"/>
    <s v="2014_Gatton_Irrigated"/>
    <n v="4"/>
    <n v="2"/>
    <n v="11"/>
    <n v="2"/>
    <x v="4"/>
    <x v="34"/>
    <s v="A100"/>
    <n v="1160"/>
    <n v="560"/>
    <n v="298"/>
    <n v="161"/>
    <n v="141"/>
    <n v="-26.25"/>
    <n v="14.6"/>
    <n v="58.3"/>
    <n v="16.936"/>
    <n v="67.628"/>
  </r>
  <r>
    <x v="0"/>
    <x v="3"/>
    <s v="2014_Gatton_Irrigated"/>
    <n v="4"/>
    <n v="1"/>
    <n v="12"/>
    <n v="2"/>
    <x v="11"/>
    <x v="35"/>
    <s v="A100"/>
    <n v="1278"/>
    <n v="599"/>
    <n v="324"/>
    <n v="215"/>
    <n v="140"/>
    <n v="-26.18"/>
    <n v="14"/>
    <n v="89.2"/>
    <n v="17.891999999999999"/>
    <n v="113.99760000000001"/>
  </r>
  <r>
    <x v="0"/>
    <x v="3"/>
    <s v="2014_Gatton_Irrigated"/>
    <n v="5"/>
    <n v="1"/>
    <n v="1"/>
    <n v="3"/>
    <x v="3"/>
    <x v="34"/>
    <s v="A100"/>
    <n v="1275"/>
    <n v="571"/>
    <n v="282"/>
    <n v="258"/>
    <n v="164"/>
    <n v="-25.78"/>
    <n v="15.6"/>
    <n v="80.3"/>
    <n v="19.89"/>
    <n v="102.38249999999999"/>
  </r>
  <r>
    <x v="0"/>
    <x v="3"/>
    <s v="2014_Gatton_Irrigated"/>
    <n v="5"/>
    <n v="2"/>
    <n v="2"/>
    <n v="3"/>
    <x v="8"/>
    <x v="34"/>
    <s v="A100"/>
    <n v="1168"/>
    <n v="577"/>
    <n v="264"/>
    <n v="165"/>
    <n v="162"/>
    <n v="-26.28"/>
    <n v="13.4"/>
    <n v="74.599999999999994"/>
    <n v="15.651200000000001"/>
    <n v="87.132799999999989"/>
  </r>
  <r>
    <x v="0"/>
    <x v="3"/>
    <s v="2014_Gatton_Irrigated"/>
    <n v="5"/>
    <n v="3"/>
    <n v="3"/>
    <n v="3"/>
    <x v="5"/>
    <x v="5"/>
    <s v="A100"/>
    <n v="993"/>
    <n v="506"/>
    <n v="231"/>
    <n v="208"/>
    <n v="49"/>
    <n v="-25.98"/>
    <n v="12.4"/>
    <n v="85.5"/>
    <n v="12.3132"/>
    <n v="84.901499999999999"/>
  </r>
  <r>
    <x v="0"/>
    <x v="3"/>
    <s v="2014_Gatton_Irrigated"/>
    <n v="5"/>
    <n v="4"/>
    <n v="4"/>
    <n v="3"/>
    <x v="9"/>
    <x v="34"/>
    <s v="A100"/>
    <n v="1078"/>
    <n v="540"/>
    <n v="268"/>
    <n v="204"/>
    <n v="66"/>
    <n v="-26.16"/>
    <n v="12"/>
    <n v="69.8"/>
    <n v="12.936"/>
    <n v="75.244399999999999"/>
  </r>
  <r>
    <x v="0"/>
    <x v="3"/>
    <s v="2014_Gatton_Irrigated"/>
    <n v="5"/>
    <n v="5"/>
    <n v="5"/>
    <n v="3"/>
    <x v="0"/>
    <x v="35"/>
    <s v="A100"/>
    <n v="1329"/>
    <n v="633"/>
    <n v="274"/>
    <n v="290"/>
    <n v="133"/>
    <n v="-25.97"/>
    <n v="9.9"/>
    <n v="95.5"/>
    <n v="13.1571"/>
    <n v="126.9195"/>
  </r>
  <r>
    <x v="0"/>
    <x v="3"/>
    <s v="2014_Gatton_Irrigated"/>
    <n v="5"/>
    <n v="6"/>
    <n v="6"/>
    <n v="3"/>
    <x v="11"/>
    <x v="35"/>
    <s v="A100"/>
    <n v="1179"/>
    <n v="529"/>
    <n v="309"/>
    <n v="210"/>
    <n v="131"/>
    <n v="-25.97"/>
    <n v="10.3"/>
    <n v="87.5"/>
    <n v="12.143700000000001"/>
    <n v="103.16249999999999"/>
  </r>
  <r>
    <x v="0"/>
    <x v="3"/>
    <s v="2014_Gatton_Irrigated"/>
    <n v="6"/>
    <n v="6"/>
    <n v="7"/>
    <n v="3"/>
    <x v="10"/>
    <x v="34"/>
    <s v="A100"/>
    <n v="1243"/>
    <n v="572"/>
    <n v="283"/>
    <n v="267"/>
    <n v="121"/>
    <n v="-25.87"/>
    <n v="11.6"/>
    <n v="86.5"/>
    <n v="14.418799999999999"/>
    <n v="107.51949999999999"/>
  </r>
  <r>
    <x v="0"/>
    <x v="3"/>
    <s v="2014_Gatton_Irrigated"/>
    <n v="6"/>
    <n v="5"/>
    <n v="8"/>
    <n v="3"/>
    <x v="4"/>
    <x v="34"/>
    <s v="A100"/>
    <n v="1152"/>
    <n v="594"/>
    <n v="251"/>
    <n v="192"/>
    <n v="115"/>
    <n v="-25.8"/>
    <n v="12.1"/>
    <n v="89"/>
    <n v="13.9392"/>
    <n v="102.52800000000001"/>
  </r>
  <r>
    <x v="0"/>
    <x v="3"/>
    <s v="2014_Gatton_Irrigated"/>
    <n v="6"/>
    <n v="4"/>
    <n v="9"/>
    <n v="3"/>
    <x v="2"/>
    <x v="34"/>
    <s v="A100"/>
    <n v="1233"/>
    <n v="661"/>
    <n v="227"/>
    <n v="247"/>
    <n v="98"/>
    <n v="-26"/>
    <n v="9.1"/>
    <n v="106.4"/>
    <n v="11.2203"/>
    <n v="131.19120000000001"/>
  </r>
  <r>
    <x v="0"/>
    <x v="3"/>
    <s v="2014_Gatton_Irrigated"/>
    <n v="6"/>
    <n v="3"/>
    <n v="10"/>
    <n v="3"/>
    <x v="6"/>
    <x v="34"/>
    <s v="A100"/>
    <n v="1183"/>
    <n v="599"/>
    <n v="220"/>
    <n v="206"/>
    <n v="157"/>
    <n v="-26.07"/>
    <n v="11.2"/>
    <n v="68.599999999999994"/>
    <n v="13.249599999999999"/>
    <n v="81.15379999999999"/>
  </r>
  <r>
    <x v="0"/>
    <x v="3"/>
    <s v="2014_Gatton_Irrigated"/>
    <n v="6"/>
    <n v="2"/>
    <n v="11"/>
    <n v="3"/>
    <x v="1"/>
    <x v="35"/>
    <s v="A100"/>
    <n v="1278"/>
    <n v="636"/>
    <n v="234"/>
    <n v="254"/>
    <n v="153"/>
    <n v="-25.49"/>
    <n v="11.5"/>
    <n v="114.5"/>
    <n v="14.696999999999999"/>
    <n v="146.33099999999999"/>
  </r>
  <r>
    <x v="0"/>
    <x v="3"/>
    <s v="2014_Gatton_Irrigated"/>
    <n v="6"/>
    <n v="1"/>
    <n v="12"/>
    <n v="3"/>
    <x v="7"/>
    <x v="34"/>
    <s v="A100"/>
    <n v="1229"/>
    <n v="659"/>
    <n v="252"/>
    <n v="200"/>
    <n v="118"/>
    <n v="-26.12"/>
    <n v="11.7"/>
    <n v="103.2"/>
    <n v="14.379299999999999"/>
    <n v="126.83280000000001"/>
  </r>
  <r>
    <x v="0"/>
    <x v="3"/>
    <s v="2014_Gatton_Irrigated"/>
    <n v="7"/>
    <n v="1"/>
    <n v="1"/>
    <n v="4"/>
    <x v="10"/>
    <x v="34"/>
    <s v="A100"/>
    <n v="1561"/>
    <n v="724"/>
    <n v="342"/>
    <n v="334"/>
    <n v="162"/>
    <n v="-25.76"/>
    <n v="12.4"/>
    <n v="87.8"/>
    <n v="19.356400000000001"/>
    <n v="137.05579999999998"/>
  </r>
  <r>
    <x v="0"/>
    <x v="3"/>
    <s v="2014_Gatton_Irrigated"/>
    <n v="7"/>
    <n v="2"/>
    <n v="2"/>
    <n v="4"/>
    <x v="6"/>
    <x v="34"/>
    <s v="A100"/>
    <n v="1213"/>
    <n v="593"/>
    <n v="213"/>
    <n v="243"/>
    <n v="164"/>
    <n v="-26.05"/>
    <n v="10.9"/>
    <n v="80.3"/>
    <n v="13.2217"/>
    <n v="97.403899999999993"/>
  </r>
  <r>
    <x v="0"/>
    <x v="3"/>
    <s v="2014_Gatton_Irrigated"/>
    <n v="7"/>
    <n v="3"/>
    <n v="3"/>
    <n v="4"/>
    <x v="7"/>
    <x v="34"/>
    <s v="A100"/>
    <n v="1250"/>
    <n v="620"/>
    <n v="303"/>
    <n v="210"/>
    <n v="118"/>
    <n v="-25.99"/>
    <n v="11.2"/>
    <n v="83.8"/>
    <n v="14"/>
    <n v="104.75"/>
  </r>
  <r>
    <x v="0"/>
    <x v="3"/>
    <s v="2014_Gatton_Irrigated"/>
    <n v="7"/>
    <n v="4"/>
    <n v="4"/>
    <n v="4"/>
    <x v="1"/>
    <x v="35"/>
    <s v="A100"/>
    <n v="1358"/>
    <n v="677"/>
    <n v="257"/>
    <n v="267"/>
    <n v="157"/>
    <n v="-26.29"/>
    <n v="7.3"/>
    <n v="101.2"/>
    <n v="9.9133999999999993"/>
    <n v="137.42959999999999"/>
  </r>
  <r>
    <x v="0"/>
    <x v="3"/>
    <s v="2014_Gatton_Irrigated"/>
    <n v="7"/>
    <n v="5"/>
    <n v="5"/>
    <n v="4"/>
    <x v="2"/>
    <x v="34"/>
    <s v="A100"/>
    <n v="1141"/>
    <n v="577"/>
    <n v="255"/>
    <n v="190"/>
    <n v="120"/>
    <n v="-25.98"/>
    <n v="10.4"/>
    <n v="87.9"/>
    <n v="11.866400000000001"/>
    <n v="100.29390000000001"/>
  </r>
  <r>
    <x v="0"/>
    <x v="3"/>
    <s v="2014_Gatton_Irrigated"/>
    <n v="7"/>
    <n v="6"/>
    <n v="6"/>
    <n v="4"/>
    <x v="8"/>
    <x v="34"/>
    <s v="A100"/>
    <n v="1137"/>
    <n v="590"/>
    <n v="275"/>
    <n v="191"/>
    <n v="80"/>
    <n v="-25.87"/>
    <n v="12.4"/>
    <n v="106.6"/>
    <n v="14.098800000000001"/>
    <n v="121.2042"/>
  </r>
  <r>
    <x v="0"/>
    <x v="3"/>
    <s v="2014_Gatton_Irrigated"/>
    <n v="8"/>
    <n v="6"/>
    <n v="7"/>
    <n v="4"/>
    <x v="9"/>
    <x v="34"/>
    <s v="A100"/>
    <n v="1156"/>
    <n v="572"/>
    <n v="290"/>
    <n v="209"/>
    <n v="84"/>
    <n v="-25.99"/>
    <n v="8.8000000000000007"/>
    <n v="96.2"/>
    <n v="10.172800000000001"/>
    <n v="111.2072"/>
  </r>
  <r>
    <x v="0"/>
    <x v="3"/>
    <s v="2014_Gatton_Irrigated"/>
    <n v="8"/>
    <n v="5"/>
    <n v="8"/>
    <n v="4"/>
    <x v="3"/>
    <x v="34"/>
    <s v="A100"/>
    <n v="1127"/>
    <n v="526"/>
    <n v="271"/>
    <n v="234"/>
    <n v="95"/>
    <n v="-26.07"/>
    <n v="9.1999999999999993"/>
    <n v="83.1"/>
    <n v="10.368399999999999"/>
    <n v="93.653700000000001"/>
  </r>
  <r>
    <x v="0"/>
    <x v="3"/>
    <s v="2014_Gatton_Irrigated"/>
    <n v="8"/>
    <n v="4"/>
    <n v="9"/>
    <n v="4"/>
    <x v="4"/>
    <x v="34"/>
    <s v="A100"/>
    <n v="1054"/>
    <n v="522"/>
    <n v="269"/>
    <n v="133"/>
    <n v="130"/>
    <n v="-26.15"/>
    <n v="14.4"/>
    <n v="71.5"/>
    <n v="15.1776"/>
    <n v="75.361000000000004"/>
  </r>
  <r>
    <x v="0"/>
    <x v="3"/>
    <s v="2014_Gatton_Irrigated"/>
    <n v="8"/>
    <n v="3"/>
    <n v="10"/>
    <n v="4"/>
    <x v="0"/>
    <x v="35"/>
    <s v="A100"/>
    <n v="1400"/>
    <n v="597"/>
    <n v="324"/>
    <n v="237"/>
    <n v="242"/>
    <n v="-26.08"/>
    <n v="13.1"/>
    <n v="85"/>
    <n v="18.34"/>
    <n v="119"/>
  </r>
  <r>
    <x v="0"/>
    <x v="3"/>
    <s v="2014_Gatton_Irrigated"/>
    <n v="8"/>
    <n v="2"/>
    <n v="11"/>
    <n v="4"/>
    <x v="5"/>
    <x v="5"/>
    <s v="A100"/>
    <n v="1113"/>
    <n v="567"/>
    <n v="267"/>
    <n v="194"/>
    <n v="85"/>
    <n v="-26.06"/>
    <n v="13.4"/>
    <n v="91.8"/>
    <n v="14.914200000000001"/>
    <n v="102.1734"/>
  </r>
  <r>
    <x v="0"/>
    <x v="3"/>
    <s v="2014_Gatton_Irrigated"/>
    <n v="8"/>
    <n v="1"/>
    <n v="12"/>
    <n v="4"/>
    <x v="11"/>
    <x v="35"/>
    <s v="A100"/>
    <n v="1221"/>
    <n v="631"/>
    <n v="264"/>
    <n v="210"/>
    <n v="115"/>
    <n v="-25.66"/>
    <n v="10.1"/>
    <n v="129.69999999999999"/>
    <n v="12.332100000000001"/>
    <n v="158.36369999999999"/>
  </r>
  <r>
    <x v="0"/>
    <x v="3"/>
    <s v="2014_Gatton_Irrigated"/>
    <n v="1"/>
    <n v="1"/>
    <n v="1"/>
    <n v="1"/>
    <x v="8"/>
    <x v="36"/>
    <s v="GR100"/>
    <n v="1887"/>
    <n v="653"/>
    <n v="0"/>
    <n v="1063"/>
    <n v="171"/>
    <m/>
    <m/>
    <m/>
    <m/>
    <m/>
  </r>
  <r>
    <x v="0"/>
    <x v="3"/>
    <s v="2014_Gatton_Irrigated"/>
    <n v="1"/>
    <n v="2"/>
    <n v="2"/>
    <n v="1"/>
    <x v="9"/>
    <x v="36"/>
    <s v="GR100"/>
    <n v="1923"/>
    <n v="570"/>
    <n v="0"/>
    <n v="1072"/>
    <n v="282"/>
    <m/>
    <m/>
    <m/>
    <m/>
    <m/>
  </r>
  <r>
    <x v="0"/>
    <x v="3"/>
    <s v="2014_Gatton_Irrigated"/>
    <n v="1"/>
    <n v="3"/>
    <n v="3"/>
    <n v="1"/>
    <x v="11"/>
    <x v="36"/>
    <s v="GR100"/>
    <n v="1876"/>
    <n v="579"/>
    <n v="0"/>
    <n v="1080"/>
    <n v="217"/>
    <m/>
    <m/>
    <m/>
    <m/>
    <m/>
  </r>
  <r>
    <x v="0"/>
    <x v="3"/>
    <s v="2014_Gatton_Irrigated"/>
    <n v="1"/>
    <n v="4"/>
    <n v="4"/>
    <n v="1"/>
    <x v="6"/>
    <x v="36"/>
    <s v="GR100"/>
    <n v="1893"/>
    <n v="573"/>
    <n v="0"/>
    <n v="1160"/>
    <n v="160"/>
    <m/>
    <m/>
    <m/>
    <m/>
    <m/>
  </r>
  <r>
    <x v="0"/>
    <x v="3"/>
    <s v="2014_Gatton_Irrigated"/>
    <n v="1"/>
    <n v="5"/>
    <n v="5"/>
    <n v="1"/>
    <x v="4"/>
    <x v="36"/>
    <s v="GR100"/>
    <n v="1752"/>
    <n v="622"/>
    <n v="0"/>
    <n v="968"/>
    <n v="163"/>
    <m/>
    <m/>
    <m/>
    <m/>
    <m/>
  </r>
  <r>
    <x v="0"/>
    <x v="3"/>
    <s v="2014_Gatton_Irrigated"/>
    <n v="1"/>
    <n v="6"/>
    <n v="6"/>
    <n v="1"/>
    <x v="7"/>
    <x v="36"/>
    <s v="GR100"/>
    <n v="1737"/>
    <n v="601"/>
    <n v="0"/>
    <n v="1037"/>
    <n v="99"/>
    <m/>
    <m/>
    <m/>
    <m/>
    <m/>
  </r>
  <r>
    <x v="0"/>
    <x v="3"/>
    <s v="2014_Gatton_Irrigated"/>
    <n v="2"/>
    <n v="6"/>
    <n v="7"/>
    <n v="1"/>
    <x v="2"/>
    <x v="36"/>
    <s v="GR100"/>
    <n v="1871"/>
    <n v="595"/>
    <n v="0"/>
    <n v="1035"/>
    <n v="241"/>
    <m/>
    <m/>
    <m/>
    <m/>
    <m/>
  </r>
  <r>
    <x v="0"/>
    <x v="3"/>
    <s v="2014_Gatton_Irrigated"/>
    <n v="2"/>
    <n v="5"/>
    <n v="8"/>
    <n v="1"/>
    <x v="5"/>
    <x v="36"/>
    <s v="GR100"/>
    <n v="1609"/>
    <n v="530"/>
    <n v="0"/>
    <n v="1007"/>
    <n v="72"/>
    <m/>
    <m/>
    <m/>
    <m/>
    <m/>
  </r>
  <r>
    <x v="0"/>
    <x v="3"/>
    <s v="2014_Gatton_Irrigated"/>
    <n v="2"/>
    <n v="4"/>
    <n v="9"/>
    <n v="1"/>
    <x v="3"/>
    <x v="36"/>
    <s v="GR100"/>
    <n v="1865"/>
    <n v="559"/>
    <n v="0"/>
    <n v="1214"/>
    <n v="92"/>
    <m/>
    <m/>
    <m/>
    <m/>
    <m/>
  </r>
  <r>
    <x v="0"/>
    <x v="3"/>
    <s v="2014_Gatton_Irrigated"/>
    <n v="2"/>
    <n v="3"/>
    <n v="10"/>
    <n v="1"/>
    <x v="1"/>
    <x v="36"/>
    <s v="GR100"/>
    <n v="1710"/>
    <n v="562"/>
    <n v="0"/>
    <n v="1048"/>
    <n v="100"/>
    <m/>
    <m/>
    <m/>
    <m/>
    <m/>
  </r>
  <r>
    <x v="0"/>
    <x v="3"/>
    <s v="2014_Gatton_Irrigated"/>
    <n v="2"/>
    <n v="2"/>
    <n v="11"/>
    <n v="1"/>
    <x v="10"/>
    <x v="36"/>
    <s v="GR100"/>
    <n v="1911"/>
    <n v="552"/>
    <n v="0"/>
    <n v="1217"/>
    <n v="142"/>
    <m/>
    <m/>
    <m/>
    <m/>
    <m/>
  </r>
  <r>
    <x v="0"/>
    <x v="3"/>
    <s v="2014_Gatton_Irrigated"/>
    <n v="2"/>
    <n v="1"/>
    <n v="12"/>
    <n v="1"/>
    <x v="0"/>
    <x v="36"/>
    <s v="GR100"/>
    <n v="1735"/>
    <n v="522"/>
    <n v="0"/>
    <n v="1082"/>
    <n v="131"/>
    <m/>
    <m/>
    <m/>
    <m/>
    <m/>
  </r>
  <r>
    <x v="0"/>
    <x v="3"/>
    <s v="2014_Gatton_Irrigated"/>
    <n v="3"/>
    <n v="1"/>
    <n v="1"/>
    <n v="2"/>
    <x v="2"/>
    <x v="36"/>
    <s v="GR100"/>
    <n v="1639"/>
    <n v="590"/>
    <n v="0"/>
    <n v="931"/>
    <n v="117"/>
    <m/>
    <m/>
    <m/>
    <m/>
    <m/>
  </r>
  <r>
    <x v="0"/>
    <x v="3"/>
    <s v="2014_Gatton_Irrigated"/>
    <n v="3"/>
    <n v="2"/>
    <n v="2"/>
    <n v="2"/>
    <x v="3"/>
    <x v="36"/>
    <s v="GR100"/>
    <n v="1901"/>
    <n v="582"/>
    <n v="0"/>
    <n v="1205"/>
    <n v="114"/>
    <m/>
    <m/>
    <m/>
    <m/>
    <m/>
  </r>
  <r>
    <x v="0"/>
    <x v="3"/>
    <s v="2014_Gatton_Irrigated"/>
    <n v="3"/>
    <n v="3"/>
    <n v="3"/>
    <n v="2"/>
    <x v="10"/>
    <x v="36"/>
    <s v="GR100"/>
    <n v="2004"/>
    <n v="546"/>
    <n v="0"/>
    <n v="1300"/>
    <n v="158"/>
    <m/>
    <m/>
    <m/>
    <m/>
    <m/>
  </r>
  <r>
    <x v="0"/>
    <x v="3"/>
    <s v="2014_Gatton_Irrigated"/>
    <n v="3"/>
    <n v="4"/>
    <n v="4"/>
    <n v="2"/>
    <x v="5"/>
    <x v="36"/>
    <s v="GR100"/>
    <n v="1797"/>
    <n v="598"/>
    <n v="0"/>
    <n v="1127"/>
    <n v="72"/>
    <m/>
    <m/>
    <m/>
    <m/>
    <m/>
  </r>
  <r>
    <x v="0"/>
    <x v="3"/>
    <s v="2014_Gatton_Irrigated"/>
    <n v="3"/>
    <n v="5"/>
    <n v="5"/>
    <n v="2"/>
    <x v="1"/>
    <x v="36"/>
    <s v="GR100"/>
    <n v="1922"/>
    <n v="690"/>
    <n v="0"/>
    <n v="1123"/>
    <n v="108"/>
    <m/>
    <m/>
    <m/>
    <m/>
    <m/>
  </r>
  <r>
    <x v="0"/>
    <x v="3"/>
    <s v="2014_Gatton_Irrigated"/>
    <n v="3"/>
    <n v="6"/>
    <n v="6"/>
    <n v="2"/>
    <x v="0"/>
    <x v="36"/>
    <s v="GR100"/>
    <n v="1914"/>
    <n v="579"/>
    <n v="0"/>
    <n v="1166"/>
    <n v="169"/>
    <m/>
    <m/>
    <m/>
    <m/>
    <m/>
  </r>
  <r>
    <x v="0"/>
    <x v="3"/>
    <s v="2014_Gatton_Irrigated"/>
    <n v="4"/>
    <n v="6"/>
    <n v="7"/>
    <n v="2"/>
    <x v="6"/>
    <x v="36"/>
    <s v="GR100"/>
    <n v="1773"/>
    <n v="587"/>
    <n v="0"/>
    <n v="1081"/>
    <n v="105"/>
    <m/>
    <m/>
    <m/>
    <m/>
    <m/>
  </r>
  <r>
    <x v="0"/>
    <x v="3"/>
    <s v="2014_Gatton_Irrigated"/>
    <n v="4"/>
    <n v="5"/>
    <n v="8"/>
    <n v="2"/>
    <x v="9"/>
    <x v="36"/>
    <s v="GR100"/>
    <n v="1890"/>
    <n v="633"/>
    <n v="0"/>
    <n v="1112"/>
    <n v="145"/>
    <m/>
    <m/>
    <m/>
    <m/>
    <m/>
  </r>
  <r>
    <x v="0"/>
    <x v="3"/>
    <s v="2014_Gatton_Irrigated"/>
    <n v="4"/>
    <n v="4"/>
    <n v="9"/>
    <n v="2"/>
    <x v="7"/>
    <x v="36"/>
    <s v="GR100"/>
    <n v="1912"/>
    <n v="657"/>
    <n v="0"/>
    <n v="1123"/>
    <n v="132"/>
    <m/>
    <m/>
    <m/>
    <m/>
    <m/>
  </r>
  <r>
    <x v="0"/>
    <x v="3"/>
    <s v="2014_Gatton_Irrigated"/>
    <n v="4"/>
    <n v="3"/>
    <n v="10"/>
    <n v="2"/>
    <x v="8"/>
    <x v="36"/>
    <s v="GR100"/>
    <n v="1837"/>
    <n v="609"/>
    <n v="0"/>
    <n v="1131"/>
    <n v="96"/>
    <m/>
    <m/>
    <m/>
    <m/>
    <m/>
  </r>
  <r>
    <x v="0"/>
    <x v="3"/>
    <s v="2014_Gatton_Irrigated"/>
    <n v="4"/>
    <n v="2"/>
    <n v="11"/>
    <n v="2"/>
    <x v="4"/>
    <x v="36"/>
    <s v="GR100"/>
    <n v="1710"/>
    <n v="635"/>
    <n v="0"/>
    <n v="975"/>
    <n v="101"/>
    <m/>
    <m/>
    <m/>
    <m/>
    <m/>
  </r>
  <r>
    <x v="0"/>
    <x v="3"/>
    <s v="2014_Gatton_Irrigated"/>
    <n v="4"/>
    <n v="1"/>
    <n v="12"/>
    <n v="2"/>
    <x v="11"/>
    <x v="36"/>
    <s v="GR100"/>
    <n v="1882"/>
    <n v="578"/>
    <n v="0"/>
    <n v="1049"/>
    <n v="255"/>
    <m/>
    <m/>
    <m/>
    <m/>
    <m/>
  </r>
  <r>
    <x v="0"/>
    <x v="3"/>
    <s v="2014_Gatton_Irrigated"/>
    <n v="5"/>
    <n v="1"/>
    <n v="1"/>
    <n v="3"/>
    <x v="3"/>
    <x v="36"/>
    <s v="GR100"/>
    <n v="1779"/>
    <n v="573"/>
    <n v="0"/>
    <n v="1073"/>
    <n v="133"/>
    <m/>
    <m/>
    <m/>
    <m/>
    <m/>
  </r>
  <r>
    <x v="0"/>
    <x v="3"/>
    <s v="2014_Gatton_Irrigated"/>
    <n v="5"/>
    <n v="2"/>
    <n v="2"/>
    <n v="3"/>
    <x v="8"/>
    <x v="36"/>
    <s v="GR100"/>
    <n v="1559"/>
    <n v="511"/>
    <n v="0"/>
    <n v="940"/>
    <n v="107"/>
    <m/>
    <m/>
    <m/>
    <m/>
    <m/>
  </r>
  <r>
    <x v="0"/>
    <x v="3"/>
    <s v="2014_Gatton_Irrigated"/>
    <n v="5"/>
    <n v="3"/>
    <n v="3"/>
    <n v="3"/>
    <x v="5"/>
    <x v="36"/>
    <s v="GR100"/>
    <n v="1701"/>
    <n v="563"/>
    <n v="0"/>
    <n v="1027"/>
    <n v="111"/>
    <m/>
    <m/>
    <m/>
    <m/>
    <m/>
  </r>
  <r>
    <x v="0"/>
    <x v="3"/>
    <s v="2014_Gatton_Irrigated"/>
    <n v="5"/>
    <n v="4"/>
    <n v="4"/>
    <n v="3"/>
    <x v="9"/>
    <x v="36"/>
    <s v="GR100"/>
    <n v="2027"/>
    <n v="603"/>
    <n v="0"/>
    <n v="1224"/>
    <n v="200"/>
    <m/>
    <m/>
    <m/>
    <m/>
    <m/>
  </r>
  <r>
    <x v="0"/>
    <x v="3"/>
    <s v="2014_Gatton_Irrigated"/>
    <n v="5"/>
    <n v="5"/>
    <n v="5"/>
    <n v="3"/>
    <x v="0"/>
    <x v="36"/>
    <s v="GR100"/>
    <n v="1890"/>
    <n v="528"/>
    <n v="0"/>
    <n v="1103"/>
    <n v="258"/>
    <m/>
    <m/>
    <m/>
    <m/>
    <m/>
  </r>
  <r>
    <x v="0"/>
    <x v="3"/>
    <s v="2014_Gatton_Irrigated"/>
    <n v="5"/>
    <n v="6"/>
    <n v="6"/>
    <n v="3"/>
    <x v="11"/>
    <x v="36"/>
    <s v="GR100"/>
    <n v="1867"/>
    <n v="564"/>
    <n v="0"/>
    <n v="1123"/>
    <n v="180"/>
    <m/>
    <m/>
    <m/>
    <m/>
    <m/>
  </r>
  <r>
    <x v="0"/>
    <x v="3"/>
    <s v="2014_Gatton_Irrigated"/>
    <n v="6"/>
    <n v="6"/>
    <n v="7"/>
    <n v="3"/>
    <x v="10"/>
    <x v="36"/>
    <s v="GR100"/>
    <n v="1825"/>
    <n v="541"/>
    <n v="0"/>
    <n v="1158"/>
    <n v="126"/>
    <m/>
    <m/>
    <m/>
    <m/>
    <m/>
  </r>
  <r>
    <x v="0"/>
    <x v="3"/>
    <s v="2014_Gatton_Irrigated"/>
    <n v="6"/>
    <n v="5"/>
    <n v="8"/>
    <n v="3"/>
    <x v="4"/>
    <x v="36"/>
    <s v="GR100"/>
    <n v="1561"/>
    <n v="539"/>
    <n v="0"/>
    <n v="896"/>
    <n v="126"/>
    <m/>
    <m/>
    <m/>
    <m/>
    <m/>
  </r>
  <r>
    <x v="0"/>
    <x v="3"/>
    <s v="2014_Gatton_Irrigated"/>
    <n v="6"/>
    <n v="4"/>
    <n v="9"/>
    <n v="3"/>
    <x v="2"/>
    <x v="36"/>
    <s v="GR100"/>
    <n v="1466"/>
    <n v="522"/>
    <n v="0"/>
    <n v="832"/>
    <n v="112"/>
    <m/>
    <m/>
    <m/>
    <m/>
    <m/>
  </r>
  <r>
    <x v="0"/>
    <x v="3"/>
    <s v="2014_Gatton_Irrigated"/>
    <n v="6"/>
    <n v="3"/>
    <n v="10"/>
    <n v="3"/>
    <x v="6"/>
    <x v="36"/>
    <s v="GR100"/>
    <n v="1690"/>
    <n v="535"/>
    <n v="0"/>
    <n v="1043"/>
    <n v="111"/>
    <m/>
    <m/>
    <m/>
    <m/>
    <m/>
  </r>
  <r>
    <x v="0"/>
    <x v="3"/>
    <s v="2014_Gatton_Irrigated"/>
    <n v="6"/>
    <n v="2"/>
    <n v="11"/>
    <n v="3"/>
    <x v="1"/>
    <x v="36"/>
    <s v="GR100"/>
    <n v="1753"/>
    <n v="565"/>
    <n v="0"/>
    <n v="1092"/>
    <n v="96"/>
    <m/>
    <m/>
    <m/>
    <m/>
    <m/>
  </r>
  <r>
    <x v="0"/>
    <x v="3"/>
    <s v="2014_Gatton_Irrigated"/>
    <n v="6"/>
    <n v="1"/>
    <n v="12"/>
    <n v="3"/>
    <x v="7"/>
    <x v="36"/>
    <s v="GR100"/>
    <n v="1648"/>
    <n v="551"/>
    <n v="0"/>
    <n v="958"/>
    <n v="140"/>
    <m/>
    <m/>
    <m/>
    <m/>
    <m/>
  </r>
  <r>
    <x v="0"/>
    <x v="3"/>
    <s v="2014_Gatton_Irrigated"/>
    <n v="7"/>
    <n v="1"/>
    <n v="1"/>
    <n v="4"/>
    <x v="10"/>
    <x v="36"/>
    <s v="GR100"/>
    <n v="1643"/>
    <n v="475"/>
    <n v="0"/>
    <n v="1088"/>
    <n v="80"/>
    <m/>
    <m/>
    <m/>
    <m/>
    <m/>
  </r>
  <r>
    <x v="0"/>
    <x v="3"/>
    <s v="2014_Gatton_Irrigated"/>
    <n v="7"/>
    <n v="2"/>
    <n v="2"/>
    <n v="4"/>
    <x v="6"/>
    <x v="36"/>
    <s v="GR100"/>
    <n v="1872"/>
    <n v="581"/>
    <n v="0"/>
    <n v="1177"/>
    <n v="115"/>
    <m/>
    <m/>
    <m/>
    <m/>
    <m/>
  </r>
  <r>
    <x v="0"/>
    <x v="3"/>
    <s v="2014_Gatton_Irrigated"/>
    <n v="7"/>
    <n v="3"/>
    <n v="3"/>
    <n v="4"/>
    <x v="7"/>
    <x v="36"/>
    <s v="GR100"/>
    <n v="1753"/>
    <n v="580"/>
    <n v="0"/>
    <n v="1062"/>
    <n v="110"/>
    <m/>
    <m/>
    <m/>
    <m/>
    <m/>
  </r>
  <r>
    <x v="0"/>
    <x v="3"/>
    <s v="2014_Gatton_Irrigated"/>
    <n v="7"/>
    <n v="4"/>
    <n v="4"/>
    <n v="4"/>
    <x v="1"/>
    <x v="36"/>
    <s v="GR100"/>
    <n v="1699"/>
    <n v="582"/>
    <n v="0"/>
    <n v="1031"/>
    <n v="86"/>
    <m/>
    <m/>
    <m/>
    <m/>
    <m/>
  </r>
  <r>
    <x v="0"/>
    <x v="3"/>
    <s v="2014_Gatton_Irrigated"/>
    <n v="7"/>
    <n v="5"/>
    <n v="5"/>
    <n v="4"/>
    <x v="2"/>
    <x v="36"/>
    <s v="GR100"/>
    <n v="1732"/>
    <n v="572"/>
    <n v="0"/>
    <n v="1040"/>
    <n v="120"/>
    <m/>
    <m/>
    <m/>
    <m/>
    <m/>
  </r>
  <r>
    <x v="0"/>
    <x v="3"/>
    <s v="2014_Gatton_Irrigated"/>
    <n v="7"/>
    <n v="6"/>
    <n v="6"/>
    <n v="4"/>
    <x v="8"/>
    <x v="36"/>
    <s v="GR100"/>
    <n v="1634"/>
    <n v="527"/>
    <n v="0"/>
    <n v="1021"/>
    <n v="86"/>
    <m/>
    <m/>
    <m/>
    <m/>
    <m/>
  </r>
  <r>
    <x v="0"/>
    <x v="3"/>
    <s v="2014_Gatton_Irrigated"/>
    <n v="8"/>
    <n v="6"/>
    <n v="7"/>
    <n v="4"/>
    <x v="9"/>
    <x v="36"/>
    <s v="GR100"/>
    <n v="1995"/>
    <n v="679"/>
    <n v="0"/>
    <n v="1178"/>
    <n v="139"/>
    <m/>
    <m/>
    <m/>
    <m/>
    <m/>
  </r>
  <r>
    <x v="0"/>
    <x v="3"/>
    <s v="2014_Gatton_Irrigated"/>
    <n v="8"/>
    <n v="5"/>
    <n v="8"/>
    <n v="4"/>
    <x v="3"/>
    <x v="36"/>
    <s v="GR100"/>
    <n v="1845"/>
    <n v="515"/>
    <n v="0"/>
    <n v="1158"/>
    <n v="172"/>
    <m/>
    <m/>
    <m/>
    <m/>
    <m/>
  </r>
  <r>
    <x v="0"/>
    <x v="3"/>
    <s v="2014_Gatton_Irrigated"/>
    <n v="8"/>
    <n v="4"/>
    <n v="9"/>
    <n v="4"/>
    <x v="4"/>
    <x v="36"/>
    <s v="GR100"/>
    <n v="1772"/>
    <n v="623"/>
    <n v="0"/>
    <n v="1039"/>
    <n v="110"/>
    <m/>
    <m/>
    <m/>
    <m/>
    <m/>
  </r>
  <r>
    <x v="0"/>
    <x v="3"/>
    <s v="2014_Gatton_Irrigated"/>
    <n v="8"/>
    <n v="3"/>
    <n v="10"/>
    <n v="4"/>
    <x v="0"/>
    <x v="36"/>
    <s v="GR100"/>
    <n v="2037"/>
    <n v="664"/>
    <n v="0"/>
    <n v="1218"/>
    <n v="155"/>
    <m/>
    <m/>
    <m/>
    <m/>
    <m/>
  </r>
  <r>
    <x v="0"/>
    <x v="3"/>
    <s v="2014_Gatton_Irrigated"/>
    <n v="8"/>
    <n v="2"/>
    <n v="11"/>
    <n v="4"/>
    <x v="5"/>
    <x v="36"/>
    <s v="GR100"/>
    <n v="1698"/>
    <n v="527"/>
    <n v="0"/>
    <n v="1080"/>
    <n v="92"/>
    <m/>
    <m/>
    <m/>
    <m/>
    <m/>
  </r>
  <r>
    <x v="0"/>
    <x v="3"/>
    <s v="2014_Gatton_Irrigated"/>
    <n v="8"/>
    <n v="1"/>
    <n v="12"/>
    <n v="4"/>
    <x v="11"/>
    <x v="36"/>
    <s v="GR100"/>
    <n v="1832"/>
    <n v="626"/>
    <n v="0"/>
    <n v="1066"/>
    <n v="140"/>
    <m/>
    <m/>
    <m/>
    <m/>
    <m/>
  </r>
  <r>
    <x v="0"/>
    <x v="4"/>
    <s v="2014_Gatton_Dryland"/>
    <n v="1"/>
    <n v="1"/>
    <n v="1"/>
    <n v="1"/>
    <x v="1"/>
    <x v="23"/>
    <s v="N0"/>
    <n v="126"/>
    <n v="43"/>
    <n v="83"/>
    <m/>
    <n v="0"/>
    <n v="-25.38"/>
    <n v="48.4"/>
    <n v="21.5"/>
    <n v="6.0983999999999998"/>
    <n v="2.7090000000000001"/>
  </r>
  <r>
    <x v="0"/>
    <x v="4"/>
    <s v="2014_Gatton_Dryland"/>
    <n v="1"/>
    <n v="2"/>
    <n v="2"/>
    <n v="1"/>
    <x v="2"/>
    <x v="23"/>
    <s v="N0"/>
    <n v="150"/>
    <n v="55"/>
    <n v="95"/>
    <m/>
    <n v="0"/>
    <n v="-25.35"/>
    <n v="48.9"/>
    <n v="40.5"/>
    <n v="7.335"/>
    <n v="6.0750000000000002"/>
  </r>
  <r>
    <x v="0"/>
    <x v="4"/>
    <s v="2014_Gatton_Dryland"/>
    <n v="1"/>
    <n v="3"/>
    <n v="3"/>
    <n v="1"/>
    <x v="10"/>
    <x v="23"/>
    <s v="N0"/>
    <n v="148"/>
    <n v="52"/>
    <n v="97"/>
    <m/>
    <n v="0"/>
    <n v="-25.54"/>
    <n v="49.9"/>
    <n v="40.6"/>
    <n v="7.3852000000000002"/>
    <n v="6.0087999999999999"/>
  </r>
  <r>
    <x v="0"/>
    <x v="4"/>
    <s v="2014_Gatton_Dryland"/>
    <n v="1"/>
    <n v="4"/>
    <n v="4"/>
    <n v="1"/>
    <x v="7"/>
    <x v="23"/>
    <s v="N0"/>
    <n v="141"/>
    <n v="54"/>
    <n v="87"/>
    <m/>
    <n v="0"/>
    <n v="-25.45"/>
    <n v="46"/>
    <n v="34.6"/>
    <n v="6.4859999999999998"/>
    <n v="4.8786000000000005"/>
  </r>
  <r>
    <x v="0"/>
    <x v="4"/>
    <s v="2014_Gatton_Dryland"/>
    <n v="1"/>
    <n v="5"/>
    <n v="5"/>
    <n v="1"/>
    <x v="3"/>
    <x v="23"/>
    <s v="N0"/>
    <n v="165"/>
    <n v="56"/>
    <n v="109"/>
    <m/>
    <n v="0"/>
    <n v="-25.82"/>
    <n v="52.5"/>
    <n v="22.3"/>
    <n v="8.6624999999999996"/>
    <n v="3.6795"/>
  </r>
  <r>
    <x v="0"/>
    <x v="4"/>
    <s v="2014_Gatton_Dryland"/>
    <n v="1"/>
    <n v="6"/>
    <n v="6"/>
    <n v="1"/>
    <x v="11"/>
    <x v="23"/>
    <s v="N0"/>
    <n v="93"/>
    <n v="32"/>
    <n v="61"/>
    <m/>
    <n v="0"/>
    <n v="-26.03"/>
    <n v="50.7"/>
    <n v="28.3"/>
    <n v="4.7151000000000005"/>
    <n v="2.6318999999999999"/>
  </r>
  <r>
    <x v="0"/>
    <x v="4"/>
    <s v="2014_Gatton_Dryland"/>
    <n v="2"/>
    <n v="6"/>
    <n v="7"/>
    <n v="1"/>
    <x v="8"/>
    <x v="23"/>
    <s v="N0"/>
    <n v="184"/>
    <n v="66"/>
    <n v="118"/>
    <m/>
    <n v="0"/>
    <n v="-25.47"/>
    <n v="46.1"/>
    <n v="55.4"/>
    <n v="8.4824000000000002"/>
    <n v="10.1936"/>
  </r>
  <r>
    <x v="0"/>
    <x v="4"/>
    <s v="2014_Gatton_Dryland"/>
    <n v="2"/>
    <n v="5"/>
    <n v="8"/>
    <n v="1"/>
    <x v="0"/>
    <x v="23"/>
    <s v="N0"/>
    <n v="179"/>
    <n v="58"/>
    <n v="121"/>
    <m/>
    <n v="0"/>
    <n v="-25.16"/>
    <n v="44.9"/>
    <n v="44.2"/>
    <n v="8.0370999999999988"/>
    <n v="7.9118000000000004"/>
  </r>
  <r>
    <x v="0"/>
    <x v="4"/>
    <s v="2014_Gatton_Dryland"/>
    <n v="2"/>
    <n v="4"/>
    <n v="9"/>
    <n v="1"/>
    <x v="4"/>
    <x v="23"/>
    <s v="N0"/>
    <n v="183"/>
    <n v="69"/>
    <n v="115"/>
    <m/>
    <n v="0"/>
    <n v="-25.87"/>
    <n v="50.2"/>
    <n v="27.6"/>
    <n v="9.1866000000000003"/>
    <n v="5.0508000000000006"/>
  </r>
  <r>
    <x v="0"/>
    <x v="4"/>
    <s v="2014_Gatton_Dryland"/>
    <n v="2"/>
    <n v="3"/>
    <n v="10"/>
    <n v="1"/>
    <x v="6"/>
    <x v="23"/>
    <s v="N0"/>
    <n v="204"/>
    <n v="71"/>
    <n v="133"/>
    <m/>
    <n v="0"/>
    <n v="-25.78"/>
    <n v="49.3"/>
    <n v="34.200000000000003"/>
    <n v="10.057199999999998"/>
    <n v="6.9767999999999999"/>
  </r>
  <r>
    <x v="0"/>
    <x v="4"/>
    <s v="2014_Gatton_Dryland"/>
    <n v="2"/>
    <n v="2"/>
    <n v="11"/>
    <n v="1"/>
    <x v="5"/>
    <x v="23"/>
    <s v="N0"/>
    <n v="140"/>
    <n v="59"/>
    <n v="80"/>
    <m/>
    <n v="0"/>
    <n v="-25.82"/>
    <n v="44"/>
    <n v="47.4"/>
    <n v="6.16"/>
    <n v="6.6360000000000001"/>
  </r>
  <r>
    <x v="0"/>
    <x v="4"/>
    <s v="2014_Gatton_Dryland"/>
    <n v="2"/>
    <n v="1"/>
    <n v="12"/>
    <n v="1"/>
    <x v="9"/>
    <x v="23"/>
    <s v="N0"/>
    <n v="154"/>
    <n v="62"/>
    <n v="91"/>
    <m/>
    <n v="0"/>
    <n v="-25.55"/>
    <n v="43.9"/>
    <n v="60"/>
    <n v="6.7605999999999993"/>
    <n v="9.24"/>
  </r>
  <r>
    <x v="0"/>
    <x v="4"/>
    <s v="2014_Gatton_Dryland"/>
    <n v="3"/>
    <n v="1"/>
    <n v="1"/>
    <n v="2"/>
    <x v="5"/>
    <x v="23"/>
    <s v="N0"/>
    <n v="150"/>
    <n v="64"/>
    <n v="87"/>
    <m/>
    <n v="0"/>
    <n v="-25.87"/>
    <n v="45.4"/>
    <n v="41.7"/>
    <n v="6.81"/>
    <n v="6.2549999999999999"/>
  </r>
  <r>
    <x v="0"/>
    <x v="4"/>
    <s v="2014_Gatton_Dryland"/>
    <n v="3"/>
    <n v="2"/>
    <n v="2"/>
    <n v="2"/>
    <x v="11"/>
    <x v="23"/>
    <s v="N0"/>
    <n v="115"/>
    <n v="40"/>
    <n v="76"/>
    <m/>
    <n v="0"/>
    <n v="-26.05"/>
    <n v="48.4"/>
    <n v="45"/>
    <n v="5.5659999999999998"/>
    <n v="5.1749999999999998"/>
  </r>
  <r>
    <x v="0"/>
    <x v="4"/>
    <s v="2014_Gatton_Dryland"/>
    <n v="3"/>
    <n v="3"/>
    <n v="3"/>
    <n v="2"/>
    <x v="9"/>
    <x v="23"/>
    <s v="N0"/>
    <n v="168"/>
    <n v="64"/>
    <n v="104"/>
    <m/>
    <n v="0"/>
    <n v="-25.49"/>
    <n v="46.8"/>
    <n v="59"/>
    <n v="7.8624000000000001"/>
    <n v="9.9120000000000008"/>
  </r>
  <r>
    <x v="0"/>
    <x v="4"/>
    <s v="2014_Gatton_Dryland"/>
    <n v="3"/>
    <n v="4"/>
    <n v="4"/>
    <n v="2"/>
    <x v="10"/>
    <x v="23"/>
    <s v="N0"/>
    <n v="180"/>
    <n v="57"/>
    <n v="123"/>
    <m/>
    <n v="0"/>
    <n v="-25.8"/>
    <n v="53.3"/>
    <n v="39.200000000000003"/>
    <n v="9.5939999999999994"/>
    <n v="7.0560000000000009"/>
  </r>
  <r>
    <x v="0"/>
    <x v="4"/>
    <s v="2014_Gatton_Dryland"/>
    <n v="3"/>
    <n v="5"/>
    <n v="5"/>
    <n v="2"/>
    <x v="4"/>
    <x v="23"/>
    <s v="N0"/>
    <n v="162"/>
    <n v="57"/>
    <n v="105"/>
    <m/>
    <n v="0"/>
    <n v="-25.23"/>
    <n v="46.5"/>
    <n v="44.7"/>
    <n v="7.5330000000000004"/>
    <n v="7.2414000000000005"/>
  </r>
  <r>
    <x v="0"/>
    <x v="4"/>
    <s v="2014_Gatton_Dryland"/>
    <n v="3"/>
    <n v="6"/>
    <n v="6"/>
    <n v="2"/>
    <x v="0"/>
    <x v="23"/>
    <s v="N0"/>
    <n v="193"/>
    <n v="59"/>
    <n v="134"/>
    <m/>
    <n v="0"/>
    <n v="-25.56"/>
    <n v="47.4"/>
    <n v="50.8"/>
    <n v="9.1481999999999992"/>
    <n v="9.8043999999999993"/>
  </r>
  <r>
    <x v="0"/>
    <x v="4"/>
    <s v="2014_Gatton_Dryland"/>
    <n v="4"/>
    <n v="6"/>
    <n v="7"/>
    <n v="2"/>
    <x v="7"/>
    <x v="23"/>
    <s v="N0"/>
    <n v="153"/>
    <n v="58"/>
    <n v="95"/>
    <m/>
    <n v="0"/>
    <n v="-25.99"/>
    <n v="47.7"/>
    <n v="42.7"/>
    <n v="7.2981000000000007"/>
    <n v="6.5331000000000001"/>
  </r>
  <r>
    <x v="0"/>
    <x v="4"/>
    <s v="2014_Gatton_Dryland"/>
    <n v="4"/>
    <n v="5"/>
    <n v="8"/>
    <n v="2"/>
    <x v="2"/>
    <x v="23"/>
    <s v="N0"/>
    <n v="185"/>
    <n v="65"/>
    <n v="120"/>
    <m/>
    <n v="0"/>
    <n v="-25.68"/>
    <n v="45.6"/>
    <n v="45.7"/>
    <n v="8.4359999999999999"/>
    <n v="8.4544999999999995"/>
  </r>
  <r>
    <x v="0"/>
    <x v="4"/>
    <s v="2014_Gatton_Dryland"/>
    <n v="4"/>
    <n v="4"/>
    <n v="9"/>
    <n v="2"/>
    <x v="1"/>
    <x v="23"/>
    <s v="N0"/>
    <n v="144"/>
    <n v="47"/>
    <n v="96"/>
    <m/>
    <n v="0"/>
    <n v="-25.5"/>
    <n v="47.1"/>
    <n v="39.299999999999997"/>
    <n v="6.7824000000000009"/>
    <n v="5.6592000000000002"/>
  </r>
  <r>
    <x v="0"/>
    <x v="4"/>
    <s v="2014_Gatton_Dryland"/>
    <n v="4"/>
    <n v="3"/>
    <n v="10"/>
    <n v="2"/>
    <x v="8"/>
    <x v="23"/>
    <s v="N0"/>
    <n v="159"/>
    <n v="59"/>
    <n v="100"/>
    <m/>
    <n v="0"/>
    <n v="-25.55"/>
    <n v="47.7"/>
    <n v="60.4"/>
    <n v="7.5842999999999998"/>
    <n v="9.6036000000000001"/>
  </r>
  <r>
    <x v="0"/>
    <x v="4"/>
    <s v="2014_Gatton_Dryland"/>
    <n v="4"/>
    <n v="2"/>
    <n v="11"/>
    <n v="2"/>
    <x v="6"/>
    <x v="23"/>
    <s v="N0"/>
    <n v="155"/>
    <n v="54"/>
    <n v="101"/>
    <m/>
    <n v="0"/>
    <n v="-25.52"/>
    <n v="44.8"/>
    <n v="36.1"/>
    <n v="6.944"/>
    <n v="5.5955000000000004"/>
  </r>
  <r>
    <x v="0"/>
    <x v="4"/>
    <s v="2014_Gatton_Dryland"/>
    <n v="4"/>
    <n v="1"/>
    <n v="12"/>
    <n v="2"/>
    <x v="3"/>
    <x v="23"/>
    <s v="N0"/>
    <n v="168"/>
    <n v="58"/>
    <n v="110"/>
    <m/>
    <n v="0"/>
    <n v="-25.84"/>
    <n v="47.7"/>
    <n v="43.3"/>
    <n v="8.0136000000000003"/>
    <n v="7.2744"/>
  </r>
  <r>
    <x v="0"/>
    <x v="4"/>
    <s v="2014_Gatton_Dryland"/>
    <n v="5"/>
    <n v="1"/>
    <n v="1"/>
    <n v="3"/>
    <x v="8"/>
    <x v="23"/>
    <s v="N0"/>
    <n v="125"/>
    <n v="46"/>
    <n v="80"/>
    <m/>
    <n v="0"/>
    <n v="-25.43"/>
    <n v="49.8"/>
    <n v="30.1"/>
    <n v="6.2249999999999996"/>
    <n v="3.7625000000000002"/>
  </r>
  <r>
    <x v="0"/>
    <x v="4"/>
    <s v="2014_Gatton_Dryland"/>
    <n v="5"/>
    <n v="2"/>
    <n v="2"/>
    <n v="3"/>
    <x v="1"/>
    <x v="23"/>
    <s v="N0"/>
    <n v="131"/>
    <n v="44"/>
    <n v="87"/>
    <m/>
    <n v="0"/>
    <n v="-24.95"/>
    <n v="47.6"/>
    <n v="26.9"/>
    <n v="6.2356000000000007"/>
    <n v="3.5238999999999998"/>
  </r>
  <r>
    <x v="0"/>
    <x v="4"/>
    <s v="2014_Gatton_Dryland"/>
    <n v="5"/>
    <n v="3"/>
    <n v="3"/>
    <n v="3"/>
    <x v="4"/>
    <x v="23"/>
    <s v="N0"/>
    <n v="119"/>
    <n v="44"/>
    <n v="75"/>
    <m/>
    <n v="0"/>
    <n v="-24.81"/>
    <n v="47.1"/>
    <n v="33.1"/>
    <n v="5.6049000000000007"/>
    <n v="3.9389000000000003"/>
  </r>
  <r>
    <x v="0"/>
    <x v="4"/>
    <s v="2014_Gatton_Dryland"/>
    <n v="5"/>
    <n v="4"/>
    <n v="4"/>
    <n v="3"/>
    <x v="5"/>
    <x v="23"/>
    <s v="N0"/>
    <n v="159"/>
    <n v="69"/>
    <n v="89"/>
    <m/>
    <n v="0"/>
    <n v="-25.56"/>
    <n v="41.6"/>
    <n v="41.2"/>
    <n v="6.6144000000000007"/>
    <n v="6.5508000000000006"/>
  </r>
  <r>
    <x v="0"/>
    <x v="4"/>
    <s v="2014_Gatton_Dryland"/>
    <n v="5"/>
    <n v="5"/>
    <n v="5"/>
    <n v="3"/>
    <x v="10"/>
    <x v="23"/>
    <s v="N0"/>
    <n v="167"/>
    <n v="58"/>
    <n v="109"/>
    <m/>
    <n v="0"/>
    <n v="-25.21"/>
    <n v="49.7"/>
    <n v="47.1"/>
    <n v="8.2998999999999992"/>
    <n v="7.8656999999999995"/>
  </r>
  <r>
    <x v="0"/>
    <x v="4"/>
    <s v="2014_Gatton_Dryland"/>
    <n v="5"/>
    <n v="6"/>
    <n v="6"/>
    <n v="3"/>
    <x v="3"/>
    <x v="23"/>
    <s v="N0"/>
    <n v="137"/>
    <n v="46"/>
    <n v="91"/>
    <m/>
    <n v="0"/>
    <n v="-24.51"/>
    <n v="43.1"/>
    <n v="45.3"/>
    <n v="5.9047000000000001"/>
    <n v="6.2060999999999993"/>
  </r>
  <r>
    <x v="0"/>
    <x v="4"/>
    <s v="2014_Gatton_Dryland"/>
    <n v="6"/>
    <n v="6"/>
    <n v="7"/>
    <n v="3"/>
    <x v="9"/>
    <x v="23"/>
    <s v="N0"/>
    <n v="141"/>
    <n v="53"/>
    <n v="88"/>
    <m/>
    <n v="0"/>
    <n v="-24.89"/>
    <n v="43.3"/>
    <n v="65.099999999999994"/>
    <n v="6.1052999999999988"/>
    <n v="9.1790999999999983"/>
  </r>
  <r>
    <x v="0"/>
    <x v="4"/>
    <s v="2014_Gatton_Dryland"/>
    <n v="6"/>
    <n v="5"/>
    <n v="8"/>
    <n v="3"/>
    <x v="6"/>
    <x v="23"/>
    <s v="N0"/>
    <n v="178"/>
    <n v="65"/>
    <n v="112"/>
    <m/>
    <n v="0"/>
    <n v="-25.29"/>
    <n v="42.6"/>
    <n v="63.4"/>
    <n v="7.5827999999999998"/>
    <n v="11.2852"/>
  </r>
  <r>
    <x v="0"/>
    <x v="4"/>
    <s v="2014_Gatton_Dryland"/>
    <n v="6"/>
    <n v="4"/>
    <n v="9"/>
    <n v="3"/>
    <x v="2"/>
    <x v="23"/>
    <s v="N0"/>
    <n v="169"/>
    <n v="61"/>
    <n v="108"/>
    <m/>
    <n v="0"/>
    <n v="-25.36"/>
    <n v="42.9"/>
    <n v="40.1"/>
    <n v="7.2500999999999998"/>
    <n v="6.7769000000000004"/>
  </r>
  <r>
    <x v="0"/>
    <x v="4"/>
    <s v="2014_Gatton_Dryland"/>
    <n v="6"/>
    <n v="3"/>
    <n v="10"/>
    <n v="3"/>
    <x v="11"/>
    <x v="23"/>
    <s v="N0"/>
    <n v="97"/>
    <n v="36"/>
    <n v="62"/>
    <m/>
    <n v="0"/>
    <n v="-25.38"/>
    <n v="38.9"/>
    <n v="54.9"/>
    <n v="3.7732999999999999"/>
    <n v="5.3253000000000004"/>
  </r>
  <r>
    <x v="0"/>
    <x v="4"/>
    <s v="2014_Gatton_Dryland"/>
    <n v="6"/>
    <n v="2"/>
    <n v="11"/>
    <n v="3"/>
    <x v="0"/>
    <x v="23"/>
    <s v="N0"/>
    <n v="163"/>
    <n v="51"/>
    <n v="111"/>
    <m/>
    <n v="0"/>
    <n v="-25.03"/>
    <n v="42.3"/>
    <n v="48.4"/>
    <n v="6.8948999999999998"/>
    <n v="7.8891999999999998"/>
  </r>
  <r>
    <x v="0"/>
    <x v="4"/>
    <s v="2014_Gatton_Dryland"/>
    <n v="6"/>
    <n v="1"/>
    <n v="12"/>
    <n v="3"/>
    <x v="7"/>
    <x v="23"/>
    <s v="N0"/>
    <n v="121"/>
    <n v="48"/>
    <n v="74"/>
    <m/>
    <n v="0"/>
    <n v="-25.63"/>
    <n v="44.9"/>
    <n v="41"/>
    <n v="5.4329000000000001"/>
    <n v="4.9610000000000003"/>
  </r>
  <r>
    <x v="0"/>
    <x v="4"/>
    <s v="2014_Gatton_Dryland"/>
    <n v="7"/>
    <n v="1"/>
    <n v="1"/>
    <n v="4"/>
    <x v="11"/>
    <x v="23"/>
    <s v="N0"/>
    <n v="115"/>
    <n v="41"/>
    <n v="74"/>
    <m/>
    <n v="0"/>
    <n v="-25.22"/>
    <n v="42"/>
    <n v="55.5"/>
    <n v="4.83"/>
    <n v="6.3825000000000003"/>
  </r>
  <r>
    <x v="0"/>
    <x v="4"/>
    <s v="2014_Gatton_Dryland"/>
    <n v="7"/>
    <n v="2"/>
    <n v="2"/>
    <n v="4"/>
    <x v="10"/>
    <x v="23"/>
    <s v="N0"/>
    <n v="166"/>
    <n v="59"/>
    <n v="106"/>
    <m/>
    <n v="0"/>
    <n v="-25.37"/>
    <n v="40.6"/>
    <n v="60.1"/>
    <n v="6.7396000000000003"/>
    <n v="9.9766000000000012"/>
  </r>
  <r>
    <x v="0"/>
    <x v="4"/>
    <s v="2014_Gatton_Dryland"/>
    <n v="7"/>
    <n v="3"/>
    <n v="3"/>
    <n v="4"/>
    <x v="0"/>
    <x v="23"/>
    <s v="N0"/>
    <n v="159"/>
    <n v="51"/>
    <n v="108"/>
    <m/>
    <n v="0"/>
    <n v="-25.01"/>
    <n v="44.2"/>
    <n v="54.2"/>
    <n v="7.0278"/>
    <n v="8.6178000000000008"/>
  </r>
  <r>
    <x v="0"/>
    <x v="4"/>
    <s v="2014_Gatton_Dryland"/>
    <n v="7"/>
    <n v="4"/>
    <n v="4"/>
    <n v="4"/>
    <x v="9"/>
    <x v="23"/>
    <s v="N0"/>
    <n v="176"/>
    <n v="69"/>
    <n v="107"/>
    <m/>
    <n v="0"/>
    <n v="-25.18"/>
    <n v="39.799999999999997"/>
    <n v="69.5"/>
    <n v="7.0047999999999995"/>
    <n v="12.231999999999999"/>
  </r>
  <r>
    <x v="0"/>
    <x v="4"/>
    <s v="2014_Gatton_Dryland"/>
    <n v="7"/>
    <n v="5"/>
    <n v="5"/>
    <n v="4"/>
    <x v="7"/>
    <x v="23"/>
    <s v="N0"/>
    <n v="163"/>
    <n v="61"/>
    <n v="102"/>
    <m/>
    <n v="0"/>
    <n v="-25.49"/>
    <n v="42.6"/>
    <n v="50"/>
    <n v="6.9438000000000004"/>
    <n v="8.15"/>
  </r>
  <r>
    <x v="0"/>
    <x v="4"/>
    <s v="2014_Gatton_Dryland"/>
    <n v="7"/>
    <n v="6"/>
    <n v="6"/>
    <n v="4"/>
    <x v="1"/>
    <x v="23"/>
    <s v="N0"/>
    <n v="128"/>
    <n v="44"/>
    <n v="84"/>
    <m/>
    <n v="0"/>
    <n v="-25.37"/>
    <n v="46.7"/>
    <n v="43.3"/>
    <n v="5.9776000000000007"/>
    <n v="5.5423999999999998"/>
  </r>
  <r>
    <x v="0"/>
    <x v="4"/>
    <s v="2014_Gatton_Dryland"/>
    <n v="8"/>
    <n v="6"/>
    <n v="7"/>
    <n v="4"/>
    <x v="6"/>
    <x v="23"/>
    <s v="N0"/>
    <n v="209"/>
    <n v="75"/>
    <n v="133"/>
    <m/>
    <n v="0"/>
    <n v="-25.07"/>
    <n v="36.1"/>
    <n v="82"/>
    <n v="7.5449000000000002"/>
    <n v="17.138000000000002"/>
  </r>
  <r>
    <x v="0"/>
    <x v="4"/>
    <s v="2014_Gatton_Dryland"/>
    <n v="8"/>
    <n v="5"/>
    <n v="8"/>
    <n v="4"/>
    <x v="5"/>
    <x v="23"/>
    <s v="N0"/>
    <n v="153"/>
    <n v="67"/>
    <n v="86"/>
    <m/>
    <n v="0"/>
    <n v="-25.73"/>
    <n v="37.700000000000003"/>
    <n v="64.599999999999994"/>
    <n v="5.7681000000000004"/>
    <n v="9.883799999999999"/>
  </r>
  <r>
    <x v="0"/>
    <x v="4"/>
    <s v="2014_Gatton_Dryland"/>
    <n v="8"/>
    <n v="4"/>
    <n v="9"/>
    <n v="4"/>
    <x v="3"/>
    <x v="23"/>
    <s v="N0"/>
    <n v="162"/>
    <n v="55"/>
    <n v="107"/>
    <m/>
    <n v="0"/>
    <n v="-25.26"/>
    <n v="46"/>
    <n v="55.6"/>
    <n v="7.452"/>
    <n v="9.007200000000001"/>
  </r>
  <r>
    <x v="0"/>
    <x v="4"/>
    <s v="2014_Gatton_Dryland"/>
    <n v="8"/>
    <n v="3"/>
    <n v="10"/>
    <n v="4"/>
    <x v="2"/>
    <x v="23"/>
    <s v="N0"/>
    <n v="168"/>
    <n v="58"/>
    <n v="110"/>
    <m/>
    <n v="0"/>
    <n v="-25.39"/>
    <n v="45.1"/>
    <n v="54.8"/>
    <n v="7.5768000000000004"/>
    <n v="9.2064000000000004"/>
  </r>
  <r>
    <x v="0"/>
    <x v="4"/>
    <s v="2014_Gatton_Dryland"/>
    <n v="8"/>
    <n v="2"/>
    <n v="11"/>
    <n v="4"/>
    <x v="8"/>
    <x v="23"/>
    <s v="N0"/>
    <n v="161"/>
    <n v="62"/>
    <n v="99"/>
    <m/>
    <n v="0"/>
    <n v="-25.25"/>
    <n v="38.6"/>
    <n v="70.7"/>
    <n v="6.2146000000000008"/>
    <n v="11.382700000000002"/>
  </r>
  <r>
    <x v="0"/>
    <x v="4"/>
    <s v="2014_Gatton_Dryland"/>
    <n v="8"/>
    <n v="1"/>
    <n v="12"/>
    <n v="4"/>
    <x v="4"/>
    <x v="23"/>
    <s v="N0"/>
    <n v="123"/>
    <n v="46"/>
    <n v="77"/>
    <m/>
    <n v="0"/>
    <n v="-25.71"/>
    <n v="45.7"/>
    <n v="62.7"/>
    <n v="5.6211000000000002"/>
    <n v="7.7121000000000004"/>
  </r>
  <r>
    <x v="0"/>
    <x v="4"/>
    <s v="2014_Gatton_Dryland"/>
    <n v="1"/>
    <n v="1"/>
    <n v="1"/>
    <n v="1"/>
    <x v="1"/>
    <x v="32"/>
    <s v="N2"/>
    <n v="402"/>
    <n v="161"/>
    <n v="203"/>
    <m/>
    <n v="39"/>
    <m/>
    <m/>
    <m/>
    <m/>
    <m/>
  </r>
  <r>
    <x v="0"/>
    <x v="4"/>
    <s v="2014_Gatton_Dryland"/>
    <n v="1"/>
    <n v="2"/>
    <n v="2"/>
    <n v="1"/>
    <x v="2"/>
    <x v="30"/>
    <s v="N2"/>
    <n v="514"/>
    <n v="221"/>
    <n v="265"/>
    <m/>
    <n v="27"/>
    <m/>
    <m/>
    <m/>
    <m/>
    <m/>
  </r>
  <r>
    <x v="0"/>
    <x v="4"/>
    <s v="2014_Gatton_Dryland"/>
    <n v="1"/>
    <n v="3"/>
    <n v="3"/>
    <n v="1"/>
    <x v="10"/>
    <x v="30"/>
    <s v="N2"/>
    <n v="419"/>
    <n v="164"/>
    <n v="225"/>
    <m/>
    <n v="30"/>
    <m/>
    <m/>
    <m/>
    <m/>
    <m/>
  </r>
  <r>
    <x v="0"/>
    <x v="4"/>
    <s v="2014_Gatton_Dryland"/>
    <n v="1"/>
    <n v="4"/>
    <n v="4"/>
    <n v="1"/>
    <x v="7"/>
    <x v="31"/>
    <s v="N2"/>
    <n v="193"/>
    <n v="67"/>
    <n v="124"/>
    <m/>
    <n v="2"/>
    <m/>
    <m/>
    <m/>
    <m/>
    <m/>
  </r>
  <r>
    <x v="0"/>
    <x v="4"/>
    <s v="2014_Gatton_Dryland"/>
    <n v="1"/>
    <n v="5"/>
    <n v="5"/>
    <n v="1"/>
    <x v="3"/>
    <x v="30"/>
    <s v="N2"/>
    <n v="468"/>
    <n v="221"/>
    <n v="226"/>
    <m/>
    <n v="21"/>
    <m/>
    <m/>
    <m/>
    <m/>
    <m/>
  </r>
  <r>
    <x v="0"/>
    <x v="4"/>
    <s v="2014_Gatton_Dryland"/>
    <n v="1"/>
    <n v="6"/>
    <n v="6"/>
    <n v="1"/>
    <x v="11"/>
    <x v="30"/>
    <s v="N2"/>
    <n v="298"/>
    <n v="108"/>
    <n v="184"/>
    <m/>
    <n v="7"/>
    <m/>
    <m/>
    <m/>
    <m/>
    <m/>
  </r>
  <r>
    <x v="0"/>
    <x v="4"/>
    <s v="2014_Gatton_Dryland"/>
    <n v="2"/>
    <n v="6"/>
    <n v="7"/>
    <n v="1"/>
    <x v="8"/>
    <x v="30"/>
    <s v="N2"/>
    <n v="402"/>
    <n v="171"/>
    <n v="196"/>
    <m/>
    <n v="35"/>
    <m/>
    <m/>
    <m/>
    <m/>
    <m/>
  </r>
  <r>
    <x v="0"/>
    <x v="4"/>
    <s v="2014_Gatton_Dryland"/>
    <n v="2"/>
    <n v="5"/>
    <n v="8"/>
    <n v="1"/>
    <x v="0"/>
    <x v="32"/>
    <s v="N2"/>
    <n v="468"/>
    <n v="159"/>
    <n v="268"/>
    <m/>
    <n v="41"/>
    <m/>
    <m/>
    <m/>
    <m/>
    <m/>
  </r>
  <r>
    <x v="0"/>
    <x v="4"/>
    <s v="2014_Gatton_Dryland"/>
    <n v="2"/>
    <n v="4"/>
    <n v="9"/>
    <n v="1"/>
    <x v="4"/>
    <x v="30"/>
    <s v="N2"/>
    <n v="435"/>
    <n v="191"/>
    <n v="214"/>
    <m/>
    <n v="30"/>
    <m/>
    <m/>
    <m/>
    <m/>
    <m/>
  </r>
  <r>
    <x v="0"/>
    <x v="4"/>
    <s v="2014_Gatton_Dryland"/>
    <n v="2"/>
    <n v="3"/>
    <n v="10"/>
    <n v="1"/>
    <x v="6"/>
    <x v="30"/>
    <s v="N2"/>
    <n v="485"/>
    <n v="200"/>
    <n v="259"/>
    <m/>
    <n v="26"/>
    <m/>
    <m/>
    <m/>
    <m/>
    <m/>
  </r>
  <r>
    <x v="0"/>
    <x v="4"/>
    <s v="2014_Gatton_Dryland"/>
    <n v="2"/>
    <n v="2"/>
    <n v="11"/>
    <n v="1"/>
    <x v="5"/>
    <x v="31"/>
    <s v="N2"/>
    <n v="239"/>
    <n v="98"/>
    <n v="136"/>
    <m/>
    <n v="4"/>
    <m/>
    <m/>
    <m/>
    <m/>
    <m/>
  </r>
  <r>
    <x v="0"/>
    <x v="4"/>
    <s v="2014_Gatton_Dryland"/>
    <n v="2"/>
    <n v="1"/>
    <n v="12"/>
    <n v="1"/>
    <x v="9"/>
    <x v="30"/>
    <s v="N2"/>
    <n v="453"/>
    <n v="206"/>
    <n v="234"/>
    <m/>
    <n v="13"/>
    <m/>
    <m/>
    <m/>
    <m/>
    <m/>
  </r>
  <r>
    <x v="0"/>
    <x v="4"/>
    <s v="2014_Gatton_Dryland"/>
    <n v="3"/>
    <n v="1"/>
    <n v="1"/>
    <n v="2"/>
    <x v="5"/>
    <x v="31"/>
    <s v="N2"/>
    <n v="194"/>
    <n v="79"/>
    <n v="111"/>
    <m/>
    <n v="4"/>
    <m/>
    <m/>
    <m/>
    <m/>
    <m/>
  </r>
  <r>
    <x v="0"/>
    <x v="4"/>
    <s v="2014_Gatton_Dryland"/>
    <n v="3"/>
    <n v="2"/>
    <n v="2"/>
    <n v="2"/>
    <x v="11"/>
    <x v="30"/>
    <s v="N2"/>
    <n v="344"/>
    <n v="138"/>
    <n v="195"/>
    <m/>
    <n v="11"/>
    <m/>
    <m/>
    <m/>
    <m/>
    <m/>
  </r>
  <r>
    <x v="0"/>
    <x v="4"/>
    <s v="2014_Gatton_Dryland"/>
    <n v="3"/>
    <n v="3"/>
    <n v="3"/>
    <n v="2"/>
    <x v="9"/>
    <x v="30"/>
    <s v="N2"/>
    <n v="512"/>
    <n v="218"/>
    <n v="275"/>
    <m/>
    <n v="19"/>
    <m/>
    <m/>
    <m/>
    <m/>
    <m/>
  </r>
  <r>
    <x v="0"/>
    <x v="4"/>
    <s v="2014_Gatton_Dryland"/>
    <n v="3"/>
    <n v="4"/>
    <n v="4"/>
    <n v="2"/>
    <x v="10"/>
    <x v="30"/>
    <s v="N2"/>
    <n v="388"/>
    <n v="157"/>
    <n v="202"/>
    <m/>
    <n v="29"/>
    <m/>
    <m/>
    <m/>
    <m/>
    <m/>
  </r>
  <r>
    <x v="0"/>
    <x v="4"/>
    <s v="2014_Gatton_Dryland"/>
    <n v="3"/>
    <n v="5"/>
    <n v="5"/>
    <n v="2"/>
    <x v="4"/>
    <x v="30"/>
    <s v="N2"/>
    <n v="475"/>
    <n v="190"/>
    <n v="251"/>
    <m/>
    <n v="34"/>
    <m/>
    <m/>
    <m/>
    <m/>
    <m/>
  </r>
  <r>
    <x v="0"/>
    <x v="4"/>
    <s v="2014_Gatton_Dryland"/>
    <n v="3"/>
    <n v="6"/>
    <n v="6"/>
    <n v="2"/>
    <x v="0"/>
    <x v="32"/>
    <s v="N2"/>
    <n v="570"/>
    <n v="226"/>
    <n v="303"/>
    <m/>
    <n v="42"/>
    <m/>
    <m/>
    <m/>
    <m/>
    <m/>
  </r>
  <r>
    <x v="0"/>
    <x v="4"/>
    <s v="2014_Gatton_Dryland"/>
    <n v="4"/>
    <n v="6"/>
    <n v="7"/>
    <n v="2"/>
    <x v="7"/>
    <x v="31"/>
    <s v="N2"/>
    <n v="248"/>
    <n v="90"/>
    <n v="154"/>
    <m/>
    <n v="4"/>
    <m/>
    <m/>
    <m/>
    <m/>
    <m/>
  </r>
  <r>
    <x v="0"/>
    <x v="4"/>
    <s v="2014_Gatton_Dryland"/>
    <n v="4"/>
    <n v="5"/>
    <n v="8"/>
    <n v="2"/>
    <x v="2"/>
    <x v="30"/>
    <s v="N2"/>
    <n v="421"/>
    <n v="181"/>
    <n v="215"/>
    <m/>
    <n v="25"/>
    <m/>
    <m/>
    <m/>
    <m/>
    <m/>
  </r>
  <r>
    <x v="0"/>
    <x v="4"/>
    <s v="2014_Gatton_Dryland"/>
    <n v="4"/>
    <n v="4"/>
    <n v="9"/>
    <n v="2"/>
    <x v="1"/>
    <x v="32"/>
    <s v="N2"/>
    <n v="484"/>
    <n v="190"/>
    <n v="255"/>
    <m/>
    <n v="39"/>
    <m/>
    <m/>
    <m/>
    <m/>
    <m/>
  </r>
  <r>
    <x v="0"/>
    <x v="4"/>
    <s v="2014_Gatton_Dryland"/>
    <n v="4"/>
    <n v="3"/>
    <n v="10"/>
    <n v="2"/>
    <x v="8"/>
    <x v="30"/>
    <s v="N2"/>
    <n v="441"/>
    <n v="190"/>
    <n v="220"/>
    <m/>
    <n v="31"/>
    <m/>
    <m/>
    <m/>
    <m/>
    <m/>
  </r>
  <r>
    <x v="0"/>
    <x v="4"/>
    <s v="2014_Gatton_Dryland"/>
    <n v="4"/>
    <n v="2"/>
    <n v="11"/>
    <n v="2"/>
    <x v="6"/>
    <x v="30"/>
    <s v="N2"/>
    <n v="482"/>
    <n v="214"/>
    <n v="241"/>
    <m/>
    <n v="27"/>
    <m/>
    <m/>
    <m/>
    <m/>
    <m/>
  </r>
  <r>
    <x v="0"/>
    <x v="4"/>
    <s v="2014_Gatton_Dryland"/>
    <n v="4"/>
    <n v="1"/>
    <n v="12"/>
    <n v="2"/>
    <x v="3"/>
    <x v="30"/>
    <s v="N2"/>
    <n v="421"/>
    <n v="176"/>
    <n v="222"/>
    <m/>
    <n v="23"/>
    <m/>
    <m/>
    <m/>
    <m/>
    <m/>
  </r>
  <r>
    <x v="0"/>
    <x v="4"/>
    <s v="2014_Gatton_Dryland"/>
    <n v="5"/>
    <n v="1"/>
    <n v="1"/>
    <n v="3"/>
    <x v="8"/>
    <x v="30"/>
    <s v="N2"/>
    <n v="382"/>
    <n v="170"/>
    <n v="188"/>
    <m/>
    <n v="24"/>
    <m/>
    <m/>
    <m/>
    <m/>
    <m/>
  </r>
  <r>
    <x v="0"/>
    <x v="4"/>
    <s v="2014_Gatton_Dryland"/>
    <n v="5"/>
    <n v="2"/>
    <n v="2"/>
    <n v="3"/>
    <x v="1"/>
    <x v="32"/>
    <s v="N2"/>
    <n v="399"/>
    <n v="166"/>
    <n v="197"/>
    <m/>
    <n v="36"/>
    <m/>
    <m/>
    <m/>
    <m/>
    <m/>
  </r>
  <r>
    <x v="0"/>
    <x v="4"/>
    <s v="2014_Gatton_Dryland"/>
    <n v="5"/>
    <n v="3"/>
    <n v="3"/>
    <n v="3"/>
    <x v="4"/>
    <x v="30"/>
    <s v="N2"/>
    <n v="491"/>
    <n v="214"/>
    <n v="252"/>
    <m/>
    <n v="26"/>
    <m/>
    <m/>
    <m/>
    <m/>
    <m/>
  </r>
  <r>
    <x v="0"/>
    <x v="4"/>
    <s v="2014_Gatton_Dryland"/>
    <n v="5"/>
    <n v="4"/>
    <n v="4"/>
    <n v="3"/>
    <x v="5"/>
    <x v="31"/>
    <s v="N2"/>
    <n v="220"/>
    <n v="94"/>
    <n v="124"/>
    <m/>
    <n v="2"/>
    <m/>
    <m/>
    <m/>
    <m/>
    <m/>
  </r>
  <r>
    <x v="0"/>
    <x v="4"/>
    <s v="2014_Gatton_Dryland"/>
    <n v="5"/>
    <n v="5"/>
    <n v="5"/>
    <n v="3"/>
    <x v="10"/>
    <x v="30"/>
    <s v="N2"/>
    <n v="349"/>
    <n v="140"/>
    <n v="189"/>
    <m/>
    <n v="21"/>
    <m/>
    <m/>
    <m/>
    <m/>
    <m/>
  </r>
  <r>
    <x v="0"/>
    <x v="4"/>
    <s v="2014_Gatton_Dryland"/>
    <n v="5"/>
    <n v="6"/>
    <n v="6"/>
    <n v="3"/>
    <x v="3"/>
    <x v="30"/>
    <s v="N2"/>
    <n v="397"/>
    <n v="175"/>
    <n v="206"/>
    <m/>
    <n v="16"/>
    <m/>
    <m/>
    <m/>
    <m/>
    <m/>
  </r>
  <r>
    <x v="0"/>
    <x v="4"/>
    <s v="2014_Gatton_Dryland"/>
    <n v="6"/>
    <n v="6"/>
    <n v="7"/>
    <n v="3"/>
    <x v="9"/>
    <x v="30"/>
    <s v="N2"/>
    <n v="357"/>
    <n v="156"/>
    <n v="193"/>
    <m/>
    <n v="7"/>
    <m/>
    <m/>
    <m/>
    <m/>
    <m/>
  </r>
  <r>
    <x v="0"/>
    <x v="4"/>
    <s v="2014_Gatton_Dryland"/>
    <n v="6"/>
    <n v="5"/>
    <n v="8"/>
    <n v="3"/>
    <x v="6"/>
    <x v="30"/>
    <s v="N2"/>
    <n v="452"/>
    <n v="196"/>
    <n v="232"/>
    <m/>
    <n v="24"/>
    <m/>
    <m/>
    <m/>
    <m/>
    <m/>
  </r>
  <r>
    <x v="0"/>
    <x v="4"/>
    <s v="2014_Gatton_Dryland"/>
    <n v="6"/>
    <n v="4"/>
    <n v="9"/>
    <n v="3"/>
    <x v="2"/>
    <x v="30"/>
    <s v="N2"/>
    <n v="400"/>
    <n v="177"/>
    <n v="196"/>
    <m/>
    <n v="27"/>
    <m/>
    <m/>
    <m/>
    <m/>
    <m/>
  </r>
  <r>
    <x v="0"/>
    <x v="4"/>
    <s v="2014_Gatton_Dryland"/>
    <n v="6"/>
    <n v="3"/>
    <n v="10"/>
    <n v="3"/>
    <x v="11"/>
    <x v="30"/>
    <s v="N2"/>
    <n v="316"/>
    <n v="122"/>
    <n v="186"/>
    <m/>
    <n v="8"/>
    <m/>
    <m/>
    <m/>
    <m/>
    <m/>
  </r>
  <r>
    <x v="0"/>
    <x v="4"/>
    <s v="2014_Gatton_Dryland"/>
    <n v="6"/>
    <n v="2"/>
    <n v="11"/>
    <n v="3"/>
    <x v="0"/>
    <x v="32"/>
    <s v="N2"/>
    <n v="542"/>
    <n v="304"/>
    <n v="213"/>
    <m/>
    <n v="25"/>
    <m/>
    <m/>
    <m/>
    <m/>
    <m/>
  </r>
  <r>
    <x v="0"/>
    <x v="4"/>
    <s v="2014_Gatton_Dryland"/>
    <n v="6"/>
    <n v="1"/>
    <n v="12"/>
    <n v="3"/>
    <x v="7"/>
    <x v="31"/>
    <s v="N2"/>
    <n v="215"/>
    <n v="77"/>
    <n v="134"/>
    <m/>
    <n v="3"/>
    <m/>
    <m/>
    <m/>
    <m/>
    <m/>
  </r>
  <r>
    <x v="0"/>
    <x v="4"/>
    <s v="2014_Gatton_Dryland"/>
    <n v="7"/>
    <n v="1"/>
    <n v="1"/>
    <n v="4"/>
    <x v="11"/>
    <x v="30"/>
    <s v="N2"/>
    <n v="346"/>
    <n v="147"/>
    <n v="189"/>
    <m/>
    <n v="10"/>
    <m/>
    <m/>
    <m/>
    <m/>
    <m/>
  </r>
  <r>
    <x v="0"/>
    <x v="4"/>
    <s v="2014_Gatton_Dryland"/>
    <n v="7"/>
    <n v="2"/>
    <n v="2"/>
    <n v="4"/>
    <x v="10"/>
    <x v="30"/>
    <s v="N2"/>
    <n v="408"/>
    <n v="187"/>
    <n v="197"/>
    <m/>
    <n v="24"/>
    <m/>
    <m/>
    <m/>
    <m/>
    <m/>
  </r>
  <r>
    <x v="0"/>
    <x v="4"/>
    <s v="2014_Gatton_Dryland"/>
    <n v="7"/>
    <n v="3"/>
    <n v="3"/>
    <n v="4"/>
    <x v="0"/>
    <x v="32"/>
    <s v="N2"/>
    <n v="602"/>
    <n v="225"/>
    <n v="318"/>
    <m/>
    <n v="60"/>
    <m/>
    <m/>
    <m/>
    <m/>
    <m/>
  </r>
  <r>
    <x v="0"/>
    <x v="4"/>
    <s v="2014_Gatton_Dryland"/>
    <n v="7"/>
    <n v="4"/>
    <n v="4"/>
    <n v="4"/>
    <x v="9"/>
    <x v="30"/>
    <s v="N2"/>
    <n v="488"/>
    <n v="216"/>
    <n v="250"/>
    <m/>
    <n v="22"/>
    <m/>
    <m/>
    <m/>
    <m/>
    <m/>
  </r>
  <r>
    <x v="0"/>
    <x v="4"/>
    <s v="2014_Gatton_Dryland"/>
    <n v="7"/>
    <n v="5"/>
    <n v="5"/>
    <n v="4"/>
    <x v="7"/>
    <x v="31"/>
    <s v="N2"/>
    <n v="221"/>
    <n v="81"/>
    <n v="136"/>
    <m/>
    <n v="3"/>
    <m/>
    <m/>
    <m/>
    <m/>
    <m/>
  </r>
  <r>
    <x v="0"/>
    <x v="4"/>
    <s v="2014_Gatton_Dryland"/>
    <n v="7"/>
    <n v="6"/>
    <n v="6"/>
    <n v="4"/>
    <x v="1"/>
    <x v="32"/>
    <s v="N2"/>
    <n v="452"/>
    <n v="184"/>
    <n v="228"/>
    <m/>
    <n v="40"/>
    <m/>
    <m/>
    <m/>
    <m/>
    <m/>
  </r>
  <r>
    <x v="0"/>
    <x v="4"/>
    <s v="2014_Gatton_Dryland"/>
    <n v="8"/>
    <n v="6"/>
    <n v="7"/>
    <n v="4"/>
    <x v="6"/>
    <x v="30"/>
    <s v="N2"/>
    <n v="539"/>
    <n v="236"/>
    <n v="255"/>
    <m/>
    <n v="48"/>
    <m/>
    <m/>
    <m/>
    <m/>
    <m/>
  </r>
  <r>
    <x v="0"/>
    <x v="4"/>
    <s v="2014_Gatton_Dryland"/>
    <n v="8"/>
    <n v="5"/>
    <n v="8"/>
    <n v="4"/>
    <x v="5"/>
    <x v="31"/>
    <s v="N2"/>
    <n v="243"/>
    <n v="107"/>
    <n v="132"/>
    <m/>
    <n v="4"/>
    <m/>
    <m/>
    <m/>
    <m/>
    <m/>
  </r>
  <r>
    <x v="0"/>
    <x v="4"/>
    <s v="2014_Gatton_Dryland"/>
    <n v="8"/>
    <n v="4"/>
    <n v="9"/>
    <n v="4"/>
    <x v="3"/>
    <x v="30"/>
    <s v="N2"/>
    <n v="414"/>
    <n v="188"/>
    <n v="209"/>
    <m/>
    <n v="17"/>
    <m/>
    <m/>
    <m/>
    <m/>
    <m/>
  </r>
  <r>
    <x v="0"/>
    <x v="4"/>
    <s v="2014_Gatton_Dryland"/>
    <n v="8"/>
    <n v="3"/>
    <n v="10"/>
    <n v="4"/>
    <x v="2"/>
    <x v="30"/>
    <s v="N2"/>
    <n v="487"/>
    <n v="208"/>
    <n v="234"/>
    <m/>
    <n v="45"/>
    <m/>
    <m/>
    <m/>
    <m/>
    <m/>
  </r>
  <r>
    <x v="0"/>
    <x v="4"/>
    <s v="2014_Gatton_Dryland"/>
    <n v="8"/>
    <n v="2"/>
    <n v="11"/>
    <n v="4"/>
    <x v="8"/>
    <x v="30"/>
    <s v="N2"/>
    <n v="428"/>
    <n v="189"/>
    <n v="207"/>
    <m/>
    <n v="31"/>
    <m/>
    <m/>
    <m/>
    <m/>
    <m/>
  </r>
  <r>
    <x v="0"/>
    <x v="4"/>
    <s v="2014_Gatton_Dryland"/>
    <n v="8"/>
    <n v="1"/>
    <n v="12"/>
    <n v="4"/>
    <x v="4"/>
    <x v="30"/>
    <s v="N2"/>
    <n v="468"/>
    <n v="220"/>
    <n v="225"/>
    <m/>
    <n v="24"/>
    <m/>
    <m/>
    <m/>
    <m/>
    <m/>
  </r>
  <r>
    <x v="0"/>
    <x v="4"/>
    <s v="2014_Gatton_Dryland"/>
    <n v="1"/>
    <n v="1"/>
    <n v="1"/>
    <n v="1"/>
    <x v="1"/>
    <x v="33"/>
    <s v="F1"/>
    <n v="612"/>
    <n v="319"/>
    <n v="231"/>
    <m/>
    <n v="62"/>
    <n v="-25.46"/>
    <n v="27"/>
    <n v="82.9"/>
    <n v="16.524000000000001"/>
    <n v="50.7348"/>
  </r>
  <r>
    <x v="0"/>
    <x v="4"/>
    <s v="2014_Gatton_Dryland"/>
    <n v="1"/>
    <n v="2"/>
    <n v="2"/>
    <n v="1"/>
    <x v="2"/>
    <x v="33"/>
    <s v="F1"/>
    <n v="692"/>
    <n v="374"/>
    <n v="232"/>
    <n v="13"/>
    <n v="73"/>
    <n v="-25.37"/>
    <n v="23.4"/>
    <n v="110.2"/>
    <n v="16.192799999999998"/>
    <n v="76.258400000000009"/>
  </r>
  <r>
    <x v="0"/>
    <x v="4"/>
    <s v="2014_Gatton_Dryland"/>
    <n v="1"/>
    <n v="3"/>
    <n v="3"/>
    <n v="1"/>
    <x v="10"/>
    <x v="33"/>
    <s v="F1"/>
    <n v="639"/>
    <n v="300"/>
    <n v="250"/>
    <n v="30"/>
    <n v="59"/>
    <n v="-25.21"/>
    <n v="27.7"/>
    <n v="95.8"/>
    <n v="17.700299999999999"/>
    <n v="61.216200000000001"/>
  </r>
  <r>
    <x v="0"/>
    <x v="4"/>
    <s v="2014_Gatton_Dryland"/>
    <n v="1"/>
    <n v="4"/>
    <n v="4"/>
    <n v="1"/>
    <x v="7"/>
    <x v="32"/>
    <s v="F1"/>
    <n v="456"/>
    <n v="217"/>
    <n v="213"/>
    <m/>
    <n v="26"/>
    <m/>
    <m/>
    <m/>
    <m/>
    <m/>
  </r>
  <r>
    <x v="0"/>
    <x v="4"/>
    <s v="2014_Gatton_Dryland"/>
    <n v="1"/>
    <n v="5"/>
    <n v="5"/>
    <n v="1"/>
    <x v="3"/>
    <x v="33"/>
    <s v="F1"/>
    <n v="708"/>
    <n v="387"/>
    <n v="209"/>
    <n v="72"/>
    <n v="39"/>
    <n v="-25.15"/>
    <n v="22.3"/>
    <n v="96.2"/>
    <n v="15.788399999999999"/>
    <n v="68.1096"/>
  </r>
  <r>
    <x v="0"/>
    <x v="4"/>
    <s v="2014_Gatton_Dryland"/>
    <n v="1"/>
    <n v="6"/>
    <n v="6"/>
    <n v="1"/>
    <x v="11"/>
    <x v="33"/>
    <s v="F1"/>
    <n v="497"/>
    <n v="261"/>
    <n v="224"/>
    <m/>
    <n v="13"/>
    <n v="-25.04"/>
    <n v="29.2"/>
    <n v="107.1"/>
    <n v="14.5124"/>
    <n v="53.228699999999996"/>
  </r>
  <r>
    <x v="0"/>
    <x v="4"/>
    <s v="2014_Gatton_Dryland"/>
    <n v="2"/>
    <n v="6"/>
    <n v="7"/>
    <n v="1"/>
    <x v="8"/>
    <x v="33"/>
    <s v="F1"/>
    <n v="647"/>
    <n v="344"/>
    <n v="215"/>
    <n v="13"/>
    <n v="74"/>
    <n v="-25.28"/>
    <n v="22.7"/>
    <n v="88.4"/>
    <n v="14.6869"/>
    <n v="57.194800000000001"/>
  </r>
  <r>
    <x v="0"/>
    <x v="4"/>
    <s v="2014_Gatton_Dryland"/>
    <n v="2"/>
    <n v="5"/>
    <n v="8"/>
    <n v="1"/>
    <x v="0"/>
    <x v="33"/>
    <s v="F1"/>
    <n v="658"/>
    <n v="312"/>
    <n v="277"/>
    <m/>
    <n v="69"/>
    <n v="-25.01"/>
    <n v="29.1"/>
    <n v="90.4"/>
    <n v="19.1478"/>
    <n v="59.483200000000004"/>
  </r>
  <r>
    <x v="0"/>
    <x v="4"/>
    <s v="2014_Gatton_Dryland"/>
    <n v="2"/>
    <n v="4"/>
    <n v="9"/>
    <n v="1"/>
    <x v="4"/>
    <x v="33"/>
    <s v="F1"/>
    <n v="596"/>
    <n v="345"/>
    <n v="221"/>
    <n v="7"/>
    <n v="23"/>
    <n v="-25.4"/>
    <n v="27.2"/>
    <n v="112.2"/>
    <n v="16.211199999999998"/>
    <n v="66.871200000000002"/>
  </r>
  <r>
    <x v="0"/>
    <x v="4"/>
    <s v="2014_Gatton_Dryland"/>
    <n v="2"/>
    <n v="3"/>
    <n v="10"/>
    <n v="1"/>
    <x v="6"/>
    <x v="33"/>
    <s v="F1"/>
    <n v="769"/>
    <n v="402"/>
    <n v="269"/>
    <m/>
    <n v="98"/>
    <n v="-25.36"/>
    <n v="22.4"/>
    <n v="93"/>
    <n v="17.2256"/>
    <n v="71.516999999999996"/>
  </r>
  <r>
    <x v="0"/>
    <x v="4"/>
    <s v="2014_Gatton_Dryland"/>
    <n v="2"/>
    <n v="2"/>
    <n v="11"/>
    <n v="1"/>
    <x v="5"/>
    <x v="32"/>
    <s v="F1"/>
    <n v="580"/>
    <n v="329"/>
    <n v="228"/>
    <m/>
    <n v="23"/>
    <m/>
    <m/>
    <m/>
    <m/>
    <m/>
  </r>
  <r>
    <x v="0"/>
    <x v="4"/>
    <s v="2014_Gatton_Dryland"/>
    <n v="2"/>
    <n v="1"/>
    <n v="12"/>
    <n v="1"/>
    <x v="9"/>
    <x v="33"/>
    <s v="F1"/>
    <n v="699"/>
    <n v="397"/>
    <n v="221"/>
    <n v="45"/>
    <n v="35"/>
    <n v="-25.25"/>
    <n v="19.100000000000001"/>
    <n v="91"/>
    <n v="13.350900000000001"/>
    <n v="63.609000000000002"/>
  </r>
  <r>
    <x v="0"/>
    <x v="4"/>
    <s v="2014_Gatton_Dryland"/>
    <n v="3"/>
    <n v="1"/>
    <n v="1"/>
    <n v="2"/>
    <x v="5"/>
    <x v="32"/>
    <s v="F1"/>
    <n v="544"/>
    <n v="313"/>
    <n v="203"/>
    <m/>
    <n v="28"/>
    <m/>
    <m/>
    <m/>
    <m/>
    <m/>
  </r>
  <r>
    <x v="0"/>
    <x v="4"/>
    <s v="2014_Gatton_Dryland"/>
    <n v="3"/>
    <n v="2"/>
    <n v="2"/>
    <n v="2"/>
    <x v="11"/>
    <x v="33"/>
    <s v="F1"/>
    <n v="499"/>
    <n v="246"/>
    <n v="221"/>
    <m/>
    <n v="32"/>
    <n v="-25.14"/>
    <n v="24.8"/>
    <n v="109.1"/>
    <n v="12.375200000000001"/>
    <n v="54.440899999999992"/>
  </r>
  <r>
    <x v="0"/>
    <x v="4"/>
    <s v="2014_Gatton_Dryland"/>
    <n v="3"/>
    <n v="3"/>
    <n v="3"/>
    <n v="2"/>
    <x v="9"/>
    <x v="33"/>
    <s v="F1"/>
    <n v="730"/>
    <n v="390"/>
    <n v="241"/>
    <n v="44"/>
    <n v="55"/>
    <n v="-25.66"/>
    <n v="23.7"/>
    <n v="87.3"/>
    <n v="17.300999999999998"/>
    <n v="63.728999999999999"/>
  </r>
  <r>
    <x v="0"/>
    <x v="4"/>
    <s v="2014_Gatton_Dryland"/>
    <n v="3"/>
    <n v="4"/>
    <n v="4"/>
    <n v="2"/>
    <x v="10"/>
    <x v="33"/>
    <s v="F1"/>
    <n v="647"/>
    <n v="315"/>
    <n v="203"/>
    <n v="71"/>
    <n v="59"/>
    <n v="-25.14"/>
    <n v="22.6"/>
    <n v="91.2"/>
    <n v="14.622200000000001"/>
    <n v="59.006399999999999"/>
  </r>
  <r>
    <x v="0"/>
    <x v="4"/>
    <s v="2014_Gatton_Dryland"/>
    <n v="3"/>
    <n v="5"/>
    <n v="5"/>
    <n v="2"/>
    <x v="4"/>
    <x v="33"/>
    <s v="F1"/>
    <n v="742"/>
    <n v="425"/>
    <n v="236"/>
    <n v="21"/>
    <n v="60"/>
    <n v="-25.22"/>
    <n v="24.1"/>
    <n v="95.3"/>
    <n v="17.882200000000001"/>
    <n v="70.712599999999995"/>
  </r>
  <r>
    <x v="0"/>
    <x v="4"/>
    <s v="2014_Gatton_Dryland"/>
    <n v="3"/>
    <n v="6"/>
    <n v="6"/>
    <n v="2"/>
    <x v="0"/>
    <x v="33"/>
    <s v="F1"/>
    <n v="648"/>
    <n v="315"/>
    <n v="275"/>
    <m/>
    <n v="57"/>
    <n v="-25.49"/>
    <n v="25.7"/>
    <n v="75.900000000000006"/>
    <n v="16.653599999999997"/>
    <n v="49.183200000000006"/>
  </r>
  <r>
    <x v="0"/>
    <x v="4"/>
    <s v="2014_Gatton_Dryland"/>
    <n v="4"/>
    <n v="6"/>
    <n v="7"/>
    <n v="2"/>
    <x v="7"/>
    <x v="32"/>
    <s v="F1"/>
    <n v="562"/>
    <n v="292"/>
    <n v="237"/>
    <m/>
    <n v="33"/>
    <m/>
    <m/>
    <m/>
    <m/>
    <m/>
  </r>
  <r>
    <x v="0"/>
    <x v="4"/>
    <s v="2014_Gatton_Dryland"/>
    <n v="4"/>
    <n v="5"/>
    <n v="8"/>
    <n v="2"/>
    <x v="2"/>
    <x v="33"/>
    <s v="F1"/>
    <n v="702"/>
    <n v="415"/>
    <n v="228"/>
    <n v="10"/>
    <n v="49"/>
    <n v="-25.7"/>
    <n v="22.8"/>
    <n v="99.1"/>
    <n v="16.005600000000001"/>
    <n v="69.56819999999999"/>
  </r>
  <r>
    <x v="0"/>
    <x v="4"/>
    <s v="2014_Gatton_Dryland"/>
    <n v="4"/>
    <n v="4"/>
    <n v="9"/>
    <n v="2"/>
    <x v="1"/>
    <x v="33"/>
    <s v="F1"/>
    <n v="645"/>
    <n v="330"/>
    <n v="260"/>
    <m/>
    <n v="55"/>
    <n v="-25.48"/>
    <n v="25.9"/>
    <n v="91.6"/>
    <n v="16.705500000000001"/>
    <n v="59.081999999999994"/>
  </r>
  <r>
    <x v="0"/>
    <x v="4"/>
    <s v="2014_Gatton_Dryland"/>
    <n v="4"/>
    <n v="3"/>
    <n v="10"/>
    <n v="2"/>
    <x v="8"/>
    <x v="33"/>
    <s v="F1"/>
    <n v="706"/>
    <n v="383"/>
    <n v="262"/>
    <m/>
    <n v="61"/>
    <n v="-25.02"/>
    <n v="24.3"/>
    <n v="115"/>
    <n v="17.155799999999999"/>
    <n v="81.19"/>
  </r>
  <r>
    <x v="0"/>
    <x v="4"/>
    <s v="2014_Gatton_Dryland"/>
    <n v="4"/>
    <n v="2"/>
    <n v="11"/>
    <n v="2"/>
    <x v="6"/>
    <x v="33"/>
    <s v="F1"/>
    <n v="675"/>
    <n v="369"/>
    <n v="220"/>
    <n v="6"/>
    <n v="79"/>
    <n v="-25.34"/>
    <n v="25.3"/>
    <n v="87.4"/>
    <n v="17.077500000000001"/>
    <n v="58.995000000000005"/>
  </r>
  <r>
    <x v="0"/>
    <x v="4"/>
    <s v="2014_Gatton_Dryland"/>
    <n v="4"/>
    <n v="1"/>
    <n v="12"/>
    <n v="2"/>
    <x v="3"/>
    <x v="33"/>
    <s v="F1"/>
    <n v="637"/>
    <n v="310"/>
    <n v="196"/>
    <n v="58"/>
    <n v="72"/>
    <n v="-25.19"/>
    <n v="23.9"/>
    <n v="98.7"/>
    <n v="15.224299999999999"/>
    <n v="62.871900000000004"/>
  </r>
  <r>
    <x v="0"/>
    <x v="4"/>
    <s v="2014_Gatton_Dryland"/>
    <n v="5"/>
    <n v="1"/>
    <n v="1"/>
    <n v="3"/>
    <x v="8"/>
    <x v="33"/>
    <s v="F1"/>
    <n v="673"/>
    <n v="371"/>
    <n v="208"/>
    <n v="29"/>
    <n v="64"/>
    <n v="-25.36"/>
    <n v="21.1"/>
    <n v="90.8"/>
    <n v="14.2003"/>
    <n v="61.108400000000003"/>
  </r>
  <r>
    <x v="0"/>
    <x v="4"/>
    <s v="2014_Gatton_Dryland"/>
    <n v="5"/>
    <n v="2"/>
    <n v="2"/>
    <n v="3"/>
    <x v="1"/>
    <x v="33"/>
    <s v="F1"/>
    <n v="587"/>
    <n v="302"/>
    <n v="222"/>
    <m/>
    <n v="62"/>
    <n v="-25.5"/>
    <n v="24.5"/>
    <n v="95.4"/>
    <n v="14.381500000000001"/>
    <n v="55.9998"/>
  </r>
  <r>
    <x v="0"/>
    <x v="4"/>
    <s v="2014_Gatton_Dryland"/>
    <n v="5"/>
    <n v="3"/>
    <n v="3"/>
    <n v="3"/>
    <x v="4"/>
    <x v="33"/>
    <s v="F1"/>
    <n v="638"/>
    <n v="362"/>
    <n v="212"/>
    <n v="21"/>
    <n v="43"/>
    <n v="-25.47"/>
    <n v="25"/>
    <n v="96.5"/>
    <n v="15.95"/>
    <n v="61.567"/>
  </r>
  <r>
    <x v="0"/>
    <x v="4"/>
    <s v="2014_Gatton_Dryland"/>
    <n v="5"/>
    <n v="4"/>
    <n v="4"/>
    <n v="3"/>
    <x v="5"/>
    <x v="32"/>
    <s v="F1"/>
    <n v="438"/>
    <n v="185"/>
    <n v="233"/>
    <m/>
    <n v="20"/>
    <m/>
    <m/>
    <m/>
    <m/>
    <m/>
  </r>
  <r>
    <x v="0"/>
    <x v="4"/>
    <s v="2014_Gatton_Dryland"/>
    <n v="5"/>
    <n v="5"/>
    <n v="5"/>
    <n v="3"/>
    <x v="10"/>
    <x v="33"/>
    <s v="F1"/>
    <n v="601"/>
    <n v="344"/>
    <n v="174"/>
    <n v="28"/>
    <n v="55"/>
    <n v="-25.5"/>
    <n v="23.9"/>
    <n v="75.400000000000006"/>
    <n v="14.363899999999999"/>
    <n v="45.315400000000004"/>
  </r>
  <r>
    <x v="0"/>
    <x v="4"/>
    <s v="2014_Gatton_Dryland"/>
    <n v="5"/>
    <n v="6"/>
    <n v="6"/>
    <n v="3"/>
    <x v="3"/>
    <x v="33"/>
    <s v="F1"/>
    <n v="632"/>
    <n v="294"/>
    <n v="179"/>
    <n v="116"/>
    <n v="43"/>
    <n v="-25.66"/>
    <n v="24.5"/>
    <n v="82.6"/>
    <n v="15.484"/>
    <n v="52.203199999999995"/>
  </r>
  <r>
    <x v="0"/>
    <x v="4"/>
    <s v="2014_Gatton_Dryland"/>
    <n v="6"/>
    <n v="6"/>
    <n v="7"/>
    <n v="3"/>
    <x v="9"/>
    <x v="33"/>
    <s v="F1"/>
    <n v="642"/>
    <n v="369"/>
    <n v="193"/>
    <n v="30"/>
    <n v="50"/>
    <n v="-25.84"/>
    <n v="19.2"/>
    <n v="100.4"/>
    <n v="12.3264"/>
    <n v="64.456800000000001"/>
  </r>
  <r>
    <x v="0"/>
    <x v="4"/>
    <s v="2014_Gatton_Dryland"/>
    <n v="6"/>
    <n v="5"/>
    <n v="8"/>
    <n v="3"/>
    <x v="6"/>
    <x v="33"/>
    <s v="F1"/>
    <n v="661"/>
    <n v="373"/>
    <n v="228"/>
    <m/>
    <n v="60"/>
    <n v="-25.35"/>
    <n v="20.6"/>
    <n v="94.9"/>
    <n v="13.6166"/>
    <n v="62.728900000000003"/>
  </r>
  <r>
    <x v="0"/>
    <x v="4"/>
    <s v="2014_Gatton_Dryland"/>
    <n v="6"/>
    <n v="4"/>
    <n v="9"/>
    <n v="3"/>
    <x v="2"/>
    <x v="33"/>
    <s v="F1"/>
    <n v="657"/>
    <n v="388"/>
    <n v="211"/>
    <n v="5"/>
    <n v="54"/>
    <n v="-25.46"/>
    <n v="18.100000000000001"/>
    <n v="108.3"/>
    <n v="11.8917"/>
    <n v="71.153099999999995"/>
  </r>
  <r>
    <x v="0"/>
    <x v="4"/>
    <s v="2014_Gatton_Dryland"/>
    <n v="6"/>
    <n v="3"/>
    <n v="10"/>
    <n v="3"/>
    <x v="11"/>
    <x v="33"/>
    <s v="F1"/>
    <n v="535"/>
    <n v="274"/>
    <n v="233"/>
    <m/>
    <n v="29"/>
    <n v="-25.26"/>
    <n v="25.7"/>
    <n v="100.5"/>
    <n v="13.749499999999999"/>
    <n v="53.767499999999998"/>
  </r>
  <r>
    <x v="0"/>
    <x v="4"/>
    <s v="2014_Gatton_Dryland"/>
    <n v="6"/>
    <n v="2"/>
    <n v="11"/>
    <n v="3"/>
    <x v="0"/>
    <x v="33"/>
    <s v="F1"/>
    <n v="647"/>
    <n v="348"/>
    <n v="249"/>
    <m/>
    <n v="51"/>
    <n v="-24.99"/>
    <n v="24.4"/>
    <n v="116.4"/>
    <n v="15.786799999999999"/>
    <n v="75.3108"/>
  </r>
  <r>
    <x v="0"/>
    <x v="4"/>
    <s v="2014_Gatton_Dryland"/>
    <n v="6"/>
    <n v="1"/>
    <n v="12"/>
    <n v="3"/>
    <x v="7"/>
    <x v="32"/>
    <s v="F1"/>
    <n v="443"/>
    <n v="212"/>
    <n v="208"/>
    <m/>
    <n v="22"/>
    <n v="-25.58"/>
    <n v="30.1"/>
    <n v="102.6"/>
    <n v="13.334300000000001"/>
    <n v="45.451799999999999"/>
  </r>
  <r>
    <x v="0"/>
    <x v="4"/>
    <s v="2014_Gatton_Dryland"/>
    <n v="7"/>
    <n v="1"/>
    <n v="1"/>
    <n v="4"/>
    <x v="11"/>
    <x v="33"/>
    <s v="F1"/>
    <n v="585"/>
    <n v="309"/>
    <n v="242"/>
    <n v="5"/>
    <n v="28"/>
    <n v="-25.11"/>
    <n v="27.1"/>
    <n v="102.2"/>
    <n v="15.8535"/>
    <n v="59.786999999999999"/>
  </r>
  <r>
    <x v="0"/>
    <x v="4"/>
    <s v="2014_Gatton_Dryland"/>
    <n v="7"/>
    <n v="2"/>
    <n v="2"/>
    <n v="4"/>
    <x v="10"/>
    <x v="33"/>
    <s v="F1"/>
    <n v="646"/>
    <n v="334"/>
    <n v="204"/>
    <n v="64"/>
    <n v="44"/>
    <n v="-25.34"/>
    <n v="22.4"/>
    <n v="111.2"/>
    <n v="14.4704"/>
    <n v="71.8352"/>
  </r>
  <r>
    <x v="0"/>
    <x v="4"/>
    <s v="2014_Gatton_Dryland"/>
    <n v="7"/>
    <n v="3"/>
    <n v="3"/>
    <n v="4"/>
    <x v="0"/>
    <x v="33"/>
    <s v="F1"/>
    <n v="661"/>
    <n v="366"/>
    <n v="249"/>
    <m/>
    <n v="45"/>
    <n v="-25.27"/>
    <n v="24"/>
    <n v="113.2"/>
    <n v="15.864000000000001"/>
    <n v="74.825199999999995"/>
  </r>
  <r>
    <x v="0"/>
    <x v="4"/>
    <s v="2014_Gatton_Dryland"/>
    <n v="7"/>
    <n v="4"/>
    <n v="4"/>
    <n v="4"/>
    <x v="9"/>
    <x v="33"/>
    <s v="F1"/>
    <n v="688"/>
    <n v="425"/>
    <n v="218"/>
    <n v="19"/>
    <n v="26"/>
    <n v="-25.34"/>
    <n v="17.600000000000001"/>
    <n v="106.6"/>
    <n v="12.1088"/>
    <n v="73.340800000000002"/>
  </r>
  <r>
    <x v="0"/>
    <x v="4"/>
    <s v="2014_Gatton_Dryland"/>
    <n v="7"/>
    <n v="5"/>
    <n v="5"/>
    <n v="4"/>
    <x v="7"/>
    <x v="32"/>
    <s v="F1"/>
    <n v="465"/>
    <n v="238"/>
    <n v="208"/>
    <m/>
    <n v="19"/>
    <n v="-25.56"/>
    <n v="27.1"/>
    <n v="108.6"/>
    <n v="12.6015"/>
    <n v="50.499000000000002"/>
  </r>
  <r>
    <x v="0"/>
    <x v="4"/>
    <s v="2014_Gatton_Dryland"/>
    <n v="7"/>
    <n v="6"/>
    <n v="6"/>
    <n v="4"/>
    <x v="1"/>
    <x v="33"/>
    <s v="F1"/>
    <n v="536"/>
    <n v="324"/>
    <n v="177"/>
    <n v="3"/>
    <n v="31"/>
    <n v="-25.17"/>
    <n v="24.5"/>
    <n v="108.3"/>
    <n v="13.132"/>
    <n v="58.048799999999993"/>
  </r>
  <r>
    <x v="0"/>
    <x v="4"/>
    <s v="2014_Gatton_Dryland"/>
    <n v="8"/>
    <n v="6"/>
    <n v="7"/>
    <n v="4"/>
    <x v="6"/>
    <x v="33"/>
    <s v="F1"/>
    <n v="667"/>
    <n v="374"/>
    <n v="213"/>
    <n v="34"/>
    <n v="46"/>
    <n v="-25.87"/>
    <n v="17.7"/>
    <n v="115.2"/>
    <n v="11.805899999999999"/>
    <n v="76.838400000000007"/>
  </r>
  <r>
    <x v="0"/>
    <x v="4"/>
    <s v="2014_Gatton_Dryland"/>
    <n v="8"/>
    <n v="5"/>
    <n v="8"/>
    <n v="4"/>
    <x v="5"/>
    <x v="32"/>
    <s v="F1"/>
    <n v="582"/>
    <n v="363"/>
    <n v="201"/>
    <m/>
    <n v="18"/>
    <n v="-25.44"/>
    <n v="21.8"/>
    <n v="130.5"/>
    <n v="12.6876"/>
    <n v="75.950999999999993"/>
  </r>
  <r>
    <x v="0"/>
    <x v="4"/>
    <s v="2014_Gatton_Dryland"/>
    <n v="8"/>
    <n v="4"/>
    <n v="9"/>
    <n v="4"/>
    <x v="3"/>
    <x v="33"/>
    <s v="F1"/>
    <n v="682"/>
    <n v="255"/>
    <n v="159"/>
    <n v="191"/>
    <n v="77"/>
    <n v="-25.57"/>
    <n v="17.100000000000001"/>
    <n v="132.30000000000001"/>
    <n v="11.6622"/>
    <n v="90.2286"/>
  </r>
  <r>
    <x v="0"/>
    <x v="4"/>
    <s v="2014_Gatton_Dryland"/>
    <n v="8"/>
    <n v="3"/>
    <n v="10"/>
    <n v="4"/>
    <x v="2"/>
    <x v="33"/>
    <s v="F1"/>
    <n v="754"/>
    <n v="470"/>
    <n v="215"/>
    <n v="12"/>
    <n v="57"/>
    <n v="-25.79"/>
    <n v="18.2"/>
    <n v="106.5"/>
    <n v="13.722799999999999"/>
    <n v="80.301000000000002"/>
  </r>
  <r>
    <x v="0"/>
    <x v="4"/>
    <s v="2014_Gatton_Dryland"/>
    <n v="8"/>
    <n v="2"/>
    <n v="11"/>
    <n v="4"/>
    <x v="8"/>
    <x v="33"/>
    <s v="F1"/>
    <n v="584"/>
    <n v="355"/>
    <n v="197"/>
    <m/>
    <n v="31"/>
    <n v="-25.18"/>
    <n v="21.9"/>
    <n v="115.9"/>
    <n v="12.789599999999998"/>
    <n v="67.685600000000008"/>
  </r>
  <r>
    <x v="0"/>
    <x v="4"/>
    <s v="2014_Gatton_Dryland"/>
    <n v="8"/>
    <n v="1"/>
    <n v="12"/>
    <n v="4"/>
    <x v="4"/>
    <x v="33"/>
    <s v="F1"/>
    <n v="588"/>
    <n v="305"/>
    <n v="188"/>
    <n v="59"/>
    <n v="36"/>
    <n v="-25.36"/>
    <n v="22.7"/>
    <n v="117"/>
    <n v="13.3476"/>
    <n v="68.796000000000006"/>
  </r>
  <r>
    <x v="0"/>
    <x v="4"/>
    <s v="2014_Gatton_Dryland"/>
    <n v="1"/>
    <n v="1"/>
    <n v="1"/>
    <n v="1"/>
    <x v="1"/>
    <x v="34"/>
    <s v="A100"/>
    <n v="929"/>
    <n v="464"/>
    <n v="156"/>
    <n v="221"/>
    <n v="87"/>
    <n v="-25.51"/>
    <n v="16"/>
    <n v="113.9"/>
    <n v="14.864000000000001"/>
    <n v="105.81310000000001"/>
  </r>
  <r>
    <x v="0"/>
    <x v="4"/>
    <s v="2014_Gatton_Dryland"/>
    <n v="1"/>
    <n v="2"/>
    <n v="2"/>
    <n v="1"/>
    <x v="2"/>
    <x v="5"/>
    <s v="A100"/>
    <n v="942"/>
    <n v="452"/>
    <n v="240"/>
    <n v="159"/>
    <n v="90"/>
    <n v="-25.56"/>
    <n v="17.600000000000001"/>
    <n v="81"/>
    <n v="16.5792"/>
    <n v="76.302000000000007"/>
  </r>
  <r>
    <x v="0"/>
    <x v="4"/>
    <s v="2014_Gatton_Dryland"/>
    <n v="1"/>
    <n v="3"/>
    <n v="3"/>
    <n v="1"/>
    <x v="10"/>
    <x v="5"/>
    <s v="A100"/>
    <n v="852"/>
    <n v="387"/>
    <n v="195"/>
    <n v="195"/>
    <n v="75"/>
    <n v="-25.6"/>
    <n v="20.5"/>
    <n v="100"/>
    <n v="17.466000000000001"/>
    <n v="85.2"/>
  </r>
  <r>
    <x v="0"/>
    <x v="4"/>
    <s v="2014_Gatton_Dryland"/>
    <n v="1"/>
    <n v="4"/>
    <n v="4"/>
    <n v="1"/>
    <x v="7"/>
    <x v="5"/>
    <s v="A100"/>
    <n v="776"/>
    <n v="412"/>
    <n v="204"/>
    <n v="127"/>
    <n v="33"/>
    <n v="-25.86"/>
    <n v="19"/>
    <n v="73.2"/>
    <n v="14.744"/>
    <n v="56.803200000000004"/>
  </r>
  <r>
    <x v="0"/>
    <x v="4"/>
    <s v="2014_Gatton_Dryland"/>
    <n v="1"/>
    <n v="5"/>
    <n v="5"/>
    <n v="1"/>
    <x v="3"/>
    <x v="5"/>
    <s v="A100"/>
    <n v="873"/>
    <n v="454"/>
    <n v="177"/>
    <n v="207"/>
    <n v="35"/>
    <n v="-25.56"/>
    <n v="16.899999999999999"/>
    <n v="113"/>
    <n v="14.753699999999998"/>
    <n v="98.649000000000001"/>
  </r>
  <r>
    <x v="0"/>
    <x v="4"/>
    <s v="2014_Gatton_Dryland"/>
    <n v="1"/>
    <n v="6"/>
    <n v="6"/>
    <n v="1"/>
    <x v="11"/>
    <x v="34"/>
    <s v="A100"/>
    <n v="855"/>
    <n v="420"/>
    <n v="187"/>
    <n v="196"/>
    <n v="53"/>
    <n v="-25.48"/>
    <n v="18.100000000000001"/>
    <n v="126.3"/>
    <n v="15.475500000000002"/>
    <n v="107.98650000000001"/>
  </r>
  <r>
    <x v="0"/>
    <x v="4"/>
    <s v="2014_Gatton_Dryland"/>
    <n v="2"/>
    <n v="6"/>
    <n v="7"/>
    <n v="1"/>
    <x v="8"/>
    <x v="5"/>
    <s v="A100"/>
    <n v="988"/>
    <n v="459"/>
    <n v="228"/>
    <n v="205"/>
    <n v="96"/>
    <n v="-25.88"/>
    <n v="17.5"/>
    <n v="81.400000000000006"/>
    <n v="17.29"/>
    <n v="80.423200000000008"/>
  </r>
  <r>
    <x v="0"/>
    <x v="4"/>
    <s v="2014_Gatton_Dryland"/>
    <n v="2"/>
    <n v="5"/>
    <n v="8"/>
    <n v="1"/>
    <x v="0"/>
    <x v="34"/>
    <s v="A100"/>
    <n v="1114"/>
    <n v="501"/>
    <n v="209"/>
    <n v="263"/>
    <n v="140"/>
    <n v="-25.41"/>
    <n v="17.3"/>
    <n v="110"/>
    <n v="19.272200000000002"/>
    <n v="122.54"/>
  </r>
  <r>
    <x v="0"/>
    <x v="4"/>
    <s v="2014_Gatton_Dryland"/>
    <n v="2"/>
    <n v="4"/>
    <n v="9"/>
    <n v="1"/>
    <x v="4"/>
    <x v="5"/>
    <s v="A100"/>
    <n v="874"/>
    <n v="429"/>
    <n v="199"/>
    <n v="193"/>
    <n v="53"/>
    <n v="-25.54"/>
    <n v="18.100000000000001"/>
    <n v="118"/>
    <n v="15.819400000000002"/>
    <n v="103.13200000000001"/>
  </r>
  <r>
    <x v="0"/>
    <x v="4"/>
    <s v="2014_Gatton_Dryland"/>
    <n v="2"/>
    <n v="3"/>
    <n v="10"/>
    <n v="1"/>
    <x v="6"/>
    <x v="34"/>
    <s v="A100"/>
    <n v="991"/>
    <n v="465"/>
    <n v="166"/>
    <n v="236"/>
    <n v="124"/>
    <n v="-25.66"/>
    <n v="13.3"/>
    <n v="131.69999999999999"/>
    <n v="13.180300000000001"/>
    <n v="130.51469999999998"/>
  </r>
  <r>
    <x v="0"/>
    <x v="4"/>
    <s v="2014_Gatton_Dryland"/>
    <n v="2"/>
    <n v="2"/>
    <n v="11"/>
    <n v="1"/>
    <x v="5"/>
    <x v="5"/>
    <s v="A100"/>
    <n v="797"/>
    <n v="423"/>
    <n v="143"/>
    <n v="200"/>
    <n v="31"/>
    <m/>
    <m/>
    <m/>
    <m/>
    <m/>
  </r>
  <r>
    <x v="0"/>
    <x v="4"/>
    <s v="2014_Gatton_Dryland"/>
    <n v="2"/>
    <n v="1"/>
    <n v="12"/>
    <n v="1"/>
    <x v="9"/>
    <x v="5"/>
    <s v="A100"/>
    <n v="931"/>
    <n v="495"/>
    <n v="209"/>
    <n v="189"/>
    <n v="37"/>
    <n v="-25.85"/>
    <n v="14.6"/>
    <n v="95.8"/>
    <n v="13.592600000000001"/>
    <n v="89.189800000000005"/>
  </r>
  <r>
    <x v="0"/>
    <x v="4"/>
    <s v="2014_Gatton_Dryland"/>
    <n v="3"/>
    <n v="1"/>
    <n v="1"/>
    <n v="2"/>
    <x v="5"/>
    <x v="5"/>
    <s v="A100"/>
    <n v="800"/>
    <n v="411"/>
    <n v="157"/>
    <n v="189"/>
    <n v="43"/>
    <n v="-25.8"/>
    <n v="16"/>
    <n v="108.6"/>
    <n v="12.8"/>
    <n v="86.88"/>
  </r>
  <r>
    <x v="0"/>
    <x v="4"/>
    <s v="2014_Gatton_Dryland"/>
    <n v="3"/>
    <n v="2"/>
    <n v="2"/>
    <n v="2"/>
    <x v="11"/>
    <x v="34"/>
    <s v="A100"/>
    <n v="958"/>
    <n v="438"/>
    <n v="201"/>
    <n v="201"/>
    <n v="117"/>
    <n v="-25.53"/>
    <n v="18.7"/>
    <n v="110.7"/>
    <n v="17.9146"/>
    <n v="106.0506"/>
  </r>
  <r>
    <x v="0"/>
    <x v="4"/>
    <s v="2014_Gatton_Dryland"/>
    <n v="3"/>
    <n v="3"/>
    <n v="3"/>
    <n v="2"/>
    <x v="9"/>
    <x v="5"/>
    <s v="A100"/>
    <n v="911"/>
    <n v="469"/>
    <n v="210"/>
    <n v="191"/>
    <n v="42"/>
    <n v="-25.95"/>
    <n v="17.2"/>
    <n v="121.1"/>
    <n v="15.669199999999998"/>
    <n v="110.32209999999999"/>
  </r>
  <r>
    <x v="0"/>
    <x v="4"/>
    <s v="2014_Gatton_Dryland"/>
    <n v="3"/>
    <n v="4"/>
    <n v="4"/>
    <n v="2"/>
    <x v="10"/>
    <x v="5"/>
    <s v="A100"/>
    <n v="926"/>
    <n v="409"/>
    <n v="231"/>
    <n v="224"/>
    <n v="63"/>
    <n v="-25.71"/>
    <n v="17.5"/>
    <n v="98.9"/>
    <n v="16.204999999999998"/>
    <n v="91.581400000000002"/>
  </r>
  <r>
    <x v="0"/>
    <x v="4"/>
    <s v="2014_Gatton_Dryland"/>
    <n v="3"/>
    <n v="5"/>
    <n v="5"/>
    <n v="2"/>
    <x v="4"/>
    <x v="5"/>
    <s v="A100"/>
    <n v="862"/>
    <n v="415"/>
    <n v="197"/>
    <n v="182"/>
    <n v="68"/>
    <n v="-25.6"/>
    <n v="20.5"/>
    <n v="101.5"/>
    <n v="17.670999999999999"/>
    <n v="87.492999999999995"/>
  </r>
  <r>
    <x v="0"/>
    <x v="4"/>
    <s v="2014_Gatton_Dryland"/>
    <n v="3"/>
    <n v="6"/>
    <n v="6"/>
    <n v="2"/>
    <x v="0"/>
    <x v="34"/>
    <s v="A100"/>
    <n v="1179"/>
    <n v="532"/>
    <n v="197"/>
    <n v="258"/>
    <n v="192"/>
    <n v="-25.7"/>
    <n v="15.5"/>
    <n v="120.2"/>
    <n v="18.2745"/>
    <n v="141.71580000000003"/>
  </r>
  <r>
    <x v="0"/>
    <x v="4"/>
    <s v="2014_Gatton_Dryland"/>
    <n v="4"/>
    <n v="6"/>
    <n v="7"/>
    <n v="2"/>
    <x v="7"/>
    <x v="5"/>
    <s v="A100"/>
    <n v="769"/>
    <n v="415"/>
    <n v="198"/>
    <n v="113"/>
    <n v="43"/>
    <n v="-25.73"/>
    <n v="21.6"/>
    <n v="95.1"/>
    <n v="16.610400000000002"/>
    <n v="73.131899999999987"/>
  </r>
  <r>
    <x v="0"/>
    <x v="4"/>
    <s v="2014_Gatton_Dryland"/>
    <n v="4"/>
    <n v="5"/>
    <n v="8"/>
    <n v="2"/>
    <x v="2"/>
    <x v="5"/>
    <s v="A100"/>
    <n v="848"/>
    <n v="377"/>
    <n v="197"/>
    <n v="163"/>
    <n v="111"/>
    <n v="-25.53"/>
    <n v="20.100000000000001"/>
    <n v="107.2"/>
    <n v="17.044800000000002"/>
    <n v="90.905600000000007"/>
  </r>
  <r>
    <x v="0"/>
    <x v="4"/>
    <s v="2014_Gatton_Dryland"/>
    <n v="4"/>
    <n v="4"/>
    <n v="9"/>
    <n v="2"/>
    <x v="1"/>
    <x v="34"/>
    <s v="A100"/>
    <n v="1010"/>
    <n v="464"/>
    <n v="205"/>
    <n v="183"/>
    <n v="158"/>
    <n v="-25.95"/>
    <n v="18.899999999999999"/>
    <n v="108.2"/>
    <n v="19.088999999999999"/>
    <n v="109.282"/>
  </r>
  <r>
    <x v="0"/>
    <x v="4"/>
    <s v="2014_Gatton_Dryland"/>
    <n v="4"/>
    <n v="3"/>
    <n v="10"/>
    <n v="2"/>
    <x v="8"/>
    <x v="5"/>
    <s v="A100"/>
    <n v="946"/>
    <n v="470"/>
    <n v="230"/>
    <n v="174"/>
    <n v="73"/>
    <n v="-26.07"/>
    <n v="18.600000000000001"/>
    <n v="99.6"/>
    <n v="17.595600000000001"/>
    <n v="94.221599999999995"/>
  </r>
  <r>
    <x v="0"/>
    <x v="4"/>
    <s v="2014_Gatton_Dryland"/>
    <n v="4"/>
    <n v="2"/>
    <n v="11"/>
    <n v="2"/>
    <x v="6"/>
    <x v="34"/>
    <s v="A100"/>
    <n v="1102"/>
    <n v="521"/>
    <n v="182"/>
    <n v="271"/>
    <n v="127"/>
    <n v="-25.73"/>
    <n v="14"/>
    <n v="138.6"/>
    <n v="15.428000000000001"/>
    <n v="152.73719999999997"/>
  </r>
  <r>
    <x v="0"/>
    <x v="4"/>
    <s v="2014_Gatton_Dryland"/>
    <n v="4"/>
    <n v="1"/>
    <n v="12"/>
    <n v="2"/>
    <x v="3"/>
    <x v="5"/>
    <s v="A100"/>
    <n v="859"/>
    <n v="381"/>
    <n v="195"/>
    <n v="227"/>
    <n v="56"/>
    <n v="-25.71"/>
    <n v="18"/>
    <n v="104.8"/>
    <n v="15.462"/>
    <n v="90.023200000000003"/>
  </r>
  <r>
    <x v="0"/>
    <x v="4"/>
    <s v="2014_Gatton_Dryland"/>
    <n v="5"/>
    <n v="1"/>
    <n v="1"/>
    <n v="3"/>
    <x v="8"/>
    <x v="5"/>
    <s v="A100"/>
    <n v="902"/>
    <n v="427"/>
    <n v="200"/>
    <n v="180"/>
    <n v="95"/>
    <n v="-25.7"/>
    <n v="22"/>
    <n v="94.4"/>
    <n v="19.844000000000001"/>
    <n v="85.148800000000008"/>
  </r>
  <r>
    <x v="0"/>
    <x v="4"/>
    <s v="2014_Gatton_Dryland"/>
    <n v="5"/>
    <n v="2"/>
    <n v="2"/>
    <n v="3"/>
    <x v="1"/>
    <x v="34"/>
    <s v="A100"/>
    <n v="1059"/>
    <n v="521"/>
    <n v="239"/>
    <n v="180"/>
    <n v="120"/>
    <m/>
    <m/>
    <m/>
    <m/>
    <m/>
  </r>
  <r>
    <x v="0"/>
    <x v="4"/>
    <s v="2014_Gatton_Dryland"/>
    <n v="5"/>
    <n v="3"/>
    <n v="3"/>
    <n v="3"/>
    <x v="4"/>
    <x v="5"/>
    <s v="A100"/>
    <n v="873"/>
    <n v="432"/>
    <n v="195"/>
    <n v="186"/>
    <n v="60"/>
    <n v="-25.55"/>
    <n v="20.3"/>
    <n v="82.2"/>
    <n v="17.721900000000002"/>
    <n v="71.760600000000011"/>
  </r>
  <r>
    <x v="0"/>
    <x v="4"/>
    <s v="2014_Gatton_Dryland"/>
    <n v="5"/>
    <n v="4"/>
    <n v="4"/>
    <n v="3"/>
    <x v="5"/>
    <x v="5"/>
    <s v="A100"/>
    <n v="827"/>
    <n v="432"/>
    <n v="165"/>
    <n v="201"/>
    <n v="29"/>
    <n v="-25.96"/>
    <n v="15.5"/>
    <n v="102.4"/>
    <n v="12.8185"/>
    <n v="84.68480000000001"/>
  </r>
  <r>
    <x v="0"/>
    <x v="4"/>
    <s v="2014_Gatton_Dryland"/>
    <n v="5"/>
    <n v="5"/>
    <n v="5"/>
    <n v="3"/>
    <x v="10"/>
    <x v="5"/>
    <s v="A100"/>
    <n v="829"/>
    <n v="404"/>
    <n v="225"/>
    <n v="145"/>
    <n v="54"/>
    <n v="-25.46"/>
    <n v="23.1"/>
    <n v="94.4"/>
    <n v="19.149900000000002"/>
    <n v="78.257600000000011"/>
  </r>
  <r>
    <x v="0"/>
    <x v="4"/>
    <s v="2014_Gatton_Dryland"/>
    <n v="5"/>
    <n v="6"/>
    <n v="6"/>
    <n v="3"/>
    <x v="3"/>
    <x v="5"/>
    <s v="A100"/>
    <n v="922"/>
    <n v="416"/>
    <n v="183"/>
    <n v="260"/>
    <n v="63"/>
    <n v="-25.63"/>
    <n v="14.7"/>
    <n v="120.6"/>
    <n v="13.5534"/>
    <n v="111.19319999999999"/>
  </r>
  <r>
    <x v="0"/>
    <x v="4"/>
    <s v="2014_Gatton_Dryland"/>
    <n v="6"/>
    <n v="6"/>
    <n v="7"/>
    <n v="3"/>
    <x v="9"/>
    <x v="5"/>
    <s v="A100"/>
    <n v="950"/>
    <n v="449"/>
    <n v="233"/>
    <n v="200"/>
    <n v="68"/>
    <n v="-25.42"/>
    <n v="15.1"/>
    <n v="120.2"/>
    <n v="14.345000000000001"/>
    <n v="114.19"/>
  </r>
  <r>
    <x v="0"/>
    <x v="4"/>
    <s v="2014_Gatton_Dryland"/>
    <n v="6"/>
    <n v="5"/>
    <n v="8"/>
    <n v="3"/>
    <x v="6"/>
    <x v="34"/>
    <s v="A100"/>
    <n v="1069"/>
    <n v="513"/>
    <n v="152"/>
    <n v="286"/>
    <n v="117"/>
    <n v="-25.3"/>
    <n v="13.8"/>
    <n v="143.69999999999999"/>
    <n v="14.7522"/>
    <n v="153.61529999999999"/>
  </r>
  <r>
    <x v="0"/>
    <x v="4"/>
    <s v="2014_Gatton_Dryland"/>
    <n v="6"/>
    <n v="4"/>
    <n v="9"/>
    <n v="3"/>
    <x v="2"/>
    <x v="5"/>
    <s v="A100"/>
    <n v="944"/>
    <n v="433"/>
    <n v="223"/>
    <n v="184"/>
    <n v="103"/>
    <n v="-25.58"/>
    <n v="16.100000000000001"/>
    <n v="102"/>
    <n v="15.198400000000001"/>
    <n v="96.287999999999997"/>
  </r>
  <r>
    <x v="0"/>
    <x v="4"/>
    <s v="2014_Gatton_Dryland"/>
    <n v="6"/>
    <n v="3"/>
    <n v="10"/>
    <n v="3"/>
    <x v="11"/>
    <x v="34"/>
    <s v="A100"/>
    <n v="1034"/>
    <n v="493"/>
    <n v="230"/>
    <n v="243"/>
    <n v="69"/>
    <n v="-25.27"/>
    <n v="16.600000000000001"/>
    <n v="110.8"/>
    <n v="17.164400000000001"/>
    <n v="114.5672"/>
  </r>
  <r>
    <x v="0"/>
    <x v="4"/>
    <s v="2014_Gatton_Dryland"/>
    <n v="6"/>
    <n v="2"/>
    <n v="11"/>
    <n v="3"/>
    <x v="0"/>
    <x v="34"/>
    <s v="A100"/>
    <n v="1047"/>
    <n v="516"/>
    <n v="174"/>
    <n v="245"/>
    <n v="112"/>
    <n v="-24.92"/>
    <n v="15.3"/>
    <n v="131.5"/>
    <n v="16.019100000000002"/>
    <n v="137.68049999999999"/>
  </r>
  <r>
    <x v="0"/>
    <x v="4"/>
    <s v="2014_Gatton_Dryland"/>
    <n v="6"/>
    <n v="1"/>
    <n v="12"/>
    <n v="3"/>
    <x v="7"/>
    <x v="5"/>
    <s v="A100"/>
    <n v="892"/>
    <n v="447"/>
    <n v="217"/>
    <n v="179"/>
    <n v="49"/>
    <n v="-25.42"/>
    <n v="17.399999999999999"/>
    <n v="105.1"/>
    <n v="15.520799999999999"/>
    <n v="93.749200000000002"/>
  </r>
  <r>
    <x v="0"/>
    <x v="4"/>
    <s v="2014_Gatton_Dryland"/>
    <n v="7"/>
    <n v="1"/>
    <n v="1"/>
    <n v="4"/>
    <x v="11"/>
    <x v="34"/>
    <s v="A100"/>
    <n v="969"/>
    <n v="470"/>
    <n v="203"/>
    <n v="236"/>
    <n v="61"/>
    <n v="-25.31"/>
    <n v="15.1"/>
    <n v="128.4"/>
    <n v="14.6319"/>
    <n v="124.4196"/>
  </r>
  <r>
    <x v="0"/>
    <x v="4"/>
    <s v="2014_Gatton_Dryland"/>
    <n v="7"/>
    <n v="2"/>
    <n v="2"/>
    <n v="4"/>
    <x v="10"/>
    <x v="5"/>
    <s v="A100"/>
    <n v="931"/>
    <n v="414"/>
    <n v="214"/>
    <n v="235"/>
    <n v="67"/>
    <n v="-25.53"/>
    <n v="16"/>
    <n v="121.7"/>
    <n v="14.896000000000001"/>
    <n v="113.3027"/>
  </r>
  <r>
    <x v="0"/>
    <x v="4"/>
    <s v="2014_Gatton_Dryland"/>
    <n v="7"/>
    <n v="3"/>
    <n v="3"/>
    <n v="4"/>
    <x v="0"/>
    <x v="34"/>
    <s v="A100"/>
    <n v="1110"/>
    <n v="499"/>
    <n v="219"/>
    <n v="233"/>
    <n v="160"/>
    <n v="-25.55"/>
    <n v="16.5"/>
    <n v="109.7"/>
    <n v="18.315000000000001"/>
    <n v="121.767"/>
  </r>
  <r>
    <x v="0"/>
    <x v="4"/>
    <s v="2014_Gatton_Dryland"/>
    <n v="7"/>
    <n v="4"/>
    <n v="4"/>
    <n v="4"/>
    <x v="9"/>
    <x v="5"/>
    <s v="A100"/>
    <n v="913"/>
    <n v="426"/>
    <n v="238"/>
    <n v="196"/>
    <n v="53"/>
    <n v="-25.67"/>
    <n v="16.899999999999999"/>
    <n v="75"/>
    <n v="15.429699999999999"/>
    <n v="68.474999999999994"/>
  </r>
  <r>
    <x v="0"/>
    <x v="4"/>
    <s v="2014_Gatton_Dryland"/>
    <n v="7"/>
    <n v="5"/>
    <n v="5"/>
    <n v="4"/>
    <x v="7"/>
    <x v="5"/>
    <s v="A100"/>
    <n v="851"/>
    <n v="437"/>
    <n v="193"/>
    <n v="193"/>
    <n v="28"/>
    <n v="-25.92"/>
    <n v="17.600000000000001"/>
    <n v="92.6"/>
    <n v="14.977600000000001"/>
    <n v="78.802599999999998"/>
  </r>
  <r>
    <x v="0"/>
    <x v="4"/>
    <s v="2014_Gatton_Dryland"/>
    <n v="7"/>
    <n v="6"/>
    <n v="6"/>
    <n v="4"/>
    <x v="1"/>
    <x v="34"/>
    <s v="A100"/>
    <n v="908"/>
    <n v="434"/>
    <n v="140"/>
    <n v="237"/>
    <n v="97"/>
    <n v="-25.45"/>
    <n v="12.9"/>
    <n v="148.80000000000001"/>
    <n v="11.713200000000001"/>
    <n v="135.11040000000003"/>
  </r>
  <r>
    <x v="0"/>
    <x v="4"/>
    <s v="2014_Gatton_Dryland"/>
    <n v="8"/>
    <n v="6"/>
    <n v="7"/>
    <n v="4"/>
    <x v="6"/>
    <x v="34"/>
    <s v="A100"/>
    <n v="1156"/>
    <n v="525"/>
    <n v="171"/>
    <n v="313"/>
    <n v="147"/>
    <n v="-25.35"/>
    <n v="13.1"/>
    <n v="124.9"/>
    <n v="15.143600000000001"/>
    <n v="144.3844"/>
  </r>
  <r>
    <x v="0"/>
    <x v="4"/>
    <s v="2014_Gatton_Dryland"/>
    <n v="8"/>
    <n v="5"/>
    <n v="8"/>
    <n v="4"/>
    <x v="5"/>
    <x v="5"/>
    <s v="A100"/>
    <n v="824"/>
    <n v="455"/>
    <n v="150"/>
    <n v="209"/>
    <n v="10"/>
    <n v="-25.38"/>
    <n v="15.2"/>
    <n v="150"/>
    <n v="12.524799999999999"/>
    <n v="123.6"/>
  </r>
  <r>
    <x v="0"/>
    <x v="4"/>
    <s v="2014_Gatton_Dryland"/>
    <n v="8"/>
    <n v="4"/>
    <n v="9"/>
    <n v="4"/>
    <x v="3"/>
    <x v="5"/>
    <s v="A100"/>
    <n v="890"/>
    <n v="403"/>
    <n v="197"/>
    <n v="231"/>
    <n v="59"/>
    <n v="-25.28"/>
    <n v="15.5"/>
    <n v="131.5"/>
    <n v="13.795"/>
    <n v="117.035"/>
  </r>
  <r>
    <x v="0"/>
    <x v="4"/>
    <s v="2014_Gatton_Dryland"/>
    <n v="8"/>
    <n v="3"/>
    <n v="10"/>
    <n v="4"/>
    <x v="2"/>
    <x v="5"/>
    <s v="A100"/>
    <n v="1053"/>
    <n v="542"/>
    <n v="233"/>
    <n v="218"/>
    <n v="60"/>
    <n v="-25.7"/>
    <n v="16.8"/>
    <n v="98.1"/>
    <n v="17.6904"/>
    <n v="103.29929999999999"/>
  </r>
  <r>
    <x v="0"/>
    <x v="4"/>
    <s v="2014_Gatton_Dryland"/>
    <n v="8"/>
    <n v="2"/>
    <n v="11"/>
    <n v="4"/>
    <x v="8"/>
    <x v="5"/>
    <s v="A100"/>
    <n v="748"/>
    <n v="381"/>
    <n v="160"/>
    <n v="173"/>
    <n v="35"/>
    <n v="-25.34"/>
    <n v="17.7"/>
    <n v="141.30000000000001"/>
    <n v="13.239600000000001"/>
    <n v="105.69240000000001"/>
  </r>
  <r>
    <x v="0"/>
    <x v="4"/>
    <s v="2014_Gatton_Dryland"/>
    <n v="8"/>
    <n v="1"/>
    <n v="12"/>
    <n v="4"/>
    <x v="4"/>
    <x v="5"/>
    <s v="A100"/>
    <n v="862"/>
    <n v="422"/>
    <n v="191"/>
    <n v="191"/>
    <n v="58"/>
    <m/>
    <m/>
    <m/>
    <m/>
    <m/>
  </r>
  <r>
    <x v="0"/>
    <x v="4"/>
    <s v="2014_Gatton_Dryland"/>
    <n v="1"/>
    <n v="1"/>
    <n v="1"/>
    <n v="1"/>
    <x v="1"/>
    <x v="37"/>
    <s v="GR100"/>
    <n v="1470"/>
    <n v="442"/>
    <n v="0"/>
    <n v="802"/>
    <n v="227"/>
    <m/>
    <m/>
    <m/>
    <m/>
    <m/>
  </r>
  <r>
    <x v="0"/>
    <x v="4"/>
    <s v="2014_Gatton_Dryland"/>
    <n v="1"/>
    <n v="2"/>
    <n v="2"/>
    <n v="1"/>
    <x v="2"/>
    <x v="37"/>
    <s v="GR100"/>
    <n v="1469"/>
    <n v="668"/>
    <n v="0"/>
    <n v="728"/>
    <n v="73"/>
    <m/>
    <m/>
    <m/>
    <m/>
    <m/>
  </r>
  <r>
    <x v="0"/>
    <x v="4"/>
    <s v="2014_Gatton_Dryland"/>
    <n v="1"/>
    <n v="3"/>
    <n v="3"/>
    <n v="1"/>
    <x v="10"/>
    <x v="37"/>
    <s v="GR100"/>
    <n v="1356"/>
    <n v="358"/>
    <n v="0"/>
    <n v="833"/>
    <n v="165"/>
    <m/>
    <m/>
    <m/>
    <m/>
    <m/>
  </r>
  <r>
    <x v="0"/>
    <x v="4"/>
    <s v="2014_Gatton_Dryland"/>
    <n v="1"/>
    <n v="4"/>
    <n v="4"/>
    <n v="1"/>
    <x v="7"/>
    <x v="37"/>
    <s v="GR100"/>
    <n v="1476"/>
    <n v="327"/>
    <n v="0"/>
    <n v="623"/>
    <n v="526"/>
    <m/>
    <m/>
    <m/>
    <m/>
    <m/>
  </r>
  <r>
    <x v="0"/>
    <x v="4"/>
    <s v="2014_Gatton_Dryland"/>
    <n v="1"/>
    <n v="5"/>
    <n v="5"/>
    <n v="1"/>
    <x v="3"/>
    <x v="37"/>
    <s v="GR100"/>
    <n v="1549"/>
    <n v="467"/>
    <n v="0"/>
    <n v="807"/>
    <n v="275"/>
    <m/>
    <m/>
    <m/>
    <m/>
    <m/>
  </r>
  <r>
    <x v="0"/>
    <x v="4"/>
    <s v="2014_Gatton_Dryland"/>
    <n v="1"/>
    <n v="6"/>
    <n v="6"/>
    <n v="1"/>
    <x v="11"/>
    <x v="37"/>
    <s v="GR100"/>
    <n v="1403"/>
    <n v="419"/>
    <n v="0"/>
    <n v="427"/>
    <n v="557"/>
    <m/>
    <m/>
    <m/>
    <m/>
    <m/>
  </r>
  <r>
    <x v="0"/>
    <x v="4"/>
    <s v="2014_Gatton_Dryland"/>
    <n v="2"/>
    <n v="6"/>
    <n v="7"/>
    <n v="1"/>
    <x v="8"/>
    <x v="37"/>
    <s v="GR100"/>
    <n v="1223"/>
    <n v="261"/>
    <n v="0"/>
    <n v="633"/>
    <n v="328"/>
    <m/>
    <m/>
    <m/>
    <m/>
    <m/>
  </r>
  <r>
    <x v="0"/>
    <x v="4"/>
    <s v="2014_Gatton_Dryland"/>
    <n v="2"/>
    <n v="5"/>
    <n v="8"/>
    <n v="1"/>
    <x v="0"/>
    <x v="37"/>
    <s v="GR100"/>
    <n v="1533"/>
    <n v="475"/>
    <n v="0"/>
    <n v="734"/>
    <n v="324"/>
    <m/>
    <m/>
    <m/>
    <m/>
    <m/>
  </r>
  <r>
    <x v="0"/>
    <x v="4"/>
    <s v="2014_Gatton_Dryland"/>
    <n v="2"/>
    <n v="4"/>
    <n v="9"/>
    <n v="1"/>
    <x v="4"/>
    <x v="37"/>
    <s v="GR100"/>
    <n v="1475"/>
    <n v="419"/>
    <n v="0"/>
    <n v="921"/>
    <n v="134"/>
    <m/>
    <m/>
    <m/>
    <m/>
    <m/>
  </r>
  <r>
    <x v="0"/>
    <x v="4"/>
    <s v="2014_Gatton_Dryland"/>
    <n v="2"/>
    <n v="3"/>
    <n v="10"/>
    <n v="1"/>
    <x v="6"/>
    <x v="37"/>
    <s v="GR100"/>
    <n v="1440"/>
    <n v="382"/>
    <n v="0"/>
    <n v="921"/>
    <n v="138"/>
    <m/>
    <m/>
    <m/>
    <m/>
    <m/>
  </r>
  <r>
    <x v="0"/>
    <x v="4"/>
    <s v="2014_Gatton_Dryland"/>
    <n v="2"/>
    <n v="2"/>
    <n v="11"/>
    <n v="1"/>
    <x v="5"/>
    <x v="37"/>
    <s v="GR100"/>
    <n v="1361"/>
    <n v="333"/>
    <n v="0"/>
    <n v="969"/>
    <n v="59"/>
    <m/>
    <m/>
    <m/>
    <m/>
    <m/>
  </r>
  <r>
    <x v="0"/>
    <x v="4"/>
    <s v="2014_Gatton_Dryland"/>
    <n v="2"/>
    <n v="1"/>
    <n v="12"/>
    <n v="1"/>
    <x v="9"/>
    <x v="37"/>
    <s v="GR100"/>
    <n v="1659"/>
    <n v="367"/>
    <n v="0"/>
    <n v="1175"/>
    <n v="117"/>
    <m/>
    <m/>
    <m/>
    <m/>
    <m/>
  </r>
  <r>
    <x v="0"/>
    <x v="4"/>
    <s v="2014_Gatton_Dryland"/>
    <n v="3"/>
    <n v="1"/>
    <n v="1"/>
    <n v="2"/>
    <x v="5"/>
    <x v="37"/>
    <s v="GR100"/>
    <n v="1498"/>
    <n v="419"/>
    <n v="0"/>
    <n v="609"/>
    <n v="470"/>
    <m/>
    <m/>
    <m/>
    <m/>
    <m/>
  </r>
  <r>
    <x v="0"/>
    <x v="4"/>
    <s v="2014_Gatton_Dryland"/>
    <n v="3"/>
    <n v="2"/>
    <n v="2"/>
    <n v="2"/>
    <x v="11"/>
    <x v="37"/>
    <s v="GR100"/>
    <n v="1329"/>
    <n v="347"/>
    <n v="0"/>
    <n v="861"/>
    <n v="121"/>
    <m/>
    <m/>
    <m/>
    <m/>
    <m/>
  </r>
  <r>
    <x v="0"/>
    <x v="4"/>
    <s v="2014_Gatton_Dryland"/>
    <n v="3"/>
    <n v="3"/>
    <n v="3"/>
    <n v="2"/>
    <x v="9"/>
    <x v="37"/>
    <s v="GR100"/>
    <n v="1769"/>
    <n v="518"/>
    <n v="0"/>
    <n v="1160"/>
    <n v="92"/>
    <m/>
    <m/>
    <m/>
    <m/>
    <m/>
  </r>
  <r>
    <x v="0"/>
    <x v="4"/>
    <s v="2014_Gatton_Dryland"/>
    <n v="3"/>
    <n v="4"/>
    <n v="4"/>
    <n v="2"/>
    <x v="10"/>
    <x v="37"/>
    <s v="GR100"/>
    <n v="1630"/>
    <n v="411"/>
    <n v="0"/>
    <n v="721"/>
    <n v="497"/>
    <m/>
    <m/>
    <m/>
    <m/>
    <m/>
  </r>
  <r>
    <x v="0"/>
    <x v="4"/>
    <s v="2014_Gatton_Dryland"/>
    <n v="3"/>
    <n v="5"/>
    <n v="5"/>
    <n v="2"/>
    <x v="4"/>
    <x v="37"/>
    <s v="GR100"/>
    <n v="1472"/>
    <n v="552"/>
    <n v="0"/>
    <n v="872"/>
    <n v="48"/>
    <m/>
    <m/>
    <m/>
    <m/>
    <m/>
  </r>
  <r>
    <x v="0"/>
    <x v="4"/>
    <s v="2014_Gatton_Dryland"/>
    <n v="3"/>
    <n v="6"/>
    <n v="6"/>
    <n v="2"/>
    <x v="0"/>
    <x v="37"/>
    <s v="GR100"/>
    <n v="1310"/>
    <n v="359"/>
    <n v="0"/>
    <n v="761"/>
    <n v="190"/>
    <m/>
    <m/>
    <m/>
    <m/>
    <m/>
  </r>
  <r>
    <x v="0"/>
    <x v="4"/>
    <s v="2014_Gatton_Dryland"/>
    <n v="4"/>
    <n v="6"/>
    <n v="7"/>
    <n v="2"/>
    <x v="7"/>
    <x v="37"/>
    <s v="GR100"/>
    <n v="1299"/>
    <n v="432"/>
    <n v="0"/>
    <n v="800"/>
    <n v="67"/>
    <m/>
    <m/>
    <m/>
    <m/>
    <m/>
  </r>
  <r>
    <x v="0"/>
    <x v="4"/>
    <s v="2014_Gatton_Dryland"/>
    <n v="4"/>
    <n v="5"/>
    <n v="8"/>
    <n v="2"/>
    <x v="2"/>
    <x v="37"/>
    <s v="GR100"/>
    <n v="1464"/>
    <n v="550"/>
    <n v="0"/>
    <n v="849"/>
    <n v="65"/>
    <m/>
    <m/>
    <m/>
    <m/>
    <m/>
  </r>
  <r>
    <x v="0"/>
    <x v="4"/>
    <s v="2014_Gatton_Dryland"/>
    <n v="4"/>
    <n v="4"/>
    <n v="9"/>
    <n v="2"/>
    <x v="1"/>
    <x v="37"/>
    <s v="GR100"/>
    <n v="1516"/>
    <n v="322"/>
    <n v="0"/>
    <n v="1063"/>
    <n v="131"/>
    <m/>
    <m/>
    <m/>
    <m/>
    <m/>
  </r>
  <r>
    <x v="0"/>
    <x v="4"/>
    <s v="2014_Gatton_Dryland"/>
    <n v="4"/>
    <n v="3"/>
    <n v="10"/>
    <n v="2"/>
    <x v="8"/>
    <x v="37"/>
    <s v="GR100"/>
    <n v="1392"/>
    <n v="608"/>
    <n v="0"/>
    <n v="688"/>
    <n v="95"/>
    <m/>
    <m/>
    <m/>
    <m/>
    <m/>
  </r>
  <r>
    <x v="0"/>
    <x v="4"/>
    <s v="2014_Gatton_Dryland"/>
    <n v="4"/>
    <n v="2"/>
    <n v="11"/>
    <n v="2"/>
    <x v="6"/>
    <x v="37"/>
    <s v="GR100"/>
    <n v="1419"/>
    <n v="408"/>
    <n v="0"/>
    <n v="937"/>
    <n v="74"/>
    <m/>
    <m/>
    <m/>
    <m/>
    <m/>
  </r>
  <r>
    <x v="0"/>
    <x v="4"/>
    <s v="2014_Gatton_Dryland"/>
    <n v="4"/>
    <n v="1"/>
    <n v="12"/>
    <n v="2"/>
    <x v="3"/>
    <x v="37"/>
    <s v="GR100"/>
    <n v="1547"/>
    <n v="381"/>
    <n v="0"/>
    <n v="1082"/>
    <n v="84"/>
    <m/>
    <m/>
    <m/>
    <m/>
    <m/>
  </r>
  <r>
    <x v="0"/>
    <x v="4"/>
    <s v="2014_Gatton_Dryland"/>
    <n v="5"/>
    <n v="1"/>
    <n v="1"/>
    <n v="3"/>
    <x v="8"/>
    <x v="37"/>
    <s v="GR100"/>
    <n v="1530"/>
    <n v="347"/>
    <n v="0"/>
    <n v="707"/>
    <n v="476"/>
    <m/>
    <m/>
    <m/>
    <m/>
    <m/>
  </r>
  <r>
    <x v="0"/>
    <x v="4"/>
    <s v="2014_Gatton_Dryland"/>
    <n v="5"/>
    <n v="2"/>
    <n v="2"/>
    <n v="3"/>
    <x v="1"/>
    <x v="37"/>
    <s v="GR100"/>
    <n v="1638"/>
    <n v="434"/>
    <n v="0"/>
    <n v="683"/>
    <n v="521"/>
    <m/>
    <m/>
    <m/>
    <m/>
    <m/>
  </r>
  <r>
    <x v="0"/>
    <x v="4"/>
    <s v="2014_Gatton_Dryland"/>
    <n v="5"/>
    <n v="3"/>
    <n v="3"/>
    <n v="3"/>
    <x v="4"/>
    <x v="37"/>
    <s v="GR100"/>
    <n v="1445"/>
    <n v="414"/>
    <n v="0"/>
    <n v="946"/>
    <n v="85"/>
    <m/>
    <m/>
    <m/>
    <m/>
    <m/>
  </r>
  <r>
    <x v="0"/>
    <x v="4"/>
    <s v="2014_Gatton_Dryland"/>
    <n v="5"/>
    <n v="4"/>
    <n v="4"/>
    <n v="3"/>
    <x v="5"/>
    <x v="37"/>
    <s v="GR100"/>
    <n v="1170"/>
    <n v="396"/>
    <n v="0"/>
    <n v="718"/>
    <n v="56"/>
    <m/>
    <m/>
    <m/>
    <m/>
    <m/>
  </r>
  <r>
    <x v="0"/>
    <x v="4"/>
    <s v="2014_Gatton_Dryland"/>
    <n v="5"/>
    <n v="5"/>
    <n v="5"/>
    <n v="3"/>
    <x v="10"/>
    <x v="37"/>
    <s v="GR100"/>
    <n v="1487"/>
    <n v="436"/>
    <n v="0"/>
    <n v="743"/>
    <n v="307"/>
    <m/>
    <m/>
    <m/>
    <m/>
    <m/>
  </r>
  <r>
    <x v="0"/>
    <x v="4"/>
    <s v="2014_Gatton_Dryland"/>
    <n v="5"/>
    <n v="6"/>
    <n v="6"/>
    <n v="3"/>
    <x v="3"/>
    <x v="37"/>
    <s v="GR100"/>
    <n v="1380"/>
    <n v="242"/>
    <n v="0"/>
    <n v="743"/>
    <n v="395"/>
    <m/>
    <m/>
    <m/>
    <m/>
    <m/>
  </r>
  <r>
    <x v="0"/>
    <x v="4"/>
    <s v="2014_Gatton_Dryland"/>
    <n v="6"/>
    <n v="6"/>
    <n v="7"/>
    <n v="3"/>
    <x v="9"/>
    <x v="37"/>
    <s v="GR100"/>
    <n v="1342"/>
    <n v="314"/>
    <n v="0"/>
    <n v="975"/>
    <n v="52"/>
    <m/>
    <m/>
    <m/>
    <m/>
    <m/>
  </r>
  <r>
    <x v="0"/>
    <x v="4"/>
    <s v="2014_Gatton_Dryland"/>
    <n v="6"/>
    <n v="5"/>
    <n v="8"/>
    <n v="3"/>
    <x v="6"/>
    <x v="37"/>
    <s v="GR100"/>
    <n v="1435"/>
    <n v="178"/>
    <n v="0"/>
    <n v="705"/>
    <n v="552"/>
    <m/>
    <m/>
    <m/>
    <m/>
    <m/>
  </r>
  <r>
    <x v="0"/>
    <x v="4"/>
    <s v="2014_Gatton_Dryland"/>
    <n v="6"/>
    <n v="4"/>
    <n v="9"/>
    <n v="3"/>
    <x v="2"/>
    <x v="37"/>
    <s v="GR100"/>
    <n v="1484"/>
    <n v="473"/>
    <n v="0"/>
    <n v="934"/>
    <n v="78"/>
    <m/>
    <m/>
    <m/>
    <m/>
    <m/>
  </r>
  <r>
    <x v="0"/>
    <x v="4"/>
    <s v="2014_Gatton_Dryland"/>
    <n v="6"/>
    <n v="3"/>
    <n v="10"/>
    <n v="3"/>
    <x v="11"/>
    <x v="37"/>
    <s v="GR100"/>
    <n v="1339"/>
    <n v="370"/>
    <n v="0"/>
    <n v="861"/>
    <n v="108"/>
    <m/>
    <m/>
    <m/>
    <m/>
    <m/>
  </r>
  <r>
    <x v="0"/>
    <x v="4"/>
    <s v="2014_Gatton_Dryland"/>
    <n v="6"/>
    <n v="2"/>
    <n v="11"/>
    <n v="3"/>
    <x v="0"/>
    <x v="37"/>
    <s v="GR100"/>
    <n v="1328"/>
    <n v="259"/>
    <n v="0"/>
    <n v="600"/>
    <n v="469"/>
    <m/>
    <m/>
    <m/>
    <m/>
    <m/>
  </r>
  <r>
    <x v="0"/>
    <x v="4"/>
    <s v="2014_Gatton_Dryland"/>
    <n v="6"/>
    <n v="1"/>
    <n v="12"/>
    <n v="3"/>
    <x v="7"/>
    <x v="37"/>
    <s v="GR100"/>
    <n v="1474"/>
    <n v="414"/>
    <n v="0"/>
    <n v="566"/>
    <n v="493"/>
    <m/>
    <m/>
    <m/>
    <m/>
    <m/>
  </r>
  <r>
    <x v="0"/>
    <x v="4"/>
    <s v="2014_Gatton_Dryland"/>
    <n v="7"/>
    <n v="1"/>
    <n v="1"/>
    <n v="4"/>
    <x v="11"/>
    <x v="37"/>
    <s v="GR100"/>
    <n v="1484"/>
    <n v="292"/>
    <n v="0"/>
    <n v="720"/>
    <n v="472"/>
    <m/>
    <m/>
    <m/>
    <m/>
    <m/>
  </r>
  <r>
    <x v="0"/>
    <x v="4"/>
    <s v="2014_Gatton_Dryland"/>
    <n v="7"/>
    <n v="2"/>
    <n v="2"/>
    <n v="4"/>
    <x v="10"/>
    <x v="37"/>
    <s v="GR100"/>
    <n v="1466"/>
    <n v="392"/>
    <n v="0"/>
    <n v="978"/>
    <n v="95"/>
    <m/>
    <m/>
    <m/>
    <m/>
    <m/>
  </r>
  <r>
    <x v="0"/>
    <x v="4"/>
    <s v="2014_Gatton_Dryland"/>
    <n v="7"/>
    <n v="3"/>
    <n v="3"/>
    <n v="4"/>
    <x v="0"/>
    <x v="37"/>
    <s v="GR100"/>
    <n v="1558"/>
    <n v="447"/>
    <n v="0"/>
    <n v="1021"/>
    <n v="90"/>
    <m/>
    <m/>
    <m/>
    <m/>
    <m/>
  </r>
  <r>
    <x v="0"/>
    <x v="4"/>
    <s v="2014_Gatton_Dryland"/>
    <n v="7"/>
    <n v="4"/>
    <n v="4"/>
    <n v="4"/>
    <x v="9"/>
    <x v="37"/>
    <s v="GR100"/>
    <n v="1634"/>
    <n v="506"/>
    <n v="0"/>
    <n v="499"/>
    <n v="629"/>
    <m/>
    <m/>
    <m/>
    <m/>
    <m/>
  </r>
  <r>
    <x v="0"/>
    <x v="4"/>
    <s v="2014_Gatton_Dryland"/>
    <n v="7"/>
    <n v="5"/>
    <n v="5"/>
    <n v="4"/>
    <x v="7"/>
    <x v="37"/>
    <s v="GR100"/>
    <n v="1376"/>
    <n v="330"/>
    <n v="0"/>
    <n v="958"/>
    <n v="89"/>
    <m/>
    <m/>
    <m/>
    <m/>
    <m/>
  </r>
  <r>
    <x v="0"/>
    <x v="4"/>
    <s v="2014_Gatton_Dryland"/>
    <n v="7"/>
    <n v="6"/>
    <n v="6"/>
    <n v="4"/>
    <x v="1"/>
    <x v="37"/>
    <s v="GR100"/>
    <n v="1108"/>
    <n v="324"/>
    <n v="0"/>
    <n v="711"/>
    <n v="73"/>
    <m/>
    <m/>
    <m/>
    <m/>
    <m/>
  </r>
  <r>
    <x v="0"/>
    <x v="4"/>
    <s v="2014_Gatton_Dryland"/>
    <n v="8"/>
    <n v="6"/>
    <n v="7"/>
    <n v="4"/>
    <x v="6"/>
    <x v="37"/>
    <s v="GR100"/>
    <n v="1299"/>
    <n v="268"/>
    <n v="0"/>
    <n v="989"/>
    <n v="42"/>
    <m/>
    <m/>
    <m/>
    <m/>
    <m/>
  </r>
  <r>
    <x v="0"/>
    <x v="4"/>
    <s v="2014_Gatton_Dryland"/>
    <n v="8"/>
    <n v="5"/>
    <n v="8"/>
    <n v="4"/>
    <x v="5"/>
    <x v="37"/>
    <s v="GR100"/>
    <n v="1074"/>
    <n v="407"/>
    <n v="0"/>
    <n v="559"/>
    <n v="108"/>
    <m/>
    <m/>
    <m/>
    <m/>
    <m/>
  </r>
  <r>
    <x v="0"/>
    <x v="4"/>
    <s v="2014_Gatton_Dryland"/>
    <n v="8"/>
    <n v="4"/>
    <n v="9"/>
    <n v="4"/>
    <x v="3"/>
    <x v="37"/>
    <s v="GR100"/>
    <n v="1336"/>
    <n v="350"/>
    <n v="0"/>
    <n v="929"/>
    <n v="57"/>
    <m/>
    <m/>
    <m/>
    <m/>
    <m/>
  </r>
  <r>
    <x v="0"/>
    <x v="4"/>
    <s v="2014_Gatton_Dryland"/>
    <n v="8"/>
    <n v="3"/>
    <n v="10"/>
    <n v="4"/>
    <x v="2"/>
    <x v="37"/>
    <s v="GR100"/>
    <n v="1223"/>
    <n v="373"/>
    <n v="0"/>
    <n v="744"/>
    <n v="106"/>
    <m/>
    <m/>
    <m/>
    <m/>
    <m/>
  </r>
  <r>
    <x v="0"/>
    <x v="4"/>
    <s v="2014_Gatton_Dryland"/>
    <n v="8"/>
    <n v="2"/>
    <n v="11"/>
    <n v="4"/>
    <x v="8"/>
    <x v="37"/>
    <s v="GR100"/>
    <n v="1469"/>
    <n v="525"/>
    <n v="0"/>
    <n v="597"/>
    <n v="346"/>
    <m/>
    <m/>
    <m/>
    <m/>
    <m/>
  </r>
  <r>
    <x v="0"/>
    <x v="4"/>
    <s v="2014_Gatton_Dryland"/>
    <n v="8"/>
    <n v="1"/>
    <n v="12"/>
    <n v="4"/>
    <x v="4"/>
    <x v="37"/>
    <s v="GR100"/>
    <n v="1352"/>
    <n v="406"/>
    <n v="0"/>
    <n v="837"/>
    <n v="109"/>
    <m/>
    <m/>
    <m/>
    <m/>
    <m/>
  </r>
  <r>
    <x v="1"/>
    <x v="4"/>
    <s v="2015_Gatton_Dryland"/>
    <n v="1"/>
    <n v="4"/>
    <n v="1"/>
    <n v="1"/>
    <x v="4"/>
    <x v="38"/>
    <s v="N0"/>
    <n v="132"/>
    <n v="42"/>
    <n v="90"/>
    <m/>
    <n v="0"/>
    <m/>
    <m/>
    <m/>
    <m/>
    <m/>
  </r>
  <r>
    <x v="1"/>
    <x v="4"/>
    <s v="2015_Gatton_Dryland"/>
    <n v="1"/>
    <n v="3"/>
    <n v="2"/>
    <n v="1"/>
    <x v="2"/>
    <x v="38"/>
    <s v="N0"/>
    <n v="120"/>
    <n v="39"/>
    <n v="80"/>
    <m/>
    <n v="1"/>
    <m/>
    <m/>
    <m/>
    <m/>
    <m/>
  </r>
  <r>
    <x v="1"/>
    <x v="4"/>
    <s v="2015_Gatton_Dryland"/>
    <n v="1"/>
    <n v="2"/>
    <n v="3"/>
    <n v="1"/>
    <x v="0"/>
    <x v="38"/>
    <s v="N0"/>
    <n v="145"/>
    <n v="40"/>
    <n v="103"/>
    <m/>
    <n v="2"/>
    <m/>
    <m/>
    <m/>
    <m/>
    <m/>
  </r>
  <r>
    <x v="1"/>
    <x v="4"/>
    <s v="2015_Gatton_Dryland"/>
    <n v="1"/>
    <n v="1"/>
    <n v="4"/>
    <n v="1"/>
    <x v="10"/>
    <x v="38"/>
    <s v="N0"/>
    <n v="124"/>
    <n v="38"/>
    <n v="85"/>
    <m/>
    <n v="1"/>
    <m/>
    <m/>
    <m/>
    <m/>
    <m/>
  </r>
  <r>
    <x v="1"/>
    <x v="4"/>
    <s v="2015_Gatton_Dryland"/>
    <n v="2"/>
    <n v="4"/>
    <n v="5"/>
    <n v="1"/>
    <x v="5"/>
    <x v="38"/>
    <s v="N0"/>
    <n v="132"/>
    <n v="50"/>
    <n v="82"/>
    <m/>
    <n v="0"/>
    <m/>
    <m/>
    <m/>
    <m/>
    <m/>
  </r>
  <r>
    <x v="1"/>
    <x v="4"/>
    <s v="2015_Gatton_Dryland"/>
    <n v="2"/>
    <n v="3"/>
    <n v="6"/>
    <n v="1"/>
    <x v="11"/>
    <x v="38"/>
    <s v="N0"/>
    <n v="99"/>
    <n v="33"/>
    <n v="63"/>
    <m/>
    <n v="2"/>
    <m/>
    <m/>
    <m/>
    <m/>
    <m/>
  </r>
  <r>
    <x v="1"/>
    <x v="4"/>
    <s v="2015_Gatton_Dryland"/>
    <n v="2"/>
    <n v="2"/>
    <n v="7"/>
    <n v="1"/>
    <x v="7"/>
    <x v="38"/>
    <s v="N0"/>
    <n v="119"/>
    <n v="42"/>
    <n v="76"/>
    <m/>
    <n v="0"/>
    <m/>
    <m/>
    <m/>
    <m/>
    <m/>
  </r>
  <r>
    <x v="1"/>
    <x v="4"/>
    <s v="2015_Gatton_Dryland"/>
    <n v="2"/>
    <n v="1"/>
    <n v="8"/>
    <n v="1"/>
    <x v="6"/>
    <x v="38"/>
    <s v="N0"/>
    <n v="148"/>
    <n v="47"/>
    <n v="101"/>
    <m/>
    <n v="0"/>
    <m/>
    <m/>
    <m/>
    <m/>
    <m/>
  </r>
  <r>
    <x v="1"/>
    <x v="4"/>
    <s v="2015_Gatton_Dryland"/>
    <n v="3"/>
    <n v="4"/>
    <n v="9"/>
    <n v="1"/>
    <x v="3"/>
    <x v="38"/>
    <s v="N0"/>
    <n v="137"/>
    <n v="38"/>
    <n v="98"/>
    <m/>
    <n v="1"/>
    <m/>
    <m/>
    <m/>
    <m/>
    <m/>
  </r>
  <r>
    <x v="1"/>
    <x v="4"/>
    <s v="2015_Gatton_Dryland"/>
    <n v="3"/>
    <n v="3"/>
    <n v="10"/>
    <n v="1"/>
    <x v="8"/>
    <x v="38"/>
    <s v="N0"/>
    <n v="151"/>
    <n v="49"/>
    <n v="99"/>
    <m/>
    <n v="2"/>
    <m/>
    <m/>
    <m/>
    <m/>
    <m/>
  </r>
  <r>
    <x v="1"/>
    <x v="4"/>
    <s v="2015_Gatton_Dryland"/>
    <n v="3"/>
    <n v="2"/>
    <n v="11"/>
    <n v="1"/>
    <x v="1"/>
    <x v="38"/>
    <s v="N0"/>
    <n v="140"/>
    <n v="39"/>
    <n v="96"/>
    <m/>
    <n v="5"/>
    <m/>
    <m/>
    <m/>
    <m/>
    <m/>
  </r>
  <r>
    <x v="1"/>
    <x v="4"/>
    <s v="2015_Gatton_Dryland"/>
    <n v="3"/>
    <n v="1"/>
    <n v="12"/>
    <n v="1"/>
    <x v="9"/>
    <x v="38"/>
    <s v="N0"/>
    <n v="186"/>
    <n v="62"/>
    <n v="121"/>
    <m/>
    <n v="2"/>
    <m/>
    <m/>
    <m/>
    <m/>
    <m/>
  </r>
  <r>
    <x v="1"/>
    <x v="4"/>
    <s v="2015_Gatton_Dryland"/>
    <n v="4"/>
    <n v="4"/>
    <n v="13"/>
    <n v="2"/>
    <x v="0"/>
    <x v="38"/>
    <s v="N0"/>
    <n v="115"/>
    <n v="30"/>
    <n v="83"/>
    <m/>
    <n v="1"/>
    <m/>
    <m/>
    <m/>
    <m/>
    <m/>
  </r>
  <r>
    <x v="1"/>
    <x v="4"/>
    <s v="2015_Gatton_Dryland"/>
    <n v="4"/>
    <n v="3"/>
    <n v="14"/>
    <n v="2"/>
    <x v="5"/>
    <x v="38"/>
    <s v="N0"/>
    <n v="117"/>
    <n v="45"/>
    <n v="71"/>
    <m/>
    <n v="1"/>
    <m/>
    <m/>
    <m/>
    <m/>
    <m/>
  </r>
  <r>
    <x v="1"/>
    <x v="4"/>
    <s v="2015_Gatton_Dryland"/>
    <n v="4"/>
    <n v="2"/>
    <n v="15"/>
    <n v="2"/>
    <x v="6"/>
    <x v="38"/>
    <s v="N0"/>
    <n v="141"/>
    <n v="44"/>
    <n v="95"/>
    <m/>
    <n v="2"/>
    <m/>
    <m/>
    <m/>
    <m/>
    <m/>
  </r>
  <r>
    <x v="1"/>
    <x v="4"/>
    <s v="2015_Gatton_Dryland"/>
    <n v="4"/>
    <n v="1"/>
    <n v="16"/>
    <n v="2"/>
    <x v="8"/>
    <x v="38"/>
    <s v="N0"/>
    <n v="153"/>
    <n v="52"/>
    <n v="100"/>
    <m/>
    <n v="1"/>
    <m/>
    <m/>
    <m/>
    <m/>
    <m/>
  </r>
  <r>
    <x v="1"/>
    <x v="4"/>
    <s v="2015_Gatton_Dryland"/>
    <n v="5"/>
    <n v="4"/>
    <n v="17"/>
    <n v="2"/>
    <x v="9"/>
    <x v="38"/>
    <s v="N0"/>
    <n v="110"/>
    <n v="37"/>
    <n v="72"/>
    <m/>
    <n v="0"/>
    <m/>
    <m/>
    <m/>
    <m/>
    <m/>
  </r>
  <r>
    <x v="1"/>
    <x v="4"/>
    <s v="2015_Gatton_Dryland"/>
    <n v="5"/>
    <n v="3"/>
    <n v="18"/>
    <n v="2"/>
    <x v="10"/>
    <x v="38"/>
    <s v="N0"/>
    <n v="151"/>
    <n v="48"/>
    <n v="101"/>
    <m/>
    <n v="2"/>
    <m/>
    <m/>
    <m/>
    <m/>
    <m/>
  </r>
  <r>
    <x v="1"/>
    <x v="4"/>
    <s v="2015_Gatton_Dryland"/>
    <n v="5"/>
    <n v="2"/>
    <n v="19"/>
    <n v="2"/>
    <x v="11"/>
    <x v="38"/>
    <s v="N0"/>
    <n v="125"/>
    <n v="41"/>
    <n v="82"/>
    <m/>
    <n v="1"/>
    <m/>
    <m/>
    <m/>
    <m/>
    <m/>
  </r>
  <r>
    <x v="1"/>
    <x v="4"/>
    <s v="2015_Gatton_Dryland"/>
    <n v="5"/>
    <n v="1"/>
    <n v="20"/>
    <n v="2"/>
    <x v="1"/>
    <x v="38"/>
    <s v="N0"/>
    <n v="138"/>
    <n v="44"/>
    <n v="91"/>
    <m/>
    <n v="3"/>
    <m/>
    <m/>
    <m/>
    <m/>
    <m/>
  </r>
  <r>
    <x v="1"/>
    <x v="4"/>
    <s v="2015_Gatton_Dryland"/>
    <n v="6"/>
    <n v="4"/>
    <n v="21"/>
    <n v="2"/>
    <x v="2"/>
    <x v="38"/>
    <s v="N0"/>
    <n v="156"/>
    <n v="49"/>
    <n v="105"/>
    <m/>
    <n v="1"/>
    <m/>
    <m/>
    <m/>
    <m/>
    <m/>
  </r>
  <r>
    <x v="1"/>
    <x v="4"/>
    <s v="2015_Gatton_Dryland"/>
    <n v="6"/>
    <n v="3"/>
    <n v="22"/>
    <n v="2"/>
    <x v="7"/>
    <x v="38"/>
    <s v="N0"/>
    <n v="134"/>
    <n v="49"/>
    <n v="83"/>
    <m/>
    <n v="1"/>
    <m/>
    <m/>
    <m/>
    <m/>
    <m/>
  </r>
  <r>
    <x v="1"/>
    <x v="4"/>
    <s v="2015_Gatton_Dryland"/>
    <n v="6"/>
    <n v="2"/>
    <n v="23"/>
    <n v="2"/>
    <x v="4"/>
    <x v="38"/>
    <s v="N0"/>
    <n v="166"/>
    <n v="60"/>
    <n v="103"/>
    <m/>
    <n v="3"/>
    <m/>
    <m/>
    <m/>
    <m/>
    <m/>
  </r>
  <r>
    <x v="1"/>
    <x v="4"/>
    <s v="2015_Gatton_Dryland"/>
    <n v="6"/>
    <n v="1"/>
    <n v="24"/>
    <n v="2"/>
    <x v="3"/>
    <x v="38"/>
    <s v="N0"/>
    <n v="141"/>
    <n v="44"/>
    <n v="96"/>
    <m/>
    <n v="1"/>
    <m/>
    <m/>
    <m/>
    <m/>
    <m/>
  </r>
  <r>
    <x v="1"/>
    <x v="4"/>
    <s v="2015_Gatton_Dryland"/>
    <n v="7"/>
    <n v="4"/>
    <n v="25"/>
    <n v="3"/>
    <x v="7"/>
    <x v="38"/>
    <s v="N0"/>
    <n v="121"/>
    <n v="42"/>
    <n v="78"/>
    <m/>
    <n v="2"/>
    <m/>
    <m/>
    <m/>
    <m/>
    <m/>
  </r>
  <r>
    <x v="1"/>
    <x v="4"/>
    <s v="2015_Gatton_Dryland"/>
    <n v="7"/>
    <n v="3"/>
    <n v="26"/>
    <n v="3"/>
    <x v="9"/>
    <x v="38"/>
    <s v="N0"/>
    <n v="157"/>
    <n v="53"/>
    <n v="103"/>
    <m/>
    <n v="1"/>
    <m/>
    <m/>
    <m/>
    <m/>
    <m/>
  </r>
  <r>
    <x v="1"/>
    <x v="4"/>
    <s v="2015_Gatton_Dryland"/>
    <n v="7"/>
    <n v="2"/>
    <n v="27"/>
    <n v="3"/>
    <x v="3"/>
    <x v="38"/>
    <s v="N0"/>
    <n v="132"/>
    <n v="40"/>
    <n v="90"/>
    <m/>
    <n v="2"/>
    <m/>
    <m/>
    <m/>
    <m/>
    <m/>
  </r>
  <r>
    <x v="1"/>
    <x v="4"/>
    <s v="2015_Gatton_Dryland"/>
    <n v="7"/>
    <n v="1"/>
    <n v="28"/>
    <n v="3"/>
    <x v="11"/>
    <x v="38"/>
    <s v="N0"/>
    <n v="81"/>
    <n v="27"/>
    <n v="53"/>
    <m/>
    <n v="1"/>
    <m/>
    <m/>
    <m/>
    <m/>
    <m/>
  </r>
  <r>
    <x v="1"/>
    <x v="4"/>
    <s v="2015_Gatton_Dryland"/>
    <n v="8"/>
    <n v="4"/>
    <n v="29"/>
    <n v="3"/>
    <x v="8"/>
    <x v="38"/>
    <s v="N0"/>
    <n v="160"/>
    <n v="58"/>
    <n v="101"/>
    <m/>
    <n v="0"/>
    <m/>
    <m/>
    <m/>
    <m/>
    <m/>
  </r>
  <r>
    <x v="1"/>
    <x v="4"/>
    <s v="2015_Gatton_Dryland"/>
    <n v="8"/>
    <n v="3"/>
    <n v="30"/>
    <n v="3"/>
    <x v="4"/>
    <x v="38"/>
    <s v="N0"/>
    <n v="130"/>
    <n v="46"/>
    <n v="84"/>
    <m/>
    <n v="1"/>
    <m/>
    <m/>
    <m/>
    <m/>
    <m/>
  </r>
  <r>
    <x v="1"/>
    <x v="4"/>
    <s v="2015_Gatton_Dryland"/>
    <n v="8"/>
    <n v="2"/>
    <n v="31"/>
    <n v="3"/>
    <x v="10"/>
    <x v="38"/>
    <s v="N0"/>
    <n v="161"/>
    <n v="52"/>
    <n v="108"/>
    <m/>
    <n v="1"/>
    <m/>
    <m/>
    <m/>
    <m/>
    <m/>
  </r>
  <r>
    <x v="1"/>
    <x v="4"/>
    <s v="2015_Gatton_Dryland"/>
    <n v="8"/>
    <n v="1"/>
    <n v="32"/>
    <n v="3"/>
    <x v="0"/>
    <x v="38"/>
    <s v="N0"/>
    <n v="126"/>
    <n v="36"/>
    <n v="89"/>
    <m/>
    <n v="1"/>
    <m/>
    <m/>
    <m/>
    <m/>
    <m/>
  </r>
  <r>
    <x v="1"/>
    <x v="4"/>
    <s v="2015_Gatton_Dryland"/>
    <n v="9"/>
    <n v="4"/>
    <n v="33"/>
    <n v="3"/>
    <x v="6"/>
    <x v="38"/>
    <s v="N0"/>
    <n v="113"/>
    <n v="36"/>
    <n v="77"/>
    <m/>
    <n v="1"/>
    <m/>
    <m/>
    <m/>
    <m/>
    <m/>
  </r>
  <r>
    <x v="1"/>
    <x v="4"/>
    <s v="2015_Gatton_Dryland"/>
    <n v="9"/>
    <n v="3"/>
    <n v="34"/>
    <n v="3"/>
    <x v="1"/>
    <x v="38"/>
    <s v="N0"/>
    <n v="133"/>
    <n v="42"/>
    <n v="89"/>
    <m/>
    <n v="2"/>
    <m/>
    <m/>
    <m/>
    <m/>
    <m/>
  </r>
  <r>
    <x v="1"/>
    <x v="4"/>
    <s v="2015_Gatton_Dryland"/>
    <n v="9"/>
    <n v="2"/>
    <n v="35"/>
    <n v="3"/>
    <x v="2"/>
    <x v="38"/>
    <s v="N0"/>
    <n v="113"/>
    <n v="37"/>
    <n v="74"/>
    <m/>
    <n v="2"/>
    <m/>
    <m/>
    <m/>
    <m/>
    <m/>
  </r>
  <r>
    <x v="1"/>
    <x v="4"/>
    <s v="2015_Gatton_Dryland"/>
    <n v="9"/>
    <n v="1"/>
    <n v="36"/>
    <n v="3"/>
    <x v="5"/>
    <x v="38"/>
    <s v="N0"/>
    <n v="137"/>
    <n v="56"/>
    <n v="77"/>
    <m/>
    <n v="3"/>
    <m/>
    <m/>
    <m/>
    <m/>
    <m/>
  </r>
  <r>
    <x v="1"/>
    <x v="4"/>
    <s v="2015_Gatton_Dryland"/>
    <n v="10"/>
    <n v="4"/>
    <n v="37"/>
    <n v="4"/>
    <x v="1"/>
    <x v="38"/>
    <s v="N0"/>
    <n v="146"/>
    <n v="48"/>
    <n v="97"/>
    <m/>
    <n v="1"/>
    <m/>
    <m/>
    <m/>
    <m/>
    <m/>
  </r>
  <r>
    <x v="1"/>
    <x v="4"/>
    <s v="2015_Gatton_Dryland"/>
    <n v="10"/>
    <n v="3"/>
    <n v="38"/>
    <n v="4"/>
    <x v="0"/>
    <x v="38"/>
    <s v="N0"/>
    <n v="63"/>
    <n v="19"/>
    <n v="43"/>
    <m/>
    <n v="0"/>
    <m/>
    <m/>
    <m/>
    <m/>
    <m/>
  </r>
  <r>
    <x v="1"/>
    <x v="4"/>
    <s v="2015_Gatton_Dryland"/>
    <n v="10"/>
    <n v="2"/>
    <n v="39"/>
    <n v="4"/>
    <x v="8"/>
    <x v="38"/>
    <s v="N0"/>
    <n v="172"/>
    <n v="61"/>
    <n v="111"/>
    <m/>
    <n v="1"/>
    <m/>
    <m/>
    <m/>
    <m/>
    <m/>
  </r>
  <r>
    <x v="1"/>
    <x v="4"/>
    <s v="2015_Gatton_Dryland"/>
    <n v="10"/>
    <n v="1"/>
    <n v="40"/>
    <n v="4"/>
    <x v="2"/>
    <x v="38"/>
    <s v="N0"/>
    <n v="122"/>
    <n v="39"/>
    <n v="82"/>
    <m/>
    <n v="1"/>
    <m/>
    <m/>
    <m/>
    <m/>
    <m/>
  </r>
  <r>
    <x v="1"/>
    <x v="4"/>
    <s v="2015_Gatton_Dryland"/>
    <n v="11"/>
    <n v="4"/>
    <n v="41"/>
    <n v="4"/>
    <x v="10"/>
    <x v="38"/>
    <s v="N0"/>
    <n v="117"/>
    <n v="36"/>
    <n v="80"/>
    <m/>
    <n v="1"/>
    <m/>
    <m/>
    <m/>
    <m/>
    <m/>
  </r>
  <r>
    <x v="1"/>
    <x v="4"/>
    <s v="2015_Gatton_Dryland"/>
    <n v="11"/>
    <n v="3"/>
    <n v="42"/>
    <n v="4"/>
    <x v="6"/>
    <x v="38"/>
    <s v="N0"/>
    <n v="42"/>
    <n v="14"/>
    <n v="29"/>
    <m/>
    <n v="0"/>
    <m/>
    <m/>
    <m/>
    <m/>
    <m/>
  </r>
  <r>
    <x v="1"/>
    <x v="4"/>
    <s v="2015_Gatton_Dryland"/>
    <n v="11"/>
    <n v="2"/>
    <n v="43"/>
    <n v="4"/>
    <x v="9"/>
    <x v="38"/>
    <s v="N0"/>
    <n v="129"/>
    <n v="47"/>
    <n v="81"/>
    <m/>
    <n v="0"/>
    <m/>
    <m/>
    <m/>
    <m/>
    <m/>
  </r>
  <r>
    <x v="1"/>
    <x v="4"/>
    <s v="2015_Gatton_Dryland"/>
    <n v="11"/>
    <n v="1"/>
    <n v="44"/>
    <n v="4"/>
    <x v="4"/>
    <x v="38"/>
    <s v="N0"/>
    <n v="91"/>
    <n v="33"/>
    <n v="57"/>
    <m/>
    <n v="1"/>
    <m/>
    <m/>
    <m/>
    <m/>
    <m/>
  </r>
  <r>
    <x v="1"/>
    <x v="4"/>
    <s v="2015_Gatton_Dryland"/>
    <n v="12"/>
    <n v="4"/>
    <n v="45"/>
    <n v="4"/>
    <x v="11"/>
    <x v="38"/>
    <s v="N0"/>
    <n v="68"/>
    <n v="3"/>
    <n v="64"/>
    <m/>
    <n v="1"/>
    <m/>
    <m/>
    <m/>
    <m/>
    <m/>
  </r>
  <r>
    <x v="1"/>
    <x v="4"/>
    <s v="2015_Gatton_Dryland"/>
    <n v="12"/>
    <n v="3"/>
    <n v="46"/>
    <n v="4"/>
    <x v="3"/>
    <x v="38"/>
    <s v="N0"/>
    <n v="75"/>
    <n v="22"/>
    <n v="52"/>
    <m/>
    <n v="1"/>
    <m/>
    <m/>
    <m/>
    <m/>
    <m/>
  </r>
  <r>
    <x v="1"/>
    <x v="4"/>
    <s v="2015_Gatton_Dryland"/>
    <n v="12"/>
    <n v="2"/>
    <n v="47"/>
    <n v="4"/>
    <x v="5"/>
    <x v="38"/>
    <s v="N0"/>
    <n v="152"/>
    <n v="61"/>
    <n v="89"/>
    <m/>
    <n v="2"/>
    <m/>
    <m/>
    <m/>
    <m/>
    <m/>
  </r>
  <r>
    <x v="1"/>
    <x v="4"/>
    <s v="2015_Gatton_Dryland"/>
    <n v="12"/>
    <n v="1"/>
    <n v="48"/>
    <n v="4"/>
    <x v="7"/>
    <x v="38"/>
    <s v="N0"/>
    <n v="76"/>
    <n v="26"/>
    <n v="49"/>
    <m/>
    <n v="1"/>
    <m/>
    <m/>
    <m/>
    <m/>
    <m/>
  </r>
  <r>
    <x v="1"/>
    <x v="4"/>
    <s v="2015_Gatton_Dryland"/>
    <n v="1"/>
    <n v="4"/>
    <n v="1"/>
    <n v="1"/>
    <x v="4"/>
    <x v="39"/>
    <s v="N2"/>
    <n v="133"/>
    <n v="48"/>
    <n v="84"/>
    <m/>
    <n v="1"/>
    <m/>
    <m/>
    <m/>
    <m/>
    <m/>
  </r>
  <r>
    <x v="1"/>
    <x v="4"/>
    <s v="2015_Gatton_Dryland"/>
    <n v="1"/>
    <n v="3"/>
    <n v="2"/>
    <n v="1"/>
    <x v="2"/>
    <x v="39"/>
    <s v="N2"/>
    <n v="146"/>
    <n v="52"/>
    <n v="92"/>
    <m/>
    <n v="2"/>
    <m/>
    <m/>
    <m/>
    <m/>
    <m/>
  </r>
  <r>
    <x v="1"/>
    <x v="4"/>
    <s v="2015_Gatton_Dryland"/>
    <n v="1"/>
    <n v="2"/>
    <n v="3"/>
    <n v="1"/>
    <x v="0"/>
    <x v="39"/>
    <s v="N2"/>
    <n v="154"/>
    <n v="46"/>
    <n v="105"/>
    <m/>
    <n v="3"/>
    <m/>
    <m/>
    <m/>
    <m/>
    <m/>
  </r>
  <r>
    <x v="1"/>
    <x v="4"/>
    <s v="2015_Gatton_Dryland"/>
    <n v="1"/>
    <n v="1"/>
    <n v="4"/>
    <n v="1"/>
    <x v="10"/>
    <x v="39"/>
    <s v="N2"/>
    <n v="182"/>
    <n v="63"/>
    <n v="118"/>
    <m/>
    <n v="2"/>
    <m/>
    <m/>
    <m/>
    <m/>
    <m/>
  </r>
  <r>
    <x v="1"/>
    <x v="4"/>
    <s v="2015_Gatton_Dryland"/>
    <n v="2"/>
    <n v="4"/>
    <n v="5"/>
    <n v="1"/>
    <x v="5"/>
    <x v="39"/>
    <s v="N2"/>
    <n v="220"/>
    <n v="103"/>
    <n v="116"/>
    <m/>
    <n v="1"/>
    <m/>
    <m/>
    <m/>
    <m/>
    <m/>
  </r>
  <r>
    <x v="1"/>
    <x v="4"/>
    <s v="2015_Gatton_Dryland"/>
    <n v="2"/>
    <n v="3"/>
    <n v="6"/>
    <n v="1"/>
    <x v="11"/>
    <x v="39"/>
    <s v="N2"/>
    <n v="135"/>
    <n v="45"/>
    <n v="89"/>
    <m/>
    <n v="1"/>
    <m/>
    <m/>
    <m/>
    <m/>
    <m/>
  </r>
  <r>
    <x v="1"/>
    <x v="4"/>
    <s v="2015_Gatton_Dryland"/>
    <n v="2"/>
    <n v="2"/>
    <n v="7"/>
    <n v="1"/>
    <x v="7"/>
    <x v="39"/>
    <s v="N2"/>
    <n v="166"/>
    <n v="70"/>
    <n v="95"/>
    <m/>
    <n v="1"/>
    <m/>
    <m/>
    <m/>
    <m/>
    <m/>
  </r>
  <r>
    <x v="1"/>
    <x v="4"/>
    <s v="2015_Gatton_Dryland"/>
    <n v="2"/>
    <n v="1"/>
    <n v="8"/>
    <n v="1"/>
    <x v="6"/>
    <x v="39"/>
    <s v="N2"/>
    <n v="167"/>
    <n v="61"/>
    <n v="103"/>
    <m/>
    <n v="2"/>
    <m/>
    <m/>
    <m/>
    <m/>
    <m/>
  </r>
  <r>
    <x v="1"/>
    <x v="4"/>
    <s v="2015_Gatton_Dryland"/>
    <n v="3"/>
    <n v="4"/>
    <n v="9"/>
    <n v="1"/>
    <x v="3"/>
    <x v="39"/>
    <s v="N2"/>
    <n v="180"/>
    <n v="71"/>
    <n v="107"/>
    <m/>
    <n v="2"/>
    <m/>
    <m/>
    <m/>
    <m/>
    <m/>
  </r>
  <r>
    <x v="1"/>
    <x v="4"/>
    <s v="2015_Gatton_Dryland"/>
    <n v="3"/>
    <n v="3"/>
    <n v="10"/>
    <n v="1"/>
    <x v="8"/>
    <x v="39"/>
    <s v="N2"/>
    <n v="145"/>
    <m/>
    <m/>
    <m/>
    <m/>
    <m/>
    <m/>
    <m/>
    <m/>
    <m/>
  </r>
  <r>
    <x v="1"/>
    <x v="4"/>
    <s v="2015_Gatton_Dryland"/>
    <n v="3"/>
    <n v="2"/>
    <n v="11"/>
    <n v="1"/>
    <x v="1"/>
    <x v="39"/>
    <s v="N2"/>
    <n v="165"/>
    <n v="60"/>
    <n v="101"/>
    <m/>
    <n v="4"/>
    <m/>
    <m/>
    <m/>
    <m/>
    <m/>
  </r>
  <r>
    <x v="1"/>
    <x v="4"/>
    <s v="2015_Gatton_Dryland"/>
    <n v="3"/>
    <n v="1"/>
    <n v="12"/>
    <n v="1"/>
    <x v="9"/>
    <x v="39"/>
    <s v="N2"/>
    <n v="209"/>
    <n v="81"/>
    <n v="126"/>
    <m/>
    <n v="2"/>
    <m/>
    <m/>
    <m/>
    <m/>
    <m/>
  </r>
  <r>
    <x v="1"/>
    <x v="4"/>
    <s v="2015_Gatton_Dryland"/>
    <n v="4"/>
    <n v="4"/>
    <n v="13"/>
    <n v="2"/>
    <x v="0"/>
    <x v="39"/>
    <s v="N2"/>
    <n v="153"/>
    <n v="44"/>
    <n v="108"/>
    <m/>
    <n v="1"/>
    <m/>
    <m/>
    <m/>
    <m/>
    <m/>
  </r>
  <r>
    <x v="1"/>
    <x v="4"/>
    <s v="2015_Gatton_Dryland"/>
    <n v="4"/>
    <n v="3"/>
    <n v="14"/>
    <n v="2"/>
    <x v="5"/>
    <x v="39"/>
    <s v="N2"/>
    <n v="157"/>
    <n v="68"/>
    <n v="88"/>
    <m/>
    <n v="1"/>
    <m/>
    <m/>
    <m/>
    <m/>
    <m/>
  </r>
  <r>
    <x v="1"/>
    <x v="4"/>
    <s v="2015_Gatton_Dryland"/>
    <n v="4"/>
    <n v="2"/>
    <n v="15"/>
    <n v="2"/>
    <x v="6"/>
    <x v="39"/>
    <s v="N2"/>
    <n v="178"/>
    <n v="59"/>
    <n v="117"/>
    <m/>
    <n v="1"/>
    <m/>
    <m/>
    <m/>
    <m/>
    <m/>
  </r>
  <r>
    <x v="1"/>
    <x v="4"/>
    <s v="2015_Gatton_Dryland"/>
    <n v="4"/>
    <n v="1"/>
    <n v="16"/>
    <n v="2"/>
    <x v="8"/>
    <x v="39"/>
    <s v="N2"/>
    <n v="175"/>
    <n v="66"/>
    <n v="107"/>
    <m/>
    <n v="2"/>
    <m/>
    <m/>
    <m/>
    <m/>
    <m/>
  </r>
  <r>
    <x v="1"/>
    <x v="4"/>
    <s v="2015_Gatton_Dryland"/>
    <n v="5"/>
    <n v="4"/>
    <n v="17"/>
    <n v="2"/>
    <x v="9"/>
    <x v="39"/>
    <s v="N2"/>
    <n v="174"/>
    <n v="63"/>
    <n v="110"/>
    <m/>
    <n v="1"/>
    <m/>
    <m/>
    <m/>
    <m/>
    <m/>
  </r>
  <r>
    <x v="1"/>
    <x v="4"/>
    <s v="2015_Gatton_Dryland"/>
    <n v="5"/>
    <n v="3"/>
    <n v="18"/>
    <n v="2"/>
    <x v="10"/>
    <x v="39"/>
    <s v="N2"/>
    <n v="178"/>
    <n v="64"/>
    <n v="112"/>
    <m/>
    <n v="2"/>
    <m/>
    <m/>
    <m/>
    <m/>
    <m/>
  </r>
  <r>
    <x v="1"/>
    <x v="4"/>
    <s v="2015_Gatton_Dryland"/>
    <n v="5"/>
    <n v="2"/>
    <n v="19"/>
    <n v="2"/>
    <x v="11"/>
    <x v="39"/>
    <s v="N2"/>
    <n v="114"/>
    <n v="39"/>
    <n v="74"/>
    <m/>
    <n v="2"/>
    <m/>
    <m/>
    <m/>
    <m/>
    <m/>
  </r>
  <r>
    <x v="1"/>
    <x v="4"/>
    <s v="2015_Gatton_Dryland"/>
    <n v="5"/>
    <n v="1"/>
    <n v="20"/>
    <n v="2"/>
    <x v="1"/>
    <x v="39"/>
    <s v="N2"/>
    <n v="152"/>
    <n v="50"/>
    <n v="98"/>
    <m/>
    <n v="4"/>
    <m/>
    <m/>
    <m/>
    <m/>
    <m/>
  </r>
  <r>
    <x v="1"/>
    <x v="4"/>
    <s v="2015_Gatton_Dryland"/>
    <n v="6"/>
    <n v="4"/>
    <n v="21"/>
    <n v="2"/>
    <x v="2"/>
    <x v="39"/>
    <s v="N2"/>
    <n v="153"/>
    <n v="55"/>
    <n v="96"/>
    <m/>
    <n v="2"/>
    <m/>
    <m/>
    <m/>
    <m/>
    <m/>
  </r>
  <r>
    <x v="1"/>
    <x v="4"/>
    <s v="2015_Gatton_Dryland"/>
    <n v="6"/>
    <n v="3"/>
    <n v="22"/>
    <n v="2"/>
    <x v="7"/>
    <x v="39"/>
    <s v="N2"/>
    <n v="116"/>
    <n v="45"/>
    <n v="70"/>
    <m/>
    <n v="1"/>
    <m/>
    <m/>
    <m/>
    <m/>
    <m/>
  </r>
  <r>
    <x v="1"/>
    <x v="4"/>
    <s v="2015_Gatton_Dryland"/>
    <n v="6"/>
    <n v="2"/>
    <n v="23"/>
    <n v="2"/>
    <x v="4"/>
    <x v="39"/>
    <s v="N2"/>
    <n v="144"/>
    <n v="55"/>
    <n v="86"/>
    <m/>
    <n v="2"/>
    <m/>
    <m/>
    <m/>
    <m/>
    <m/>
  </r>
  <r>
    <x v="1"/>
    <x v="4"/>
    <s v="2015_Gatton_Dryland"/>
    <n v="6"/>
    <n v="1"/>
    <n v="24"/>
    <n v="2"/>
    <x v="3"/>
    <x v="39"/>
    <s v="N2"/>
    <n v="136"/>
    <n v="49"/>
    <n v="85"/>
    <m/>
    <n v="1"/>
    <m/>
    <m/>
    <m/>
    <m/>
    <m/>
  </r>
  <r>
    <x v="1"/>
    <x v="4"/>
    <s v="2015_Gatton_Dryland"/>
    <n v="7"/>
    <n v="4"/>
    <n v="25"/>
    <n v="3"/>
    <x v="7"/>
    <x v="39"/>
    <s v="N2"/>
    <n v="144"/>
    <n v="59"/>
    <n v="84"/>
    <m/>
    <n v="1"/>
    <m/>
    <m/>
    <m/>
    <m/>
    <m/>
  </r>
  <r>
    <x v="1"/>
    <x v="4"/>
    <s v="2015_Gatton_Dryland"/>
    <n v="7"/>
    <n v="3"/>
    <n v="26"/>
    <n v="3"/>
    <x v="9"/>
    <x v="39"/>
    <s v="N2"/>
    <n v="220"/>
    <n v="82"/>
    <n v="136"/>
    <m/>
    <n v="1"/>
    <m/>
    <m/>
    <m/>
    <m/>
    <m/>
  </r>
  <r>
    <x v="1"/>
    <x v="4"/>
    <s v="2015_Gatton_Dryland"/>
    <n v="7"/>
    <n v="2"/>
    <n v="27"/>
    <n v="3"/>
    <x v="3"/>
    <x v="39"/>
    <s v="N2"/>
    <n v="181"/>
    <n v="65"/>
    <n v="115"/>
    <m/>
    <n v="1"/>
    <m/>
    <m/>
    <m/>
    <m/>
    <m/>
  </r>
  <r>
    <x v="1"/>
    <x v="4"/>
    <s v="2015_Gatton_Dryland"/>
    <n v="7"/>
    <n v="1"/>
    <n v="28"/>
    <n v="3"/>
    <x v="11"/>
    <x v="39"/>
    <s v="N2"/>
    <n v="107"/>
    <n v="36"/>
    <n v="70"/>
    <m/>
    <n v="1"/>
    <m/>
    <m/>
    <m/>
    <m/>
    <m/>
  </r>
  <r>
    <x v="1"/>
    <x v="4"/>
    <s v="2015_Gatton_Dryland"/>
    <n v="8"/>
    <n v="4"/>
    <n v="29"/>
    <n v="3"/>
    <x v="8"/>
    <x v="39"/>
    <s v="N2"/>
    <n v="193"/>
    <n v="82"/>
    <n v="109"/>
    <m/>
    <n v="2"/>
    <m/>
    <m/>
    <m/>
    <m/>
    <m/>
  </r>
  <r>
    <x v="1"/>
    <x v="4"/>
    <s v="2015_Gatton_Dryland"/>
    <n v="8"/>
    <n v="3"/>
    <n v="30"/>
    <n v="3"/>
    <x v="4"/>
    <x v="39"/>
    <s v="N2"/>
    <n v="120"/>
    <n v="48"/>
    <n v="71"/>
    <m/>
    <n v="1"/>
    <m/>
    <m/>
    <m/>
    <m/>
    <m/>
  </r>
  <r>
    <x v="1"/>
    <x v="4"/>
    <s v="2015_Gatton_Dryland"/>
    <n v="8"/>
    <n v="2"/>
    <n v="31"/>
    <n v="3"/>
    <x v="10"/>
    <x v="39"/>
    <s v="N2"/>
    <n v="194"/>
    <n v="70"/>
    <n v="122"/>
    <m/>
    <n v="2"/>
    <m/>
    <m/>
    <m/>
    <m/>
    <m/>
  </r>
  <r>
    <x v="1"/>
    <x v="4"/>
    <s v="2015_Gatton_Dryland"/>
    <n v="8"/>
    <n v="1"/>
    <n v="32"/>
    <n v="3"/>
    <x v="0"/>
    <x v="39"/>
    <s v="N2"/>
    <n v="171"/>
    <n v="52"/>
    <n v="117"/>
    <m/>
    <n v="1"/>
    <m/>
    <m/>
    <m/>
    <m/>
    <m/>
  </r>
  <r>
    <x v="1"/>
    <x v="4"/>
    <s v="2015_Gatton_Dryland"/>
    <n v="9"/>
    <n v="4"/>
    <n v="33"/>
    <n v="3"/>
    <x v="6"/>
    <x v="39"/>
    <s v="N2"/>
    <n v="132"/>
    <n v="49"/>
    <n v="81"/>
    <m/>
    <n v="2"/>
    <m/>
    <m/>
    <m/>
    <m/>
    <m/>
  </r>
  <r>
    <x v="1"/>
    <x v="4"/>
    <s v="2015_Gatton_Dryland"/>
    <n v="9"/>
    <n v="3"/>
    <n v="34"/>
    <n v="3"/>
    <x v="1"/>
    <x v="39"/>
    <s v="N2"/>
    <n v="144"/>
    <n v="50"/>
    <n v="91"/>
    <m/>
    <n v="2"/>
    <m/>
    <m/>
    <m/>
    <m/>
    <m/>
  </r>
  <r>
    <x v="1"/>
    <x v="4"/>
    <s v="2015_Gatton_Dryland"/>
    <n v="9"/>
    <n v="2"/>
    <n v="35"/>
    <n v="3"/>
    <x v="2"/>
    <x v="39"/>
    <s v="N2"/>
    <n v="179"/>
    <n v="72"/>
    <n v="104"/>
    <m/>
    <n v="3"/>
    <m/>
    <m/>
    <m/>
    <m/>
    <m/>
  </r>
  <r>
    <x v="1"/>
    <x v="4"/>
    <s v="2015_Gatton_Dryland"/>
    <n v="9"/>
    <n v="1"/>
    <n v="36"/>
    <n v="3"/>
    <x v="5"/>
    <x v="39"/>
    <s v="N2"/>
    <n v="162"/>
    <n v="76"/>
    <n v="84"/>
    <m/>
    <n v="1"/>
    <m/>
    <m/>
    <m/>
    <m/>
    <m/>
  </r>
  <r>
    <x v="1"/>
    <x v="4"/>
    <s v="2015_Gatton_Dryland"/>
    <n v="10"/>
    <n v="4"/>
    <n v="37"/>
    <n v="4"/>
    <x v="1"/>
    <x v="39"/>
    <s v="N2"/>
    <n v="117"/>
    <n v="40"/>
    <n v="76"/>
    <m/>
    <n v="2"/>
    <m/>
    <m/>
    <m/>
    <m/>
    <m/>
  </r>
  <r>
    <x v="1"/>
    <x v="4"/>
    <s v="2015_Gatton_Dryland"/>
    <n v="10"/>
    <n v="3"/>
    <n v="38"/>
    <n v="4"/>
    <x v="0"/>
    <x v="39"/>
    <s v="N2"/>
    <n v="161"/>
    <n v="54"/>
    <n v="107"/>
    <m/>
    <n v="1"/>
    <m/>
    <m/>
    <m/>
    <m/>
    <m/>
  </r>
  <r>
    <x v="1"/>
    <x v="4"/>
    <s v="2015_Gatton_Dryland"/>
    <n v="10"/>
    <n v="2"/>
    <n v="39"/>
    <n v="4"/>
    <x v="8"/>
    <x v="39"/>
    <s v="N2"/>
    <n v="177"/>
    <n v="69"/>
    <n v="106"/>
    <m/>
    <n v="2"/>
    <m/>
    <m/>
    <m/>
    <m/>
    <m/>
  </r>
  <r>
    <x v="1"/>
    <x v="4"/>
    <s v="2015_Gatton_Dryland"/>
    <n v="10"/>
    <n v="1"/>
    <n v="40"/>
    <n v="4"/>
    <x v="2"/>
    <x v="39"/>
    <s v="N2"/>
    <n v="158"/>
    <n v="63"/>
    <n v="94"/>
    <m/>
    <n v="1"/>
    <m/>
    <m/>
    <m/>
    <m/>
    <m/>
  </r>
  <r>
    <x v="1"/>
    <x v="4"/>
    <s v="2015_Gatton_Dryland"/>
    <n v="11"/>
    <n v="4"/>
    <n v="41"/>
    <n v="4"/>
    <x v="10"/>
    <x v="39"/>
    <s v="N2"/>
    <n v="113"/>
    <n v="44"/>
    <n v="67"/>
    <m/>
    <n v="1"/>
    <m/>
    <m/>
    <m/>
    <m/>
    <m/>
  </r>
  <r>
    <x v="1"/>
    <x v="4"/>
    <s v="2015_Gatton_Dryland"/>
    <n v="11"/>
    <n v="3"/>
    <n v="42"/>
    <n v="4"/>
    <x v="6"/>
    <x v="39"/>
    <s v="N2"/>
    <n v="69"/>
    <n v="24"/>
    <n v="43"/>
    <m/>
    <n v="1"/>
    <m/>
    <m/>
    <m/>
    <m/>
    <m/>
  </r>
  <r>
    <x v="1"/>
    <x v="4"/>
    <s v="2015_Gatton_Dryland"/>
    <n v="11"/>
    <n v="2"/>
    <n v="43"/>
    <n v="4"/>
    <x v="9"/>
    <x v="39"/>
    <s v="N2"/>
    <n v="170"/>
    <n v="66"/>
    <n v="103"/>
    <m/>
    <n v="1"/>
    <m/>
    <m/>
    <m/>
    <m/>
    <m/>
  </r>
  <r>
    <x v="1"/>
    <x v="4"/>
    <s v="2015_Gatton_Dryland"/>
    <n v="11"/>
    <n v="1"/>
    <n v="44"/>
    <n v="4"/>
    <x v="4"/>
    <x v="39"/>
    <s v="N2"/>
    <n v="149"/>
    <n v="59"/>
    <n v="88"/>
    <m/>
    <n v="2"/>
    <m/>
    <m/>
    <m/>
    <m/>
    <m/>
  </r>
  <r>
    <x v="1"/>
    <x v="4"/>
    <s v="2015_Gatton_Dryland"/>
    <n v="12"/>
    <n v="4"/>
    <n v="45"/>
    <n v="4"/>
    <x v="11"/>
    <x v="39"/>
    <s v="N2"/>
    <n v="95"/>
    <n v="36"/>
    <n v="58"/>
    <m/>
    <n v="1"/>
    <m/>
    <m/>
    <m/>
    <m/>
    <m/>
  </r>
  <r>
    <x v="1"/>
    <x v="4"/>
    <s v="2015_Gatton_Dryland"/>
    <n v="12"/>
    <n v="3"/>
    <n v="46"/>
    <n v="4"/>
    <x v="3"/>
    <x v="39"/>
    <s v="N2"/>
    <n v="138"/>
    <n v="50"/>
    <n v="86"/>
    <m/>
    <n v="1"/>
    <m/>
    <m/>
    <m/>
    <m/>
    <m/>
  </r>
  <r>
    <x v="1"/>
    <x v="4"/>
    <s v="2015_Gatton_Dryland"/>
    <n v="12"/>
    <n v="2"/>
    <n v="47"/>
    <n v="4"/>
    <x v="5"/>
    <x v="39"/>
    <s v="N2"/>
    <n v="192"/>
    <n v="84"/>
    <n v="106"/>
    <m/>
    <n v="2"/>
    <m/>
    <m/>
    <m/>
    <m/>
    <m/>
  </r>
  <r>
    <x v="1"/>
    <x v="4"/>
    <s v="2015_Gatton_Dryland"/>
    <n v="12"/>
    <n v="1"/>
    <n v="48"/>
    <n v="4"/>
    <x v="7"/>
    <x v="39"/>
    <s v="N2"/>
    <n v="157"/>
    <n v="68"/>
    <n v="88"/>
    <m/>
    <n v="1"/>
    <m/>
    <m/>
    <m/>
    <m/>
    <m/>
  </r>
  <r>
    <x v="1"/>
    <x v="4"/>
    <s v="2015_Gatton_Dryland"/>
    <n v="1"/>
    <n v="4"/>
    <n v="1"/>
    <n v="1"/>
    <x v="4"/>
    <x v="40"/>
    <s v="F1"/>
    <n v="325"/>
    <n v="157"/>
    <n v="156"/>
    <m/>
    <n v="12"/>
    <m/>
    <m/>
    <m/>
    <m/>
    <m/>
  </r>
  <r>
    <x v="1"/>
    <x v="4"/>
    <s v="2015_Gatton_Dryland"/>
    <n v="1"/>
    <n v="3"/>
    <n v="2"/>
    <n v="1"/>
    <x v="2"/>
    <x v="41"/>
    <s v="F1"/>
    <n v="484"/>
    <n v="263"/>
    <n v="187"/>
    <m/>
    <n v="34"/>
    <m/>
    <m/>
    <m/>
    <m/>
    <m/>
  </r>
  <r>
    <x v="1"/>
    <x v="4"/>
    <s v="2015_Gatton_Dryland"/>
    <n v="1"/>
    <n v="2"/>
    <n v="3"/>
    <n v="1"/>
    <x v="0"/>
    <x v="41"/>
    <s v="F1"/>
    <n v="354"/>
    <n v="169"/>
    <n v="171"/>
    <m/>
    <n v="14"/>
    <m/>
    <m/>
    <m/>
    <m/>
    <m/>
  </r>
  <r>
    <x v="1"/>
    <x v="4"/>
    <s v="2015_Gatton_Dryland"/>
    <n v="1"/>
    <n v="1"/>
    <n v="4"/>
    <n v="1"/>
    <x v="10"/>
    <x v="40"/>
    <s v="F1"/>
    <n v="370"/>
    <n v="184"/>
    <n v="179"/>
    <m/>
    <n v="6"/>
    <m/>
    <m/>
    <m/>
    <m/>
    <m/>
  </r>
  <r>
    <x v="1"/>
    <x v="4"/>
    <s v="2015_Gatton_Dryland"/>
    <n v="2"/>
    <n v="4"/>
    <n v="5"/>
    <n v="1"/>
    <x v="5"/>
    <x v="42"/>
    <s v="F1"/>
    <n v="215"/>
    <n v="102"/>
    <n v="109"/>
    <m/>
    <n v="5"/>
    <m/>
    <m/>
    <m/>
    <m/>
    <m/>
  </r>
  <r>
    <x v="1"/>
    <x v="4"/>
    <s v="2015_Gatton_Dryland"/>
    <n v="2"/>
    <n v="3"/>
    <n v="6"/>
    <n v="1"/>
    <x v="11"/>
    <x v="43"/>
    <s v="F1"/>
    <n v="263"/>
    <n v="150"/>
    <n v="104"/>
    <m/>
    <n v="8"/>
    <m/>
    <m/>
    <m/>
    <m/>
    <m/>
  </r>
  <r>
    <x v="1"/>
    <x v="4"/>
    <s v="2015_Gatton_Dryland"/>
    <n v="2"/>
    <n v="2"/>
    <n v="7"/>
    <n v="1"/>
    <x v="7"/>
    <x v="40"/>
    <s v="F1"/>
    <n v="289"/>
    <n v="156"/>
    <n v="125"/>
    <m/>
    <n v="7"/>
    <m/>
    <m/>
    <m/>
    <m/>
    <m/>
  </r>
  <r>
    <x v="1"/>
    <x v="4"/>
    <s v="2015_Gatton_Dryland"/>
    <n v="2"/>
    <n v="1"/>
    <n v="8"/>
    <n v="1"/>
    <x v="6"/>
    <x v="41"/>
    <s v="F1"/>
    <n v="412"/>
    <n v="220"/>
    <n v="171"/>
    <m/>
    <n v="21"/>
    <m/>
    <m/>
    <m/>
    <m/>
    <m/>
  </r>
  <r>
    <x v="1"/>
    <x v="4"/>
    <s v="2015_Gatton_Dryland"/>
    <n v="3"/>
    <n v="4"/>
    <n v="9"/>
    <n v="1"/>
    <x v="3"/>
    <x v="40"/>
    <s v="F1"/>
    <n v="308"/>
    <n v="162"/>
    <n v="139"/>
    <m/>
    <n v="7"/>
    <m/>
    <m/>
    <m/>
    <m/>
    <m/>
  </r>
  <r>
    <x v="1"/>
    <x v="4"/>
    <s v="2015_Gatton_Dryland"/>
    <n v="3"/>
    <n v="3"/>
    <n v="10"/>
    <n v="1"/>
    <x v="8"/>
    <x v="40"/>
    <s v="F1"/>
    <n v="372"/>
    <n v="190"/>
    <n v="169"/>
    <m/>
    <n v="13"/>
    <m/>
    <m/>
    <m/>
    <m/>
    <m/>
  </r>
  <r>
    <x v="1"/>
    <x v="4"/>
    <s v="2015_Gatton_Dryland"/>
    <n v="3"/>
    <n v="2"/>
    <n v="11"/>
    <n v="1"/>
    <x v="1"/>
    <x v="41"/>
    <s v="F1"/>
    <n v="422"/>
    <n v="233"/>
    <n v="169"/>
    <m/>
    <n v="20"/>
    <m/>
    <m/>
    <m/>
    <m/>
    <m/>
  </r>
  <r>
    <x v="1"/>
    <x v="4"/>
    <s v="2015_Gatton_Dryland"/>
    <n v="3"/>
    <n v="1"/>
    <n v="12"/>
    <n v="1"/>
    <x v="9"/>
    <x v="41"/>
    <s v="F1"/>
    <n v="369"/>
    <n v="213"/>
    <n v="149"/>
    <m/>
    <n v="7"/>
    <m/>
    <m/>
    <m/>
    <m/>
    <m/>
  </r>
  <r>
    <x v="1"/>
    <x v="4"/>
    <s v="2015_Gatton_Dryland"/>
    <n v="4"/>
    <n v="4"/>
    <n v="13"/>
    <n v="2"/>
    <x v="0"/>
    <x v="41"/>
    <s v="F1"/>
    <n v="346"/>
    <n v="147"/>
    <n v="184"/>
    <m/>
    <n v="16"/>
    <m/>
    <m/>
    <m/>
    <m/>
    <m/>
  </r>
  <r>
    <x v="1"/>
    <x v="4"/>
    <s v="2015_Gatton_Dryland"/>
    <n v="4"/>
    <n v="3"/>
    <n v="14"/>
    <n v="2"/>
    <x v="5"/>
    <x v="42"/>
    <s v="F1"/>
    <n v="237"/>
    <n v="121"/>
    <n v="110"/>
    <m/>
    <n v="7"/>
    <m/>
    <m/>
    <m/>
    <m/>
    <m/>
  </r>
  <r>
    <x v="1"/>
    <x v="4"/>
    <s v="2015_Gatton_Dryland"/>
    <n v="4"/>
    <n v="2"/>
    <n v="15"/>
    <n v="2"/>
    <x v="6"/>
    <x v="41"/>
    <s v="F1"/>
    <n v="319"/>
    <n v="170"/>
    <n v="137"/>
    <m/>
    <n v="12"/>
    <m/>
    <m/>
    <m/>
    <m/>
    <m/>
  </r>
  <r>
    <x v="1"/>
    <x v="4"/>
    <s v="2015_Gatton_Dryland"/>
    <n v="4"/>
    <n v="1"/>
    <n v="16"/>
    <n v="2"/>
    <x v="8"/>
    <x v="40"/>
    <s v="F1"/>
    <n v="329"/>
    <n v="175"/>
    <n v="144"/>
    <m/>
    <n v="11"/>
    <m/>
    <m/>
    <m/>
    <m/>
    <m/>
  </r>
  <r>
    <x v="1"/>
    <x v="4"/>
    <s v="2015_Gatton_Dryland"/>
    <n v="5"/>
    <n v="4"/>
    <n v="17"/>
    <n v="2"/>
    <x v="9"/>
    <x v="41"/>
    <s v="F1"/>
    <n v="385"/>
    <n v="172"/>
    <n v="205"/>
    <m/>
    <n v="8"/>
    <m/>
    <m/>
    <m/>
    <m/>
    <m/>
  </r>
  <r>
    <x v="1"/>
    <x v="4"/>
    <s v="2015_Gatton_Dryland"/>
    <n v="5"/>
    <n v="3"/>
    <n v="18"/>
    <n v="2"/>
    <x v="10"/>
    <x v="40"/>
    <s v="F1"/>
    <n v="315"/>
    <n v="168"/>
    <n v="140"/>
    <m/>
    <n v="7"/>
    <m/>
    <m/>
    <m/>
    <m/>
    <m/>
  </r>
  <r>
    <x v="1"/>
    <x v="4"/>
    <s v="2015_Gatton_Dryland"/>
    <n v="5"/>
    <n v="2"/>
    <n v="19"/>
    <n v="2"/>
    <x v="11"/>
    <x v="43"/>
    <s v="F1"/>
    <n v="399"/>
    <n v="226"/>
    <n v="156"/>
    <m/>
    <n v="17"/>
    <m/>
    <m/>
    <m/>
    <m/>
    <m/>
  </r>
  <r>
    <x v="1"/>
    <x v="4"/>
    <s v="2015_Gatton_Dryland"/>
    <n v="5"/>
    <n v="1"/>
    <n v="20"/>
    <n v="2"/>
    <x v="1"/>
    <x v="41"/>
    <s v="F1"/>
    <n v="342"/>
    <n v="181"/>
    <n v="141"/>
    <m/>
    <n v="20"/>
    <m/>
    <m/>
    <m/>
    <m/>
    <m/>
  </r>
  <r>
    <x v="1"/>
    <x v="4"/>
    <s v="2015_Gatton_Dryland"/>
    <n v="6"/>
    <n v="4"/>
    <n v="21"/>
    <n v="2"/>
    <x v="2"/>
    <x v="41"/>
    <s v="F1"/>
    <n v="387"/>
    <n v="184"/>
    <n v="181"/>
    <m/>
    <n v="22"/>
    <m/>
    <m/>
    <m/>
    <m/>
    <m/>
  </r>
  <r>
    <x v="1"/>
    <x v="4"/>
    <s v="2015_Gatton_Dryland"/>
    <n v="6"/>
    <n v="3"/>
    <n v="22"/>
    <n v="2"/>
    <x v="7"/>
    <x v="40"/>
    <s v="F1"/>
    <n v="318"/>
    <n v="160"/>
    <n v="151"/>
    <m/>
    <n v="7"/>
    <m/>
    <m/>
    <m/>
    <m/>
    <m/>
  </r>
  <r>
    <x v="1"/>
    <x v="4"/>
    <s v="2015_Gatton_Dryland"/>
    <n v="6"/>
    <n v="2"/>
    <n v="23"/>
    <n v="2"/>
    <x v="4"/>
    <x v="40"/>
    <s v="F1"/>
    <n v="327"/>
    <n v="185"/>
    <n v="133"/>
    <m/>
    <n v="9"/>
    <m/>
    <m/>
    <m/>
    <m/>
    <m/>
  </r>
  <r>
    <x v="1"/>
    <x v="4"/>
    <s v="2015_Gatton_Dryland"/>
    <n v="6"/>
    <n v="1"/>
    <n v="24"/>
    <n v="2"/>
    <x v="3"/>
    <x v="40"/>
    <s v="F1"/>
    <n v="303"/>
    <n v="170"/>
    <n v="126"/>
    <m/>
    <n v="7"/>
    <m/>
    <m/>
    <m/>
    <m/>
    <m/>
  </r>
  <r>
    <x v="1"/>
    <x v="4"/>
    <s v="2015_Gatton_Dryland"/>
    <n v="7"/>
    <n v="4"/>
    <n v="25"/>
    <n v="3"/>
    <x v="7"/>
    <x v="40"/>
    <s v="F1"/>
    <n v="221"/>
    <n v="112"/>
    <n v="104"/>
    <m/>
    <n v="5"/>
    <m/>
    <m/>
    <m/>
    <m/>
    <m/>
  </r>
  <r>
    <x v="1"/>
    <x v="4"/>
    <s v="2015_Gatton_Dryland"/>
    <n v="7"/>
    <n v="3"/>
    <n v="26"/>
    <n v="3"/>
    <x v="9"/>
    <x v="41"/>
    <s v="F1"/>
    <n v="474"/>
    <n v="233"/>
    <n v="232"/>
    <m/>
    <n v="9"/>
    <m/>
    <m/>
    <m/>
    <m/>
    <m/>
  </r>
  <r>
    <x v="1"/>
    <x v="4"/>
    <s v="2015_Gatton_Dryland"/>
    <n v="7"/>
    <n v="2"/>
    <n v="27"/>
    <n v="3"/>
    <x v="3"/>
    <x v="40"/>
    <s v="F1"/>
    <n v="336"/>
    <n v="167"/>
    <n v="161"/>
    <m/>
    <n v="8"/>
    <m/>
    <m/>
    <m/>
    <m/>
    <m/>
  </r>
  <r>
    <x v="1"/>
    <x v="4"/>
    <s v="2015_Gatton_Dryland"/>
    <n v="7"/>
    <n v="1"/>
    <n v="28"/>
    <n v="3"/>
    <x v="11"/>
    <x v="43"/>
    <s v="F1"/>
    <n v="369"/>
    <n v="196"/>
    <n v="163"/>
    <m/>
    <n v="10"/>
    <m/>
    <m/>
    <m/>
    <m/>
    <m/>
  </r>
  <r>
    <x v="1"/>
    <x v="4"/>
    <s v="2015_Gatton_Dryland"/>
    <n v="8"/>
    <n v="4"/>
    <n v="29"/>
    <n v="3"/>
    <x v="8"/>
    <x v="40"/>
    <s v="F1"/>
    <n v="307"/>
    <n v="208"/>
    <n v="91"/>
    <m/>
    <n v="8"/>
    <m/>
    <m/>
    <m/>
    <m/>
    <m/>
  </r>
  <r>
    <x v="1"/>
    <x v="4"/>
    <s v="2015_Gatton_Dryland"/>
    <n v="8"/>
    <n v="3"/>
    <n v="30"/>
    <n v="3"/>
    <x v="4"/>
    <x v="40"/>
    <s v="F1"/>
    <n v="259"/>
    <n v="137"/>
    <n v="114"/>
    <m/>
    <n v="8"/>
    <m/>
    <m/>
    <m/>
    <m/>
    <m/>
  </r>
  <r>
    <x v="1"/>
    <x v="4"/>
    <s v="2015_Gatton_Dryland"/>
    <n v="8"/>
    <n v="2"/>
    <n v="31"/>
    <n v="3"/>
    <x v="10"/>
    <x v="40"/>
    <s v="F1"/>
    <n v="314"/>
    <n v="154"/>
    <n v="154"/>
    <m/>
    <n v="6"/>
    <m/>
    <m/>
    <m/>
    <m/>
    <m/>
  </r>
  <r>
    <x v="1"/>
    <x v="4"/>
    <s v="2015_Gatton_Dryland"/>
    <n v="8"/>
    <n v="1"/>
    <n v="32"/>
    <n v="3"/>
    <x v="0"/>
    <x v="41"/>
    <s v="F1"/>
    <n v="391"/>
    <n v="185"/>
    <n v="194"/>
    <m/>
    <n v="13"/>
    <m/>
    <m/>
    <m/>
    <m/>
    <m/>
  </r>
  <r>
    <x v="1"/>
    <x v="4"/>
    <s v="2015_Gatton_Dryland"/>
    <n v="9"/>
    <n v="4"/>
    <n v="33"/>
    <n v="3"/>
    <x v="6"/>
    <x v="41"/>
    <s v="F1"/>
    <n v="391"/>
    <n v="215"/>
    <n v="160"/>
    <m/>
    <n v="16"/>
    <m/>
    <m/>
    <m/>
    <m/>
    <m/>
  </r>
  <r>
    <x v="1"/>
    <x v="4"/>
    <s v="2015_Gatton_Dryland"/>
    <n v="9"/>
    <n v="3"/>
    <n v="34"/>
    <n v="3"/>
    <x v="1"/>
    <x v="41"/>
    <s v="F1"/>
    <n v="302"/>
    <n v="163"/>
    <n v="123"/>
    <m/>
    <n v="16"/>
    <m/>
    <m/>
    <m/>
    <m/>
    <m/>
  </r>
  <r>
    <x v="1"/>
    <x v="4"/>
    <s v="2015_Gatton_Dryland"/>
    <n v="9"/>
    <n v="2"/>
    <n v="35"/>
    <n v="3"/>
    <x v="2"/>
    <x v="41"/>
    <s v="F1"/>
    <n v="410"/>
    <n v="246"/>
    <n v="142"/>
    <m/>
    <n v="22"/>
    <m/>
    <m/>
    <m/>
    <m/>
    <m/>
  </r>
  <r>
    <x v="1"/>
    <x v="4"/>
    <s v="2015_Gatton_Dryland"/>
    <n v="9"/>
    <n v="1"/>
    <n v="36"/>
    <n v="3"/>
    <x v="5"/>
    <x v="42"/>
    <s v="F1"/>
    <n v="247"/>
    <n v="135"/>
    <n v="105"/>
    <m/>
    <n v="7"/>
    <m/>
    <m/>
    <m/>
    <m/>
    <m/>
  </r>
  <r>
    <x v="1"/>
    <x v="4"/>
    <s v="2015_Gatton_Dryland"/>
    <n v="10"/>
    <n v="4"/>
    <n v="37"/>
    <n v="4"/>
    <x v="1"/>
    <x v="41"/>
    <s v="F1"/>
    <n v="509"/>
    <n v="253"/>
    <n v="201"/>
    <m/>
    <n v="56"/>
    <m/>
    <m/>
    <m/>
    <m/>
    <m/>
  </r>
  <r>
    <x v="1"/>
    <x v="4"/>
    <s v="2015_Gatton_Dryland"/>
    <n v="10"/>
    <n v="3"/>
    <n v="38"/>
    <n v="4"/>
    <x v="0"/>
    <x v="41"/>
    <s v="F1"/>
    <n v="364"/>
    <n v="165"/>
    <n v="189"/>
    <m/>
    <n v="10"/>
    <m/>
    <m/>
    <m/>
    <m/>
    <m/>
  </r>
  <r>
    <x v="1"/>
    <x v="4"/>
    <s v="2015_Gatton_Dryland"/>
    <n v="10"/>
    <n v="2"/>
    <n v="39"/>
    <n v="4"/>
    <x v="8"/>
    <x v="40"/>
    <s v="F1"/>
    <n v="418"/>
    <n v="215"/>
    <n v="196"/>
    <m/>
    <n v="7"/>
    <m/>
    <m/>
    <m/>
    <m/>
    <m/>
  </r>
  <r>
    <x v="1"/>
    <x v="4"/>
    <s v="2015_Gatton_Dryland"/>
    <n v="10"/>
    <n v="1"/>
    <n v="40"/>
    <n v="4"/>
    <x v="2"/>
    <x v="41"/>
    <s v="F1"/>
    <n v="285"/>
    <n v="150"/>
    <n v="128"/>
    <m/>
    <n v="7"/>
    <m/>
    <m/>
    <m/>
    <m/>
    <m/>
  </r>
  <r>
    <x v="1"/>
    <x v="4"/>
    <s v="2015_Gatton_Dryland"/>
    <n v="11"/>
    <n v="4"/>
    <n v="41"/>
    <n v="4"/>
    <x v="10"/>
    <x v="40"/>
    <s v="F1"/>
    <n v="357"/>
    <n v="179"/>
    <n v="172"/>
    <m/>
    <n v="6"/>
    <m/>
    <m/>
    <m/>
    <m/>
    <m/>
  </r>
  <r>
    <x v="1"/>
    <x v="4"/>
    <s v="2015_Gatton_Dryland"/>
    <n v="11"/>
    <n v="3"/>
    <n v="42"/>
    <n v="4"/>
    <x v="6"/>
    <x v="41"/>
    <s v="F1"/>
    <n v="215"/>
    <n v="113"/>
    <n v="98"/>
    <m/>
    <n v="4"/>
    <m/>
    <m/>
    <m/>
    <m/>
    <m/>
  </r>
  <r>
    <x v="1"/>
    <x v="4"/>
    <s v="2015_Gatton_Dryland"/>
    <n v="11"/>
    <n v="2"/>
    <n v="43"/>
    <n v="4"/>
    <x v="9"/>
    <x v="41"/>
    <s v="F1"/>
    <n v="369"/>
    <n v="204"/>
    <n v="161"/>
    <m/>
    <n v="4"/>
    <m/>
    <m/>
    <m/>
    <m/>
    <m/>
  </r>
  <r>
    <x v="1"/>
    <x v="4"/>
    <s v="2015_Gatton_Dryland"/>
    <n v="11"/>
    <n v="1"/>
    <n v="44"/>
    <n v="4"/>
    <x v="4"/>
    <x v="40"/>
    <s v="F1"/>
    <n v="336"/>
    <n v="187"/>
    <n v="141"/>
    <m/>
    <n v="7"/>
    <m/>
    <m/>
    <m/>
    <m/>
    <m/>
  </r>
  <r>
    <x v="1"/>
    <x v="4"/>
    <s v="2015_Gatton_Dryland"/>
    <n v="12"/>
    <n v="4"/>
    <n v="45"/>
    <n v="4"/>
    <x v="11"/>
    <x v="43"/>
    <s v="F1"/>
    <n v="425"/>
    <n v="240"/>
    <n v="172"/>
    <m/>
    <n v="13"/>
    <m/>
    <m/>
    <m/>
    <m/>
    <m/>
  </r>
  <r>
    <x v="1"/>
    <x v="4"/>
    <s v="2015_Gatton_Dryland"/>
    <n v="12"/>
    <n v="3"/>
    <n v="46"/>
    <n v="4"/>
    <x v="3"/>
    <x v="40"/>
    <s v="F1"/>
    <n v="295"/>
    <n v="145"/>
    <n v="148"/>
    <m/>
    <n v="2"/>
    <m/>
    <m/>
    <m/>
    <m/>
    <m/>
  </r>
  <r>
    <x v="1"/>
    <x v="4"/>
    <s v="2015_Gatton_Dryland"/>
    <n v="12"/>
    <n v="2"/>
    <n v="47"/>
    <n v="4"/>
    <x v="5"/>
    <x v="42"/>
    <s v="F1"/>
    <n v="216"/>
    <n v="114"/>
    <n v="98"/>
    <m/>
    <n v="4"/>
    <m/>
    <m/>
    <m/>
    <m/>
    <m/>
  </r>
  <r>
    <x v="1"/>
    <x v="4"/>
    <s v="2015_Gatton_Dryland"/>
    <n v="12"/>
    <n v="1"/>
    <n v="48"/>
    <n v="4"/>
    <x v="7"/>
    <x v="40"/>
    <s v="F1"/>
    <n v="304"/>
    <n v="168"/>
    <n v="128"/>
    <m/>
    <n v="7"/>
    <m/>
    <m/>
    <m/>
    <m/>
    <m/>
  </r>
  <r>
    <x v="1"/>
    <x v="4"/>
    <s v="2015_Gatton_Dryland"/>
    <n v="1"/>
    <n v="4"/>
    <n v="1"/>
    <n v="1"/>
    <x v="4"/>
    <x v="44"/>
    <s v="A100"/>
    <n v="908"/>
    <n v="497"/>
    <n v="193"/>
    <n v="174"/>
    <n v="44"/>
    <m/>
    <m/>
    <m/>
    <m/>
    <m/>
  </r>
  <r>
    <x v="1"/>
    <x v="4"/>
    <s v="2015_Gatton_Dryland"/>
    <n v="1"/>
    <n v="3"/>
    <n v="2"/>
    <n v="1"/>
    <x v="2"/>
    <x v="44"/>
    <s v="A100"/>
    <n v="784"/>
    <n v="419"/>
    <n v="177"/>
    <n v="133"/>
    <n v="55"/>
    <m/>
    <m/>
    <m/>
    <m/>
    <m/>
  </r>
  <r>
    <x v="1"/>
    <x v="4"/>
    <s v="2015_Gatton_Dryland"/>
    <n v="1"/>
    <n v="2"/>
    <n v="3"/>
    <n v="1"/>
    <x v="0"/>
    <x v="45"/>
    <s v="A100"/>
    <n v="933"/>
    <n v="453"/>
    <n v="211"/>
    <n v="184"/>
    <n v="85"/>
    <m/>
    <m/>
    <m/>
    <m/>
    <m/>
  </r>
  <r>
    <x v="1"/>
    <x v="4"/>
    <s v="2015_Gatton_Dryland"/>
    <n v="1"/>
    <n v="1"/>
    <n v="4"/>
    <n v="1"/>
    <x v="10"/>
    <x v="44"/>
    <s v="A100"/>
    <n v="788"/>
    <n v="398"/>
    <n v="151"/>
    <n v="202"/>
    <n v="37"/>
    <m/>
    <m/>
    <m/>
    <m/>
    <m/>
  </r>
  <r>
    <x v="1"/>
    <x v="4"/>
    <s v="2015_Gatton_Dryland"/>
    <n v="2"/>
    <n v="4"/>
    <n v="5"/>
    <n v="1"/>
    <x v="5"/>
    <x v="46"/>
    <s v="A100"/>
    <n v="701"/>
    <n v="414"/>
    <n v="149"/>
    <n v="114"/>
    <n v="24"/>
    <m/>
    <m/>
    <m/>
    <m/>
    <m/>
  </r>
  <r>
    <x v="1"/>
    <x v="4"/>
    <s v="2015_Gatton_Dryland"/>
    <n v="2"/>
    <n v="3"/>
    <n v="6"/>
    <n v="1"/>
    <x v="11"/>
    <x v="45"/>
    <s v="A100"/>
    <n v="709"/>
    <n v="352"/>
    <n v="156"/>
    <n v="155"/>
    <n v="46"/>
    <m/>
    <m/>
    <m/>
    <m/>
    <m/>
  </r>
  <r>
    <x v="1"/>
    <x v="4"/>
    <s v="2015_Gatton_Dryland"/>
    <n v="2"/>
    <n v="2"/>
    <n v="7"/>
    <n v="1"/>
    <x v="7"/>
    <x v="45"/>
    <s v="A100"/>
    <n v="841"/>
    <n v="477"/>
    <n v="149"/>
    <n v="176"/>
    <n v="39"/>
    <m/>
    <m/>
    <m/>
    <m/>
    <m/>
  </r>
  <r>
    <x v="1"/>
    <x v="4"/>
    <s v="2015_Gatton_Dryland"/>
    <n v="2"/>
    <n v="1"/>
    <n v="8"/>
    <n v="1"/>
    <x v="6"/>
    <x v="45"/>
    <s v="A100"/>
    <n v="823"/>
    <n v="432"/>
    <n v="130"/>
    <n v="201"/>
    <n v="61"/>
    <m/>
    <m/>
    <m/>
    <m/>
    <m/>
  </r>
  <r>
    <x v="1"/>
    <x v="4"/>
    <s v="2015_Gatton_Dryland"/>
    <n v="3"/>
    <n v="4"/>
    <n v="9"/>
    <n v="1"/>
    <x v="3"/>
    <x v="44"/>
    <s v="A100"/>
    <n v="850"/>
    <n v="427"/>
    <n v="163"/>
    <n v="208"/>
    <n v="51"/>
    <m/>
    <m/>
    <m/>
    <m/>
    <m/>
  </r>
  <r>
    <x v="1"/>
    <x v="4"/>
    <s v="2015_Gatton_Dryland"/>
    <n v="3"/>
    <n v="3"/>
    <n v="10"/>
    <n v="1"/>
    <x v="8"/>
    <x v="44"/>
    <s v="A100"/>
    <n v="640"/>
    <n v="335"/>
    <n v="161"/>
    <n v="112"/>
    <n v="33"/>
    <m/>
    <m/>
    <m/>
    <m/>
    <m/>
  </r>
  <r>
    <x v="1"/>
    <x v="4"/>
    <s v="2015_Gatton_Dryland"/>
    <n v="3"/>
    <n v="2"/>
    <n v="11"/>
    <n v="1"/>
    <x v="1"/>
    <x v="45"/>
    <s v="A100"/>
    <n v="853"/>
    <n v="457"/>
    <n v="171"/>
    <n v="166"/>
    <n v="59"/>
    <m/>
    <m/>
    <m/>
    <m/>
    <m/>
  </r>
  <r>
    <x v="1"/>
    <x v="4"/>
    <s v="2015_Gatton_Dryland"/>
    <n v="3"/>
    <n v="1"/>
    <n v="12"/>
    <n v="1"/>
    <x v="9"/>
    <x v="45"/>
    <s v="A100"/>
    <n v="797"/>
    <n v="433"/>
    <n v="129"/>
    <n v="177"/>
    <n v="58"/>
    <m/>
    <m/>
    <m/>
    <m/>
    <m/>
  </r>
  <r>
    <x v="1"/>
    <x v="4"/>
    <s v="2015_Gatton_Dryland"/>
    <n v="4"/>
    <n v="4"/>
    <n v="13"/>
    <n v="2"/>
    <x v="0"/>
    <x v="45"/>
    <s v="A100"/>
    <n v="855"/>
    <n v="381"/>
    <n v="215"/>
    <n v="149"/>
    <n v="110"/>
    <m/>
    <m/>
    <m/>
    <m/>
    <m/>
  </r>
  <r>
    <x v="1"/>
    <x v="4"/>
    <s v="2015_Gatton_Dryland"/>
    <n v="4"/>
    <n v="3"/>
    <n v="14"/>
    <n v="2"/>
    <x v="5"/>
    <x v="46"/>
    <s v="A100"/>
    <n v="702"/>
    <n v="413"/>
    <n v="152"/>
    <n v="115"/>
    <n v="21"/>
    <m/>
    <m/>
    <m/>
    <m/>
    <m/>
  </r>
  <r>
    <x v="1"/>
    <x v="4"/>
    <s v="2015_Gatton_Dryland"/>
    <n v="4"/>
    <n v="2"/>
    <n v="15"/>
    <n v="2"/>
    <x v="6"/>
    <x v="45"/>
    <s v="A100"/>
    <n v="875"/>
    <n v="469"/>
    <n v="152"/>
    <n v="184"/>
    <n v="69"/>
    <m/>
    <m/>
    <m/>
    <m/>
    <m/>
  </r>
  <r>
    <x v="1"/>
    <x v="4"/>
    <s v="2015_Gatton_Dryland"/>
    <n v="4"/>
    <n v="1"/>
    <n v="16"/>
    <n v="2"/>
    <x v="8"/>
    <x v="44"/>
    <s v="A100"/>
    <n v="828"/>
    <n v="469"/>
    <n v="152"/>
    <n v="169"/>
    <n v="38"/>
    <m/>
    <m/>
    <m/>
    <m/>
    <m/>
  </r>
  <r>
    <x v="1"/>
    <x v="4"/>
    <s v="2015_Gatton_Dryland"/>
    <n v="5"/>
    <n v="4"/>
    <n v="17"/>
    <n v="2"/>
    <x v="9"/>
    <x v="45"/>
    <s v="A100"/>
    <n v="895"/>
    <n v="485"/>
    <n v="193"/>
    <n v="165"/>
    <n v="51"/>
    <m/>
    <m/>
    <m/>
    <m/>
    <m/>
  </r>
  <r>
    <x v="1"/>
    <x v="4"/>
    <s v="2015_Gatton_Dryland"/>
    <n v="5"/>
    <n v="3"/>
    <n v="18"/>
    <n v="2"/>
    <x v="10"/>
    <x v="44"/>
    <s v="A100"/>
    <n v="761"/>
    <n v="385"/>
    <n v="179"/>
    <n v="171"/>
    <n v="25"/>
    <m/>
    <m/>
    <m/>
    <m/>
    <m/>
  </r>
  <r>
    <x v="1"/>
    <x v="4"/>
    <s v="2015_Gatton_Dryland"/>
    <n v="5"/>
    <n v="2"/>
    <n v="19"/>
    <n v="2"/>
    <x v="11"/>
    <x v="45"/>
    <s v="A100"/>
    <n v="815"/>
    <n v="415"/>
    <n v="171"/>
    <n v="183"/>
    <n v="46"/>
    <m/>
    <m/>
    <m/>
    <m/>
    <m/>
  </r>
  <r>
    <x v="1"/>
    <x v="4"/>
    <s v="2015_Gatton_Dryland"/>
    <n v="5"/>
    <n v="1"/>
    <n v="20"/>
    <n v="2"/>
    <x v="1"/>
    <x v="45"/>
    <s v="A100"/>
    <n v="843"/>
    <n v="483"/>
    <n v="164"/>
    <n v="141"/>
    <n v="55"/>
    <m/>
    <m/>
    <m/>
    <m/>
    <m/>
  </r>
  <r>
    <x v="1"/>
    <x v="4"/>
    <s v="2015_Gatton_Dryland"/>
    <n v="6"/>
    <n v="4"/>
    <n v="21"/>
    <n v="2"/>
    <x v="2"/>
    <x v="44"/>
    <s v="A100"/>
    <n v="870"/>
    <n v="478"/>
    <n v="199"/>
    <n v="136"/>
    <n v="56"/>
    <m/>
    <m/>
    <m/>
    <m/>
    <m/>
  </r>
  <r>
    <x v="1"/>
    <x v="4"/>
    <s v="2015_Gatton_Dryland"/>
    <n v="6"/>
    <n v="3"/>
    <n v="22"/>
    <n v="2"/>
    <x v="7"/>
    <x v="45"/>
    <s v="A100"/>
    <n v="806"/>
    <n v="450"/>
    <n v="157"/>
    <n v="161"/>
    <n v="38"/>
    <m/>
    <m/>
    <m/>
    <m/>
    <m/>
  </r>
  <r>
    <x v="1"/>
    <x v="4"/>
    <s v="2015_Gatton_Dryland"/>
    <n v="6"/>
    <n v="2"/>
    <n v="23"/>
    <n v="2"/>
    <x v="4"/>
    <x v="44"/>
    <s v="A100"/>
    <n v="875"/>
    <n v="502"/>
    <n v="170"/>
    <n v="168"/>
    <n v="35"/>
    <m/>
    <m/>
    <m/>
    <m/>
    <m/>
  </r>
  <r>
    <x v="1"/>
    <x v="4"/>
    <s v="2015_Gatton_Dryland"/>
    <n v="6"/>
    <n v="1"/>
    <n v="24"/>
    <n v="2"/>
    <x v="3"/>
    <x v="44"/>
    <s v="A100"/>
    <n v="884"/>
    <n v="499"/>
    <n v="141"/>
    <n v="194"/>
    <n v="50"/>
    <m/>
    <m/>
    <m/>
    <m/>
    <m/>
  </r>
  <r>
    <x v="1"/>
    <x v="4"/>
    <s v="2015_Gatton_Dryland"/>
    <n v="7"/>
    <n v="4"/>
    <n v="25"/>
    <n v="3"/>
    <x v="7"/>
    <x v="45"/>
    <s v="A100"/>
    <n v="859"/>
    <n v="470"/>
    <n v="171"/>
    <n v="188"/>
    <n v="30"/>
    <m/>
    <m/>
    <m/>
    <m/>
    <m/>
  </r>
  <r>
    <x v="1"/>
    <x v="4"/>
    <s v="2015_Gatton_Dryland"/>
    <n v="7"/>
    <n v="3"/>
    <n v="26"/>
    <n v="3"/>
    <x v="9"/>
    <x v="45"/>
    <s v="A100"/>
    <n v="894"/>
    <n v="444"/>
    <n v="215"/>
    <n v="158"/>
    <n v="77"/>
    <m/>
    <m/>
    <m/>
    <m/>
    <m/>
  </r>
  <r>
    <x v="1"/>
    <x v="4"/>
    <s v="2015_Gatton_Dryland"/>
    <n v="7"/>
    <n v="2"/>
    <n v="27"/>
    <n v="3"/>
    <x v="3"/>
    <x v="44"/>
    <s v="A100"/>
    <n v="806"/>
    <n v="399"/>
    <n v="183"/>
    <n v="190"/>
    <n v="35"/>
    <m/>
    <m/>
    <m/>
    <m/>
    <m/>
  </r>
  <r>
    <x v="1"/>
    <x v="4"/>
    <s v="2015_Gatton_Dryland"/>
    <n v="7"/>
    <n v="1"/>
    <n v="28"/>
    <n v="3"/>
    <x v="11"/>
    <x v="45"/>
    <s v="A100"/>
    <n v="641"/>
    <n v="322"/>
    <n v="139"/>
    <n v="142"/>
    <n v="37"/>
    <m/>
    <m/>
    <m/>
    <m/>
    <m/>
  </r>
  <r>
    <x v="1"/>
    <x v="4"/>
    <s v="2015_Gatton_Dryland"/>
    <n v="8"/>
    <n v="4"/>
    <n v="29"/>
    <n v="3"/>
    <x v="8"/>
    <x v="44"/>
    <s v="A100"/>
    <n v="747"/>
    <n v="420"/>
    <n v="156"/>
    <n v="142"/>
    <n v="30"/>
    <m/>
    <m/>
    <m/>
    <m/>
    <m/>
  </r>
  <r>
    <x v="1"/>
    <x v="4"/>
    <s v="2015_Gatton_Dryland"/>
    <n v="8"/>
    <n v="3"/>
    <n v="30"/>
    <n v="3"/>
    <x v="4"/>
    <x v="44"/>
    <s v="A100"/>
    <n v="783"/>
    <n v="432"/>
    <n v="178"/>
    <n v="126"/>
    <n v="47"/>
    <m/>
    <m/>
    <m/>
    <m/>
    <m/>
  </r>
  <r>
    <x v="1"/>
    <x v="4"/>
    <s v="2015_Gatton_Dryland"/>
    <n v="8"/>
    <n v="2"/>
    <n v="31"/>
    <n v="3"/>
    <x v="10"/>
    <x v="44"/>
    <s v="A100"/>
    <n v="694"/>
    <n v="348"/>
    <n v="170"/>
    <n v="147"/>
    <n v="29"/>
    <m/>
    <m/>
    <m/>
    <m/>
    <m/>
  </r>
  <r>
    <x v="1"/>
    <x v="4"/>
    <s v="2015_Gatton_Dryland"/>
    <n v="8"/>
    <n v="1"/>
    <n v="32"/>
    <n v="3"/>
    <x v="0"/>
    <x v="45"/>
    <s v="A100"/>
    <n v="863"/>
    <n v="425"/>
    <n v="170"/>
    <n v="188"/>
    <n v="80"/>
    <m/>
    <m/>
    <m/>
    <m/>
    <m/>
  </r>
  <r>
    <x v="1"/>
    <x v="4"/>
    <s v="2015_Gatton_Dryland"/>
    <n v="9"/>
    <n v="4"/>
    <n v="33"/>
    <n v="3"/>
    <x v="6"/>
    <x v="45"/>
    <s v="A100"/>
    <n v="846"/>
    <n v="441"/>
    <n v="153"/>
    <n v="179"/>
    <n v="72"/>
    <m/>
    <m/>
    <m/>
    <m/>
    <m/>
  </r>
  <r>
    <x v="1"/>
    <x v="4"/>
    <s v="2015_Gatton_Dryland"/>
    <n v="9"/>
    <n v="3"/>
    <n v="34"/>
    <n v="3"/>
    <x v="1"/>
    <x v="45"/>
    <s v="A100"/>
    <n v="614"/>
    <n v="316"/>
    <n v="116"/>
    <n v="139"/>
    <n v="43"/>
    <m/>
    <m/>
    <m/>
    <m/>
    <m/>
  </r>
  <r>
    <x v="1"/>
    <x v="4"/>
    <s v="2015_Gatton_Dryland"/>
    <n v="9"/>
    <n v="2"/>
    <n v="35"/>
    <n v="3"/>
    <x v="2"/>
    <x v="44"/>
    <s v="A100"/>
    <n v="687"/>
    <n v="393"/>
    <n v="142"/>
    <n v="124"/>
    <n v="29"/>
    <m/>
    <m/>
    <m/>
    <m/>
    <m/>
  </r>
  <r>
    <x v="1"/>
    <x v="4"/>
    <s v="2015_Gatton_Dryland"/>
    <n v="9"/>
    <n v="1"/>
    <n v="36"/>
    <n v="3"/>
    <x v="5"/>
    <x v="46"/>
    <s v="A100"/>
    <n v="741"/>
    <n v="444"/>
    <n v="144"/>
    <n v="133"/>
    <n v="21"/>
    <m/>
    <m/>
    <m/>
    <m/>
    <m/>
  </r>
  <r>
    <x v="1"/>
    <x v="4"/>
    <s v="2015_Gatton_Dryland"/>
    <n v="10"/>
    <n v="4"/>
    <n v="37"/>
    <n v="4"/>
    <x v="1"/>
    <x v="45"/>
    <s v="A100"/>
    <n v="730"/>
    <n v="367"/>
    <n v="132"/>
    <n v="160"/>
    <n v="70"/>
    <m/>
    <m/>
    <m/>
    <m/>
    <m/>
  </r>
  <r>
    <x v="1"/>
    <x v="4"/>
    <s v="2015_Gatton_Dryland"/>
    <n v="10"/>
    <n v="3"/>
    <n v="38"/>
    <n v="4"/>
    <x v="0"/>
    <x v="45"/>
    <s v="A100"/>
    <n v="642"/>
    <n v="315"/>
    <n v="140"/>
    <n v="133"/>
    <n v="54"/>
    <m/>
    <m/>
    <m/>
    <m/>
    <m/>
  </r>
  <r>
    <x v="1"/>
    <x v="4"/>
    <s v="2015_Gatton_Dryland"/>
    <n v="10"/>
    <n v="2"/>
    <n v="39"/>
    <n v="4"/>
    <x v="8"/>
    <x v="44"/>
    <s v="A100"/>
    <n v="899"/>
    <n v="538"/>
    <n v="141"/>
    <n v="190"/>
    <n v="30"/>
    <m/>
    <m/>
    <m/>
    <m/>
    <m/>
  </r>
  <r>
    <x v="1"/>
    <x v="4"/>
    <s v="2015_Gatton_Dryland"/>
    <n v="10"/>
    <n v="1"/>
    <n v="40"/>
    <n v="4"/>
    <x v="2"/>
    <x v="44"/>
    <s v="A100"/>
    <n v="967"/>
    <n v="554"/>
    <n v="190"/>
    <n v="172"/>
    <n v="52"/>
    <m/>
    <m/>
    <m/>
    <m/>
    <m/>
  </r>
  <r>
    <x v="1"/>
    <x v="4"/>
    <s v="2015_Gatton_Dryland"/>
    <n v="11"/>
    <n v="4"/>
    <n v="41"/>
    <n v="4"/>
    <x v="10"/>
    <x v="44"/>
    <s v="A100"/>
    <n v="805"/>
    <n v="397"/>
    <n v="172"/>
    <n v="191"/>
    <n v="45"/>
    <m/>
    <m/>
    <m/>
    <m/>
    <m/>
  </r>
  <r>
    <x v="1"/>
    <x v="4"/>
    <s v="2015_Gatton_Dryland"/>
    <n v="11"/>
    <n v="3"/>
    <n v="42"/>
    <n v="4"/>
    <x v="6"/>
    <x v="45"/>
    <s v="A100"/>
    <n v="660"/>
    <n v="336"/>
    <n v="137"/>
    <n v="145"/>
    <n v="43"/>
    <m/>
    <m/>
    <m/>
    <m/>
    <m/>
  </r>
  <r>
    <x v="1"/>
    <x v="4"/>
    <s v="2015_Gatton_Dryland"/>
    <n v="11"/>
    <n v="2"/>
    <n v="43"/>
    <n v="4"/>
    <x v="9"/>
    <x v="45"/>
    <s v="A100"/>
    <n v="847"/>
    <n v="482"/>
    <n v="151"/>
    <n v="163"/>
    <n v="51"/>
    <m/>
    <m/>
    <m/>
    <m/>
    <m/>
  </r>
  <r>
    <x v="1"/>
    <x v="4"/>
    <s v="2015_Gatton_Dryland"/>
    <n v="11"/>
    <n v="1"/>
    <n v="44"/>
    <n v="4"/>
    <x v="4"/>
    <x v="44"/>
    <s v="A100"/>
    <n v="838"/>
    <n v="478"/>
    <n v="162"/>
    <n v="160"/>
    <n v="37"/>
    <m/>
    <m/>
    <m/>
    <m/>
    <m/>
  </r>
  <r>
    <x v="1"/>
    <x v="4"/>
    <s v="2015_Gatton_Dryland"/>
    <n v="12"/>
    <n v="4"/>
    <n v="45"/>
    <n v="4"/>
    <x v="11"/>
    <x v="45"/>
    <s v="A100"/>
    <n v="659"/>
    <n v="337"/>
    <n v="151"/>
    <n v="126"/>
    <n v="45"/>
    <m/>
    <m/>
    <m/>
    <m/>
    <m/>
  </r>
  <r>
    <x v="1"/>
    <x v="4"/>
    <s v="2015_Gatton_Dryland"/>
    <n v="12"/>
    <n v="3"/>
    <n v="46"/>
    <n v="4"/>
    <x v="3"/>
    <x v="44"/>
    <s v="A100"/>
    <n v="731"/>
    <n v="372"/>
    <n v="156"/>
    <n v="166"/>
    <n v="37"/>
    <m/>
    <m/>
    <m/>
    <m/>
    <m/>
  </r>
  <r>
    <x v="1"/>
    <x v="4"/>
    <s v="2015_Gatton_Dryland"/>
    <n v="12"/>
    <n v="2"/>
    <n v="47"/>
    <n v="4"/>
    <x v="5"/>
    <x v="46"/>
    <s v="A100"/>
    <n v="572"/>
    <n v="344"/>
    <n v="112"/>
    <n v="96"/>
    <n v="20"/>
    <m/>
    <m/>
    <m/>
    <m/>
    <m/>
  </r>
  <r>
    <x v="1"/>
    <x v="4"/>
    <s v="2015_Gatton_Dryland"/>
    <n v="12"/>
    <n v="1"/>
    <n v="48"/>
    <n v="4"/>
    <x v="7"/>
    <x v="45"/>
    <s v="A100"/>
    <n v="820"/>
    <n v="470"/>
    <n v="128"/>
    <n v="166"/>
    <n v="56"/>
    <m/>
    <m/>
    <m/>
    <m/>
    <m/>
  </r>
  <r>
    <x v="1"/>
    <x v="4"/>
    <s v="2015_Gatton_Dryland"/>
    <n v="1"/>
    <n v="4"/>
    <n v="1"/>
    <n v="1"/>
    <x v="4"/>
    <x v="47"/>
    <s v="GR100"/>
    <n v="1427"/>
    <n v="470"/>
    <n v="11"/>
    <n v="765"/>
    <n v="182"/>
    <m/>
    <m/>
    <m/>
    <m/>
    <m/>
  </r>
  <r>
    <x v="1"/>
    <x v="4"/>
    <s v="2015_Gatton_Dryland"/>
    <n v="1"/>
    <n v="3"/>
    <n v="2"/>
    <n v="1"/>
    <x v="2"/>
    <x v="47"/>
    <s v="GR100"/>
    <n v="1262"/>
    <n v="446"/>
    <m/>
    <n v="664"/>
    <n v="151"/>
    <m/>
    <m/>
    <m/>
    <m/>
    <m/>
  </r>
  <r>
    <x v="1"/>
    <x v="4"/>
    <s v="2015_Gatton_Dryland"/>
    <n v="1"/>
    <n v="2"/>
    <n v="3"/>
    <n v="1"/>
    <x v="0"/>
    <x v="48"/>
    <s v="GR100"/>
    <n v="1401"/>
    <n v="359"/>
    <m/>
    <n v="845"/>
    <n v="197"/>
    <m/>
    <m/>
    <m/>
    <m/>
    <m/>
  </r>
  <r>
    <x v="1"/>
    <x v="4"/>
    <s v="2015_Gatton_Dryland"/>
    <n v="1"/>
    <n v="1"/>
    <n v="4"/>
    <n v="1"/>
    <x v="10"/>
    <x v="47"/>
    <s v="GR100"/>
    <n v="1273"/>
    <n v="415"/>
    <n v="11"/>
    <n v="726"/>
    <n v="121"/>
    <m/>
    <m/>
    <m/>
    <m/>
    <m/>
  </r>
  <r>
    <x v="1"/>
    <x v="4"/>
    <s v="2015_Gatton_Dryland"/>
    <n v="2"/>
    <n v="4"/>
    <n v="5"/>
    <n v="1"/>
    <x v="5"/>
    <x v="47"/>
    <s v="GR100"/>
    <n v="1307"/>
    <n v="512"/>
    <n v="13"/>
    <n v="644"/>
    <n v="138"/>
    <m/>
    <m/>
    <m/>
    <m/>
    <m/>
  </r>
  <r>
    <x v="1"/>
    <x v="4"/>
    <s v="2015_Gatton_Dryland"/>
    <n v="2"/>
    <n v="3"/>
    <n v="6"/>
    <n v="1"/>
    <x v="11"/>
    <x v="48"/>
    <s v="GR100"/>
    <n v="1232"/>
    <n v="353"/>
    <m/>
    <n v="715"/>
    <n v="164"/>
    <m/>
    <m/>
    <m/>
    <m/>
    <m/>
  </r>
  <r>
    <x v="1"/>
    <x v="4"/>
    <s v="2015_Gatton_Dryland"/>
    <n v="2"/>
    <n v="2"/>
    <n v="7"/>
    <n v="1"/>
    <x v="7"/>
    <x v="48"/>
    <s v="GR100"/>
    <n v="1314"/>
    <n v="446"/>
    <m/>
    <n v="725"/>
    <n v="144"/>
    <m/>
    <m/>
    <m/>
    <m/>
    <m/>
  </r>
  <r>
    <x v="1"/>
    <x v="4"/>
    <s v="2015_Gatton_Dryland"/>
    <n v="2"/>
    <n v="1"/>
    <n v="8"/>
    <n v="1"/>
    <x v="6"/>
    <x v="48"/>
    <s v="GR100"/>
    <n v="1431"/>
    <n v="434"/>
    <m/>
    <n v="827"/>
    <n v="171"/>
    <m/>
    <m/>
    <m/>
    <m/>
    <m/>
  </r>
  <r>
    <x v="1"/>
    <x v="4"/>
    <s v="2015_Gatton_Dryland"/>
    <n v="3"/>
    <n v="4"/>
    <n v="9"/>
    <n v="1"/>
    <x v="3"/>
    <x v="48"/>
    <s v="GR100"/>
    <n v="1244"/>
    <n v="322"/>
    <m/>
    <n v="755"/>
    <n v="167"/>
    <m/>
    <m/>
    <m/>
    <m/>
    <m/>
  </r>
  <r>
    <x v="1"/>
    <x v="4"/>
    <s v="2015_Gatton_Dryland"/>
    <n v="3"/>
    <n v="3"/>
    <n v="10"/>
    <n v="1"/>
    <x v="8"/>
    <x v="47"/>
    <s v="GR100"/>
    <n v="1450"/>
    <n v="497"/>
    <n v="5"/>
    <n v="764"/>
    <n v="183"/>
    <m/>
    <m/>
    <m/>
    <m/>
    <m/>
  </r>
  <r>
    <x v="1"/>
    <x v="4"/>
    <s v="2015_Gatton_Dryland"/>
    <n v="3"/>
    <n v="2"/>
    <n v="11"/>
    <n v="1"/>
    <x v="1"/>
    <x v="48"/>
    <s v="GR100"/>
    <n v="1375"/>
    <n v="415"/>
    <m/>
    <n v="782"/>
    <n v="178"/>
    <m/>
    <m/>
    <m/>
    <m/>
    <m/>
  </r>
  <r>
    <x v="1"/>
    <x v="4"/>
    <s v="2015_Gatton_Dryland"/>
    <n v="3"/>
    <n v="1"/>
    <n v="12"/>
    <n v="1"/>
    <x v="9"/>
    <x v="48"/>
    <s v="GR100"/>
    <n v="1169"/>
    <n v="354"/>
    <m/>
    <n v="658"/>
    <n v="157"/>
    <m/>
    <m/>
    <m/>
    <m/>
    <m/>
  </r>
  <r>
    <x v="1"/>
    <x v="4"/>
    <s v="2015_Gatton_Dryland"/>
    <n v="4"/>
    <n v="4"/>
    <n v="13"/>
    <n v="2"/>
    <x v="0"/>
    <x v="48"/>
    <s v="GR100"/>
    <n v="1283"/>
    <n v="328"/>
    <n v="1"/>
    <n v="737"/>
    <n v="218"/>
    <m/>
    <m/>
    <m/>
    <m/>
    <m/>
  </r>
  <r>
    <x v="1"/>
    <x v="4"/>
    <s v="2015_Gatton_Dryland"/>
    <n v="4"/>
    <n v="3"/>
    <n v="14"/>
    <n v="2"/>
    <x v="5"/>
    <x v="47"/>
    <s v="GR100"/>
    <n v="1619"/>
    <n v="592"/>
    <n v="9"/>
    <n v="844"/>
    <n v="174"/>
    <m/>
    <m/>
    <m/>
    <m/>
    <m/>
  </r>
  <r>
    <x v="1"/>
    <x v="4"/>
    <s v="2015_Gatton_Dryland"/>
    <n v="4"/>
    <n v="2"/>
    <n v="15"/>
    <n v="2"/>
    <x v="6"/>
    <x v="48"/>
    <s v="GR100"/>
    <n v="1411"/>
    <n v="405"/>
    <m/>
    <n v="834"/>
    <n v="172"/>
    <m/>
    <m/>
    <m/>
    <m/>
    <m/>
  </r>
  <r>
    <x v="1"/>
    <x v="4"/>
    <s v="2015_Gatton_Dryland"/>
    <n v="4"/>
    <n v="1"/>
    <n v="16"/>
    <n v="2"/>
    <x v="8"/>
    <x v="47"/>
    <s v="GR100"/>
    <n v="1482"/>
    <n v="490"/>
    <n v="4"/>
    <n v="875"/>
    <n v="113"/>
    <m/>
    <m/>
    <m/>
    <m/>
    <m/>
  </r>
  <r>
    <x v="1"/>
    <x v="4"/>
    <s v="2015_Gatton_Dryland"/>
    <n v="5"/>
    <n v="4"/>
    <n v="17"/>
    <n v="2"/>
    <x v="9"/>
    <x v="48"/>
    <s v="GR100"/>
    <n v="1167"/>
    <n v="370"/>
    <m/>
    <n v="653"/>
    <n v="144"/>
    <m/>
    <m/>
    <m/>
    <m/>
    <m/>
  </r>
  <r>
    <x v="1"/>
    <x v="4"/>
    <s v="2015_Gatton_Dryland"/>
    <n v="5"/>
    <n v="3"/>
    <n v="18"/>
    <n v="2"/>
    <x v="10"/>
    <x v="47"/>
    <s v="GR100"/>
    <n v="1474"/>
    <n v="452"/>
    <n v="4"/>
    <n v="871"/>
    <n v="146"/>
    <m/>
    <m/>
    <m/>
    <m/>
    <m/>
  </r>
  <r>
    <x v="1"/>
    <x v="4"/>
    <s v="2015_Gatton_Dryland"/>
    <n v="5"/>
    <n v="2"/>
    <n v="19"/>
    <n v="2"/>
    <x v="11"/>
    <x v="48"/>
    <s v="GR100"/>
    <n v="1107"/>
    <n v="309"/>
    <n v="2"/>
    <n v="674"/>
    <n v="122"/>
    <m/>
    <m/>
    <m/>
    <m/>
    <m/>
  </r>
  <r>
    <x v="1"/>
    <x v="4"/>
    <s v="2015_Gatton_Dryland"/>
    <n v="5"/>
    <n v="1"/>
    <n v="20"/>
    <n v="2"/>
    <x v="1"/>
    <x v="48"/>
    <s v="GR100"/>
    <n v="1245"/>
    <n v="385"/>
    <m/>
    <n v="755"/>
    <n v="104"/>
    <m/>
    <m/>
    <m/>
    <m/>
    <m/>
  </r>
  <r>
    <x v="1"/>
    <x v="4"/>
    <s v="2015_Gatton_Dryland"/>
    <n v="6"/>
    <n v="4"/>
    <n v="21"/>
    <n v="2"/>
    <x v="2"/>
    <x v="47"/>
    <s v="GR100"/>
    <n v="1435"/>
    <n v="547"/>
    <n v="7"/>
    <n v="711"/>
    <n v="170"/>
    <m/>
    <m/>
    <m/>
    <m/>
    <m/>
  </r>
  <r>
    <x v="1"/>
    <x v="4"/>
    <s v="2015_Gatton_Dryland"/>
    <n v="6"/>
    <n v="3"/>
    <n v="22"/>
    <n v="2"/>
    <x v="7"/>
    <x v="48"/>
    <s v="GR100"/>
    <n v="1334"/>
    <n v="447"/>
    <m/>
    <n v="746"/>
    <n v="141"/>
    <m/>
    <m/>
    <m/>
    <m/>
    <m/>
  </r>
  <r>
    <x v="1"/>
    <x v="4"/>
    <s v="2015_Gatton_Dryland"/>
    <n v="6"/>
    <n v="2"/>
    <n v="23"/>
    <n v="2"/>
    <x v="4"/>
    <x v="47"/>
    <s v="GR100"/>
    <n v="1394"/>
    <n v="434"/>
    <n v="6"/>
    <n v="826"/>
    <n v="128"/>
    <m/>
    <m/>
    <m/>
    <m/>
    <m/>
  </r>
  <r>
    <x v="1"/>
    <x v="4"/>
    <s v="2015_Gatton_Dryland"/>
    <n v="6"/>
    <n v="1"/>
    <n v="24"/>
    <n v="2"/>
    <x v="3"/>
    <x v="48"/>
    <s v="GR100"/>
    <n v="1193"/>
    <n v="317"/>
    <m/>
    <n v="758"/>
    <n v="118"/>
    <m/>
    <m/>
    <m/>
    <m/>
    <m/>
  </r>
  <r>
    <x v="1"/>
    <x v="4"/>
    <s v="2015_Gatton_Dryland"/>
    <n v="7"/>
    <n v="4"/>
    <n v="25"/>
    <n v="3"/>
    <x v="7"/>
    <x v="48"/>
    <s v="GR100"/>
    <n v="1248"/>
    <n v="387"/>
    <m/>
    <n v="711"/>
    <n v="150"/>
    <m/>
    <m/>
    <m/>
    <m/>
    <m/>
  </r>
  <r>
    <x v="1"/>
    <x v="4"/>
    <s v="2015_Gatton_Dryland"/>
    <n v="7"/>
    <n v="3"/>
    <n v="26"/>
    <n v="3"/>
    <x v="9"/>
    <x v="48"/>
    <s v="GR100"/>
    <n v="1344"/>
    <n v="386"/>
    <m/>
    <n v="773"/>
    <n v="186"/>
    <m/>
    <m/>
    <m/>
    <m/>
    <m/>
  </r>
  <r>
    <x v="1"/>
    <x v="4"/>
    <s v="2015_Gatton_Dryland"/>
    <n v="7"/>
    <n v="2"/>
    <n v="27"/>
    <n v="3"/>
    <x v="3"/>
    <x v="48"/>
    <s v="GR100"/>
    <n v="1331"/>
    <n v="322"/>
    <m/>
    <n v="833"/>
    <n v="176"/>
    <m/>
    <m/>
    <m/>
    <m/>
    <m/>
  </r>
  <r>
    <x v="1"/>
    <x v="4"/>
    <s v="2015_Gatton_Dryland"/>
    <n v="7"/>
    <n v="1"/>
    <n v="28"/>
    <n v="3"/>
    <x v="11"/>
    <x v="48"/>
    <s v="GR100"/>
    <n v="1143"/>
    <n v="310"/>
    <m/>
    <n v="676"/>
    <n v="156"/>
    <m/>
    <m/>
    <m/>
    <m/>
    <m/>
  </r>
  <r>
    <x v="1"/>
    <x v="4"/>
    <s v="2015_Gatton_Dryland"/>
    <n v="8"/>
    <n v="4"/>
    <n v="29"/>
    <n v="3"/>
    <x v="8"/>
    <x v="47"/>
    <s v="GR100"/>
    <n v="1388"/>
    <n v="456"/>
    <n v="5"/>
    <n v="753"/>
    <n v="174"/>
    <m/>
    <m/>
    <m/>
    <m/>
    <m/>
  </r>
  <r>
    <x v="1"/>
    <x v="4"/>
    <s v="2015_Gatton_Dryland"/>
    <n v="8"/>
    <n v="3"/>
    <n v="30"/>
    <n v="3"/>
    <x v="4"/>
    <x v="47"/>
    <s v="GR100"/>
    <n v="1437"/>
    <n v="506"/>
    <n v="6"/>
    <n v="753"/>
    <n v="172"/>
    <m/>
    <m/>
    <m/>
    <m/>
    <m/>
  </r>
  <r>
    <x v="1"/>
    <x v="4"/>
    <s v="2015_Gatton_Dryland"/>
    <n v="8"/>
    <n v="2"/>
    <n v="31"/>
    <n v="3"/>
    <x v="10"/>
    <x v="47"/>
    <s v="GR100"/>
    <n v="1081"/>
    <n v="329"/>
    <n v="11"/>
    <n v="631"/>
    <n v="111"/>
    <m/>
    <m/>
    <m/>
    <m/>
    <m/>
  </r>
  <r>
    <x v="1"/>
    <x v="4"/>
    <s v="2015_Gatton_Dryland"/>
    <n v="8"/>
    <n v="1"/>
    <n v="32"/>
    <n v="3"/>
    <x v="0"/>
    <x v="48"/>
    <s v="GR100"/>
    <n v="1204"/>
    <n v="328"/>
    <m/>
    <n v="747"/>
    <n v="128"/>
    <m/>
    <m/>
    <m/>
    <m/>
    <m/>
  </r>
  <r>
    <x v="1"/>
    <x v="4"/>
    <s v="2015_Gatton_Dryland"/>
    <n v="9"/>
    <n v="4"/>
    <n v="33"/>
    <n v="3"/>
    <x v="6"/>
    <x v="48"/>
    <s v="GR100"/>
    <n v="1241"/>
    <n v="383"/>
    <m/>
    <n v="718"/>
    <n v="140"/>
    <m/>
    <m/>
    <m/>
    <m/>
    <m/>
  </r>
  <r>
    <x v="1"/>
    <x v="4"/>
    <s v="2015_Gatton_Dryland"/>
    <n v="9"/>
    <n v="3"/>
    <n v="34"/>
    <n v="3"/>
    <x v="1"/>
    <x v="48"/>
    <s v="GR100"/>
    <n v="1115"/>
    <n v="331"/>
    <m/>
    <n v="681"/>
    <n v="103"/>
    <m/>
    <m/>
    <m/>
    <m/>
    <m/>
  </r>
  <r>
    <x v="1"/>
    <x v="4"/>
    <s v="2015_Gatton_Dryland"/>
    <n v="9"/>
    <n v="2"/>
    <n v="35"/>
    <n v="3"/>
    <x v="2"/>
    <x v="47"/>
    <s v="GR100"/>
    <n v="1413"/>
    <n v="484"/>
    <n v="14"/>
    <n v="751"/>
    <n v="164"/>
    <m/>
    <m/>
    <m/>
    <m/>
    <m/>
  </r>
  <r>
    <x v="1"/>
    <x v="4"/>
    <s v="2015_Gatton_Dryland"/>
    <n v="9"/>
    <n v="1"/>
    <n v="36"/>
    <n v="3"/>
    <x v="5"/>
    <x v="47"/>
    <s v="GR100"/>
    <n v="940"/>
    <n v="340"/>
    <m/>
    <n v="524"/>
    <n v="76"/>
    <m/>
    <m/>
    <m/>
    <m/>
    <m/>
  </r>
  <r>
    <x v="1"/>
    <x v="4"/>
    <s v="2015_Gatton_Dryland"/>
    <n v="10"/>
    <n v="4"/>
    <n v="37"/>
    <n v="4"/>
    <x v="1"/>
    <x v="48"/>
    <s v="GR100"/>
    <n v="1504"/>
    <n v="436"/>
    <m/>
    <n v="874"/>
    <n v="194"/>
    <m/>
    <m/>
    <m/>
    <m/>
    <m/>
  </r>
  <r>
    <x v="1"/>
    <x v="4"/>
    <s v="2015_Gatton_Dryland"/>
    <n v="10"/>
    <n v="3"/>
    <n v="38"/>
    <n v="4"/>
    <x v="0"/>
    <x v="48"/>
    <s v="GR100"/>
    <n v="1311"/>
    <n v="351"/>
    <m/>
    <n v="792"/>
    <n v="167"/>
    <m/>
    <m/>
    <m/>
    <m/>
    <m/>
  </r>
  <r>
    <x v="1"/>
    <x v="4"/>
    <s v="2015_Gatton_Dryland"/>
    <n v="10"/>
    <n v="2"/>
    <n v="39"/>
    <n v="4"/>
    <x v="8"/>
    <x v="47"/>
    <s v="GR100"/>
    <n v="1653"/>
    <n v="484"/>
    <n v="16"/>
    <n v="979"/>
    <n v="174"/>
    <m/>
    <m/>
    <m/>
    <m/>
    <m/>
  </r>
  <r>
    <x v="1"/>
    <x v="4"/>
    <s v="2015_Gatton_Dryland"/>
    <n v="10"/>
    <n v="1"/>
    <n v="40"/>
    <n v="4"/>
    <x v="2"/>
    <x v="47"/>
    <s v="GR100"/>
    <n v="1512"/>
    <n v="552"/>
    <m/>
    <n v="805"/>
    <n v="154"/>
    <m/>
    <m/>
    <m/>
    <m/>
    <m/>
  </r>
  <r>
    <x v="1"/>
    <x v="4"/>
    <s v="2015_Gatton_Dryland"/>
    <n v="11"/>
    <n v="4"/>
    <n v="41"/>
    <n v="4"/>
    <x v="10"/>
    <x v="47"/>
    <s v="GR100"/>
    <n v="1401"/>
    <n v="447"/>
    <n v="28"/>
    <n v="790"/>
    <n v="135"/>
    <m/>
    <m/>
    <m/>
    <m/>
    <m/>
  </r>
  <r>
    <x v="1"/>
    <x v="4"/>
    <s v="2015_Gatton_Dryland"/>
    <n v="11"/>
    <n v="3"/>
    <n v="42"/>
    <n v="4"/>
    <x v="6"/>
    <x v="48"/>
    <s v="GR100"/>
    <n v="1167"/>
    <n v="300"/>
    <m/>
    <n v="720"/>
    <n v="147"/>
    <m/>
    <m/>
    <m/>
    <m/>
    <m/>
  </r>
  <r>
    <x v="1"/>
    <x v="4"/>
    <s v="2015_Gatton_Dryland"/>
    <n v="11"/>
    <n v="2"/>
    <n v="43"/>
    <n v="4"/>
    <x v="9"/>
    <x v="48"/>
    <s v="GR100"/>
    <n v="1381"/>
    <n v="455"/>
    <m/>
    <n v="767"/>
    <n v="158"/>
    <m/>
    <m/>
    <m/>
    <m/>
    <m/>
  </r>
  <r>
    <x v="1"/>
    <x v="4"/>
    <s v="2015_Gatton_Dryland"/>
    <n v="11"/>
    <n v="1"/>
    <n v="44"/>
    <n v="4"/>
    <x v="4"/>
    <x v="47"/>
    <s v="GR100"/>
    <n v="1143"/>
    <n v="411"/>
    <n v="6"/>
    <n v="627"/>
    <n v="99"/>
    <m/>
    <m/>
    <m/>
    <m/>
    <m/>
  </r>
  <r>
    <x v="1"/>
    <x v="4"/>
    <s v="2015_Gatton_Dryland"/>
    <n v="12"/>
    <n v="4"/>
    <n v="45"/>
    <n v="4"/>
    <x v="11"/>
    <x v="48"/>
    <s v="GR100"/>
    <n v="1556"/>
    <n v="445"/>
    <m/>
    <n v="884"/>
    <n v="227"/>
    <m/>
    <m/>
    <m/>
    <m/>
    <m/>
  </r>
  <r>
    <x v="1"/>
    <x v="4"/>
    <s v="2015_Gatton_Dryland"/>
    <n v="12"/>
    <n v="3"/>
    <n v="46"/>
    <n v="4"/>
    <x v="3"/>
    <x v="48"/>
    <s v="GR100"/>
    <n v="1198"/>
    <n v="301"/>
    <m/>
    <n v="751"/>
    <n v="146"/>
    <m/>
    <m/>
    <m/>
    <m/>
    <m/>
  </r>
  <r>
    <x v="1"/>
    <x v="4"/>
    <s v="2015_Gatton_Dryland"/>
    <n v="12"/>
    <n v="2"/>
    <n v="47"/>
    <n v="4"/>
    <x v="5"/>
    <x v="47"/>
    <s v="GR100"/>
    <n v="1151"/>
    <n v="402"/>
    <n v="21"/>
    <n v="637"/>
    <n v="91"/>
    <m/>
    <m/>
    <m/>
    <m/>
    <m/>
  </r>
  <r>
    <x v="1"/>
    <x v="4"/>
    <s v="2015_Gatton_Dryland"/>
    <n v="12"/>
    <n v="1"/>
    <n v="48"/>
    <n v="4"/>
    <x v="7"/>
    <x v="48"/>
    <s v="GR100"/>
    <n v="1004"/>
    <n v="328"/>
    <m/>
    <n v="568"/>
    <n v="107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04A014-7946-4C1A-B940-AB127E9CA61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A2:AK439" firstHeaderRow="1" firstDataRow="2" firstDataCol="4"/>
  <pivotFields count="20"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5">
        <item x="4"/>
        <item x="3"/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5"/>
        <item x="1"/>
        <item x="7"/>
        <item x="3"/>
        <item x="9"/>
        <item x="11"/>
        <item x="8"/>
        <item x="6"/>
        <item x="0"/>
        <item x="10"/>
        <item x="2"/>
        <item x="4"/>
      </items>
    </pivotField>
    <pivotField axis="axisRow" compact="0" outline="0" showAll="0" defaultSubtotal="0">
      <items count="52">
        <item x="23"/>
        <item x="31"/>
        <item x="30"/>
        <item m="1" x="49"/>
        <item x="32"/>
        <item x="24"/>
        <item m="1" x="51"/>
        <item x="33"/>
        <item m="1" x="50"/>
        <item x="5"/>
        <item x="34"/>
        <item x="9"/>
        <item x="35"/>
        <item x="7"/>
        <item x="25"/>
        <item x="6"/>
        <item x="8"/>
        <item x="27"/>
        <item x="28"/>
        <item x="26"/>
        <item x="37"/>
        <item x="36"/>
        <item x="10"/>
        <item x="29"/>
        <item x="38"/>
        <item x="39"/>
        <item x="42"/>
        <item x="40"/>
        <item x="41"/>
        <item x="16"/>
        <item x="43"/>
        <item x="46"/>
        <item x="44"/>
        <item x="45"/>
        <item x="17"/>
        <item x="18"/>
        <item x="47"/>
        <item x="48"/>
        <item x="20"/>
        <item x="19"/>
        <item x="21"/>
        <item x="22"/>
        <item x="0"/>
        <item x="1"/>
        <item x="2"/>
        <item x="3"/>
        <item x="4"/>
        <item x="11"/>
        <item x="12"/>
        <item x="13"/>
        <item x="14"/>
        <item x="15"/>
      </items>
    </pivotField>
    <pivotField compact="0" outline="0" showAll="0"/>
    <pivotField dataField="1" compact="0" numFmtId="1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4">
    <field x="1"/>
    <field x="0"/>
    <field x="7"/>
    <field x="8"/>
  </rowFields>
  <rowItems count="436">
    <i>
      <x/>
      <x/>
      <x/>
      <x/>
    </i>
    <i r="3">
      <x v="1"/>
    </i>
    <i r="3">
      <x v="4"/>
    </i>
    <i r="3">
      <x v="9"/>
    </i>
    <i r="3">
      <x v="20"/>
    </i>
    <i r="2">
      <x v="1"/>
      <x/>
    </i>
    <i r="3">
      <x v="4"/>
    </i>
    <i r="3">
      <x v="7"/>
    </i>
    <i r="3">
      <x v="10"/>
    </i>
    <i r="3">
      <x v="20"/>
    </i>
    <i r="2">
      <x v="2"/>
      <x/>
    </i>
    <i r="3">
      <x v="1"/>
    </i>
    <i r="3">
      <x v="4"/>
    </i>
    <i r="3">
      <x v="9"/>
    </i>
    <i r="3">
      <x v="20"/>
    </i>
    <i r="2">
      <x v="3"/>
      <x/>
    </i>
    <i r="3">
      <x v="2"/>
    </i>
    <i r="3">
      <x v="7"/>
    </i>
    <i r="3">
      <x v="9"/>
    </i>
    <i r="3">
      <x v="20"/>
    </i>
    <i r="2">
      <x v="4"/>
      <x/>
    </i>
    <i r="3">
      <x v="2"/>
    </i>
    <i r="3">
      <x v="7"/>
    </i>
    <i r="3">
      <x v="9"/>
    </i>
    <i r="3">
      <x v="20"/>
    </i>
    <i r="2">
      <x v="5"/>
      <x/>
    </i>
    <i r="3">
      <x v="2"/>
    </i>
    <i r="3">
      <x v="7"/>
    </i>
    <i r="3">
      <x v="10"/>
    </i>
    <i r="3">
      <x v="20"/>
    </i>
    <i r="2">
      <x v="6"/>
      <x/>
    </i>
    <i r="3">
      <x v="2"/>
    </i>
    <i r="3">
      <x v="7"/>
    </i>
    <i r="3">
      <x v="9"/>
    </i>
    <i r="3">
      <x v="20"/>
    </i>
    <i r="2">
      <x v="7"/>
      <x/>
    </i>
    <i r="3">
      <x v="2"/>
    </i>
    <i r="3">
      <x v="7"/>
    </i>
    <i r="3">
      <x v="10"/>
    </i>
    <i r="3">
      <x v="20"/>
    </i>
    <i r="2">
      <x v="8"/>
      <x/>
    </i>
    <i r="3">
      <x v="4"/>
    </i>
    <i r="3">
      <x v="7"/>
    </i>
    <i r="3">
      <x v="10"/>
    </i>
    <i r="3">
      <x v="20"/>
    </i>
    <i r="2">
      <x v="9"/>
      <x/>
    </i>
    <i r="3">
      <x v="2"/>
    </i>
    <i r="3">
      <x v="7"/>
    </i>
    <i r="3">
      <x v="9"/>
    </i>
    <i r="3">
      <x v="20"/>
    </i>
    <i r="2">
      <x v="10"/>
      <x/>
    </i>
    <i r="3">
      <x v="2"/>
    </i>
    <i r="3">
      <x v="7"/>
    </i>
    <i r="3">
      <x v="9"/>
    </i>
    <i r="3">
      <x v="20"/>
    </i>
    <i r="2">
      <x v="11"/>
      <x/>
    </i>
    <i r="3">
      <x v="2"/>
    </i>
    <i r="3">
      <x v="7"/>
    </i>
    <i r="3">
      <x v="9"/>
    </i>
    <i r="3">
      <x v="20"/>
    </i>
    <i r="1">
      <x v="1"/>
      <x/>
      <x v="24"/>
    </i>
    <i r="3">
      <x v="25"/>
    </i>
    <i r="3">
      <x v="26"/>
    </i>
    <i r="3">
      <x v="31"/>
    </i>
    <i r="3">
      <x v="36"/>
    </i>
    <i r="2">
      <x v="1"/>
      <x v="24"/>
    </i>
    <i r="3">
      <x v="25"/>
    </i>
    <i r="3">
      <x v="28"/>
    </i>
    <i r="3">
      <x v="33"/>
    </i>
    <i r="3">
      <x v="37"/>
    </i>
    <i r="2">
      <x v="2"/>
      <x v="24"/>
    </i>
    <i r="3">
      <x v="25"/>
    </i>
    <i r="3">
      <x v="27"/>
    </i>
    <i r="3">
      <x v="33"/>
    </i>
    <i r="3">
      <x v="37"/>
    </i>
    <i r="2">
      <x v="3"/>
      <x v="24"/>
    </i>
    <i r="3">
      <x v="25"/>
    </i>
    <i r="3">
      <x v="27"/>
    </i>
    <i r="3">
      <x v="32"/>
    </i>
    <i r="3">
      <x v="37"/>
    </i>
    <i r="2">
      <x v="4"/>
      <x v="24"/>
    </i>
    <i r="3">
      <x v="25"/>
    </i>
    <i r="3">
      <x v="28"/>
    </i>
    <i r="3">
      <x v="33"/>
    </i>
    <i r="3">
      <x v="37"/>
    </i>
    <i r="2">
      <x v="5"/>
      <x v="24"/>
    </i>
    <i r="3">
      <x v="25"/>
    </i>
    <i r="3">
      <x v="30"/>
    </i>
    <i r="3">
      <x v="33"/>
    </i>
    <i r="3">
      <x v="37"/>
    </i>
    <i r="2">
      <x v="6"/>
      <x v="24"/>
    </i>
    <i r="3">
      <x v="25"/>
    </i>
    <i r="3">
      <x v="27"/>
    </i>
    <i r="3">
      <x v="32"/>
    </i>
    <i r="3">
      <x v="36"/>
    </i>
    <i r="2">
      <x v="7"/>
      <x v="24"/>
    </i>
    <i r="3">
      <x v="25"/>
    </i>
    <i r="3">
      <x v="28"/>
    </i>
    <i r="3">
      <x v="33"/>
    </i>
    <i r="3">
      <x v="37"/>
    </i>
    <i r="2">
      <x v="8"/>
      <x v="24"/>
    </i>
    <i r="3">
      <x v="25"/>
    </i>
    <i r="3">
      <x v="28"/>
    </i>
    <i r="3">
      <x v="33"/>
    </i>
    <i r="3">
      <x v="37"/>
    </i>
    <i r="2">
      <x v="9"/>
      <x v="24"/>
    </i>
    <i r="3">
      <x v="25"/>
    </i>
    <i r="3">
      <x v="27"/>
    </i>
    <i r="3">
      <x v="32"/>
    </i>
    <i r="3">
      <x v="36"/>
    </i>
    <i r="2">
      <x v="10"/>
      <x v="24"/>
    </i>
    <i r="3">
      <x v="25"/>
    </i>
    <i r="3">
      <x v="28"/>
    </i>
    <i r="3">
      <x v="32"/>
    </i>
    <i r="3">
      <x v="36"/>
    </i>
    <i r="2">
      <x v="11"/>
      <x v="24"/>
    </i>
    <i r="3">
      <x v="25"/>
    </i>
    <i r="3">
      <x v="27"/>
    </i>
    <i r="3">
      <x v="32"/>
    </i>
    <i r="3">
      <x v="36"/>
    </i>
    <i>
      <x v="1"/>
      <x/>
      <x/>
      <x/>
    </i>
    <i r="3">
      <x v="1"/>
    </i>
    <i r="3">
      <x v="4"/>
    </i>
    <i r="3">
      <x v="9"/>
    </i>
    <i r="3">
      <x v="21"/>
    </i>
    <i r="2">
      <x v="1"/>
      <x/>
    </i>
    <i r="3">
      <x v="4"/>
    </i>
    <i r="3">
      <x v="7"/>
    </i>
    <i r="3">
      <x v="12"/>
    </i>
    <i r="3">
      <x v="21"/>
    </i>
    <i r="2">
      <x v="2"/>
      <x/>
    </i>
    <i r="3">
      <x v="1"/>
    </i>
    <i r="3">
      <x v="4"/>
    </i>
    <i r="3">
      <x v="10"/>
    </i>
    <i r="3">
      <x v="21"/>
    </i>
    <i r="2">
      <x v="3"/>
      <x/>
    </i>
    <i r="3">
      <x v="2"/>
    </i>
    <i r="3">
      <x v="7"/>
    </i>
    <i r="3">
      <x v="10"/>
    </i>
    <i r="3">
      <x v="21"/>
    </i>
    <i r="2">
      <x v="4"/>
      <x/>
    </i>
    <i r="3">
      <x v="2"/>
    </i>
    <i r="3">
      <x v="7"/>
    </i>
    <i r="3">
      <x v="10"/>
    </i>
    <i r="3">
      <x v="21"/>
    </i>
    <i r="2">
      <x v="5"/>
      <x/>
    </i>
    <i r="3">
      <x v="2"/>
    </i>
    <i r="3">
      <x v="7"/>
    </i>
    <i r="3">
      <x v="12"/>
    </i>
    <i r="3">
      <x v="21"/>
    </i>
    <i r="2">
      <x v="6"/>
      <x/>
    </i>
    <i r="3">
      <x v="2"/>
    </i>
    <i r="3">
      <x v="7"/>
    </i>
    <i r="3">
      <x v="10"/>
    </i>
    <i r="3">
      <x v="21"/>
    </i>
    <i r="2">
      <x v="7"/>
      <x/>
    </i>
    <i r="3">
      <x v="2"/>
    </i>
    <i r="3">
      <x v="7"/>
    </i>
    <i r="3">
      <x v="10"/>
    </i>
    <i r="3">
      <x v="21"/>
    </i>
    <i r="2">
      <x v="8"/>
      <x/>
    </i>
    <i r="3">
      <x v="4"/>
    </i>
    <i r="3">
      <x v="7"/>
    </i>
    <i r="3">
      <x v="12"/>
    </i>
    <i r="3">
      <x v="21"/>
    </i>
    <i r="2">
      <x v="9"/>
      <x/>
    </i>
    <i r="3">
      <x v="2"/>
    </i>
    <i r="3">
      <x v="7"/>
    </i>
    <i r="3">
      <x v="10"/>
    </i>
    <i r="3">
      <x v="21"/>
    </i>
    <i r="2">
      <x v="10"/>
      <x/>
    </i>
    <i r="3">
      <x v="2"/>
    </i>
    <i r="3">
      <x v="7"/>
    </i>
    <i r="3">
      <x v="10"/>
    </i>
    <i r="3">
      <x v="21"/>
    </i>
    <i r="2">
      <x v="11"/>
      <x/>
    </i>
    <i r="3">
      <x v="2"/>
    </i>
    <i r="3">
      <x v="7"/>
    </i>
    <i r="3">
      <x v="10"/>
    </i>
    <i r="3">
      <x v="21"/>
    </i>
    <i>
      <x v="2"/>
      <x/>
      <x/>
      <x/>
    </i>
    <i r="3">
      <x v="5"/>
    </i>
    <i r="3">
      <x v="14"/>
    </i>
    <i r="3">
      <x v="19"/>
    </i>
    <i r="3">
      <x v="23"/>
    </i>
    <i r="2">
      <x v="1"/>
      <x/>
    </i>
    <i r="3">
      <x v="5"/>
    </i>
    <i r="3">
      <x v="14"/>
    </i>
    <i r="3">
      <x v="19"/>
    </i>
    <i r="3">
      <x v="23"/>
    </i>
    <i r="2">
      <x v="2"/>
      <x/>
    </i>
    <i r="3">
      <x v="5"/>
    </i>
    <i r="3">
      <x v="14"/>
    </i>
    <i r="3">
      <x v="19"/>
    </i>
    <i r="3">
      <x v="23"/>
    </i>
    <i r="2">
      <x v="3"/>
      <x/>
    </i>
    <i r="3">
      <x v="5"/>
    </i>
    <i r="3">
      <x v="14"/>
    </i>
    <i r="3">
      <x v="17"/>
    </i>
    <i r="3">
      <x v="23"/>
    </i>
    <i r="2">
      <x v="4"/>
      <x/>
    </i>
    <i r="3">
      <x v="5"/>
    </i>
    <i r="3">
      <x v="14"/>
    </i>
    <i r="3">
      <x v="18"/>
    </i>
    <i r="3">
      <x v="23"/>
    </i>
    <i r="2">
      <x v="5"/>
      <x/>
    </i>
    <i r="3">
      <x v="5"/>
    </i>
    <i r="3">
      <x v="14"/>
    </i>
    <i r="3">
      <x v="18"/>
    </i>
    <i r="3">
      <x v="23"/>
    </i>
    <i r="2">
      <x v="6"/>
      <x/>
    </i>
    <i r="3">
      <x v="5"/>
    </i>
    <i r="3">
      <x v="14"/>
    </i>
    <i r="3">
      <x v="19"/>
    </i>
    <i r="3">
      <x v="23"/>
    </i>
    <i r="2">
      <x v="7"/>
      <x/>
    </i>
    <i r="3">
      <x v="5"/>
    </i>
    <i r="3">
      <x v="14"/>
    </i>
    <i r="3">
      <x v="17"/>
    </i>
    <i r="3">
      <x v="23"/>
    </i>
    <i r="2">
      <x v="8"/>
      <x/>
    </i>
    <i r="3">
      <x v="5"/>
    </i>
    <i r="3">
      <x v="14"/>
    </i>
    <i r="3">
      <x v="17"/>
    </i>
    <i r="3">
      <x v="23"/>
    </i>
    <i r="2">
      <x v="9"/>
      <x/>
    </i>
    <i r="3">
      <x v="5"/>
    </i>
    <i r="3">
      <x v="14"/>
    </i>
    <i r="3">
      <x v="17"/>
    </i>
    <i r="3">
      <x v="23"/>
    </i>
    <i r="2">
      <x v="10"/>
      <x/>
    </i>
    <i r="3">
      <x v="5"/>
    </i>
    <i r="3">
      <x v="14"/>
    </i>
    <i r="3">
      <x v="19"/>
    </i>
    <i r="3">
      <x v="23"/>
    </i>
    <i r="2">
      <x v="11"/>
      <x/>
    </i>
    <i r="3">
      <x v="5"/>
    </i>
    <i r="3">
      <x v="14"/>
    </i>
    <i r="3">
      <x v="19"/>
    </i>
    <i r="3">
      <x v="23"/>
    </i>
    <i>
      <x v="3"/>
      <x/>
      <x/>
      <x v="9"/>
    </i>
    <i r="3">
      <x v="11"/>
    </i>
    <i r="3">
      <x v="22"/>
    </i>
    <i r="3">
      <x v="42"/>
    </i>
    <i r="3">
      <x v="46"/>
    </i>
    <i r="2">
      <x v="1"/>
      <x v="9"/>
    </i>
    <i r="3">
      <x v="13"/>
    </i>
    <i r="3">
      <x v="16"/>
    </i>
    <i r="3">
      <x v="22"/>
    </i>
    <i r="3">
      <x v="42"/>
    </i>
    <i r="3">
      <x v="45"/>
    </i>
    <i r="2">
      <x v="2"/>
      <x v="9"/>
    </i>
    <i r="3">
      <x v="13"/>
    </i>
    <i r="3">
      <x v="15"/>
    </i>
    <i r="3">
      <x v="22"/>
    </i>
    <i r="3">
      <x v="42"/>
    </i>
    <i r="3">
      <x v="46"/>
    </i>
    <i r="2">
      <x v="3"/>
      <x v="9"/>
    </i>
    <i r="3">
      <x v="13"/>
    </i>
    <i r="3">
      <x v="16"/>
    </i>
    <i r="3">
      <x v="22"/>
    </i>
    <i r="3">
      <x v="42"/>
    </i>
    <i r="3">
      <x v="44"/>
    </i>
    <i r="2">
      <x v="4"/>
      <x v="9"/>
    </i>
    <i r="3">
      <x v="15"/>
    </i>
    <i r="3">
      <x v="16"/>
    </i>
    <i r="3">
      <x v="22"/>
    </i>
    <i r="3">
      <x v="42"/>
    </i>
    <i r="3">
      <x v="45"/>
    </i>
    <i r="2">
      <x v="5"/>
      <x v="9"/>
    </i>
    <i r="3">
      <x v="15"/>
    </i>
    <i r="3">
      <x v="16"/>
    </i>
    <i r="3">
      <x v="22"/>
    </i>
    <i r="3">
      <x v="42"/>
    </i>
    <i r="3">
      <x v="43"/>
    </i>
    <i r="3">
      <x v="45"/>
    </i>
    <i r="2">
      <x v="6"/>
      <x v="9"/>
    </i>
    <i r="3">
      <x v="15"/>
    </i>
    <i r="3">
      <x v="16"/>
    </i>
    <i r="3">
      <x v="22"/>
    </i>
    <i r="3">
      <x v="42"/>
    </i>
    <i r="3">
      <x v="44"/>
    </i>
    <i r="3">
      <x v="45"/>
    </i>
    <i r="2">
      <x v="7"/>
      <x v="9"/>
    </i>
    <i r="3">
      <x v="11"/>
    </i>
    <i r="3">
      <x v="13"/>
    </i>
    <i r="3">
      <x v="22"/>
    </i>
    <i r="3">
      <x v="42"/>
    </i>
    <i r="3">
      <x v="45"/>
    </i>
    <i r="2">
      <x v="8"/>
      <x v="9"/>
    </i>
    <i r="3">
      <x v="13"/>
    </i>
    <i r="3">
      <x v="15"/>
    </i>
    <i r="3">
      <x v="22"/>
    </i>
    <i r="3">
      <x v="42"/>
    </i>
    <i r="3">
      <x v="44"/>
    </i>
    <i r="2">
      <x v="9"/>
      <x v="9"/>
    </i>
    <i r="3">
      <x v="13"/>
    </i>
    <i r="3">
      <x v="15"/>
    </i>
    <i r="3">
      <x v="16"/>
    </i>
    <i r="3">
      <x v="22"/>
    </i>
    <i r="3">
      <x v="42"/>
    </i>
    <i r="3">
      <x v="44"/>
    </i>
    <i r="2">
      <x v="10"/>
      <x v="9"/>
    </i>
    <i r="3">
      <x v="13"/>
    </i>
    <i r="3">
      <x v="15"/>
    </i>
    <i r="3">
      <x v="16"/>
    </i>
    <i r="3">
      <x v="22"/>
    </i>
    <i r="3">
      <x v="42"/>
    </i>
    <i r="3">
      <x v="44"/>
    </i>
    <i r="2">
      <x v="11"/>
      <x v="9"/>
    </i>
    <i r="3">
      <x v="13"/>
    </i>
    <i r="3">
      <x v="15"/>
    </i>
    <i r="3">
      <x v="16"/>
    </i>
    <i r="3">
      <x v="22"/>
    </i>
    <i r="3">
      <x v="42"/>
    </i>
    <i r="3">
      <x v="44"/>
    </i>
    <i r="1">
      <x v="1"/>
      <x/>
      <x v="47"/>
    </i>
    <i r="3">
      <x v="48"/>
    </i>
    <i r="3">
      <x v="49"/>
    </i>
    <i r="3">
      <x v="50"/>
    </i>
    <i r="3">
      <x v="51"/>
    </i>
    <i r="2">
      <x v="1"/>
      <x v="47"/>
    </i>
    <i r="3">
      <x v="48"/>
    </i>
    <i r="3">
      <x v="49"/>
    </i>
    <i r="3">
      <x v="50"/>
    </i>
    <i r="3">
      <x v="51"/>
    </i>
    <i r="2">
      <x v="2"/>
      <x v="47"/>
    </i>
    <i r="3">
      <x v="48"/>
    </i>
    <i r="3">
      <x v="49"/>
    </i>
    <i r="3">
      <x v="50"/>
    </i>
    <i r="3">
      <x v="51"/>
    </i>
    <i r="2">
      <x v="3"/>
      <x v="47"/>
    </i>
    <i r="3">
      <x v="48"/>
    </i>
    <i r="3">
      <x v="49"/>
    </i>
    <i r="3">
      <x v="50"/>
    </i>
    <i r="3">
      <x v="51"/>
    </i>
    <i r="2">
      <x v="4"/>
      <x v="47"/>
    </i>
    <i r="3">
      <x v="48"/>
    </i>
    <i r="3">
      <x v="49"/>
    </i>
    <i r="3">
      <x v="50"/>
    </i>
    <i r="3">
      <x v="51"/>
    </i>
    <i r="2">
      <x v="5"/>
      <x v="47"/>
    </i>
    <i r="3">
      <x v="48"/>
    </i>
    <i r="3">
      <x v="49"/>
    </i>
    <i r="3">
      <x v="50"/>
    </i>
    <i r="3">
      <x v="51"/>
    </i>
    <i r="2">
      <x v="6"/>
      <x v="47"/>
    </i>
    <i r="3">
      <x v="48"/>
    </i>
    <i r="3">
      <x v="49"/>
    </i>
    <i r="3">
      <x v="50"/>
    </i>
    <i r="3">
      <x v="51"/>
    </i>
    <i r="2">
      <x v="7"/>
      <x v="47"/>
    </i>
    <i r="3">
      <x v="48"/>
    </i>
    <i r="3">
      <x v="49"/>
    </i>
    <i r="3">
      <x v="50"/>
    </i>
    <i r="3">
      <x v="51"/>
    </i>
    <i r="2">
      <x v="8"/>
      <x v="47"/>
    </i>
    <i r="3">
      <x v="48"/>
    </i>
    <i r="3">
      <x v="49"/>
    </i>
    <i r="3">
      <x v="50"/>
    </i>
    <i r="3">
      <x v="51"/>
    </i>
    <i r="2">
      <x v="9"/>
      <x v="47"/>
    </i>
    <i r="3">
      <x v="48"/>
    </i>
    <i r="3">
      <x v="49"/>
    </i>
    <i r="3">
      <x v="50"/>
    </i>
    <i r="3">
      <x v="51"/>
    </i>
    <i r="2">
      <x v="10"/>
      <x v="47"/>
    </i>
    <i r="3">
      <x v="48"/>
    </i>
    <i r="3">
      <x v="49"/>
    </i>
    <i r="3">
      <x v="50"/>
    </i>
    <i r="3">
      <x v="51"/>
    </i>
    <i r="2">
      <x v="11"/>
      <x v="47"/>
    </i>
    <i r="3">
      <x v="48"/>
    </i>
    <i r="3">
      <x v="49"/>
    </i>
    <i r="3">
      <x v="50"/>
    </i>
    <i r="3">
      <x v="51"/>
    </i>
    <i>
      <x v="4"/>
      <x v="1"/>
      <x/>
      <x v="29"/>
    </i>
    <i r="3">
      <x v="34"/>
    </i>
    <i r="3">
      <x v="35"/>
    </i>
    <i r="3">
      <x v="39"/>
    </i>
    <i r="3">
      <x v="41"/>
    </i>
    <i r="2">
      <x v="1"/>
      <x v="29"/>
    </i>
    <i r="3">
      <x v="34"/>
    </i>
    <i r="3">
      <x v="35"/>
    </i>
    <i r="3">
      <x v="39"/>
    </i>
    <i r="3">
      <x v="41"/>
    </i>
    <i r="2">
      <x v="2"/>
      <x v="29"/>
    </i>
    <i r="3">
      <x v="34"/>
    </i>
    <i r="3">
      <x v="35"/>
    </i>
    <i r="3">
      <x v="40"/>
    </i>
    <i r="3">
      <x v="41"/>
    </i>
    <i r="2">
      <x v="3"/>
      <x v="29"/>
    </i>
    <i r="3">
      <x v="34"/>
    </i>
    <i r="3">
      <x v="35"/>
    </i>
    <i r="3">
      <x v="38"/>
    </i>
    <i r="3">
      <x v="41"/>
    </i>
    <i r="2">
      <x v="4"/>
      <x v="29"/>
    </i>
    <i r="3">
      <x v="34"/>
    </i>
    <i r="3">
      <x v="35"/>
    </i>
    <i r="3">
      <x v="39"/>
    </i>
    <i r="3">
      <x v="41"/>
    </i>
    <i r="2">
      <x v="5"/>
      <x v="29"/>
    </i>
    <i r="3">
      <x v="34"/>
    </i>
    <i r="3">
      <x v="35"/>
    </i>
    <i r="3">
      <x v="40"/>
    </i>
    <i r="3">
      <x v="41"/>
    </i>
    <i r="2">
      <x v="6"/>
      <x v="29"/>
    </i>
    <i r="3">
      <x v="34"/>
    </i>
    <i r="3">
      <x v="35"/>
    </i>
    <i r="3">
      <x v="39"/>
    </i>
    <i r="3">
      <x v="41"/>
    </i>
    <i r="2">
      <x v="7"/>
      <x v="29"/>
    </i>
    <i r="3">
      <x v="34"/>
    </i>
    <i r="3">
      <x v="35"/>
    </i>
    <i r="3">
      <x v="38"/>
    </i>
    <i r="3">
      <x v="41"/>
    </i>
    <i r="2">
      <x v="8"/>
      <x v="29"/>
    </i>
    <i r="3">
      <x v="34"/>
    </i>
    <i r="3">
      <x v="35"/>
    </i>
    <i r="3">
      <x v="38"/>
    </i>
    <i r="3">
      <x v="41"/>
    </i>
    <i r="2">
      <x v="9"/>
      <x v="29"/>
    </i>
    <i r="3">
      <x v="34"/>
    </i>
    <i r="3">
      <x v="35"/>
    </i>
    <i r="3">
      <x v="38"/>
    </i>
    <i r="3">
      <x v="41"/>
    </i>
    <i r="2">
      <x v="10"/>
      <x v="29"/>
    </i>
    <i r="3">
      <x v="34"/>
    </i>
    <i r="3">
      <x v="35"/>
    </i>
    <i r="3">
      <x v="39"/>
    </i>
    <i r="3">
      <x v="41"/>
    </i>
    <i r="2">
      <x v="11"/>
      <x v="29"/>
    </i>
    <i r="3">
      <x v="34"/>
    </i>
    <i r="3">
      <x v="35"/>
    </i>
    <i r="3">
      <x v="39"/>
    </i>
    <i r="3">
      <x v="41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Average of biomass_gm2" fld="10" subtotal="average" baseField="8" baseItem="0" numFmtId="2"/>
    <dataField name="Average of stem_biomass_gm2" fld="11" subtotal="average" baseField="8" baseItem="0"/>
    <dataField name="Average of gleaf_biomass_gm2" fld="12" subtotal="average" baseField="8" baseItem="0"/>
    <dataField name="Average of spike_biomass_gm2" fld="13" subtotal="average" baseField="8" baseItem="0"/>
    <dataField name="Average of dleaf_biomass_gm2" fld="14" subtotal="average" baseField="8" baseItem="0"/>
    <dataField name="Average of AboveGround.N" fld="18" subtotal="average" baseField="8" baseItem="0"/>
    <dataField name="Average of AboveGround.Storage.Wt" fld="19" subtotal="average" baseField="8" baseItem="0"/>
  </dataFields>
  <formats count="1">
    <format dxfId="0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7E23E-A123-4574-8FF7-9A0B00C112FE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S2:BC439" firstHeaderRow="1" firstDataRow="2" firstDataCol="4"/>
  <pivotFields count="20"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5">
        <item x="4"/>
        <item x="3"/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2">
        <item x="5"/>
        <item x="1"/>
        <item x="7"/>
        <item x="3"/>
        <item x="9"/>
        <item x="11"/>
        <item x="8"/>
        <item x="6"/>
        <item x="0"/>
        <item x="10"/>
        <item x="2"/>
        <item x="4"/>
      </items>
    </pivotField>
    <pivotField axis="axisRow" compact="0" outline="0" showAll="0" defaultSubtotal="0">
      <items count="52">
        <item x="23"/>
        <item x="31"/>
        <item x="30"/>
        <item m="1" x="49"/>
        <item x="32"/>
        <item x="24"/>
        <item m="1" x="51"/>
        <item x="33"/>
        <item m="1" x="50"/>
        <item x="5"/>
        <item x="34"/>
        <item x="9"/>
        <item x="35"/>
        <item x="7"/>
        <item x="25"/>
        <item x="6"/>
        <item x="8"/>
        <item x="27"/>
        <item x="28"/>
        <item x="26"/>
        <item x="37"/>
        <item x="36"/>
        <item x="10"/>
        <item x="29"/>
        <item x="38"/>
        <item x="39"/>
        <item x="42"/>
        <item x="40"/>
        <item x="41"/>
        <item x="16"/>
        <item x="43"/>
        <item x="46"/>
        <item x="44"/>
        <item x="45"/>
        <item x="17"/>
        <item x="18"/>
        <item x="47"/>
        <item x="48"/>
        <item x="20"/>
        <item x="19"/>
        <item x="21"/>
        <item x="22"/>
        <item x="0"/>
        <item x="1"/>
        <item x="2"/>
        <item x="3"/>
        <item x="4"/>
        <item x="11"/>
        <item x="12"/>
        <item x="13"/>
        <item x="14"/>
        <item x="15"/>
      </items>
    </pivotField>
    <pivotField compact="0" outline="0" showAll="0"/>
    <pivotField dataField="1" compact="0" numFmtId="1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4">
    <field x="1"/>
    <field x="0"/>
    <field x="7"/>
    <field x="8"/>
  </rowFields>
  <rowItems count="436">
    <i>
      <x/>
      <x/>
      <x/>
      <x/>
    </i>
    <i r="3">
      <x v="1"/>
    </i>
    <i r="3">
      <x v="4"/>
    </i>
    <i r="3">
      <x v="9"/>
    </i>
    <i r="3">
      <x v="20"/>
    </i>
    <i r="2">
      <x v="1"/>
      <x/>
    </i>
    <i r="3">
      <x v="4"/>
    </i>
    <i r="3">
      <x v="7"/>
    </i>
    <i r="3">
      <x v="10"/>
    </i>
    <i r="3">
      <x v="20"/>
    </i>
    <i r="2">
      <x v="2"/>
      <x/>
    </i>
    <i r="3">
      <x v="1"/>
    </i>
    <i r="3">
      <x v="4"/>
    </i>
    <i r="3">
      <x v="9"/>
    </i>
    <i r="3">
      <x v="20"/>
    </i>
    <i r="2">
      <x v="3"/>
      <x/>
    </i>
    <i r="3">
      <x v="2"/>
    </i>
    <i r="3">
      <x v="7"/>
    </i>
    <i r="3">
      <x v="9"/>
    </i>
    <i r="3">
      <x v="20"/>
    </i>
    <i r="2">
      <x v="4"/>
      <x/>
    </i>
    <i r="3">
      <x v="2"/>
    </i>
    <i r="3">
      <x v="7"/>
    </i>
    <i r="3">
      <x v="9"/>
    </i>
    <i r="3">
      <x v="20"/>
    </i>
    <i r="2">
      <x v="5"/>
      <x/>
    </i>
    <i r="3">
      <x v="2"/>
    </i>
    <i r="3">
      <x v="7"/>
    </i>
    <i r="3">
      <x v="10"/>
    </i>
    <i r="3">
      <x v="20"/>
    </i>
    <i r="2">
      <x v="6"/>
      <x/>
    </i>
    <i r="3">
      <x v="2"/>
    </i>
    <i r="3">
      <x v="7"/>
    </i>
    <i r="3">
      <x v="9"/>
    </i>
    <i r="3">
      <x v="20"/>
    </i>
    <i r="2">
      <x v="7"/>
      <x/>
    </i>
    <i r="3">
      <x v="2"/>
    </i>
    <i r="3">
      <x v="7"/>
    </i>
    <i r="3">
      <x v="10"/>
    </i>
    <i r="3">
      <x v="20"/>
    </i>
    <i r="2">
      <x v="8"/>
      <x/>
    </i>
    <i r="3">
      <x v="4"/>
    </i>
    <i r="3">
      <x v="7"/>
    </i>
    <i r="3">
      <x v="10"/>
    </i>
    <i r="3">
      <x v="20"/>
    </i>
    <i r="2">
      <x v="9"/>
      <x/>
    </i>
    <i r="3">
      <x v="2"/>
    </i>
    <i r="3">
      <x v="7"/>
    </i>
    <i r="3">
      <x v="9"/>
    </i>
    <i r="3">
      <x v="20"/>
    </i>
    <i r="2">
      <x v="10"/>
      <x/>
    </i>
    <i r="3">
      <x v="2"/>
    </i>
    <i r="3">
      <x v="7"/>
    </i>
    <i r="3">
      <x v="9"/>
    </i>
    <i r="3">
      <x v="20"/>
    </i>
    <i r="2">
      <x v="11"/>
      <x/>
    </i>
    <i r="3">
      <x v="2"/>
    </i>
    <i r="3">
      <x v="7"/>
    </i>
    <i r="3">
      <x v="9"/>
    </i>
    <i r="3">
      <x v="20"/>
    </i>
    <i r="1">
      <x v="1"/>
      <x/>
      <x v="24"/>
    </i>
    <i r="3">
      <x v="25"/>
    </i>
    <i r="3">
      <x v="26"/>
    </i>
    <i r="3">
      <x v="31"/>
    </i>
    <i r="3">
      <x v="36"/>
    </i>
    <i r="2">
      <x v="1"/>
      <x v="24"/>
    </i>
    <i r="3">
      <x v="25"/>
    </i>
    <i r="3">
      <x v="28"/>
    </i>
    <i r="3">
      <x v="33"/>
    </i>
    <i r="3">
      <x v="37"/>
    </i>
    <i r="2">
      <x v="2"/>
      <x v="24"/>
    </i>
    <i r="3">
      <x v="25"/>
    </i>
    <i r="3">
      <x v="27"/>
    </i>
    <i r="3">
      <x v="33"/>
    </i>
    <i r="3">
      <x v="37"/>
    </i>
    <i r="2">
      <x v="3"/>
      <x v="24"/>
    </i>
    <i r="3">
      <x v="25"/>
    </i>
    <i r="3">
      <x v="27"/>
    </i>
    <i r="3">
      <x v="32"/>
    </i>
    <i r="3">
      <x v="37"/>
    </i>
    <i r="2">
      <x v="4"/>
      <x v="24"/>
    </i>
    <i r="3">
      <x v="25"/>
    </i>
    <i r="3">
      <x v="28"/>
    </i>
    <i r="3">
      <x v="33"/>
    </i>
    <i r="3">
      <x v="37"/>
    </i>
    <i r="2">
      <x v="5"/>
      <x v="24"/>
    </i>
    <i r="3">
      <x v="25"/>
    </i>
    <i r="3">
      <x v="30"/>
    </i>
    <i r="3">
      <x v="33"/>
    </i>
    <i r="3">
      <x v="37"/>
    </i>
    <i r="2">
      <x v="6"/>
      <x v="24"/>
    </i>
    <i r="3">
      <x v="25"/>
    </i>
    <i r="3">
      <x v="27"/>
    </i>
    <i r="3">
      <x v="32"/>
    </i>
    <i r="3">
      <x v="36"/>
    </i>
    <i r="2">
      <x v="7"/>
      <x v="24"/>
    </i>
    <i r="3">
      <x v="25"/>
    </i>
    <i r="3">
      <x v="28"/>
    </i>
    <i r="3">
      <x v="33"/>
    </i>
    <i r="3">
      <x v="37"/>
    </i>
    <i r="2">
      <x v="8"/>
      <x v="24"/>
    </i>
    <i r="3">
      <x v="25"/>
    </i>
    <i r="3">
      <x v="28"/>
    </i>
    <i r="3">
      <x v="33"/>
    </i>
    <i r="3">
      <x v="37"/>
    </i>
    <i r="2">
      <x v="9"/>
      <x v="24"/>
    </i>
    <i r="3">
      <x v="25"/>
    </i>
    <i r="3">
      <x v="27"/>
    </i>
    <i r="3">
      <x v="32"/>
    </i>
    <i r="3">
      <x v="36"/>
    </i>
    <i r="2">
      <x v="10"/>
      <x v="24"/>
    </i>
    <i r="3">
      <x v="25"/>
    </i>
    <i r="3">
      <x v="28"/>
    </i>
    <i r="3">
      <x v="32"/>
    </i>
    <i r="3">
      <x v="36"/>
    </i>
    <i r="2">
      <x v="11"/>
      <x v="24"/>
    </i>
    <i r="3">
      <x v="25"/>
    </i>
    <i r="3">
      <x v="27"/>
    </i>
    <i r="3">
      <x v="32"/>
    </i>
    <i r="3">
      <x v="36"/>
    </i>
    <i>
      <x v="1"/>
      <x/>
      <x/>
      <x/>
    </i>
    <i r="3">
      <x v="1"/>
    </i>
    <i r="3">
      <x v="4"/>
    </i>
    <i r="3">
      <x v="9"/>
    </i>
    <i r="3">
      <x v="21"/>
    </i>
    <i r="2">
      <x v="1"/>
      <x/>
    </i>
    <i r="3">
      <x v="4"/>
    </i>
    <i r="3">
      <x v="7"/>
    </i>
    <i r="3">
      <x v="12"/>
    </i>
    <i r="3">
      <x v="21"/>
    </i>
    <i r="2">
      <x v="2"/>
      <x/>
    </i>
    <i r="3">
      <x v="1"/>
    </i>
    <i r="3">
      <x v="4"/>
    </i>
    <i r="3">
      <x v="10"/>
    </i>
    <i r="3">
      <x v="21"/>
    </i>
    <i r="2">
      <x v="3"/>
      <x/>
    </i>
    <i r="3">
      <x v="2"/>
    </i>
    <i r="3">
      <x v="7"/>
    </i>
    <i r="3">
      <x v="10"/>
    </i>
    <i r="3">
      <x v="21"/>
    </i>
    <i r="2">
      <x v="4"/>
      <x/>
    </i>
    <i r="3">
      <x v="2"/>
    </i>
    <i r="3">
      <x v="7"/>
    </i>
    <i r="3">
      <x v="10"/>
    </i>
    <i r="3">
      <x v="21"/>
    </i>
    <i r="2">
      <x v="5"/>
      <x/>
    </i>
    <i r="3">
      <x v="2"/>
    </i>
    <i r="3">
      <x v="7"/>
    </i>
    <i r="3">
      <x v="12"/>
    </i>
    <i r="3">
      <x v="21"/>
    </i>
    <i r="2">
      <x v="6"/>
      <x/>
    </i>
    <i r="3">
      <x v="2"/>
    </i>
    <i r="3">
      <x v="7"/>
    </i>
    <i r="3">
      <x v="10"/>
    </i>
    <i r="3">
      <x v="21"/>
    </i>
    <i r="2">
      <x v="7"/>
      <x/>
    </i>
    <i r="3">
      <x v="2"/>
    </i>
    <i r="3">
      <x v="7"/>
    </i>
    <i r="3">
      <x v="10"/>
    </i>
    <i r="3">
      <x v="21"/>
    </i>
    <i r="2">
      <x v="8"/>
      <x/>
    </i>
    <i r="3">
      <x v="4"/>
    </i>
    <i r="3">
      <x v="7"/>
    </i>
    <i r="3">
      <x v="12"/>
    </i>
    <i r="3">
      <x v="21"/>
    </i>
    <i r="2">
      <x v="9"/>
      <x/>
    </i>
    <i r="3">
      <x v="2"/>
    </i>
    <i r="3">
      <x v="7"/>
    </i>
    <i r="3">
      <x v="10"/>
    </i>
    <i r="3">
      <x v="21"/>
    </i>
    <i r="2">
      <x v="10"/>
      <x/>
    </i>
    <i r="3">
      <x v="2"/>
    </i>
    <i r="3">
      <x v="7"/>
    </i>
    <i r="3">
      <x v="10"/>
    </i>
    <i r="3">
      <x v="21"/>
    </i>
    <i r="2">
      <x v="11"/>
      <x/>
    </i>
    <i r="3">
      <x v="2"/>
    </i>
    <i r="3">
      <x v="7"/>
    </i>
    <i r="3">
      <x v="10"/>
    </i>
    <i r="3">
      <x v="21"/>
    </i>
    <i>
      <x v="2"/>
      <x/>
      <x/>
      <x/>
    </i>
    <i r="3">
      <x v="5"/>
    </i>
    <i r="3">
      <x v="14"/>
    </i>
    <i r="3">
      <x v="19"/>
    </i>
    <i r="3">
      <x v="23"/>
    </i>
    <i r="2">
      <x v="1"/>
      <x/>
    </i>
    <i r="3">
      <x v="5"/>
    </i>
    <i r="3">
      <x v="14"/>
    </i>
    <i r="3">
      <x v="19"/>
    </i>
    <i r="3">
      <x v="23"/>
    </i>
    <i r="2">
      <x v="2"/>
      <x/>
    </i>
    <i r="3">
      <x v="5"/>
    </i>
    <i r="3">
      <x v="14"/>
    </i>
    <i r="3">
      <x v="19"/>
    </i>
    <i r="3">
      <x v="23"/>
    </i>
    <i r="2">
      <x v="3"/>
      <x/>
    </i>
    <i r="3">
      <x v="5"/>
    </i>
    <i r="3">
      <x v="14"/>
    </i>
    <i r="3">
      <x v="17"/>
    </i>
    <i r="3">
      <x v="23"/>
    </i>
    <i r="2">
      <x v="4"/>
      <x/>
    </i>
    <i r="3">
      <x v="5"/>
    </i>
    <i r="3">
      <x v="14"/>
    </i>
    <i r="3">
      <x v="18"/>
    </i>
    <i r="3">
      <x v="23"/>
    </i>
    <i r="2">
      <x v="5"/>
      <x/>
    </i>
    <i r="3">
      <x v="5"/>
    </i>
    <i r="3">
      <x v="14"/>
    </i>
    <i r="3">
      <x v="18"/>
    </i>
    <i r="3">
      <x v="23"/>
    </i>
    <i r="2">
      <x v="6"/>
      <x/>
    </i>
    <i r="3">
      <x v="5"/>
    </i>
    <i r="3">
      <x v="14"/>
    </i>
    <i r="3">
      <x v="19"/>
    </i>
    <i r="3">
      <x v="23"/>
    </i>
    <i r="2">
      <x v="7"/>
      <x/>
    </i>
    <i r="3">
      <x v="5"/>
    </i>
    <i r="3">
      <x v="14"/>
    </i>
    <i r="3">
      <x v="17"/>
    </i>
    <i r="3">
      <x v="23"/>
    </i>
    <i r="2">
      <x v="8"/>
      <x/>
    </i>
    <i r="3">
      <x v="5"/>
    </i>
    <i r="3">
      <x v="14"/>
    </i>
    <i r="3">
      <x v="17"/>
    </i>
    <i r="3">
      <x v="23"/>
    </i>
    <i r="2">
      <x v="9"/>
      <x/>
    </i>
    <i r="3">
      <x v="5"/>
    </i>
    <i r="3">
      <x v="14"/>
    </i>
    <i r="3">
      <x v="17"/>
    </i>
    <i r="3">
      <x v="23"/>
    </i>
    <i r="2">
      <x v="10"/>
      <x/>
    </i>
    <i r="3">
      <x v="5"/>
    </i>
    <i r="3">
      <x v="14"/>
    </i>
    <i r="3">
      <x v="19"/>
    </i>
    <i r="3">
      <x v="23"/>
    </i>
    <i r="2">
      <x v="11"/>
      <x/>
    </i>
    <i r="3">
      <x v="5"/>
    </i>
    <i r="3">
      <x v="14"/>
    </i>
    <i r="3">
      <x v="19"/>
    </i>
    <i r="3">
      <x v="23"/>
    </i>
    <i>
      <x v="3"/>
      <x/>
      <x/>
      <x v="9"/>
    </i>
    <i r="3">
      <x v="11"/>
    </i>
    <i r="3">
      <x v="22"/>
    </i>
    <i r="3">
      <x v="42"/>
    </i>
    <i r="3">
      <x v="46"/>
    </i>
    <i r="2">
      <x v="1"/>
      <x v="9"/>
    </i>
    <i r="3">
      <x v="13"/>
    </i>
    <i r="3">
      <x v="16"/>
    </i>
    <i r="3">
      <x v="22"/>
    </i>
    <i r="3">
      <x v="42"/>
    </i>
    <i r="3">
      <x v="45"/>
    </i>
    <i r="2">
      <x v="2"/>
      <x v="9"/>
    </i>
    <i r="3">
      <x v="13"/>
    </i>
    <i r="3">
      <x v="15"/>
    </i>
    <i r="3">
      <x v="22"/>
    </i>
    <i r="3">
      <x v="42"/>
    </i>
    <i r="3">
      <x v="46"/>
    </i>
    <i r="2">
      <x v="3"/>
      <x v="9"/>
    </i>
    <i r="3">
      <x v="13"/>
    </i>
    <i r="3">
      <x v="16"/>
    </i>
    <i r="3">
      <x v="22"/>
    </i>
    <i r="3">
      <x v="42"/>
    </i>
    <i r="3">
      <x v="44"/>
    </i>
    <i r="2">
      <x v="4"/>
      <x v="9"/>
    </i>
    <i r="3">
      <x v="15"/>
    </i>
    <i r="3">
      <x v="16"/>
    </i>
    <i r="3">
      <x v="22"/>
    </i>
    <i r="3">
      <x v="42"/>
    </i>
    <i r="3">
      <x v="45"/>
    </i>
    <i r="2">
      <x v="5"/>
      <x v="9"/>
    </i>
    <i r="3">
      <x v="15"/>
    </i>
    <i r="3">
      <x v="16"/>
    </i>
    <i r="3">
      <x v="22"/>
    </i>
    <i r="3">
      <x v="42"/>
    </i>
    <i r="3">
      <x v="43"/>
    </i>
    <i r="3">
      <x v="45"/>
    </i>
    <i r="2">
      <x v="6"/>
      <x v="9"/>
    </i>
    <i r="3">
      <x v="15"/>
    </i>
    <i r="3">
      <x v="16"/>
    </i>
    <i r="3">
      <x v="22"/>
    </i>
    <i r="3">
      <x v="42"/>
    </i>
    <i r="3">
      <x v="44"/>
    </i>
    <i r="3">
      <x v="45"/>
    </i>
    <i r="2">
      <x v="7"/>
      <x v="9"/>
    </i>
    <i r="3">
      <x v="11"/>
    </i>
    <i r="3">
      <x v="13"/>
    </i>
    <i r="3">
      <x v="22"/>
    </i>
    <i r="3">
      <x v="42"/>
    </i>
    <i r="3">
      <x v="45"/>
    </i>
    <i r="2">
      <x v="8"/>
      <x v="9"/>
    </i>
    <i r="3">
      <x v="13"/>
    </i>
    <i r="3">
      <x v="15"/>
    </i>
    <i r="3">
      <x v="22"/>
    </i>
    <i r="3">
      <x v="42"/>
    </i>
    <i r="3">
      <x v="44"/>
    </i>
    <i r="2">
      <x v="9"/>
      <x v="9"/>
    </i>
    <i r="3">
      <x v="13"/>
    </i>
    <i r="3">
      <x v="15"/>
    </i>
    <i r="3">
      <x v="16"/>
    </i>
    <i r="3">
      <x v="22"/>
    </i>
    <i r="3">
      <x v="42"/>
    </i>
    <i r="3">
      <x v="44"/>
    </i>
    <i r="2">
      <x v="10"/>
      <x v="9"/>
    </i>
    <i r="3">
      <x v="13"/>
    </i>
    <i r="3">
      <x v="15"/>
    </i>
    <i r="3">
      <x v="16"/>
    </i>
    <i r="3">
      <x v="22"/>
    </i>
    <i r="3">
      <x v="42"/>
    </i>
    <i r="3">
      <x v="44"/>
    </i>
    <i r="2">
      <x v="11"/>
      <x v="9"/>
    </i>
    <i r="3">
      <x v="13"/>
    </i>
    <i r="3">
      <x v="15"/>
    </i>
    <i r="3">
      <x v="16"/>
    </i>
    <i r="3">
      <x v="22"/>
    </i>
    <i r="3">
      <x v="42"/>
    </i>
    <i r="3">
      <x v="44"/>
    </i>
    <i r="1">
      <x v="1"/>
      <x/>
      <x v="47"/>
    </i>
    <i r="3">
      <x v="48"/>
    </i>
    <i r="3">
      <x v="49"/>
    </i>
    <i r="3">
      <x v="50"/>
    </i>
    <i r="3">
      <x v="51"/>
    </i>
    <i r="2">
      <x v="1"/>
      <x v="47"/>
    </i>
    <i r="3">
      <x v="48"/>
    </i>
    <i r="3">
      <x v="49"/>
    </i>
    <i r="3">
      <x v="50"/>
    </i>
    <i r="3">
      <x v="51"/>
    </i>
    <i r="2">
      <x v="2"/>
      <x v="47"/>
    </i>
    <i r="3">
      <x v="48"/>
    </i>
    <i r="3">
      <x v="49"/>
    </i>
    <i r="3">
      <x v="50"/>
    </i>
    <i r="3">
      <x v="51"/>
    </i>
    <i r="2">
      <x v="3"/>
      <x v="47"/>
    </i>
    <i r="3">
      <x v="48"/>
    </i>
    <i r="3">
      <x v="49"/>
    </i>
    <i r="3">
      <x v="50"/>
    </i>
    <i r="3">
      <x v="51"/>
    </i>
    <i r="2">
      <x v="4"/>
      <x v="47"/>
    </i>
    <i r="3">
      <x v="48"/>
    </i>
    <i r="3">
      <x v="49"/>
    </i>
    <i r="3">
      <x v="50"/>
    </i>
    <i r="3">
      <x v="51"/>
    </i>
    <i r="2">
      <x v="5"/>
      <x v="47"/>
    </i>
    <i r="3">
      <x v="48"/>
    </i>
    <i r="3">
      <x v="49"/>
    </i>
    <i r="3">
      <x v="50"/>
    </i>
    <i r="3">
      <x v="51"/>
    </i>
    <i r="2">
      <x v="6"/>
      <x v="47"/>
    </i>
    <i r="3">
      <x v="48"/>
    </i>
    <i r="3">
      <x v="49"/>
    </i>
    <i r="3">
      <x v="50"/>
    </i>
    <i r="3">
      <x v="51"/>
    </i>
    <i r="2">
      <x v="7"/>
      <x v="47"/>
    </i>
    <i r="3">
      <x v="48"/>
    </i>
    <i r="3">
      <x v="49"/>
    </i>
    <i r="3">
      <x v="50"/>
    </i>
    <i r="3">
      <x v="51"/>
    </i>
    <i r="2">
      <x v="8"/>
      <x v="47"/>
    </i>
    <i r="3">
      <x v="48"/>
    </i>
    <i r="3">
      <x v="49"/>
    </i>
    <i r="3">
      <x v="50"/>
    </i>
    <i r="3">
      <x v="51"/>
    </i>
    <i r="2">
      <x v="9"/>
      <x v="47"/>
    </i>
    <i r="3">
      <x v="48"/>
    </i>
    <i r="3">
      <x v="49"/>
    </i>
    <i r="3">
      <x v="50"/>
    </i>
    <i r="3">
      <x v="51"/>
    </i>
    <i r="2">
      <x v="10"/>
      <x v="47"/>
    </i>
    <i r="3">
      <x v="48"/>
    </i>
    <i r="3">
      <x v="49"/>
    </i>
    <i r="3">
      <x v="50"/>
    </i>
    <i r="3">
      <x v="51"/>
    </i>
    <i r="2">
      <x v="11"/>
      <x v="47"/>
    </i>
    <i r="3">
      <x v="48"/>
    </i>
    <i r="3">
      <x v="49"/>
    </i>
    <i r="3">
      <x v="50"/>
    </i>
    <i r="3">
      <x v="51"/>
    </i>
    <i>
      <x v="4"/>
      <x v="1"/>
      <x/>
      <x v="29"/>
    </i>
    <i r="3">
      <x v="34"/>
    </i>
    <i r="3">
      <x v="35"/>
    </i>
    <i r="3">
      <x v="39"/>
    </i>
    <i r="3">
      <x v="41"/>
    </i>
    <i r="2">
      <x v="1"/>
      <x v="29"/>
    </i>
    <i r="3">
      <x v="34"/>
    </i>
    <i r="3">
      <x v="35"/>
    </i>
    <i r="3">
      <x v="39"/>
    </i>
    <i r="3">
      <x v="41"/>
    </i>
    <i r="2">
      <x v="2"/>
      <x v="29"/>
    </i>
    <i r="3">
      <x v="34"/>
    </i>
    <i r="3">
      <x v="35"/>
    </i>
    <i r="3">
      <x v="40"/>
    </i>
    <i r="3">
      <x v="41"/>
    </i>
    <i r="2">
      <x v="3"/>
      <x v="29"/>
    </i>
    <i r="3">
      <x v="34"/>
    </i>
    <i r="3">
      <x v="35"/>
    </i>
    <i r="3">
      <x v="38"/>
    </i>
    <i r="3">
      <x v="41"/>
    </i>
    <i r="2">
      <x v="4"/>
      <x v="29"/>
    </i>
    <i r="3">
      <x v="34"/>
    </i>
    <i r="3">
      <x v="35"/>
    </i>
    <i r="3">
      <x v="39"/>
    </i>
    <i r="3">
      <x v="41"/>
    </i>
    <i r="2">
      <x v="5"/>
      <x v="29"/>
    </i>
    <i r="3">
      <x v="34"/>
    </i>
    <i r="3">
      <x v="35"/>
    </i>
    <i r="3">
      <x v="40"/>
    </i>
    <i r="3">
      <x v="41"/>
    </i>
    <i r="2">
      <x v="6"/>
      <x v="29"/>
    </i>
    <i r="3">
      <x v="34"/>
    </i>
    <i r="3">
      <x v="35"/>
    </i>
    <i r="3">
      <x v="39"/>
    </i>
    <i r="3">
      <x v="41"/>
    </i>
    <i r="2">
      <x v="7"/>
      <x v="29"/>
    </i>
    <i r="3">
      <x v="34"/>
    </i>
    <i r="3">
      <x v="35"/>
    </i>
    <i r="3">
      <x v="38"/>
    </i>
    <i r="3">
      <x v="41"/>
    </i>
    <i r="2">
      <x v="8"/>
      <x v="29"/>
    </i>
    <i r="3">
      <x v="34"/>
    </i>
    <i r="3">
      <x v="35"/>
    </i>
    <i r="3">
      <x v="38"/>
    </i>
    <i r="3">
      <x v="41"/>
    </i>
    <i r="2">
      <x v="9"/>
      <x v="29"/>
    </i>
    <i r="3">
      <x v="34"/>
    </i>
    <i r="3">
      <x v="35"/>
    </i>
    <i r="3">
      <x v="38"/>
    </i>
    <i r="3">
      <x v="41"/>
    </i>
    <i r="2">
      <x v="10"/>
      <x v="29"/>
    </i>
    <i r="3">
      <x v="34"/>
    </i>
    <i r="3">
      <x v="35"/>
    </i>
    <i r="3">
      <x v="39"/>
    </i>
    <i r="3">
      <x v="41"/>
    </i>
    <i r="2">
      <x v="11"/>
      <x v="29"/>
    </i>
    <i r="3">
      <x v="34"/>
    </i>
    <i r="3">
      <x v="35"/>
    </i>
    <i r="3">
      <x v="39"/>
    </i>
    <i r="3">
      <x v="41"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tdDev of biomass_gm2" fld="10" subtotal="stdDev" baseField="8" baseItem="7" numFmtId="2"/>
    <dataField name="StdDev of stem_biomass_gm2" fld="11" subtotal="stdDev" baseField="8" baseItem="7"/>
    <dataField name="StdDev of gleaf_biomass_gm2" fld="12" subtotal="stdDev" baseField="8" baseItem="7"/>
    <dataField name="StdDev of spike_biomass_gm2" fld="13" subtotal="stdDev" baseField="8" baseItem="0"/>
    <dataField name="StdDev of dleaf_biomass_gm2" fld="14" subtotal="stdDev" baseField="8" baseItem="0"/>
    <dataField name="StdDev of AboveGround.N" fld="18" subtotal="stdDev" baseField="8" baseItem="0"/>
    <dataField name="StdDev of AboveGround.Storage.Wt" fld="19" subtotal="stdDev" baseField="8" baseItem="0"/>
  </dataFields>
  <formats count="1">
    <format dxfId="1">
      <pivotArea outline="0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" dT="2025-01-07T01:46:56.50" personId="{5CB61E70-2835-4070-8ADA-E295FF0B98DA}" id="{B535D70E-7A15-4A79-A840-DB24003C1AC4}">
    <text xml:space="preserve">@James Hunt These biomass data at Minnipa and Junee site also do not match between two files
</text>
    <mentions>
      <mention mentionpersonId="{CB5921A8-4102-4306-B94E-CC73C9BB8B08}" mentionId="{21A7BF16-7CC7-42C6-A29E-BBB92E8D9E27}" startIndex="0" length="11"/>
    </mentions>
  </threadedComment>
  <threadedComment ref="K1" dT="2025-01-07T05:53:41.19" personId="{40F320E4-D35E-4D9F-A1D5-92724B80EC57}" id="{DC19367D-0CC0-4848-B16A-8799EA2FD87A}" parentId="{B535D70E-7A15-4A79-A840-DB24003C1AC4}">
    <text>The orginal data file will always be correct!</text>
  </threadedComment>
  <threadedComment ref="K1" dT="2025-01-07T06:00:43.35" personId="{5CB61E70-2835-4070-8ADA-E295FF0B98DA}" id="{FE5946CB-4F26-41AA-870C-2BCFBD23D90D}" parentId="{B535D70E-7A15-4A79-A840-DB24003C1AC4}">
    <text>The data for Junee site was totally different!</text>
  </threadedComment>
  <threadedComment ref="K8" dT="2025-01-07T02:26:17.55" personId="{5CB61E70-2835-4070-8ADA-E295FF0B98DA}" id="{5BDE6693-8B5F-41E8-94EB-72B5630167AE}">
    <text xml:space="preserve">Data sourced from sheet “All data” in file “Minnipa_data_2014 final”
</text>
  </threadedComment>
  <threadedComment ref="K722" dT="2025-01-07T02:29:16.58" personId="{5CB61E70-2835-4070-8ADA-E295FF0B98DA}" id="{3CFA33DE-DFCF-46C2-A2EA-F5DFDD836D0F}">
    <text xml:space="preserve">Data sourced from sheet “DM and PAR summary” in file “GRDC Managed NVT CSIRO Junee 2014l”
</text>
  </threadedComment>
  <threadedComment ref="L1087" dT="2025-01-10T03:12:35.19" personId="{EB6521CF-8453-4C69-B6FF-77AF4EA02DCB}" id="{AD5926C0-98AA-4A1E-8205-80B2DCAA8EFC}">
    <text>Was a value of -1013 because subsample wt was -ve in raw data ???</text>
  </threadedComment>
  <threadedComment ref="L1087" dT="2025-01-10T04:21:43.58" personId="{5CB61E70-2835-4070-8ADA-E295FF0B98DA}" id="{679D20CE-6975-43C2-95FF-53A804A96355}" parentId="{AD5926C0-98AA-4A1E-8205-80B2DCAA8EFC}">
    <text xml:space="preserve">Yes, that is right. I assume that is the Typo and use 12.4 as the subsample stem weight. </text>
  </threadedComment>
  <threadedComment ref="L1087" dT="2025-01-10T04:46:35.95" personId="{EB6521CF-8453-4C69-B6FF-77AF4EA02DCB}" id="{0B59210A-F3E7-46C4-BD24-0AA1F8D1103B}" parentId="{AD5926C0-98AA-4A1E-8205-80B2DCAA8EFC}">
    <text>I had simply removed that replicate.  It will impact on other data such as LAI, which was 39 in that plot as a result.</text>
  </threadedComment>
  <threadedComment ref="L1087" dT="2025-01-10T04:55:05.38" personId="{5CB61E70-2835-4070-8ADA-E295FF0B98DA}" id="{7E18A661-14FD-4ECD-ACA4-071B775C241F}" parentId="{AD5926C0-98AA-4A1E-8205-80B2DCAA8EFC}">
    <text>Got it!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1"/>
  <sheetViews>
    <sheetView zoomScaleNormal="100" workbookViewId="0">
      <selection sqref="A1:C1"/>
    </sheetView>
  </sheetViews>
  <sheetFormatPr defaultColWidth="8.5703125" defaultRowHeight="15" x14ac:dyDescent="0.25"/>
  <cols>
    <col min="1" max="1" width="47" customWidth="1"/>
    <col min="2" max="2" width="18" bestFit="1" customWidth="1"/>
    <col min="3" max="3" width="19.42578125" customWidth="1"/>
    <col min="4" max="4" width="16.85546875" customWidth="1"/>
    <col min="5" max="5" width="24.42578125" customWidth="1"/>
    <col min="6" max="6" width="10.5703125" customWidth="1"/>
    <col min="7" max="7" width="11.5703125" customWidth="1"/>
    <col min="8" max="13" width="18.5703125" customWidth="1"/>
    <col min="14" max="14" width="22" customWidth="1"/>
    <col min="15" max="16" width="18.5703125" customWidth="1"/>
    <col min="17" max="17" width="19.5703125" customWidth="1"/>
    <col min="18" max="18" width="7.42578125" customWidth="1"/>
    <col min="19" max="19" width="21" customWidth="1"/>
    <col min="20" max="20" width="22.28515625" customWidth="1"/>
    <col min="21" max="21" width="12.5703125" customWidth="1"/>
    <col min="22" max="22" width="15.5703125" customWidth="1"/>
    <col min="23" max="23" width="11.5703125" customWidth="1"/>
    <col min="24" max="24" width="21" customWidth="1"/>
    <col min="25" max="25" width="20" customWidth="1"/>
    <col min="26" max="26" width="20.85546875" customWidth="1"/>
    <col min="27" max="27" width="19.28515625" customWidth="1"/>
    <col min="28" max="28" width="18.42578125" customWidth="1"/>
    <col min="29" max="29" width="18.5703125" customWidth="1"/>
    <col min="30" max="30" width="31" customWidth="1"/>
    <col min="31" max="32" width="20.5703125" customWidth="1"/>
    <col min="33" max="33" width="21.5703125" customWidth="1"/>
    <col min="34" max="34" width="17.5703125" customWidth="1"/>
    <col min="35" max="35" width="18.5703125" customWidth="1"/>
    <col min="36" max="36" width="24" customWidth="1"/>
    <col min="37" max="37" width="28.28515625" customWidth="1"/>
    <col min="38" max="38" width="19.85546875" customWidth="1"/>
    <col min="39" max="39" width="20.5703125" customWidth="1"/>
    <col min="40" max="40" width="26" customWidth="1"/>
    <col min="41" max="41" width="23.5703125" customWidth="1"/>
    <col min="42" max="43" width="17.5703125" customWidth="1"/>
    <col min="44" max="44" width="21.85546875" customWidth="1"/>
    <col min="45" max="45" width="27" bestFit="1" customWidth="1"/>
    <col min="46" max="47" width="33.28515625" customWidth="1"/>
    <col min="48" max="49" width="32.85546875" customWidth="1"/>
    <col min="50" max="50" width="34.28515625" customWidth="1"/>
    <col min="51" max="51" width="40.42578125" customWidth="1"/>
    <col min="52" max="52" width="27.5703125" customWidth="1"/>
    <col min="53" max="53" width="16.42578125" customWidth="1"/>
    <col min="54" max="55" width="13.5703125" customWidth="1"/>
    <col min="56" max="57" width="14.5703125" customWidth="1"/>
    <col min="58" max="58" width="17.5703125" customWidth="1"/>
    <col min="59" max="60" width="13.42578125" customWidth="1"/>
    <col min="61" max="61" width="14.5703125" customWidth="1"/>
    <col min="62" max="62" width="28.85546875" customWidth="1"/>
    <col min="63" max="63" width="30.42578125" customWidth="1"/>
    <col min="64" max="72" width="26" customWidth="1"/>
    <col min="73" max="81" width="27" customWidth="1"/>
    <col min="82" max="82" width="24.5703125" bestFit="1" customWidth="1"/>
    <col min="83" max="83" width="29.5703125" customWidth="1"/>
  </cols>
  <sheetData>
    <row r="1" spans="1:9" x14ac:dyDescent="0.25">
      <c r="A1" s="1" t="s">
        <v>0</v>
      </c>
      <c r="B1" s="2" t="s">
        <v>1</v>
      </c>
      <c r="C1" s="2" t="s">
        <v>11</v>
      </c>
      <c r="D1" s="2" t="s">
        <v>63</v>
      </c>
      <c r="E1" s="2" t="s">
        <v>64</v>
      </c>
      <c r="F1" s="4" t="s">
        <v>89</v>
      </c>
      <c r="G1" s="4" t="s">
        <v>90</v>
      </c>
      <c r="H1" s="4" t="s">
        <v>91</v>
      </c>
      <c r="I1" s="4" t="s">
        <v>92</v>
      </c>
    </row>
    <row r="2" spans="1:9" x14ac:dyDescent="0.25">
      <c r="A2" t="s">
        <v>39</v>
      </c>
      <c r="B2" s="3">
        <v>41883</v>
      </c>
      <c r="C2" t="s">
        <v>13</v>
      </c>
      <c r="D2">
        <v>812.05</v>
      </c>
      <c r="E2">
        <v>15.761873831078605</v>
      </c>
      <c r="F2">
        <v>430.20730205000001</v>
      </c>
      <c r="G2">
        <v>18.501080192081631</v>
      </c>
      <c r="H2">
        <v>199.70000000000002</v>
      </c>
      <c r="I2">
        <v>8.2869375123340845</v>
      </c>
    </row>
    <row r="3" spans="1:9" x14ac:dyDescent="0.25">
      <c r="A3" t="s">
        <v>39</v>
      </c>
      <c r="B3" s="3">
        <v>41863</v>
      </c>
      <c r="C3" t="s">
        <v>13</v>
      </c>
      <c r="D3">
        <v>536</v>
      </c>
      <c r="E3">
        <v>67.506493514822012</v>
      </c>
      <c r="F3">
        <v>297.434436275</v>
      </c>
      <c r="G3">
        <v>77.670819515587127</v>
      </c>
    </row>
    <row r="4" spans="1:9" x14ac:dyDescent="0.25">
      <c r="A4" t="s">
        <v>39</v>
      </c>
      <c r="B4" s="3">
        <v>41940</v>
      </c>
      <c r="C4" t="s">
        <v>13</v>
      </c>
      <c r="D4">
        <v>1275.675</v>
      </c>
      <c r="E4">
        <v>190.29295616671334</v>
      </c>
      <c r="F4">
        <v>388.702618175</v>
      </c>
      <c r="G4">
        <v>38.483265784066234</v>
      </c>
      <c r="H4">
        <v>713.6</v>
      </c>
      <c r="I4">
        <v>182.80680147813587</v>
      </c>
    </row>
    <row r="5" spans="1:9" x14ac:dyDescent="0.25">
      <c r="A5" t="s">
        <v>39</v>
      </c>
      <c r="B5" s="3">
        <v>41834</v>
      </c>
      <c r="C5" t="s">
        <v>13</v>
      </c>
      <c r="D5">
        <v>150.375</v>
      </c>
      <c r="E5">
        <v>7.8758597414294762</v>
      </c>
      <c r="F5">
        <v>64.7647950275</v>
      </c>
      <c r="G5">
        <v>4.2179277963706507</v>
      </c>
    </row>
    <row r="6" spans="1:9" x14ac:dyDescent="0.25">
      <c r="A6" t="s">
        <v>39</v>
      </c>
      <c r="B6" s="3">
        <v>41842</v>
      </c>
      <c r="C6" t="s">
        <v>13</v>
      </c>
      <c r="D6">
        <v>223.92500000000001</v>
      </c>
      <c r="E6">
        <v>22.439901217845282</v>
      </c>
      <c r="F6">
        <v>94.628367557499999</v>
      </c>
      <c r="G6">
        <v>11.645990325986869</v>
      </c>
    </row>
    <row r="7" spans="1:9" x14ac:dyDescent="0.25">
      <c r="A7" t="s">
        <v>40</v>
      </c>
      <c r="B7" s="3">
        <v>41891</v>
      </c>
      <c r="C7" t="s">
        <v>14</v>
      </c>
      <c r="D7">
        <v>976.5</v>
      </c>
      <c r="E7">
        <v>70.447048672508473</v>
      </c>
      <c r="F7">
        <v>470.73847899999998</v>
      </c>
      <c r="G7">
        <v>36.072592703743389</v>
      </c>
      <c r="H7">
        <v>205.25</v>
      </c>
      <c r="I7">
        <v>28.30895029256061</v>
      </c>
    </row>
    <row r="8" spans="1:9" x14ac:dyDescent="0.25">
      <c r="A8" t="s">
        <v>40</v>
      </c>
      <c r="B8" s="3">
        <v>41871</v>
      </c>
      <c r="C8" t="s">
        <v>14</v>
      </c>
      <c r="D8">
        <v>594.75</v>
      </c>
      <c r="E8">
        <v>46.053049120914679</v>
      </c>
      <c r="F8">
        <v>318.75728972499996</v>
      </c>
      <c r="G8">
        <v>11.768303248046591</v>
      </c>
      <c r="H8">
        <v>3.2</v>
      </c>
    </row>
    <row r="9" spans="1:9" x14ac:dyDescent="0.25">
      <c r="A9" t="s">
        <v>40</v>
      </c>
      <c r="B9" s="3">
        <v>41940</v>
      </c>
      <c r="C9" t="s">
        <v>14</v>
      </c>
      <c r="D9">
        <v>1432.85</v>
      </c>
      <c r="E9">
        <v>228.10246966367322</v>
      </c>
      <c r="F9">
        <v>380.21644079999999</v>
      </c>
      <c r="G9">
        <v>66.29639483945401</v>
      </c>
      <c r="H9">
        <v>814.85000000000014</v>
      </c>
      <c r="I9">
        <v>173.30161568779408</v>
      </c>
    </row>
    <row r="10" spans="1:9" x14ac:dyDescent="0.25">
      <c r="A10" t="s">
        <v>40</v>
      </c>
      <c r="B10" s="3">
        <v>41834</v>
      </c>
      <c r="C10" t="s">
        <v>14</v>
      </c>
      <c r="D10">
        <v>132.125</v>
      </c>
      <c r="E10">
        <v>8.1585844360403605</v>
      </c>
      <c r="F10">
        <v>44.694387677500004</v>
      </c>
      <c r="G10">
        <v>1.935351494447243</v>
      </c>
    </row>
    <row r="11" spans="1:9" x14ac:dyDescent="0.25">
      <c r="A11" t="s">
        <v>40</v>
      </c>
      <c r="B11" s="3">
        <v>41863</v>
      </c>
      <c r="C11" t="s">
        <v>14</v>
      </c>
      <c r="D11">
        <v>434.25</v>
      </c>
      <c r="E11">
        <v>40.916541072448076</v>
      </c>
      <c r="F11">
        <v>175.30406789999998</v>
      </c>
      <c r="G11">
        <v>13.894972393783881</v>
      </c>
    </row>
    <row r="12" spans="1:9" x14ac:dyDescent="0.25">
      <c r="A12" t="s">
        <v>41</v>
      </c>
      <c r="B12" s="3">
        <v>41883</v>
      </c>
      <c r="C12" t="s">
        <v>12</v>
      </c>
      <c r="D12">
        <v>821.80000000000007</v>
      </c>
      <c r="E12">
        <v>59.757509988283545</v>
      </c>
      <c r="F12">
        <v>428.02134375000003</v>
      </c>
      <c r="G12">
        <v>16.98569917027282</v>
      </c>
      <c r="H12">
        <v>152.77499999999998</v>
      </c>
      <c r="I12">
        <v>39.281664509878887</v>
      </c>
    </row>
    <row r="13" spans="1:9" x14ac:dyDescent="0.25">
      <c r="A13" t="s">
        <v>41</v>
      </c>
      <c r="B13" s="3">
        <v>41863</v>
      </c>
      <c r="C13" t="s">
        <v>12</v>
      </c>
      <c r="D13">
        <v>481.625</v>
      </c>
      <c r="E13">
        <v>54.527630610544172</v>
      </c>
      <c r="F13">
        <v>239.88631275</v>
      </c>
      <c r="G13">
        <v>36.49126558649494</v>
      </c>
    </row>
    <row r="14" spans="1:9" x14ac:dyDescent="0.25">
      <c r="A14" t="s">
        <v>41</v>
      </c>
      <c r="B14" s="3">
        <v>41940</v>
      </c>
      <c r="C14" t="s">
        <v>12</v>
      </c>
      <c r="D14">
        <v>1406.3500000000001</v>
      </c>
      <c r="E14">
        <v>85.103877702485534</v>
      </c>
      <c r="F14">
        <v>375.77373399999999</v>
      </c>
      <c r="G14">
        <v>55.518420948505671</v>
      </c>
      <c r="H14">
        <v>736.7</v>
      </c>
      <c r="I14">
        <v>177.89455678388057</v>
      </c>
    </row>
    <row r="15" spans="1:9" x14ac:dyDescent="0.25">
      <c r="A15" t="s">
        <v>41</v>
      </c>
      <c r="B15" s="3">
        <v>41834</v>
      </c>
      <c r="C15" t="s">
        <v>12</v>
      </c>
      <c r="D15">
        <v>144.57499999999999</v>
      </c>
      <c r="E15">
        <v>17.879853653390821</v>
      </c>
      <c r="F15">
        <v>55.189872455000007</v>
      </c>
      <c r="G15">
        <v>5.8471488757930166</v>
      </c>
    </row>
    <row r="16" spans="1:9" x14ac:dyDescent="0.25">
      <c r="A16" t="s">
        <v>41</v>
      </c>
      <c r="B16" s="3">
        <v>41842</v>
      </c>
      <c r="C16" t="s">
        <v>12</v>
      </c>
      <c r="D16">
        <v>218.92500000000001</v>
      </c>
      <c r="E16">
        <v>22.729331270409116</v>
      </c>
      <c r="F16">
        <v>79.117257089999995</v>
      </c>
      <c r="G16">
        <v>9.5600077096445499</v>
      </c>
    </row>
    <row r="17" spans="1:9" x14ac:dyDescent="0.25">
      <c r="A17" t="s">
        <v>42</v>
      </c>
      <c r="B17" s="3">
        <v>41883</v>
      </c>
      <c r="C17" t="s">
        <v>10</v>
      </c>
      <c r="D17">
        <v>885.74999999999989</v>
      </c>
      <c r="E17">
        <v>27.166830265360986</v>
      </c>
      <c r="F17">
        <v>413.24346282499994</v>
      </c>
      <c r="G17">
        <v>30.909665732002523</v>
      </c>
      <c r="H17">
        <v>231.05</v>
      </c>
      <c r="I17">
        <v>21.853680086734439</v>
      </c>
    </row>
    <row r="18" spans="1:9" x14ac:dyDescent="0.25">
      <c r="A18" t="s">
        <v>42</v>
      </c>
      <c r="B18" s="3">
        <v>41871</v>
      </c>
      <c r="C18" t="s">
        <v>10</v>
      </c>
      <c r="D18">
        <v>664.7</v>
      </c>
      <c r="E18">
        <v>36.578044416468394</v>
      </c>
      <c r="F18">
        <v>311.56780359999999</v>
      </c>
      <c r="G18">
        <v>55.739091204387599</v>
      </c>
      <c r="H18">
        <v>109.35</v>
      </c>
      <c r="I18">
        <v>59.740689651191708</v>
      </c>
    </row>
    <row r="19" spans="1:9" x14ac:dyDescent="0.25">
      <c r="A19" t="s">
        <v>42</v>
      </c>
      <c r="B19" s="3">
        <v>41940</v>
      </c>
      <c r="C19" t="s">
        <v>10</v>
      </c>
      <c r="D19">
        <v>1452.9999999999998</v>
      </c>
      <c r="E19">
        <v>111.30040431193667</v>
      </c>
      <c r="F19">
        <v>360.07083434999998</v>
      </c>
      <c r="G19">
        <v>92.88255488262827</v>
      </c>
      <c r="H19">
        <v>890.02499999999998</v>
      </c>
      <c r="I19">
        <v>149.12536951616687</v>
      </c>
    </row>
    <row r="20" spans="1:9" x14ac:dyDescent="0.25">
      <c r="A20" t="s">
        <v>42</v>
      </c>
      <c r="B20" s="3">
        <v>41834</v>
      </c>
      <c r="C20" t="s">
        <v>10</v>
      </c>
      <c r="D20">
        <v>158.14999999999998</v>
      </c>
      <c r="E20">
        <v>14.066864137634866</v>
      </c>
      <c r="F20">
        <v>53.841222434999999</v>
      </c>
      <c r="G20">
        <v>5.2434821796499236</v>
      </c>
    </row>
    <row r="21" spans="1:9" x14ac:dyDescent="0.25">
      <c r="A21" t="s">
        <v>42</v>
      </c>
      <c r="B21" s="3">
        <v>41856</v>
      </c>
      <c r="C21" t="s">
        <v>10</v>
      </c>
      <c r="D21">
        <v>424.97500000000002</v>
      </c>
      <c r="E21">
        <v>30.383369903068189</v>
      </c>
      <c r="F21">
        <v>190.01609107500002</v>
      </c>
      <c r="G21">
        <v>21.898379709846655</v>
      </c>
    </row>
    <row r="22" spans="1:9" x14ac:dyDescent="0.25">
      <c r="A22" t="s">
        <v>43</v>
      </c>
      <c r="B22" s="3">
        <v>41883</v>
      </c>
      <c r="C22" t="s">
        <v>8</v>
      </c>
      <c r="D22">
        <v>926</v>
      </c>
      <c r="E22">
        <v>18.056946954936294</v>
      </c>
      <c r="F22">
        <v>459.69308352500002</v>
      </c>
      <c r="G22">
        <v>29.094432174973853</v>
      </c>
      <c r="H22">
        <v>193.92500000000001</v>
      </c>
      <c r="I22">
        <v>5.0519798099350961</v>
      </c>
    </row>
    <row r="23" spans="1:9" x14ac:dyDescent="0.25">
      <c r="A23" t="s">
        <v>43</v>
      </c>
      <c r="B23" s="3">
        <v>41871</v>
      </c>
      <c r="C23" t="s">
        <v>8</v>
      </c>
      <c r="D23">
        <v>689.75</v>
      </c>
      <c r="E23">
        <v>36.713893827813926</v>
      </c>
      <c r="F23">
        <v>395.22164127500002</v>
      </c>
      <c r="G23">
        <v>23.317648083418508</v>
      </c>
      <c r="H23">
        <v>34.524999999999999</v>
      </c>
      <c r="I23">
        <v>12.390419686193052</v>
      </c>
    </row>
    <row r="24" spans="1:9" x14ac:dyDescent="0.25">
      <c r="A24" t="s">
        <v>43</v>
      </c>
      <c r="B24" s="3">
        <v>41940</v>
      </c>
      <c r="C24" t="s">
        <v>8</v>
      </c>
      <c r="D24">
        <v>1600.875</v>
      </c>
      <c r="E24">
        <v>182.59520576035567</v>
      </c>
      <c r="F24">
        <v>426.42959547500004</v>
      </c>
      <c r="G24">
        <v>101.27625283952682</v>
      </c>
      <c r="H24">
        <v>952.02499999999986</v>
      </c>
      <c r="I24">
        <v>315.61726162130827</v>
      </c>
    </row>
    <row r="25" spans="1:9" x14ac:dyDescent="0.25">
      <c r="A25" t="s">
        <v>43</v>
      </c>
      <c r="B25" s="3">
        <v>41834</v>
      </c>
      <c r="C25" t="s">
        <v>8</v>
      </c>
      <c r="D25">
        <v>159.625</v>
      </c>
      <c r="E25">
        <v>15.445684402662874</v>
      </c>
      <c r="F25">
        <v>61.947251127499996</v>
      </c>
      <c r="G25">
        <v>6.7384306921938117</v>
      </c>
    </row>
    <row r="26" spans="1:9" x14ac:dyDescent="0.25">
      <c r="A26" t="s">
        <v>43</v>
      </c>
      <c r="B26" s="3">
        <v>41856</v>
      </c>
      <c r="C26" t="s">
        <v>8</v>
      </c>
      <c r="D26">
        <v>452.3</v>
      </c>
      <c r="E26">
        <v>68.294850952810833</v>
      </c>
      <c r="F26">
        <v>199.15312584999998</v>
      </c>
      <c r="G26">
        <v>28.947566082926848</v>
      </c>
    </row>
    <row r="27" spans="1:9" x14ac:dyDescent="0.25">
      <c r="A27" t="s">
        <v>44</v>
      </c>
      <c r="B27" s="3">
        <v>41891</v>
      </c>
      <c r="C27" t="s">
        <v>4</v>
      </c>
      <c r="D27">
        <v>954.05000000000007</v>
      </c>
      <c r="E27">
        <v>74.055362173622925</v>
      </c>
      <c r="F27">
        <v>455.12753657500002</v>
      </c>
      <c r="G27">
        <v>32.550184780229515</v>
      </c>
      <c r="H27">
        <v>218.95</v>
      </c>
      <c r="I27">
        <v>23.696764898751084</v>
      </c>
    </row>
    <row r="28" spans="1:9" x14ac:dyDescent="0.25">
      <c r="A28" t="s">
        <v>44</v>
      </c>
      <c r="B28" s="3">
        <v>41871</v>
      </c>
      <c r="C28" t="s">
        <v>4</v>
      </c>
      <c r="D28">
        <v>529.22500000000002</v>
      </c>
      <c r="E28">
        <v>41.038792623564795</v>
      </c>
      <c r="F28">
        <v>272.41117639999999</v>
      </c>
      <c r="G28">
        <v>27.144952972791359</v>
      </c>
      <c r="H28">
        <v>5</v>
      </c>
    </row>
    <row r="29" spans="1:9" x14ac:dyDescent="0.25">
      <c r="A29" t="s">
        <v>44</v>
      </c>
      <c r="B29" s="3">
        <v>41940</v>
      </c>
      <c r="C29" t="s">
        <v>4</v>
      </c>
      <c r="D29">
        <v>1388.7750000000001</v>
      </c>
      <c r="E29">
        <v>71.226183153854706</v>
      </c>
      <c r="F29">
        <v>357.03298104999999</v>
      </c>
      <c r="G29">
        <v>52.76152634365878</v>
      </c>
      <c r="H29">
        <v>717.125</v>
      </c>
      <c r="I29">
        <v>204.45598344550027</v>
      </c>
    </row>
    <row r="30" spans="1:9" x14ac:dyDescent="0.25">
      <c r="A30" t="s">
        <v>44</v>
      </c>
      <c r="B30" s="3">
        <v>41834</v>
      </c>
      <c r="C30" t="s">
        <v>4</v>
      </c>
      <c r="D30">
        <v>105.19999999999999</v>
      </c>
      <c r="E30">
        <v>11.863389060466879</v>
      </c>
      <c r="F30">
        <v>37.210112135000003</v>
      </c>
      <c r="G30">
        <v>4.2333001985287764</v>
      </c>
    </row>
    <row r="31" spans="1:9" x14ac:dyDescent="0.25">
      <c r="A31" t="s">
        <v>44</v>
      </c>
      <c r="B31" s="3">
        <v>41856</v>
      </c>
      <c r="C31" t="s">
        <v>4</v>
      </c>
      <c r="D31">
        <v>325.875</v>
      </c>
      <c r="E31">
        <v>22.933436288528693</v>
      </c>
      <c r="F31">
        <v>128.76352014999998</v>
      </c>
      <c r="G31">
        <v>17.191508389680585</v>
      </c>
    </row>
    <row r="32" spans="1:9" x14ac:dyDescent="0.25">
      <c r="A32" t="s">
        <v>45</v>
      </c>
      <c r="B32" s="3">
        <v>41883</v>
      </c>
      <c r="C32" t="s">
        <v>7</v>
      </c>
      <c r="D32">
        <v>895.84999999999991</v>
      </c>
      <c r="E32">
        <v>104.8149321423252</v>
      </c>
      <c r="F32">
        <v>434.29948910000002</v>
      </c>
      <c r="G32">
        <v>40.031168062054242</v>
      </c>
      <c r="H32">
        <v>182.67500000000001</v>
      </c>
      <c r="I32">
        <v>15.164954115767388</v>
      </c>
    </row>
    <row r="33" spans="1:9" x14ac:dyDescent="0.25">
      <c r="A33" t="s">
        <v>45</v>
      </c>
      <c r="B33" s="3">
        <v>41871</v>
      </c>
      <c r="C33" t="s">
        <v>7</v>
      </c>
      <c r="D33">
        <v>652.17499999999995</v>
      </c>
      <c r="E33">
        <v>51.707728306963041</v>
      </c>
      <c r="F33">
        <v>363.47648550000002</v>
      </c>
      <c r="G33">
        <v>17.073161304191839</v>
      </c>
      <c r="H33">
        <v>20.95</v>
      </c>
      <c r="I33">
        <v>10.677312395916868</v>
      </c>
    </row>
    <row r="34" spans="1:9" x14ac:dyDescent="0.25">
      <c r="A34" t="s">
        <v>45</v>
      </c>
      <c r="B34" s="3">
        <v>41940</v>
      </c>
      <c r="C34" t="s">
        <v>7</v>
      </c>
      <c r="D34">
        <v>1403.3</v>
      </c>
      <c r="E34">
        <v>132.97260369464539</v>
      </c>
      <c r="F34">
        <v>435.43228735000002</v>
      </c>
      <c r="G34">
        <v>159.4042024326572</v>
      </c>
      <c r="H34">
        <v>656.22500000000002</v>
      </c>
      <c r="I34">
        <v>50.328611809453449</v>
      </c>
    </row>
    <row r="35" spans="1:9" x14ac:dyDescent="0.25">
      <c r="A35" t="s">
        <v>45</v>
      </c>
      <c r="B35" s="3">
        <v>41834</v>
      </c>
      <c r="C35" t="s">
        <v>7</v>
      </c>
      <c r="D35">
        <v>157.30000000000001</v>
      </c>
      <c r="E35">
        <v>24.13683215889484</v>
      </c>
      <c r="F35">
        <v>58.171157489999999</v>
      </c>
      <c r="G35">
        <v>8.7498280496974132</v>
      </c>
    </row>
    <row r="36" spans="1:9" x14ac:dyDescent="0.25">
      <c r="A36" t="s">
        <v>45</v>
      </c>
      <c r="B36" s="3">
        <v>41856</v>
      </c>
      <c r="C36" t="s">
        <v>7</v>
      </c>
      <c r="D36">
        <v>412.97500000000002</v>
      </c>
      <c r="E36">
        <v>26.567822015864643</v>
      </c>
      <c r="F36">
        <v>179.83261817500002</v>
      </c>
      <c r="G36">
        <v>11.238808330544105</v>
      </c>
    </row>
    <row r="37" spans="1:9" x14ac:dyDescent="0.25">
      <c r="A37" t="s">
        <v>46</v>
      </c>
      <c r="B37" s="3">
        <v>41891</v>
      </c>
      <c r="C37" t="s">
        <v>2</v>
      </c>
      <c r="D37">
        <v>1079.4000000000001</v>
      </c>
      <c r="E37">
        <v>69.064028263632665</v>
      </c>
      <c r="F37">
        <v>506.14649294999998</v>
      </c>
      <c r="G37">
        <v>27.788096604046061</v>
      </c>
      <c r="H37">
        <v>276.47500000000002</v>
      </c>
      <c r="I37">
        <v>31.889222317265226</v>
      </c>
    </row>
    <row r="38" spans="1:9" x14ac:dyDescent="0.25">
      <c r="A38" t="s">
        <v>46</v>
      </c>
      <c r="B38" s="3">
        <v>41871</v>
      </c>
      <c r="C38" t="s">
        <v>2</v>
      </c>
      <c r="D38">
        <v>693.09999999999991</v>
      </c>
      <c r="E38">
        <v>50.659451240614509</v>
      </c>
      <c r="F38">
        <v>379.6985967</v>
      </c>
      <c r="G38">
        <v>14.92259274321122</v>
      </c>
      <c r="H38">
        <v>20.05</v>
      </c>
      <c r="I38">
        <v>19.304015126392752</v>
      </c>
    </row>
    <row r="39" spans="1:9" x14ac:dyDescent="0.25">
      <c r="A39" t="s">
        <v>46</v>
      </c>
      <c r="B39" s="3">
        <v>41940</v>
      </c>
      <c r="C39" t="s">
        <v>2</v>
      </c>
      <c r="D39">
        <v>1398.1</v>
      </c>
      <c r="E39">
        <v>66.866583582538411</v>
      </c>
      <c r="F39">
        <v>308.79285987500003</v>
      </c>
      <c r="G39">
        <v>106.36932735571177</v>
      </c>
      <c r="H39">
        <v>887.875</v>
      </c>
      <c r="I39">
        <v>125.33800634018888</v>
      </c>
    </row>
    <row r="40" spans="1:9" x14ac:dyDescent="0.25">
      <c r="A40" t="s">
        <v>46</v>
      </c>
      <c r="B40" s="3">
        <v>41834</v>
      </c>
      <c r="C40" t="s">
        <v>2</v>
      </c>
      <c r="D40">
        <v>186.39999999999998</v>
      </c>
      <c r="E40">
        <v>24.844181075924745</v>
      </c>
      <c r="F40">
        <v>66.605511410000005</v>
      </c>
      <c r="G40">
        <v>9.1990726562896779</v>
      </c>
    </row>
    <row r="41" spans="1:9" x14ac:dyDescent="0.25">
      <c r="A41" t="s">
        <v>46</v>
      </c>
      <c r="B41" s="3">
        <v>41856</v>
      </c>
      <c r="C41" t="s">
        <v>2</v>
      </c>
      <c r="D41">
        <v>489.6</v>
      </c>
      <c r="E41">
        <v>36.271843993194615</v>
      </c>
      <c r="F41">
        <v>211.5764049</v>
      </c>
      <c r="G41">
        <v>18.155625069379433</v>
      </c>
    </row>
    <row r="42" spans="1:9" x14ac:dyDescent="0.25">
      <c r="A42" t="s">
        <v>47</v>
      </c>
      <c r="B42" s="3">
        <v>41891</v>
      </c>
      <c r="C42" t="s">
        <v>3</v>
      </c>
      <c r="D42">
        <v>1112.5999999999999</v>
      </c>
      <c r="E42">
        <v>54.154593526314642</v>
      </c>
      <c r="F42">
        <v>512.07403699999998</v>
      </c>
      <c r="G42">
        <v>15.494546386124068</v>
      </c>
      <c r="H42">
        <v>249.77499999999998</v>
      </c>
      <c r="I42">
        <v>13.755574627522485</v>
      </c>
    </row>
    <row r="43" spans="1:9" x14ac:dyDescent="0.25">
      <c r="A43" t="s">
        <v>47</v>
      </c>
      <c r="B43" s="3">
        <v>41871</v>
      </c>
      <c r="C43" t="s">
        <v>3</v>
      </c>
      <c r="D43">
        <v>653.47500000000002</v>
      </c>
      <c r="E43">
        <v>6.7952802247741078</v>
      </c>
      <c r="F43">
        <v>335.41700924999998</v>
      </c>
      <c r="G43">
        <v>26.037688818176747</v>
      </c>
    </row>
    <row r="44" spans="1:9" x14ac:dyDescent="0.25">
      <c r="A44" t="s">
        <v>47</v>
      </c>
      <c r="B44" s="3">
        <v>41940</v>
      </c>
      <c r="C44" t="s">
        <v>3</v>
      </c>
      <c r="D44">
        <v>1432.1999999999998</v>
      </c>
      <c r="E44">
        <v>131.18363719102859</v>
      </c>
      <c r="F44">
        <v>384.92944365</v>
      </c>
      <c r="G44">
        <v>97.490246226749704</v>
      </c>
      <c r="H44">
        <v>778.90000000000009</v>
      </c>
      <c r="I44">
        <v>175.82963345238451</v>
      </c>
    </row>
    <row r="45" spans="1:9" x14ac:dyDescent="0.25">
      <c r="A45" t="s">
        <v>47</v>
      </c>
      <c r="B45" s="3">
        <v>41834</v>
      </c>
      <c r="C45" t="s">
        <v>3</v>
      </c>
      <c r="D45">
        <v>173.27499999999998</v>
      </c>
      <c r="E45">
        <v>15.77389721449161</v>
      </c>
      <c r="F45">
        <v>54.633355532499998</v>
      </c>
      <c r="G45">
        <v>4.2965784491499441</v>
      </c>
    </row>
    <row r="46" spans="1:9" x14ac:dyDescent="0.25">
      <c r="A46" t="s">
        <v>47</v>
      </c>
      <c r="B46" s="3">
        <v>41863</v>
      </c>
      <c r="C46" t="s">
        <v>3</v>
      </c>
      <c r="D46">
        <v>545.52499999999998</v>
      </c>
      <c r="E46">
        <v>57.330700036426741</v>
      </c>
      <c r="F46">
        <v>228.25097207499999</v>
      </c>
      <c r="G46">
        <v>59.272020391710527</v>
      </c>
    </row>
    <row r="47" spans="1:9" x14ac:dyDescent="0.25">
      <c r="A47" t="s">
        <v>48</v>
      </c>
      <c r="B47" s="3">
        <v>41883</v>
      </c>
      <c r="C47" t="s">
        <v>5</v>
      </c>
      <c r="D47">
        <v>884.4</v>
      </c>
      <c r="E47">
        <v>51.529409078699423</v>
      </c>
      <c r="F47">
        <v>403.62560400000001</v>
      </c>
      <c r="G47">
        <v>11.964688558760814</v>
      </c>
      <c r="H47">
        <v>199.77499999999998</v>
      </c>
      <c r="I47">
        <v>40.193645849396198</v>
      </c>
    </row>
    <row r="48" spans="1:9" x14ac:dyDescent="0.25">
      <c r="A48" t="s">
        <v>48</v>
      </c>
      <c r="B48" s="3">
        <v>41871</v>
      </c>
      <c r="C48" t="s">
        <v>5</v>
      </c>
      <c r="D48">
        <v>633.5</v>
      </c>
      <c r="E48">
        <v>21.762812318265169</v>
      </c>
      <c r="F48">
        <v>323.19960737500003</v>
      </c>
      <c r="G48">
        <v>19.465919058090073</v>
      </c>
      <c r="H48">
        <v>48.424999999999997</v>
      </c>
      <c r="I48">
        <v>22.33851308092521</v>
      </c>
    </row>
    <row r="49" spans="1:9" x14ac:dyDescent="0.25">
      <c r="A49" t="s">
        <v>48</v>
      </c>
      <c r="B49" s="3">
        <v>41940</v>
      </c>
      <c r="C49" t="s">
        <v>5</v>
      </c>
      <c r="D49">
        <v>1484.575</v>
      </c>
      <c r="E49">
        <v>112.58011591751027</v>
      </c>
      <c r="F49">
        <v>399.19582107500003</v>
      </c>
      <c r="G49">
        <v>33.084384528793805</v>
      </c>
      <c r="H49">
        <v>819</v>
      </c>
      <c r="I49">
        <v>116.63450032758942</v>
      </c>
    </row>
    <row r="50" spans="1:9" x14ac:dyDescent="0.25">
      <c r="A50" t="s">
        <v>48</v>
      </c>
      <c r="B50" s="3">
        <v>41834</v>
      </c>
      <c r="C50" t="s">
        <v>5</v>
      </c>
      <c r="D50">
        <v>165.125</v>
      </c>
      <c r="E50">
        <v>13.080870256472483</v>
      </c>
      <c r="F50">
        <v>56.403168057500004</v>
      </c>
      <c r="G50">
        <v>3.3782439063245557</v>
      </c>
    </row>
    <row r="51" spans="1:9" x14ac:dyDescent="0.25">
      <c r="A51" t="s">
        <v>48</v>
      </c>
      <c r="B51" s="3">
        <v>41856</v>
      </c>
      <c r="C51" t="s">
        <v>5</v>
      </c>
      <c r="D51">
        <v>390.97500000000002</v>
      </c>
      <c r="E51">
        <v>30.610278774729203</v>
      </c>
      <c r="F51">
        <v>161.81005060000001</v>
      </c>
      <c r="G51">
        <v>19.806434837913557</v>
      </c>
    </row>
    <row r="52" spans="1:9" x14ac:dyDescent="0.25">
      <c r="A52" t="s">
        <v>49</v>
      </c>
      <c r="B52" s="3">
        <v>41883</v>
      </c>
      <c r="C52" t="s">
        <v>9</v>
      </c>
      <c r="D52">
        <v>946.5</v>
      </c>
      <c r="E52">
        <v>83.887146413103025</v>
      </c>
      <c r="F52">
        <v>451.01539954999998</v>
      </c>
      <c r="G52">
        <v>68.476176702216137</v>
      </c>
      <c r="H52">
        <v>180.97500000000002</v>
      </c>
      <c r="I52">
        <v>27.095187149504156</v>
      </c>
    </row>
    <row r="53" spans="1:9" x14ac:dyDescent="0.25">
      <c r="A53" t="s">
        <v>49</v>
      </c>
      <c r="B53" s="3">
        <v>41871</v>
      </c>
      <c r="C53" t="s">
        <v>9</v>
      </c>
      <c r="D53">
        <v>701.15</v>
      </c>
      <c r="E53">
        <v>39.77893077162031</v>
      </c>
      <c r="F53">
        <v>411.74899112499997</v>
      </c>
      <c r="G53">
        <v>42.167683049618887</v>
      </c>
      <c r="H53">
        <v>9.7750000000000004</v>
      </c>
      <c r="I53">
        <v>3.5845734288289663</v>
      </c>
    </row>
    <row r="54" spans="1:9" x14ac:dyDescent="0.25">
      <c r="A54" t="s">
        <v>49</v>
      </c>
      <c r="B54" s="3">
        <v>41940</v>
      </c>
      <c r="C54" t="s">
        <v>9</v>
      </c>
      <c r="D54">
        <v>1409.8999999999999</v>
      </c>
      <c r="E54">
        <v>125.22792553314193</v>
      </c>
      <c r="F54">
        <v>515.9400048</v>
      </c>
      <c r="G54">
        <v>124.56639702864611</v>
      </c>
      <c r="H54">
        <v>813.7</v>
      </c>
      <c r="I54">
        <v>96.629843561223396</v>
      </c>
    </row>
    <row r="55" spans="1:9" x14ac:dyDescent="0.25">
      <c r="A55" t="s">
        <v>49</v>
      </c>
      <c r="B55" s="3">
        <v>41834</v>
      </c>
      <c r="C55" t="s">
        <v>9</v>
      </c>
      <c r="D55">
        <v>167.85</v>
      </c>
      <c r="E55">
        <v>14.434795922815709</v>
      </c>
      <c r="F55">
        <v>59.670625824999995</v>
      </c>
      <c r="G55">
        <v>4.4027180857909327</v>
      </c>
    </row>
    <row r="56" spans="1:9" x14ac:dyDescent="0.25">
      <c r="A56" t="s">
        <v>49</v>
      </c>
      <c r="B56" s="3">
        <v>41856</v>
      </c>
      <c r="C56" t="s">
        <v>9</v>
      </c>
      <c r="D56">
        <v>455.375</v>
      </c>
      <c r="E56">
        <v>53.764075676359461</v>
      </c>
      <c r="F56">
        <v>196.78104387499999</v>
      </c>
      <c r="G56">
        <v>21.517514801072924</v>
      </c>
    </row>
    <row r="57" spans="1:9" x14ac:dyDescent="0.25">
      <c r="A57" t="s">
        <v>50</v>
      </c>
      <c r="B57" s="3">
        <v>41883</v>
      </c>
      <c r="C57" t="s">
        <v>6</v>
      </c>
      <c r="D57">
        <v>868.05000000000007</v>
      </c>
      <c r="E57">
        <v>6.5490457319994295</v>
      </c>
      <c r="F57">
        <v>424.4688405</v>
      </c>
      <c r="G57">
        <v>7.5033815966278761</v>
      </c>
      <c r="H57">
        <v>188.1</v>
      </c>
      <c r="I57">
        <v>5.1929439306297853</v>
      </c>
    </row>
    <row r="58" spans="1:9" x14ac:dyDescent="0.25">
      <c r="A58" t="s">
        <v>50</v>
      </c>
      <c r="B58" s="3">
        <v>41871</v>
      </c>
      <c r="C58" t="s">
        <v>6</v>
      </c>
      <c r="D58">
        <v>640.9</v>
      </c>
      <c r="E58">
        <v>70.64960485853193</v>
      </c>
      <c r="F58">
        <v>359.121830375</v>
      </c>
      <c r="G58">
        <v>50.107046591336882</v>
      </c>
      <c r="H58">
        <v>26.924999999999997</v>
      </c>
      <c r="I58">
        <v>22.324930011088505</v>
      </c>
    </row>
    <row r="59" spans="1:9" x14ac:dyDescent="0.25">
      <c r="A59" t="s">
        <v>50</v>
      </c>
      <c r="B59" s="3">
        <v>41940</v>
      </c>
      <c r="C59" t="s">
        <v>6</v>
      </c>
      <c r="D59">
        <v>1435.925</v>
      </c>
      <c r="E59">
        <v>57.669077502593616</v>
      </c>
      <c r="F59">
        <v>447.78568384999994</v>
      </c>
      <c r="G59">
        <v>69.654775852074337</v>
      </c>
      <c r="H59">
        <v>894.07500000000005</v>
      </c>
      <c r="I59">
        <v>49.236258658294631</v>
      </c>
    </row>
    <row r="60" spans="1:9" x14ac:dyDescent="0.25">
      <c r="A60" t="s">
        <v>50</v>
      </c>
      <c r="B60" s="3">
        <v>41834</v>
      </c>
      <c r="C60" t="s">
        <v>6</v>
      </c>
      <c r="D60">
        <v>146.97500000000002</v>
      </c>
      <c r="E60">
        <v>31.129554552975279</v>
      </c>
      <c r="F60">
        <v>54.211044280000003</v>
      </c>
      <c r="G60">
        <v>11.274852653693641</v>
      </c>
    </row>
    <row r="61" spans="1:9" x14ac:dyDescent="0.25">
      <c r="A61" t="s">
        <v>50</v>
      </c>
      <c r="B61" s="3">
        <v>41856</v>
      </c>
      <c r="C61" t="s">
        <v>6</v>
      </c>
      <c r="D61">
        <v>467.45</v>
      </c>
      <c r="E61">
        <v>23.467637290533109</v>
      </c>
      <c r="F61">
        <v>203.74149177499999</v>
      </c>
      <c r="G61">
        <v>15.148654081353508</v>
      </c>
    </row>
    <row r="62" spans="1:9" x14ac:dyDescent="0.25">
      <c r="A62" t="s">
        <v>51</v>
      </c>
      <c r="B62" s="3">
        <v>41883</v>
      </c>
      <c r="C62" t="s">
        <v>13</v>
      </c>
      <c r="D62">
        <v>1042.45</v>
      </c>
      <c r="E62">
        <v>57.826954499319726</v>
      </c>
      <c r="F62">
        <v>532.01501217500004</v>
      </c>
      <c r="G62">
        <v>32.106895237209805</v>
      </c>
      <c r="H62">
        <v>202.25</v>
      </c>
      <c r="I62">
        <v>15.557313392742609</v>
      </c>
    </row>
    <row r="63" spans="1:9" x14ac:dyDescent="0.25">
      <c r="A63" t="s">
        <v>51</v>
      </c>
      <c r="B63" s="3">
        <v>41863</v>
      </c>
      <c r="C63" t="s">
        <v>13</v>
      </c>
      <c r="D63">
        <v>580.25</v>
      </c>
      <c r="E63">
        <v>85.7779497695456</v>
      </c>
      <c r="F63">
        <v>276.13395294999998</v>
      </c>
      <c r="G63">
        <v>67.746932175695136</v>
      </c>
    </row>
    <row r="64" spans="1:9" x14ac:dyDescent="0.25">
      <c r="A64" t="s">
        <v>51</v>
      </c>
      <c r="B64" s="3">
        <v>41947</v>
      </c>
      <c r="C64" t="s">
        <v>13</v>
      </c>
      <c r="D64">
        <v>1701.2749999999999</v>
      </c>
      <c r="E64">
        <v>77.110888768499706</v>
      </c>
      <c r="F64">
        <v>554.34703637500002</v>
      </c>
      <c r="G64">
        <v>33.451778238637552</v>
      </c>
      <c r="H64">
        <v>1060.05</v>
      </c>
      <c r="I64">
        <v>54.354791263819223</v>
      </c>
    </row>
    <row r="65" spans="1:9" x14ac:dyDescent="0.25">
      <c r="A65" t="s">
        <v>51</v>
      </c>
      <c r="B65" s="3">
        <v>41834</v>
      </c>
      <c r="C65" t="s">
        <v>13</v>
      </c>
      <c r="D65">
        <v>138.9</v>
      </c>
      <c r="E65">
        <v>13.42385935563976</v>
      </c>
      <c r="F65">
        <v>55.23195346</v>
      </c>
      <c r="G65">
        <v>6.1608960862957671</v>
      </c>
    </row>
    <row r="66" spans="1:9" x14ac:dyDescent="0.25">
      <c r="A66" t="s">
        <v>51</v>
      </c>
      <c r="B66" s="3">
        <v>41842</v>
      </c>
      <c r="C66" t="s">
        <v>13</v>
      </c>
      <c r="D66">
        <v>217.02500000000001</v>
      </c>
      <c r="E66">
        <v>72.920521802850516</v>
      </c>
      <c r="F66">
        <v>87.43639293999999</v>
      </c>
      <c r="G66">
        <v>29.886336928289911</v>
      </c>
    </row>
    <row r="67" spans="1:9" x14ac:dyDescent="0.25">
      <c r="A67" t="s">
        <v>52</v>
      </c>
      <c r="B67" s="3">
        <v>41898</v>
      </c>
      <c r="C67" t="s">
        <v>14</v>
      </c>
      <c r="D67">
        <v>1304.5</v>
      </c>
      <c r="E67">
        <v>80.508633077453098</v>
      </c>
      <c r="F67">
        <v>654.53811480000002</v>
      </c>
      <c r="G67">
        <v>40.85493549405458</v>
      </c>
      <c r="H67">
        <v>249.6</v>
      </c>
      <c r="I67">
        <v>31.207157298713827</v>
      </c>
    </row>
    <row r="68" spans="1:9" x14ac:dyDescent="0.25">
      <c r="A68" t="s">
        <v>52</v>
      </c>
      <c r="B68" s="3">
        <v>41871</v>
      </c>
      <c r="C68" t="s">
        <v>14</v>
      </c>
      <c r="D68">
        <v>704.22499999999991</v>
      </c>
      <c r="E68">
        <v>74.98632653135418</v>
      </c>
      <c r="F68">
        <v>310.72024965000003</v>
      </c>
      <c r="G68">
        <v>54.253427084716684</v>
      </c>
    </row>
    <row r="69" spans="1:9" x14ac:dyDescent="0.25">
      <c r="A69" t="s">
        <v>52</v>
      </c>
      <c r="B69" s="3">
        <v>41947</v>
      </c>
      <c r="C69" t="s">
        <v>14</v>
      </c>
      <c r="D69">
        <v>1770.9749999999999</v>
      </c>
      <c r="E69">
        <v>103.24803065111571</v>
      </c>
      <c r="F69">
        <v>599.75246119999997</v>
      </c>
      <c r="G69">
        <v>61.103643730874538</v>
      </c>
      <c r="H69">
        <v>1073.3499999999999</v>
      </c>
      <c r="I69">
        <v>41.776269180802011</v>
      </c>
    </row>
    <row r="70" spans="1:9" x14ac:dyDescent="0.25">
      <c r="A70" t="s">
        <v>52</v>
      </c>
      <c r="B70" s="3">
        <v>41834</v>
      </c>
      <c r="C70" t="s">
        <v>14</v>
      </c>
      <c r="D70">
        <v>112.55000000000001</v>
      </c>
      <c r="E70">
        <v>10.96616006935259</v>
      </c>
      <c r="F70">
        <v>37.782781847499997</v>
      </c>
      <c r="G70">
        <v>3.1475979584433964</v>
      </c>
    </row>
    <row r="71" spans="1:9" x14ac:dyDescent="0.25">
      <c r="A71" t="s">
        <v>52</v>
      </c>
      <c r="B71" s="3">
        <v>41863</v>
      </c>
      <c r="C71" t="s">
        <v>14</v>
      </c>
      <c r="D71">
        <v>545.85</v>
      </c>
      <c r="E71">
        <v>87.210874704171232</v>
      </c>
      <c r="F71">
        <v>200.496690325</v>
      </c>
      <c r="G71">
        <v>50.008827859802935</v>
      </c>
    </row>
    <row r="72" spans="1:9" x14ac:dyDescent="0.25">
      <c r="A72" t="s">
        <v>53</v>
      </c>
      <c r="B72" s="3">
        <v>41891</v>
      </c>
      <c r="C72" t="s">
        <v>12</v>
      </c>
      <c r="D72">
        <v>1197.8</v>
      </c>
      <c r="E72">
        <v>54.439201561619448</v>
      </c>
      <c r="F72">
        <v>611.97306194999999</v>
      </c>
      <c r="G72">
        <v>35.109897736548014</v>
      </c>
      <c r="H72">
        <v>184.77500000000001</v>
      </c>
      <c r="I72">
        <v>24.096662977820596</v>
      </c>
    </row>
    <row r="73" spans="1:9" x14ac:dyDescent="0.25">
      <c r="A73" t="s">
        <v>53</v>
      </c>
      <c r="B73" s="3">
        <v>41863</v>
      </c>
      <c r="C73" t="s">
        <v>12</v>
      </c>
      <c r="D73">
        <v>562.84999999999991</v>
      </c>
      <c r="E73">
        <v>56.191903331352869</v>
      </c>
      <c r="F73">
        <v>260.76457195</v>
      </c>
      <c r="G73">
        <v>53.624588322385421</v>
      </c>
    </row>
    <row r="74" spans="1:9" x14ac:dyDescent="0.25">
      <c r="A74" t="s">
        <v>53</v>
      </c>
      <c r="B74" s="3">
        <v>41947</v>
      </c>
      <c r="C74" t="s">
        <v>12</v>
      </c>
      <c r="D74">
        <v>1762.6750000000002</v>
      </c>
      <c r="E74">
        <v>109.77268558252187</v>
      </c>
      <c r="F74">
        <v>597.18358154999999</v>
      </c>
      <c r="G74">
        <v>44.594908487485306</v>
      </c>
      <c r="H74">
        <v>1045.125</v>
      </c>
      <c r="I74">
        <v>68.473224694037697</v>
      </c>
    </row>
    <row r="75" spans="1:9" x14ac:dyDescent="0.25">
      <c r="A75" t="s">
        <v>53</v>
      </c>
      <c r="B75" s="3">
        <v>41834</v>
      </c>
      <c r="C75" t="s">
        <v>12</v>
      </c>
      <c r="D75">
        <v>131.6</v>
      </c>
      <c r="E75">
        <v>17.889102828258437</v>
      </c>
      <c r="F75">
        <v>50.731436080000002</v>
      </c>
      <c r="G75">
        <v>6.3249114297882212</v>
      </c>
    </row>
    <row r="76" spans="1:9" x14ac:dyDescent="0.25">
      <c r="A76" t="s">
        <v>53</v>
      </c>
      <c r="B76" s="3">
        <v>41842</v>
      </c>
      <c r="C76" t="s">
        <v>12</v>
      </c>
      <c r="D76">
        <v>222.45</v>
      </c>
      <c r="E76">
        <v>26.539593063948924</v>
      </c>
      <c r="F76">
        <v>74.395788562500002</v>
      </c>
      <c r="G76">
        <v>8.6425672597696721</v>
      </c>
    </row>
    <row r="77" spans="1:9" x14ac:dyDescent="0.25">
      <c r="A77" t="s">
        <v>54</v>
      </c>
      <c r="B77" s="3">
        <v>41891</v>
      </c>
      <c r="C77" t="s">
        <v>10</v>
      </c>
      <c r="D77">
        <v>1214.5999999999999</v>
      </c>
      <c r="E77">
        <v>65.731575365273244</v>
      </c>
      <c r="F77">
        <v>554.77012097499994</v>
      </c>
      <c r="G77">
        <v>21.75574128325038</v>
      </c>
      <c r="H77">
        <v>256.72500000000002</v>
      </c>
      <c r="I77">
        <v>23.533858587150327</v>
      </c>
    </row>
    <row r="78" spans="1:9" x14ac:dyDescent="0.25">
      <c r="A78" t="s">
        <v>54</v>
      </c>
      <c r="B78" s="3">
        <v>41871</v>
      </c>
      <c r="C78" t="s">
        <v>10</v>
      </c>
      <c r="D78">
        <v>785.42500000000007</v>
      </c>
      <c r="E78">
        <v>71.397449767712672</v>
      </c>
      <c r="F78">
        <v>415.63839115000002</v>
      </c>
      <c r="G78">
        <v>28.515924512946878</v>
      </c>
    </row>
    <row r="79" spans="1:9" x14ac:dyDescent="0.25">
      <c r="A79" t="s">
        <v>54</v>
      </c>
      <c r="B79" s="3">
        <v>41947</v>
      </c>
      <c r="C79" t="s">
        <v>10</v>
      </c>
      <c r="D79">
        <v>1847.25</v>
      </c>
      <c r="E79">
        <v>51.338646911135761</v>
      </c>
      <c r="F79">
        <v>557.11821657500002</v>
      </c>
      <c r="G79">
        <v>29.850532458736907</v>
      </c>
      <c r="H79">
        <v>1162.625</v>
      </c>
      <c r="I79">
        <v>64.499580101993359</v>
      </c>
    </row>
    <row r="80" spans="1:9" x14ac:dyDescent="0.25">
      <c r="A80" t="s">
        <v>54</v>
      </c>
      <c r="B80" s="3">
        <v>41834</v>
      </c>
      <c r="C80" t="s">
        <v>10</v>
      </c>
      <c r="D80">
        <v>152.44999999999999</v>
      </c>
      <c r="E80">
        <v>7.0187843201893623</v>
      </c>
      <c r="F80">
        <v>51.358686122499996</v>
      </c>
      <c r="G80">
        <v>3.5607759920279536</v>
      </c>
    </row>
    <row r="81" spans="1:9" x14ac:dyDescent="0.25">
      <c r="A81" t="s">
        <v>54</v>
      </c>
      <c r="B81" s="3">
        <v>41856</v>
      </c>
      <c r="C81" t="s">
        <v>10</v>
      </c>
      <c r="D81">
        <v>503.57499999999999</v>
      </c>
      <c r="E81">
        <v>37.558876003771061</v>
      </c>
      <c r="F81">
        <v>191.261763575</v>
      </c>
      <c r="G81">
        <v>15.846860976827008</v>
      </c>
    </row>
    <row r="82" spans="1:9" x14ac:dyDescent="0.25">
      <c r="A82" t="s">
        <v>55</v>
      </c>
      <c r="B82" s="3">
        <v>41891</v>
      </c>
      <c r="C82" t="s">
        <v>8</v>
      </c>
      <c r="D82">
        <v>1150.4000000000001</v>
      </c>
      <c r="E82">
        <v>50.225358800775055</v>
      </c>
      <c r="F82">
        <v>562.12291705000007</v>
      </c>
      <c r="G82">
        <v>15.814181994487896</v>
      </c>
      <c r="H82">
        <v>182.95</v>
      </c>
      <c r="I82">
        <v>29.233371341670406</v>
      </c>
    </row>
    <row r="83" spans="1:9" x14ac:dyDescent="0.25">
      <c r="A83" t="s">
        <v>55</v>
      </c>
      <c r="B83" s="3">
        <v>41871</v>
      </c>
      <c r="C83" t="s">
        <v>8</v>
      </c>
      <c r="D83">
        <v>759.02499999999998</v>
      </c>
      <c r="E83">
        <v>40.701463937636319</v>
      </c>
      <c r="F83">
        <v>344.67918692500001</v>
      </c>
      <c r="G83">
        <v>19.434027255146713</v>
      </c>
    </row>
    <row r="84" spans="1:9" x14ac:dyDescent="0.25">
      <c r="A84" t="s">
        <v>55</v>
      </c>
      <c r="B84" s="3">
        <v>41947</v>
      </c>
      <c r="C84" t="s">
        <v>8</v>
      </c>
      <c r="D84">
        <v>1958.8</v>
      </c>
      <c r="E84">
        <v>62.972110228785759</v>
      </c>
      <c r="F84">
        <v>621.22055362500009</v>
      </c>
      <c r="G84">
        <v>46.2252038839558</v>
      </c>
      <c r="H84">
        <v>1146.175</v>
      </c>
      <c r="I84">
        <v>67.654828603236325</v>
      </c>
    </row>
    <row r="85" spans="1:9" x14ac:dyDescent="0.25">
      <c r="A85" t="s">
        <v>55</v>
      </c>
      <c r="B85" s="3">
        <v>41834</v>
      </c>
      <c r="C85" t="s">
        <v>8</v>
      </c>
      <c r="D85">
        <v>156.875</v>
      </c>
      <c r="E85">
        <v>27.087066409389323</v>
      </c>
      <c r="F85">
        <v>57.718181927500005</v>
      </c>
      <c r="G85">
        <v>11.795943244761958</v>
      </c>
    </row>
    <row r="86" spans="1:9" x14ac:dyDescent="0.25">
      <c r="A86" t="s">
        <v>55</v>
      </c>
      <c r="B86" s="3">
        <v>41856</v>
      </c>
      <c r="C86" t="s">
        <v>8</v>
      </c>
      <c r="D86">
        <v>488.32499999999993</v>
      </c>
      <c r="E86">
        <v>54.686035694682403</v>
      </c>
      <c r="F86">
        <v>194.83755815000001</v>
      </c>
      <c r="G86">
        <v>12.988473900751245</v>
      </c>
    </row>
    <row r="87" spans="1:9" x14ac:dyDescent="0.25">
      <c r="A87" t="s">
        <v>56</v>
      </c>
      <c r="B87" s="3">
        <v>41898</v>
      </c>
      <c r="C87" t="s">
        <v>4</v>
      </c>
      <c r="D87">
        <v>1247.0999999999999</v>
      </c>
      <c r="E87">
        <v>58.269374460348359</v>
      </c>
      <c r="F87">
        <v>589.90542022499994</v>
      </c>
      <c r="G87">
        <v>43.088551121689861</v>
      </c>
      <c r="H87">
        <v>217.54999999999998</v>
      </c>
      <c r="I87">
        <v>11.749751770428201</v>
      </c>
    </row>
    <row r="88" spans="1:9" x14ac:dyDescent="0.25">
      <c r="A88" t="s">
        <v>56</v>
      </c>
      <c r="B88" s="3">
        <v>41871</v>
      </c>
      <c r="C88" t="s">
        <v>4</v>
      </c>
      <c r="D88">
        <v>606.32500000000005</v>
      </c>
      <c r="E88">
        <v>22.208162913665273</v>
      </c>
      <c r="F88">
        <v>241.69789876666664</v>
      </c>
      <c r="G88">
        <v>36.977488548426507</v>
      </c>
    </row>
    <row r="89" spans="1:9" x14ac:dyDescent="0.25">
      <c r="A89" t="s">
        <v>56</v>
      </c>
      <c r="B89" s="3">
        <v>41947</v>
      </c>
      <c r="C89" t="s">
        <v>4</v>
      </c>
      <c r="D89">
        <v>1864.2249999999999</v>
      </c>
      <c r="E89">
        <v>22.61214644094499</v>
      </c>
      <c r="F89">
        <v>586.60316662499997</v>
      </c>
      <c r="G89">
        <v>27.288030891678691</v>
      </c>
      <c r="H89">
        <v>1079.425</v>
      </c>
      <c r="I89">
        <v>31.860673250890937</v>
      </c>
    </row>
    <row r="90" spans="1:9" x14ac:dyDescent="0.25">
      <c r="A90" t="s">
        <v>56</v>
      </c>
      <c r="B90" s="3">
        <v>41834</v>
      </c>
      <c r="C90" t="s">
        <v>4</v>
      </c>
      <c r="D90">
        <v>110.65</v>
      </c>
      <c r="E90">
        <v>8.1398198178257015</v>
      </c>
      <c r="F90">
        <v>38.553505219999998</v>
      </c>
      <c r="G90">
        <v>3.8824144548677006</v>
      </c>
    </row>
    <row r="91" spans="1:9" x14ac:dyDescent="0.25">
      <c r="A91" t="s">
        <v>56</v>
      </c>
      <c r="B91" s="3">
        <v>41856</v>
      </c>
      <c r="C91" t="s">
        <v>4</v>
      </c>
      <c r="D91">
        <v>361.125</v>
      </c>
      <c r="E91">
        <v>40.241137740708353</v>
      </c>
      <c r="F91">
        <v>123.77340085</v>
      </c>
      <c r="G91">
        <v>17.490985176275817</v>
      </c>
    </row>
    <row r="92" spans="1:9" x14ac:dyDescent="0.25">
      <c r="A92" t="s">
        <v>57</v>
      </c>
      <c r="B92" s="3">
        <v>41891</v>
      </c>
      <c r="C92" t="s">
        <v>7</v>
      </c>
      <c r="D92">
        <v>1160</v>
      </c>
      <c r="E92">
        <v>40.719528484500827</v>
      </c>
      <c r="F92">
        <v>544.60005422499989</v>
      </c>
      <c r="G92">
        <v>45.698427193952917</v>
      </c>
      <c r="H92">
        <v>162.125</v>
      </c>
      <c r="I92">
        <v>27.47075717922618</v>
      </c>
    </row>
    <row r="93" spans="1:9" x14ac:dyDescent="0.25">
      <c r="A93" t="s">
        <v>57</v>
      </c>
      <c r="B93" s="3">
        <v>41871</v>
      </c>
      <c r="C93" t="s">
        <v>7</v>
      </c>
      <c r="D93">
        <v>709.25</v>
      </c>
      <c r="E93">
        <v>21.884164746836163</v>
      </c>
      <c r="F93">
        <v>368.88311464999998</v>
      </c>
      <c r="G93">
        <v>18.773786650782739</v>
      </c>
    </row>
    <row r="94" spans="1:9" x14ac:dyDescent="0.25">
      <c r="A94" t="s">
        <v>57</v>
      </c>
      <c r="B94" s="3">
        <v>41947</v>
      </c>
      <c r="C94" t="s">
        <v>7</v>
      </c>
      <c r="D94">
        <v>1729.2249999999999</v>
      </c>
      <c r="E94">
        <v>157.52797370625757</v>
      </c>
      <c r="F94">
        <v>575.287226175</v>
      </c>
      <c r="G94">
        <v>67.462532805694664</v>
      </c>
      <c r="H94">
        <v>1038.925</v>
      </c>
      <c r="I94">
        <v>79.963924157501594</v>
      </c>
    </row>
    <row r="95" spans="1:9" x14ac:dyDescent="0.25">
      <c r="A95" t="s">
        <v>57</v>
      </c>
      <c r="B95" s="3">
        <v>41834</v>
      </c>
      <c r="C95" t="s">
        <v>7</v>
      </c>
      <c r="D95">
        <v>156.92500000000001</v>
      </c>
      <c r="E95">
        <v>12.548406273307945</v>
      </c>
      <c r="F95">
        <v>49.953021297500001</v>
      </c>
      <c r="G95">
        <v>15.959895259798063</v>
      </c>
    </row>
    <row r="96" spans="1:9" x14ac:dyDescent="0.25">
      <c r="A96" t="s">
        <v>57</v>
      </c>
      <c r="B96" s="3">
        <v>41856</v>
      </c>
      <c r="C96" t="s">
        <v>7</v>
      </c>
      <c r="D96">
        <v>449.9</v>
      </c>
      <c r="E96">
        <v>42.6135346261416</v>
      </c>
      <c r="F96">
        <v>189.63012127500002</v>
      </c>
      <c r="G96">
        <v>19.428476749822497</v>
      </c>
    </row>
    <row r="97" spans="1:9" x14ac:dyDescent="0.25">
      <c r="A97" t="s">
        <v>58</v>
      </c>
      <c r="B97" s="3">
        <v>41891</v>
      </c>
      <c r="C97" t="s">
        <v>2</v>
      </c>
      <c r="D97">
        <v>1174.25</v>
      </c>
      <c r="E97">
        <v>59.495293931537972</v>
      </c>
      <c r="F97">
        <v>560.78488262500002</v>
      </c>
      <c r="G97">
        <v>42.655022708157531</v>
      </c>
      <c r="H97">
        <v>198.22499999999997</v>
      </c>
      <c r="I97">
        <v>36.449268396864746</v>
      </c>
    </row>
    <row r="98" spans="1:9" x14ac:dyDescent="0.25">
      <c r="A98" t="s">
        <v>58</v>
      </c>
      <c r="B98" s="3">
        <v>41871</v>
      </c>
      <c r="C98" t="s">
        <v>2</v>
      </c>
      <c r="D98">
        <v>782.15000000000009</v>
      </c>
      <c r="E98">
        <v>231.06112466906461</v>
      </c>
      <c r="F98">
        <v>389.90828859999999</v>
      </c>
      <c r="G98">
        <v>130.65989540255777</v>
      </c>
    </row>
    <row r="99" spans="1:9" x14ac:dyDescent="0.25">
      <c r="A99" t="s">
        <v>58</v>
      </c>
      <c r="B99" s="3">
        <v>41947</v>
      </c>
      <c r="C99" t="s">
        <v>2</v>
      </c>
      <c r="D99">
        <v>1806.875</v>
      </c>
      <c r="E99">
        <v>94.087490312651198</v>
      </c>
      <c r="F99">
        <v>568.85732287499991</v>
      </c>
      <c r="G99">
        <v>23.218332880522432</v>
      </c>
      <c r="H99">
        <v>1115.0999999999999</v>
      </c>
      <c r="I99">
        <v>63.626462000230809</v>
      </c>
    </row>
    <row r="100" spans="1:9" x14ac:dyDescent="0.25">
      <c r="A100" t="s">
        <v>58</v>
      </c>
      <c r="B100" s="3">
        <v>41834</v>
      </c>
      <c r="C100" t="s">
        <v>2</v>
      </c>
      <c r="D100">
        <v>156.22499999999999</v>
      </c>
      <c r="E100">
        <v>9.1503642914734016</v>
      </c>
      <c r="F100">
        <v>55.592081292499998</v>
      </c>
      <c r="G100">
        <v>1.9035985283709675</v>
      </c>
    </row>
    <row r="101" spans="1:9" x14ac:dyDescent="0.25">
      <c r="A101" t="s">
        <v>58</v>
      </c>
      <c r="B101" s="3">
        <v>41856</v>
      </c>
      <c r="C101" t="s">
        <v>2</v>
      </c>
      <c r="D101">
        <v>492.12499999999994</v>
      </c>
      <c r="E101">
        <v>93.864490090768939</v>
      </c>
      <c r="F101">
        <v>195.89373879999999</v>
      </c>
      <c r="G101">
        <v>28.396202736645144</v>
      </c>
    </row>
    <row r="102" spans="1:9" x14ac:dyDescent="0.25">
      <c r="A102" t="s">
        <v>59</v>
      </c>
      <c r="B102" s="3">
        <v>41898</v>
      </c>
      <c r="C102" t="s">
        <v>3</v>
      </c>
      <c r="D102">
        <v>1304.9000000000001</v>
      </c>
      <c r="E102">
        <v>77.947760284264717</v>
      </c>
      <c r="F102">
        <v>581.67148899999995</v>
      </c>
      <c r="G102">
        <v>54.992938053342577</v>
      </c>
      <c r="H102">
        <v>253.2</v>
      </c>
      <c r="I102">
        <v>47.642627971177312</v>
      </c>
    </row>
    <row r="103" spans="1:9" x14ac:dyDescent="0.25">
      <c r="A103" t="s">
        <v>59</v>
      </c>
      <c r="B103" s="3">
        <v>41871</v>
      </c>
      <c r="C103" t="s">
        <v>3</v>
      </c>
      <c r="D103">
        <v>732.3</v>
      </c>
      <c r="E103">
        <v>39.281123541299429</v>
      </c>
      <c r="F103">
        <v>315.32287867500003</v>
      </c>
      <c r="G103">
        <v>13.527103120264941</v>
      </c>
    </row>
    <row r="104" spans="1:9" x14ac:dyDescent="0.25">
      <c r="A104" t="s">
        <v>59</v>
      </c>
      <c r="B104" s="3">
        <v>41947</v>
      </c>
      <c r="C104" t="s">
        <v>3</v>
      </c>
      <c r="D104">
        <v>1893.9250000000002</v>
      </c>
      <c r="E104">
        <v>123.97100131347702</v>
      </c>
      <c r="F104">
        <v>573.34382660000006</v>
      </c>
      <c r="G104">
        <v>65.741460079753963</v>
      </c>
      <c r="H104">
        <v>1142.375</v>
      </c>
      <c r="I104">
        <v>61.819380725893204</v>
      </c>
    </row>
    <row r="105" spans="1:9" x14ac:dyDescent="0.25">
      <c r="A105" t="s">
        <v>59</v>
      </c>
      <c r="B105" s="3">
        <v>41834</v>
      </c>
      <c r="C105" t="s">
        <v>3</v>
      </c>
      <c r="D105">
        <v>168.5</v>
      </c>
      <c r="E105">
        <v>10.677078252031311</v>
      </c>
      <c r="F105">
        <v>52.484682989999996</v>
      </c>
      <c r="G105">
        <v>3.9307525332548989</v>
      </c>
    </row>
    <row r="106" spans="1:9" x14ac:dyDescent="0.25">
      <c r="A106" t="s">
        <v>59</v>
      </c>
      <c r="B106" s="3">
        <v>41863</v>
      </c>
      <c r="C106" t="s">
        <v>3</v>
      </c>
      <c r="D106">
        <v>610.85</v>
      </c>
      <c r="E106">
        <v>126.84564110235154</v>
      </c>
      <c r="F106">
        <v>222.93420914999999</v>
      </c>
      <c r="G106">
        <v>48.140949169479022</v>
      </c>
    </row>
    <row r="107" spans="1:9" x14ac:dyDescent="0.25">
      <c r="A107" t="s">
        <v>60</v>
      </c>
      <c r="B107" s="3">
        <v>41891</v>
      </c>
      <c r="C107" t="s">
        <v>5</v>
      </c>
      <c r="D107">
        <v>1311.2</v>
      </c>
      <c r="E107">
        <v>186.16859742358923</v>
      </c>
      <c r="F107">
        <v>591.55984312499993</v>
      </c>
      <c r="G107">
        <v>92.994203309691443</v>
      </c>
      <c r="H107">
        <v>270.5</v>
      </c>
      <c r="I107">
        <v>46.438848679383412</v>
      </c>
    </row>
    <row r="108" spans="1:9" x14ac:dyDescent="0.25">
      <c r="A108" t="s">
        <v>60</v>
      </c>
      <c r="B108" s="3">
        <v>41871</v>
      </c>
      <c r="C108" t="s">
        <v>5</v>
      </c>
      <c r="D108">
        <v>757.875</v>
      </c>
      <c r="E108">
        <v>49.431796447225587</v>
      </c>
      <c r="F108">
        <v>348.79137532499999</v>
      </c>
      <c r="G108">
        <v>26.009846056292787</v>
      </c>
    </row>
    <row r="109" spans="1:9" x14ac:dyDescent="0.25">
      <c r="A109" t="s">
        <v>60</v>
      </c>
      <c r="B109" s="3">
        <v>41947</v>
      </c>
      <c r="C109" t="s">
        <v>5</v>
      </c>
      <c r="D109">
        <v>1845.625</v>
      </c>
      <c r="E109">
        <v>153.71300910029157</v>
      </c>
      <c r="F109">
        <v>528.43177685000001</v>
      </c>
      <c r="G109">
        <v>36.021025938512842</v>
      </c>
      <c r="H109">
        <v>1190.825</v>
      </c>
      <c r="I109">
        <v>89.652602676479461</v>
      </c>
    </row>
    <row r="110" spans="1:9" x14ac:dyDescent="0.25">
      <c r="A110" t="s">
        <v>60</v>
      </c>
      <c r="B110" s="3">
        <v>41834</v>
      </c>
      <c r="C110" t="s">
        <v>5</v>
      </c>
      <c r="D110">
        <v>160.04999999999998</v>
      </c>
      <c r="E110">
        <v>30.974667068428722</v>
      </c>
      <c r="F110">
        <v>52.633631952500004</v>
      </c>
      <c r="G110">
        <v>11.31397110542315</v>
      </c>
    </row>
    <row r="111" spans="1:9" x14ac:dyDescent="0.25">
      <c r="A111" t="s">
        <v>60</v>
      </c>
      <c r="B111" s="3">
        <v>41856</v>
      </c>
      <c r="C111" t="s">
        <v>5</v>
      </c>
      <c r="D111">
        <v>413.55</v>
      </c>
      <c r="E111">
        <v>33.379085268073048</v>
      </c>
      <c r="F111">
        <v>160.78522587500001</v>
      </c>
      <c r="G111">
        <v>6.4024107255184912</v>
      </c>
    </row>
    <row r="112" spans="1:9" x14ac:dyDescent="0.25">
      <c r="A112" t="s">
        <v>61</v>
      </c>
      <c r="B112" s="3">
        <v>41891</v>
      </c>
      <c r="C112" t="s">
        <v>9</v>
      </c>
      <c r="D112">
        <v>1280.2000000000003</v>
      </c>
      <c r="E112">
        <v>299.9507959649369</v>
      </c>
      <c r="F112">
        <v>642.09107092500005</v>
      </c>
      <c r="G112">
        <v>120.67903324297799</v>
      </c>
      <c r="H112">
        <v>210.4</v>
      </c>
      <c r="I112">
        <v>36.019624280846273</v>
      </c>
    </row>
    <row r="113" spans="1:9" x14ac:dyDescent="0.25">
      <c r="A113" t="s">
        <v>61</v>
      </c>
      <c r="B113" s="3">
        <v>41871</v>
      </c>
      <c r="C113" t="s">
        <v>9</v>
      </c>
      <c r="D113">
        <v>746.95</v>
      </c>
      <c r="E113">
        <v>48.109978175008898</v>
      </c>
      <c r="F113">
        <v>366.93270517500002</v>
      </c>
      <c r="G113">
        <v>61.197148841737416</v>
      </c>
    </row>
    <row r="114" spans="1:9" x14ac:dyDescent="0.25">
      <c r="A114" t="s">
        <v>61</v>
      </c>
      <c r="B114" s="3">
        <v>41947</v>
      </c>
      <c r="C114" t="s">
        <v>9</v>
      </c>
      <c r="D114">
        <v>1676.9</v>
      </c>
      <c r="E114">
        <v>170.00939189742647</v>
      </c>
      <c r="F114">
        <v>569.95874345000004</v>
      </c>
      <c r="G114">
        <v>33.154149696754246</v>
      </c>
      <c r="H114">
        <v>959.47499999999991</v>
      </c>
      <c r="I114">
        <v>98.844233519211542</v>
      </c>
    </row>
    <row r="115" spans="1:9" x14ac:dyDescent="0.25">
      <c r="A115" t="s">
        <v>61</v>
      </c>
      <c r="B115" s="3">
        <v>41834</v>
      </c>
      <c r="C115" t="s">
        <v>9</v>
      </c>
      <c r="D115">
        <v>164.57499999999999</v>
      </c>
      <c r="E115">
        <v>9.4397651806955096</v>
      </c>
      <c r="F115">
        <v>58.366203609999992</v>
      </c>
      <c r="G115">
        <v>0.62227760183250447</v>
      </c>
    </row>
    <row r="116" spans="1:9" x14ac:dyDescent="0.25">
      <c r="A116" t="s">
        <v>61</v>
      </c>
      <c r="B116" s="3">
        <v>41856</v>
      </c>
      <c r="C116" t="s">
        <v>9</v>
      </c>
      <c r="D116">
        <v>466.35</v>
      </c>
      <c r="E116">
        <v>110.32505004153272</v>
      </c>
      <c r="F116">
        <v>192.150047925</v>
      </c>
      <c r="G116">
        <v>46.656262973803123</v>
      </c>
    </row>
    <row r="117" spans="1:9" x14ac:dyDescent="0.25">
      <c r="A117" t="s">
        <v>62</v>
      </c>
      <c r="B117" s="3">
        <v>41891</v>
      </c>
      <c r="C117" t="s">
        <v>6</v>
      </c>
      <c r="D117">
        <v>1119.6999999999998</v>
      </c>
      <c r="E117">
        <v>48.392148123434595</v>
      </c>
      <c r="F117">
        <v>561.56800865000002</v>
      </c>
      <c r="G117">
        <v>29.905952717158133</v>
      </c>
      <c r="H117">
        <v>165.52500000000001</v>
      </c>
      <c r="I117">
        <v>24.876545178139065</v>
      </c>
    </row>
    <row r="118" spans="1:9" x14ac:dyDescent="0.25">
      <c r="A118" t="s">
        <v>62</v>
      </c>
      <c r="B118" s="3">
        <v>41871</v>
      </c>
      <c r="C118" t="s">
        <v>6</v>
      </c>
      <c r="D118">
        <v>695.55</v>
      </c>
      <c r="E118">
        <v>75.600903874667679</v>
      </c>
      <c r="F118">
        <v>344.46800439999998</v>
      </c>
      <c r="G118">
        <v>37.10484729185093</v>
      </c>
    </row>
    <row r="119" spans="1:9" x14ac:dyDescent="0.25">
      <c r="A119" t="s">
        <v>62</v>
      </c>
      <c r="B119" s="3">
        <v>41947</v>
      </c>
      <c r="C119" t="s">
        <v>6</v>
      </c>
      <c r="D119">
        <v>1698.675</v>
      </c>
      <c r="E119">
        <v>95.470951079375951</v>
      </c>
      <c r="F119">
        <v>604.49757765000004</v>
      </c>
      <c r="G119">
        <v>44.332099952998007</v>
      </c>
      <c r="H119">
        <v>969.2</v>
      </c>
      <c r="I119">
        <v>58.657593995434397</v>
      </c>
    </row>
    <row r="120" spans="1:9" x14ac:dyDescent="0.25">
      <c r="A120" t="s">
        <v>62</v>
      </c>
      <c r="B120" s="3">
        <v>41834</v>
      </c>
      <c r="C120" t="s">
        <v>6</v>
      </c>
      <c r="D120">
        <v>126.8</v>
      </c>
      <c r="E120">
        <v>20.275601100830489</v>
      </c>
      <c r="F120">
        <v>42.162912085000002</v>
      </c>
      <c r="G120">
        <v>15.876740830432089</v>
      </c>
    </row>
    <row r="121" spans="1:9" x14ac:dyDescent="0.25">
      <c r="A121" t="s">
        <v>62</v>
      </c>
      <c r="B121" s="3">
        <v>41856</v>
      </c>
      <c r="C121" t="s">
        <v>6</v>
      </c>
      <c r="D121">
        <v>425.32499999999993</v>
      </c>
      <c r="E121">
        <v>47.151343211691888</v>
      </c>
      <c r="F121">
        <v>167.88353985000001</v>
      </c>
      <c r="G121">
        <v>20.936537049169981</v>
      </c>
    </row>
    <row r="122" spans="1:9" x14ac:dyDescent="0.25">
      <c r="A122" t="s">
        <v>93</v>
      </c>
      <c r="B122" s="3">
        <v>42227</v>
      </c>
      <c r="C122" t="s">
        <v>13</v>
      </c>
      <c r="D122">
        <v>679.01666666666665</v>
      </c>
      <c r="E122">
        <v>73.770544257175217</v>
      </c>
      <c r="F122">
        <v>403.67055011866921</v>
      </c>
      <c r="G122">
        <v>42.269416137298471</v>
      </c>
      <c r="H122">
        <v>114.5278831552602</v>
      </c>
      <c r="I122">
        <v>15.083273640160504</v>
      </c>
    </row>
    <row r="123" spans="1:9" x14ac:dyDescent="0.25">
      <c r="A123" t="s">
        <v>93</v>
      </c>
      <c r="B123" s="3">
        <v>42201</v>
      </c>
      <c r="C123" t="s">
        <v>13</v>
      </c>
      <c r="D123">
        <v>228.71999999999997</v>
      </c>
      <c r="E123">
        <v>16.126536676707495</v>
      </c>
      <c r="F123">
        <v>117.85805770552118</v>
      </c>
      <c r="G123">
        <v>13.836546010644632</v>
      </c>
    </row>
    <row r="124" spans="1:9" x14ac:dyDescent="0.25">
      <c r="A124" t="s">
        <v>93</v>
      </c>
      <c r="B124" s="3">
        <v>42284</v>
      </c>
      <c r="C124" t="s">
        <v>13</v>
      </c>
      <c r="D124">
        <v>1254.1939884601213</v>
      </c>
      <c r="E124">
        <v>285.83889093027756</v>
      </c>
      <c r="F124">
        <v>461.46502749709197</v>
      </c>
      <c r="G124">
        <v>112.36122171288525</v>
      </c>
      <c r="H124">
        <v>662.21788454925763</v>
      </c>
      <c r="I124">
        <v>133.09844966154856</v>
      </c>
    </row>
    <row r="125" spans="1:9" x14ac:dyDescent="0.25">
      <c r="A125" t="s">
        <v>93</v>
      </c>
      <c r="B125" s="3">
        <v>42188</v>
      </c>
      <c r="C125" t="s">
        <v>13</v>
      </c>
      <c r="D125">
        <v>134.36333333333334</v>
      </c>
      <c r="E125">
        <v>14.52448813402906</v>
      </c>
      <c r="F125">
        <v>53.175786875284984</v>
      </c>
      <c r="G125">
        <v>7.0845129074426545</v>
      </c>
    </row>
    <row r="126" spans="1:9" x14ac:dyDescent="0.25">
      <c r="A126" t="s">
        <v>93</v>
      </c>
      <c r="B126" s="3">
        <v>42194</v>
      </c>
      <c r="C126" t="s">
        <v>13</v>
      </c>
      <c r="D126">
        <v>182.61333333333332</v>
      </c>
      <c r="E126">
        <v>29.639827060024484</v>
      </c>
      <c r="F126">
        <v>82.895561404840237</v>
      </c>
      <c r="G126">
        <v>15.136758682475818</v>
      </c>
    </row>
    <row r="127" spans="1:9" x14ac:dyDescent="0.25">
      <c r="A127" t="s">
        <v>94</v>
      </c>
      <c r="B127" s="3">
        <v>42241</v>
      </c>
      <c r="C127" t="s">
        <v>14</v>
      </c>
      <c r="D127">
        <v>759.95999999999992</v>
      </c>
      <c r="E127">
        <v>111.97792057497847</v>
      </c>
      <c r="F127">
        <v>405.84984368841731</v>
      </c>
      <c r="G127">
        <v>77.649329007704026</v>
      </c>
      <c r="H127">
        <v>151.56333779775204</v>
      </c>
      <c r="I127">
        <v>13.398168478136251</v>
      </c>
    </row>
    <row r="128" spans="1:9" x14ac:dyDescent="0.25">
      <c r="A128" t="s">
        <v>94</v>
      </c>
      <c r="B128" s="3">
        <v>42213</v>
      </c>
      <c r="C128" t="s">
        <v>14</v>
      </c>
      <c r="D128">
        <v>393.68999999999994</v>
      </c>
      <c r="E128">
        <v>91.662659710403005</v>
      </c>
      <c r="F128">
        <v>207.090724576208</v>
      </c>
      <c r="G128">
        <v>42.4397160739341</v>
      </c>
    </row>
    <row r="129" spans="1:9" x14ac:dyDescent="0.25">
      <c r="A129" t="s">
        <v>94</v>
      </c>
      <c r="B129" s="3">
        <v>42290</v>
      </c>
      <c r="C129" t="s">
        <v>14</v>
      </c>
      <c r="D129">
        <v>1309.71</v>
      </c>
      <c r="E129">
        <v>167.77321425728846</v>
      </c>
      <c r="F129">
        <v>391.93391702867302</v>
      </c>
      <c r="G129">
        <v>45.372459024732606</v>
      </c>
      <c r="H129">
        <v>773.16998260883986</v>
      </c>
      <c r="I129">
        <v>80.022974293656048</v>
      </c>
    </row>
    <row r="130" spans="1:9" x14ac:dyDescent="0.25">
      <c r="A130" t="s">
        <v>94</v>
      </c>
      <c r="B130" s="3">
        <v>42188</v>
      </c>
      <c r="C130" t="s">
        <v>14</v>
      </c>
      <c r="D130">
        <v>139.30333333333334</v>
      </c>
      <c r="E130">
        <v>5.4101838128560011</v>
      </c>
      <c r="F130">
        <v>43.041339356840318</v>
      </c>
      <c r="G130">
        <v>3.68072606227752</v>
      </c>
    </row>
    <row r="131" spans="1:9" x14ac:dyDescent="0.25">
      <c r="A131" t="s">
        <v>94</v>
      </c>
      <c r="B131" s="3">
        <v>42194</v>
      </c>
      <c r="C131" t="s">
        <v>14</v>
      </c>
      <c r="D131">
        <v>144.46333333333331</v>
      </c>
      <c r="E131">
        <v>20.139938210211142</v>
      </c>
      <c r="F131">
        <v>49.894469057319064</v>
      </c>
      <c r="G131">
        <v>7.9615189223251308</v>
      </c>
    </row>
    <row r="132" spans="1:9" x14ac:dyDescent="0.25">
      <c r="A132" t="s">
        <v>95</v>
      </c>
      <c r="B132" s="3">
        <v>42241</v>
      </c>
      <c r="C132" t="s">
        <v>12</v>
      </c>
      <c r="D132">
        <v>831.69666666666672</v>
      </c>
      <c r="E132">
        <v>22.976399808242093</v>
      </c>
      <c r="F132">
        <v>466.61623094392274</v>
      </c>
      <c r="G132">
        <v>11.310320513019745</v>
      </c>
      <c r="H132">
        <v>172.84555514708532</v>
      </c>
      <c r="I132">
        <v>11.714116157950157</v>
      </c>
    </row>
    <row r="133" spans="1:9" x14ac:dyDescent="0.25">
      <c r="A133" t="s">
        <v>95</v>
      </c>
      <c r="B133" s="3">
        <v>42209</v>
      </c>
      <c r="C133" t="s">
        <v>12</v>
      </c>
      <c r="D133">
        <v>282.81</v>
      </c>
      <c r="E133">
        <v>43.195525659922609</v>
      </c>
      <c r="F133">
        <v>149.28041577986011</v>
      </c>
      <c r="G133">
        <v>25.221324739941544</v>
      </c>
    </row>
    <row r="134" spans="1:9" x14ac:dyDescent="0.25">
      <c r="A134" t="s">
        <v>95</v>
      </c>
      <c r="B134" s="3">
        <v>42290</v>
      </c>
      <c r="C134" t="s">
        <v>12</v>
      </c>
      <c r="D134">
        <v>1224.9666666666667</v>
      </c>
      <c r="E134">
        <v>152.01403853299436</v>
      </c>
      <c r="F134">
        <v>401.98449731588602</v>
      </c>
      <c r="G134">
        <v>56.467252517412966</v>
      </c>
      <c r="H134">
        <v>687.41855732585987</v>
      </c>
      <c r="I134">
        <v>80.634996745968948</v>
      </c>
    </row>
    <row r="135" spans="1:9" x14ac:dyDescent="0.25">
      <c r="A135" t="s">
        <v>95</v>
      </c>
      <c r="B135" s="3">
        <v>42188</v>
      </c>
      <c r="C135" t="s">
        <v>12</v>
      </c>
      <c r="D135">
        <v>112.36333333333333</v>
      </c>
      <c r="E135">
        <v>25.316800160572708</v>
      </c>
      <c r="F135">
        <v>39.806067151670192</v>
      </c>
      <c r="G135">
        <v>9.7173183529896203</v>
      </c>
    </row>
    <row r="136" spans="1:9" x14ac:dyDescent="0.25">
      <c r="A136" t="s">
        <v>95</v>
      </c>
      <c r="B136" s="3">
        <v>42194</v>
      </c>
      <c r="C136" t="s">
        <v>12</v>
      </c>
      <c r="D136">
        <v>145.80999999999997</v>
      </c>
      <c r="E136">
        <v>21.849354596790722</v>
      </c>
      <c r="F136">
        <v>60.377178054750146</v>
      </c>
      <c r="G136">
        <v>11.507304534732503</v>
      </c>
    </row>
    <row r="137" spans="1:9" x14ac:dyDescent="0.25">
      <c r="A137" t="s">
        <v>96</v>
      </c>
      <c r="B137" s="3">
        <v>42234</v>
      </c>
      <c r="C137" t="s">
        <v>10</v>
      </c>
      <c r="D137">
        <v>817.65333333333331</v>
      </c>
      <c r="E137">
        <v>66.220044408633726</v>
      </c>
      <c r="F137">
        <v>424.31010633329248</v>
      </c>
      <c r="G137">
        <v>54.991042434583633</v>
      </c>
      <c r="H137">
        <v>189.47353596311635</v>
      </c>
      <c r="I137">
        <v>17.387470794828491</v>
      </c>
    </row>
    <row r="138" spans="1:9" x14ac:dyDescent="0.25">
      <c r="A138" t="s">
        <v>96</v>
      </c>
      <c r="B138" s="3">
        <v>42209</v>
      </c>
      <c r="C138" t="s">
        <v>10</v>
      </c>
      <c r="D138">
        <v>310.7</v>
      </c>
      <c r="E138">
        <v>17.673290162988909</v>
      </c>
      <c r="F138">
        <v>161.1860683786669</v>
      </c>
      <c r="G138">
        <v>11.024832948771344</v>
      </c>
    </row>
    <row r="139" spans="1:9" x14ac:dyDescent="0.25">
      <c r="A139" t="s">
        <v>96</v>
      </c>
      <c r="B139" s="3">
        <v>42290</v>
      </c>
      <c r="C139" t="s">
        <v>10</v>
      </c>
      <c r="D139">
        <v>1241.5866666666666</v>
      </c>
      <c r="E139">
        <v>63.905805683058439</v>
      </c>
      <c r="F139">
        <v>315.60703343742966</v>
      </c>
      <c r="G139">
        <v>10.296372653528195</v>
      </c>
      <c r="H139">
        <v>774.38963110094221</v>
      </c>
      <c r="I139">
        <v>39.126537437376939</v>
      </c>
    </row>
    <row r="140" spans="1:9" x14ac:dyDescent="0.25">
      <c r="A140" t="s">
        <v>96</v>
      </c>
      <c r="B140" s="3">
        <v>42188</v>
      </c>
      <c r="C140" t="s">
        <v>10</v>
      </c>
      <c r="D140">
        <v>121.34666666666668</v>
      </c>
      <c r="E140">
        <v>30.868036446688237</v>
      </c>
      <c r="F140">
        <v>35.962227877421697</v>
      </c>
      <c r="G140">
        <v>9.511496338644001</v>
      </c>
    </row>
    <row r="141" spans="1:9" x14ac:dyDescent="0.25">
      <c r="A141" t="s">
        <v>96</v>
      </c>
      <c r="B141" s="3">
        <v>42194</v>
      </c>
      <c r="C141" t="s">
        <v>10</v>
      </c>
      <c r="D141">
        <v>158.48333333333335</v>
      </c>
      <c r="E141">
        <v>25.106923642987667</v>
      </c>
      <c r="F141">
        <v>58.76072515341793</v>
      </c>
      <c r="G141">
        <v>10.645537614579217</v>
      </c>
    </row>
    <row r="142" spans="1:9" x14ac:dyDescent="0.25">
      <c r="A142" t="s">
        <v>97</v>
      </c>
      <c r="B142" s="3">
        <v>42241</v>
      </c>
      <c r="C142" t="s">
        <v>8</v>
      </c>
      <c r="D142">
        <v>858.21000000000015</v>
      </c>
      <c r="E142">
        <v>46.2688752274656</v>
      </c>
      <c r="F142">
        <v>460.93790077785496</v>
      </c>
      <c r="G142">
        <v>26.410829055585712</v>
      </c>
      <c r="H142">
        <v>165.76617342204196</v>
      </c>
      <c r="I142">
        <v>7.9770409065042251</v>
      </c>
    </row>
    <row r="143" spans="1:9" x14ac:dyDescent="0.25">
      <c r="A143" t="s">
        <v>97</v>
      </c>
      <c r="B143" s="3">
        <v>42213</v>
      </c>
      <c r="C143" t="s">
        <v>8</v>
      </c>
      <c r="D143">
        <v>399.32666666666665</v>
      </c>
      <c r="E143">
        <v>50.173953402139205</v>
      </c>
      <c r="F143">
        <v>205.49169517345632</v>
      </c>
      <c r="G143">
        <v>25.261325167962244</v>
      </c>
    </row>
    <row r="144" spans="1:9" x14ac:dyDescent="0.25">
      <c r="A144" t="s">
        <v>97</v>
      </c>
      <c r="B144" s="3">
        <v>42290</v>
      </c>
      <c r="C144" t="s">
        <v>8</v>
      </c>
      <c r="D144">
        <v>1265.3000000000002</v>
      </c>
      <c r="E144">
        <v>113.29245929598731</v>
      </c>
      <c r="F144">
        <v>391.2668752944623</v>
      </c>
      <c r="G144">
        <v>44.70057470690103</v>
      </c>
      <c r="H144">
        <v>712.58714929868927</v>
      </c>
      <c r="I144">
        <v>66.380881925066433</v>
      </c>
    </row>
    <row r="145" spans="1:9" x14ac:dyDescent="0.25">
      <c r="A145" t="s">
        <v>97</v>
      </c>
      <c r="B145" s="3">
        <v>42188</v>
      </c>
      <c r="C145" t="s">
        <v>8</v>
      </c>
      <c r="D145">
        <v>145.28666666666669</v>
      </c>
      <c r="E145">
        <v>33.265476709957795</v>
      </c>
      <c r="F145">
        <v>49.806200058414646</v>
      </c>
      <c r="G145">
        <v>10.341500749458501</v>
      </c>
    </row>
    <row r="146" spans="1:9" x14ac:dyDescent="0.25">
      <c r="A146" t="s">
        <v>97</v>
      </c>
      <c r="B146" s="3">
        <v>42194</v>
      </c>
      <c r="C146" t="s">
        <v>8</v>
      </c>
      <c r="D146">
        <v>193.10333333333335</v>
      </c>
      <c r="E146">
        <v>25.11052988511214</v>
      </c>
      <c r="F146">
        <v>73.063759329153626</v>
      </c>
      <c r="G146">
        <v>9.7972277631551954</v>
      </c>
    </row>
    <row r="147" spans="1:9" x14ac:dyDescent="0.25">
      <c r="A147" t="s">
        <v>98</v>
      </c>
      <c r="B147" s="3">
        <v>42241</v>
      </c>
      <c r="C147" t="s">
        <v>4</v>
      </c>
      <c r="D147">
        <v>705.74333333333334</v>
      </c>
      <c r="E147">
        <v>78.195611414226036</v>
      </c>
      <c r="F147">
        <v>356.58603753092785</v>
      </c>
      <c r="G147">
        <v>40.989149014230314</v>
      </c>
      <c r="H147">
        <v>151.40642879343682</v>
      </c>
      <c r="I147">
        <v>23.87689369444567</v>
      </c>
    </row>
    <row r="148" spans="1:9" x14ac:dyDescent="0.25">
      <c r="A148" t="s">
        <v>98</v>
      </c>
      <c r="B148" s="3">
        <v>42220</v>
      </c>
      <c r="C148" t="s">
        <v>4</v>
      </c>
      <c r="D148">
        <v>364</v>
      </c>
      <c r="E148">
        <v>71.243185405108505</v>
      </c>
      <c r="F148">
        <v>203.16870775312972</v>
      </c>
      <c r="G148">
        <v>39.6711848720769</v>
      </c>
    </row>
    <row r="149" spans="1:9" x14ac:dyDescent="0.25">
      <c r="A149" t="s">
        <v>98</v>
      </c>
      <c r="B149" s="3">
        <v>42290</v>
      </c>
      <c r="C149" t="s">
        <v>4</v>
      </c>
      <c r="D149">
        <v>1259.616700486851</v>
      </c>
      <c r="E149">
        <v>204.45152689523732</v>
      </c>
      <c r="F149">
        <v>354.21923332585106</v>
      </c>
      <c r="G149">
        <v>63.762565953639452</v>
      </c>
      <c r="H149">
        <v>737.36530229977359</v>
      </c>
      <c r="I149">
        <v>99.375063813906337</v>
      </c>
    </row>
    <row r="150" spans="1:9" x14ac:dyDescent="0.25">
      <c r="A150" t="s">
        <v>98</v>
      </c>
      <c r="B150" s="3">
        <v>42188</v>
      </c>
      <c r="C150" t="s">
        <v>4</v>
      </c>
      <c r="D150">
        <v>93.123333333333349</v>
      </c>
      <c r="E150">
        <v>24.648332826199688</v>
      </c>
      <c r="F150">
        <v>26.082297240962234</v>
      </c>
      <c r="G150">
        <v>16.359650832805876</v>
      </c>
    </row>
    <row r="151" spans="1:9" x14ac:dyDescent="0.25">
      <c r="A151" t="s">
        <v>98</v>
      </c>
      <c r="B151" s="3">
        <v>42194</v>
      </c>
      <c r="C151" t="s">
        <v>4</v>
      </c>
      <c r="D151">
        <v>112.72666666666667</v>
      </c>
      <c r="E151">
        <v>16.733181052870616</v>
      </c>
      <c r="F151">
        <v>38.783676747020195</v>
      </c>
      <c r="G151">
        <v>4.1595802322291595</v>
      </c>
    </row>
    <row r="152" spans="1:9" x14ac:dyDescent="0.25">
      <c r="A152" t="s">
        <v>99</v>
      </c>
      <c r="B152" s="3">
        <v>42234</v>
      </c>
      <c r="C152" t="s">
        <v>7</v>
      </c>
      <c r="D152">
        <v>778.52666666666676</v>
      </c>
      <c r="E152">
        <v>111.00108961760864</v>
      </c>
      <c r="F152">
        <v>440.32451360897721</v>
      </c>
      <c r="G152">
        <v>85.298437642773933</v>
      </c>
      <c r="H152">
        <v>153.20830621264264</v>
      </c>
      <c r="I152">
        <v>34.07645139128423</v>
      </c>
    </row>
    <row r="153" spans="1:9" x14ac:dyDescent="0.25">
      <c r="A153" t="s">
        <v>99</v>
      </c>
      <c r="B153" s="3">
        <v>42209</v>
      </c>
      <c r="C153" t="s">
        <v>7</v>
      </c>
      <c r="D153">
        <v>356.52666666666664</v>
      </c>
      <c r="E153">
        <v>49.158120688546234</v>
      </c>
      <c r="F153">
        <v>196.85142508546241</v>
      </c>
      <c r="G153">
        <v>17.905909857549354</v>
      </c>
    </row>
    <row r="154" spans="1:9" x14ac:dyDescent="0.25">
      <c r="A154" t="s">
        <v>99</v>
      </c>
      <c r="B154" s="3">
        <v>42284</v>
      </c>
      <c r="C154" t="s">
        <v>7</v>
      </c>
      <c r="D154">
        <v>1493.3441606417084</v>
      </c>
      <c r="E154">
        <v>113.11928917488243</v>
      </c>
      <c r="F154">
        <v>481.71258314715323</v>
      </c>
      <c r="G154">
        <v>17.699851406612805</v>
      </c>
      <c r="H154">
        <v>843.05076670520987</v>
      </c>
      <c r="I154">
        <v>106.15858863019965</v>
      </c>
    </row>
    <row r="155" spans="1:9" x14ac:dyDescent="0.25">
      <c r="A155" t="s">
        <v>99</v>
      </c>
      <c r="B155" s="3">
        <v>42188</v>
      </c>
      <c r="C155" t="s">
        <v>7</v>
      </c>
      <c r="D155">
        <v>158.94</v>
      </c>
      <c r="E155">
        <v>9.7362704853020201</v>
      </c>
      <c r="F155">
        <v>55.121507286975607</v>
      </c>
      <c r="G155">
        <v>5.2381981896950993</v>
      </c>
    </row>
    <row r="156" spans="1:9" x14ac:dyDescent="0.25">
      <c r="A156" t="s">
        <v>99</v>
      </c>
      <c r="B156" s="3">
        <v>42194</v>
      </c>
      <c r="C156" t="s">
        <v>7</v>
      </c>
    </row>
    <row r="157" spans="1:9" x14ac:dyDescent="0.25">
      <c r="A157" t="s">
        <v>100</v>
      </c>
      <c r="B157" s="3">
        <v>42241</v>
      </c>
      <c r="C157" t="s">
        <v>2</v>
      </c>
      <c r="D157">
        <v>800.6733333333334</v>
      </c>
      <c r="E157">
        <v>96.288697079070857</v>
      </c>
      <c r="F157">
        <v>419.57571550672446</v>
      </c>
      <c r="G157">
        <v>58.124580792326753</v>
      </c>
      <c r="H157">
        <v>177.2288570447883</v>
      </c>
      <c r="I157">
        <v>23.575444969582115</v>
      </c>
    </row>
    <row r="158" spans="1:9" x14ac:dyDescent="0.25">
      <c r="A158" t="s">
        <v>100</v>
      </c>
      <c r="B158" s="3">
        <v>42213</v>
      </c>
      <c r="C158" t="s">
        <v>2</v>
      </c>
      <c r="D158">
        <v>334.30333333333334</v>
      </c>
      <c r="E158">
        <v>88.982130457416716</v>
      </c>
      <c r="F158">
        <v>179.50996247801859</v>
      </c>
      <c r="G158">
        <v>49.637294310975641</v>
      </c>
    </row>
    <row r="159" spans="1:9" x14ac:dyDescent="0.25">
      <c r="A159" t="s">
        <v>100</v>
      </c>
      <c r="B159" s="3">
        <v>42290</v>
      </c>
      <c r="C159" t="s">
        <v>2</v>
      </c>
      <c r="D159">
        <v>1312.62</v>
      </c>
      <c r="E159">
        <v>129.38933655759797</v>
      </c>
      <c r="F159">
        <v>380.57557170733332</v>
      </c>
      <c r="G159">
        <v>57.467425592439945</v>
      </c>
      <c r="H159">
        <v>774.49596437370451</v>
      </c>
      <c r="I159">
        <v>64.514617311748438</v>
      </c>
    </row>
    <row r="160" spans="1:9" x14ac:dyDescent="0.25">
      <c r="A160" t="s">
        <v>100</v>
      </c>
      <c r="B160" s="3">
        <v>42188</v>
      </c>
      <c r="C160" t="s">
        <v>2</v>
      </c>
      <c r="D160">
        <v>110.87000000000002</v>
      </c>
      <c r="E160">
        <v>48.217785407768673</v>
      </c>
      <c r="F160">
        <v>35.009089312271982</v>
      </c>
      <c r="G160">
        <v>14.855119500033322</v>
      </c>
    </row>
    <row r="161" spans="1:9" x14ac:dyDescent="0.25">
      <c r="A161" t="s">
        <v>100</v>
      </c>
      <c r="B161" s="3">
        <v>42194</v>
      </c>
      <c r="C161" t="s">
        <v>2</v>
      </c>
      <c r="D161">
        <v>136.43333333333334</v>
      </c>
      <c r="E161">
        <v>49.20061246231257</v>
      </c>
      <c r="F161">
        <v>48.382024110454601</v>
      </c>
      <c r="G161">
        <v>16.80835068619092</v>
      </c>
    </row>
    <row r="162" spans="1:9" x14ac:dyDescent="0.25">
      <c r="A162" t="s">
        <v>101</v>
      </c>
      <c r="B162" s="3">
        <v>42241</v>
      </c>
      <c r="C162" t="s">
        <v>3</v>
      </c>
      <c r="D162">
        <v>823.25</v>
      </c>
      <c r="E162">
        <v>126.0074971902401</v>
      </c>
      <c r="F162">
        <v>393.70436517667974</v>
      </c>
      <c r="G162">
        <v>60.092090371345414</v>
      </c>
      <c r="H162">
        <v>163.61369174180589</v>
      </c>
      <c r="I162">
        <v>26.994537141246916</v>
      </c>
    </row>
    <row r="163" spans="1:9" x14ac:dyDescent="0.25">
      <c r="A163" t="s">
        <v>101</v>
      </c>
      <c r="B163" s="3">
        <v>42213</v>
      </c>
      <c r="C163" t="s">
        <v>3</v>
      </c>
      <c r="D163">
        <v>363.67999999999995</v>
      </c>
      <c r="E163">
        <v>19.558089734791032</v>
      </c>
      <c r="F163">
        <v>166.44506662876159</v>
      </c>
      <c r="G163">
        <v>15.442194895376122</v>
      </c>
    </row>
    <row r="164" spans="1:9" x14ac:dyDescent="0.25">
      <c r="A164" t="s">
        <v>101</v>
      </c>
      <c r="B164" s="3">
        <v>42290</v>
      </c>
      <c r="C164" t="s">
        <v>3</v>
      </c>
      <c r="D164">
        <v>1299.8228144355598</v>
      </c>
      <c r="E164">
        <v>81.431238119783856</v>
      </c>
      <c r="F164">
        <v>341.57415034819292</v>
      </c>
      <c r="G164">
        <v>15.838262110642573</v>
      </c>
      <c r="H164">
        <v>780.34892598714077</v>
      </c>
      <c r="I164">
        <v>49.558819114522635</v>
      </c>
    </row>
    <row r="165" spans="1:9" x14ac:dyDescent="0.25">
      <c r="A165" t="s">
        <v>101</v>
      </c>
      <c r="B165" s="3">
        <v>42188</v>
      </c>
      <c r="C165" t="s">
        <v>3</v>
      </c>
      <c r="D165">
        <v>112.08333333333334</v>
      </c>
      <c r="E165">
        <v>35.19281471277062</v>
      </c>
      <c r="F165">
        <v>31.367013600289454</v>
      </c>
      <c r="G165">
        <v>9.1822034223675146</v>
      </c>
    </row>
    <row r="166" spans="1:9" x14ac:dyDescent="0.25">
      <c r="A166" t="s">
        <v>101</v>
      </c>
      <c r="B166" s="3">
        <v>42194</v>
      </c>
      <c r="C166" t="s">
        <v>3</v>
      </c>
      <c r="D166">
        <v>159.94333333333333</v>
      </c>
      <c r="E166">
        <v>8.0834563564525919</v>
      </c>
      <c r="F166">
        <v>49.109332955229306</v>
      </c>
      <c r="G166">
        <v>4.4983410466080391</v>
      </c>
    </row>
    <row r="167" spans="1:9" x14ac:dyDescent="0.25">
      <c r="A167" t="s">
        <v>102</v>
      </c>
      <c r="B167" s="3">
        <v>42234</v>
      </c>
      <c r="C167" t="s">
        <v>5</v>
      </c>
      <c r="D167">
        <v>761.79333333333352</v>
      </c>
      <c r="E167">
        <v>49.027859653692026</v>
      </c>
      <c r="F167">
        <v>381.91989283979859</v>
      </c>
      <c r="G167">
        <v>23.581855318851986</v>
      </c>
      <c r="H167">
        <v>177.84189907018302</v>
      </c>
      <c r="I167">
        <v>24.197843158188174</v>
      </c>
    </row>
    <row r="168" spans="1:9" x14ac:dyDescent="0.25">
      <c r="A168" t="s">
        <v>102</v>
      </c>
      <c r="B168" s="3">
        <v>42209</v>
      </c>
      <c r="C168" t="s">
        <v>5</v>
      </c>
      <c r="D168">
        <v>338.95666666666665</v>
      </c>
      <c r="E168">
        <v>28.703699851851869</v>
      </c>
      <c r="F168">
        <v>171.31467773054919</v>
      </c>
      <c r="G168">
        <v>13.304188059824607</v>
      </c>
    </row>
    <row r="169" spans="1:9" x14ac:dyDescent="0.25">
      <c r="A169" t="s">
        <v>102</v>
      </c>
      <c r="B169" s="3">
        <v>42284</v>
      </c>
      <c r="C169" t="s">
        <v>5</v>
      </c>
      <c r="D169">
        <v>1307.3458643984882</v>
      </c>
      <c r="E169">
        <v>171.96788486909384</v>
      </c>
      <c r="F169">
        <v>410.53909919955015</v>
      </c>
      <c r="G169">
        <v>57.113905057415366</v>
      </c>
      <c r="H169">
        <v>754.82773551829303</v>
      </c>
      <c r="I169">
        <v>101.48961103812526</v>
      </c>
    </row>
    <row r="170" spans="1:9" x14ac:dyDescent="0.25">
      <c r="A170" t="s">
        <v>102</v>
      </c>
      <c r="B170" s="3">
        <v>42188</v>
      </c>
      <c r="C170" t="s">
        <v>5</v>
      </c>
      <c r="D170">
        <v>138.24666666666667</v>
      </c>
      <c r="E170">
        <v>20.967093795331323</v>
      </c>
      <c r="F170">
        <v>43.440666324306406</v>
      </c>
      <c r="G170">
        <v>7.4585751412620516</v>
      </c>
    </row>
    <row r="171" spans="1:9" x14ac:dyDescent="0.25">
      <c r="A171" t="s">
        <v>102</v>
      </c>
      <c r="B171" s="3">
        <v>42194</v>
      </c>
      <c r="C171" t="s">
        <v>5</v>
      </c>
      <c r="D171">
        <v>166.68333333333334</v>
      </c>
      <c r="E171">
        <v>36.423148317153178</v>
      </c>
      <c r="F171">
        <v>60.441689380615578</v>
      </c>
      <c r="G171">
        <v>11.243849837767417</v>
      </c>
    </row>
    <row r="172" spans="1:9" x14ac:dyDescent="0.25">
      <c r="A172" t="s">
        <v>103</v>
      </c>
      <c r="B172" s="3">
        <v>42234</v>
      </c>
      <c r="C172" t="s">
        <v>9</v>
      </c>
      <c r="D172">
        <v>826.90666666666675</v>
      </c>
      <c r="E172">
        <v>119.62724228325295</v>
      </c>
      <c r="F172">
        <v>460.95188992833073</v>
      </c>
      <c r="G172">
        <v>71.330673404694451</v>
      </c>
      <c r="H172">
        <v>141.18343878274172</v>
      </c>
      <c r="I172">
        <v>20.86272975992426</v>
      </c>
    </row>
    <row r="173" spans="1:9" x14ac:dyDescent="0.25">
      <c r="A173" t="s">
        <v>103</v>
      </c>
      <c r="B173" s="3">
        <v>42213</v>
      </c>
      <c r="C173" t="s">
        <v>9</v>
      </c>
      <c r="D173">
        <v>391.60333333333335</v>
      </c>
      <c r="E173">
        <v>82.355624422829266</v>
      </c>
      <c r="F173">
        <v>210.57974332859149</v>
      </c>
      <c r="G173">
        <v>53.104225391094133</v>
      </c>
    </row>
    <row r="174" spans="1:9" x14ac:dyDescent="0.25">
      <c r="A174" t="s">
        <v>103</v>
      </c>
      <c r="B174" s="3">
        <v>42284</v>
      </c>
      <c r="C174" t="s">
        <v>9</v>
      </c>
      <c r="D174">
        <v>1405.3559167505446</v>
      </c>
      <c r="E174">
        <v>104.58319763987072</v>
      </c>
      <c r="F174">
        <v>507.33995952069324</v>
      </c>
      <c r="G174">
        <v>51.323215810614784</v>
      </c>
      <c r="H174">
        <v>732.96696846501686</v>
      </c>
      <c r="I174">
        <v>59.771742447477152</v>
      </c>
    </row>
    <row r="175" spans="1:9" x14ac:dyDescent="0.25">
      <c r="A175" t="s">
        <v>103</v>
      </c>
      <c r="B175" s="3">
        <v>42188</v>
      </c>
      <c r="C175" t="s">
        <v>9</v>
      </c>
      <c r="D175">
        <v>127.78333333333336</v>
      </c>
      <c r="E175">
        <v>19.227543129968822</v>
      </c>
      <c r="F175">
        <v>41.043059054354444</v>
      </c>
      <c r="G175">
        <v>5.6702633043260446</v>
      </c>
    </row>
    <row r="176" spans="1:9" x14ac:dyDescent="0.25">
      <c r="A176" t="s">
        <v>103</v>
      </c>
      <c r="B176" s="3">
        <v>42194</v>
      </c>
      <c r="C176" t="s">
        <v>9</v>
      </c>
      <c r="D176">
        <v>159.18</v>
      </c>
      <c r="E176">
        <v>14.173847591799174</v>
      </c>
      <c r="F176">
        <v>60.412169168976114</v>
      </c>
      <c r="G176">
        <v>8.8590509917846401</v>
      </c>
    </row>
    <row r="177" spans="1:9" x14ac:dyDescent="0.25">
      <c r="A177" t="s">
        <v>104</v>
      </c>
      <c r="B177" s="3">
        <v>42234</v>
      </c>
      <c r="C177" t="s">
        <v>6</v>
      </c>
      <c r="D177">
        <v>850.9233333333334</v>
      </c>
      <c r="E177">
        <v>53.488848128128929</v>
      </c>
      <c r="F177">
        <v>477.33593865995056</v>
      </c>
      <c r="G177">
        <v>32.032116424356431</v>
      </c>
      <c r="H177">
        <v>156.97456561918375</v>
      </c>
      <c r="I177">
        <v>21.295552946867229</v>
      </c>
    </row>
    <row r="178" spans="1:9" x14ac:dyDescent="0.25">
      <c r="A178" t="s">
        <v>104</v>
      </c>
      <c r="B178" s="3">
        <v>42209</v>
      </c>
      <c r="C178" t="s">
        <v>6</v>
      </c>
      <c r="D178">
        <v>311.70333333333332</v>
      </c>
      <c r="E178">
        <v>35.155716884023832</v>
      </c>
      <c r="F178">
        <v>166.81231240633994</v>
      </c>
      <c r="G178">
        <v>23.890361857007822</v>
      </c>
    </row>
    <row r="179" spans="1:9" x14ac:dyDescent="0.25">
      <c r="A179" t="s">
        <v>104</v>
      </c>
      <c r="B179" s="3">
        <v>42284</v>
      </c>
      <c r="C179" t="s">
        <v>6</v>
      </c>
      <c r="D179">
        <v>1350.1361616031777</v>
      </c>
      <c r="E179">
        <v>139.56434413021756</v>
      </c>
      <c r="F179">
        <v>454.85616410181456</v>
      </c>
      <c r="G179">
        <v>41.622410303797984</v>
      </c>
      <c r="H179">
        <v>742.71478807744938</v>
      </c>
      <c r="I179">
        <v>83.374249036232385</v>
      </c>
    </row>
    <row r="180" spans="1:9" x14ac:dyDescent="0.25">
      <c r="A180" t="s">
        <v>104</v>
      </c>
      <c r="B180" s="3">
        <v>42188</v>
      </c>
      <c r="C180" t="s">
        <v>6</v>
      </c>
      <c r="D180">
        <v>129.74333333333334</v>
      </c>
      <c r="E180">
        <v>30.724392770421225</v>
      </c>
      <c r="F180">
        <v>45.123478556655456</v>
      </c>
      <c r="G180">
        <v>11.203309860312297</v>
      </c>
    </row>
    <row r="181" spans="1:9" x14ac:dyDescent="0.25">
      <c r="A181" t="s">
        <v>104</v>
      </c>
      <c r="B181" s="3">
        <v>42194</v>
      </c>
      <c r="C181" t="s">
        <v>6</v>
      </c>
      <c r="D181">
        <v>136.36666666666667</v>
      </c>
      <c r="E181">
        <v>12.638333223438268</v>
      </c>
      <c r="F181">
        <v>52.377868248748925</v>
      </c>
      <c r="G181">
        <v>5.330551293816546</v>
      </c>
    </row>
    <row r="182" spans="1:9" x14ac:dyDescent="0.25">
      <c r="A182" t="s">
        <v>15</v>
      </c>
      <c r="B182" s="3">
        <v>41928</v>
      </c>
      <c r="C182" t="s">
        <v>13</v>
      </c>
      <c r="D182">
        <v>665.50000000000011</v>
      </c>
      <c r="E182">
        <v>144.6965534924465</v>
      </c>
      <c r="F182">
        <v>343.38696736667413</v>
      </c>
      <c r="G182">
        <v>67.763005474108965</v>
      </c>
      <c r="H182">
        <v>184.94469146848101</v>
      </c>
      <c r="I182">
        <v>49.004940680402115</v>
      </c>
    </row>
    <row r="183" spans="1:9" x14ac:dyDescent="0.25">
      <c r="A183" t="s">
        <v>15</v>
      </c>
      <c r="B183" s="3">
        <v>41900</v>
      </c>
      <c r="C183" t="s">
        <v>13</v>
      </c>
      <c r="D183">
        <v>382.72500000000002</v>
      </c>
      <c r="E183">
        <v>88.876770180839827</v>
      </c>
    </row>
    <row r="184" spans="1:9" x14ac:dyDescent="0.25">
      <c r="A184" t="s">
        <v>15</v>
      </c>
      <c r="B184" s="3">
        <v>41957</v>
      </c>
      <c r="C184" t="s">
        <v>13</v>
      </c>
      <c r="D184">
        <v>714.0625</v>
      </c>
      <c r="E184">
        <v>114.67075200652008</v>
      </c>
      <c r="F184">
        <v>258.55055084948214</v>
      </c>
      <c r="G184">
        <v>51.482899002085162</v>
      </c>
      <c r="H184">
        <v>376.65717773238089</v>
      </c>
      <c r="I184">
        <v>51.672015917943675</v>
      </c>
    </row>
    <row r="185" spans="1:9" x14ac:dyDescent="0.25">
      <c r="A185" t="s">
        <v>15</v>
      </c>
      <c r="B185" s="3">
        <v>41834</v>
      </c>
      <c r="C185" t="s">
        <v>13</v>
      </c>
      <c r="D185">
        <v>29.041666666666664</v>
      </c>
      <c r="E185">
        <v>5.6640108155368889</v>
      </c>
    </row>
    <row r="186" spans="1:9" x14ac:dyDescent="0.25">
      <c r="A186" t="s">
        <v>15</v>
      </c>
      <c r="B186" s="3">
        <v>41865</v>
      </c>
      <c r="C186" t="s">
        <v>13</v>
      </c>
      <c r="D186">
        <v>140.29166666666669</v>
      </c>
      <c r="E186">
        <v>28.147223729947207</v>
      </c>
    </row>
    <row r="187" spans="1:9" x14ac:dyDescent="0.25">
      <c r="A187" t="s">
        <v>16</v>
      </c>
      <c r="B187" s="3">
        <v>41928</v>
      </c>
      <c r="C187" t="s">
        <v>14</v>
      </c>
      <c r="D187">
        <v>783.54166666666674</v>
      </c>
      <c r="E187">
        <v>52.813854628691104</v>
      </c>
      <c r="F187">
        <v>408.67624219010008</v>
      </c>
      <c r="G187">
        <v>19.773347068954568</v>
      </c>
      <c r="H187">
        <v>207.31421502545237</v>
      </c>
      <c r="I187">
        <v>12.623535605608025</v>
      </c>
    </row>
    <row r="188" spans="1:9" x14ac:dyDescent="0.25">
      <c r="A188" t="s">
        <v>16</v>
      </c>
      <c r="B188" s="3">
        <v>41900</v>
      </c>
      <c r="C188" t="s">
        <v>14</v>
      </c>
      <c r="D188">
        <v>466.625</v>
      </c>
      <c r="E188">
        <v>71.377501253442375</v>
      </c>
    </row>
    <row r="189" spans="1:9" x14ac:dyDescent="0.25">
      <c r="A189" t="s">
        <v>16</v>
      </c>
      <c r="B189" s="3">
        <v>41957</v>
      </c>
      <c r="C189" t="s">
        <v>14</v>
      </c>
      <c r="D189">
        <v>850.39583333333326</v>
      </c>
      <c r="E189">
        <v>29.591773052786966</v>
      </c>
      <c r="F189">
        <v>303.32582142423905</v>
      </c>
      <c r="G189">
        <v>22.742652733638504</v>
      </c>
      <c r="H189">
        <v>448.45044723873775</v>
      </c>
      <c r="I189">
        <v>34.274047058045916</v>
      </c>
    </row>
    <row r="190" spans="1:9" x14ac:dyDescent="0.25">
      <c r="A190" t="s">
        <v>16</v>
      </c>
      <c r="B190" s="3">
        <v>41834</v>
      </c>
      <c r="C190" t="s">
        <v>14</v>
      </c>
      <c r="D190">
        <v>25.375</v>
      </c>
      <c r="E190">
        <v>3.36478220086518</v>
      </c>
    </row>
    <row r="191" spans="1:9" x14ac:dyDescent="0.25">
      <c r="A191" t="s">
        <v>16</v>
      </c>
      <c r="B191" s="3">
        <v>41865</v>
      </c>
      <c r="C191" t="s">
        <v>14</v>
      </c>
      <c r="D191">
        <v>122.25</v>
      </c>
      <c r="E191">
        <v>19.728481010026176</v>
      </c>
    </row>
    <row r="192" spans="1:9" x14ac:dyDescent="0.25">
      <c r="A192" t="s">
        <v>17</v>
      </c>
      <c r="B192" s="3">
        <v>41928</v>
      </c>
      <c r="C192" t="s">
        <v>12</v>
      </c>
      <c r="D192">
        <v>740.95833333333337</v>
      </c>
      <c r="E192">
        <v>66.218126504589577</v>
      </c>
      <c r="F192">
        <v>402.09311272004368</v>
      </c>
      <c r="G192">
        <v>29.063166907215049</v>
      </c>
      <c r="H192">
        <v>179.03954011129463</v>
      </c>
      <c r="I192">
        <v>29.398693479690408</v>
      </c>
    </row>
    <row r="193" spans="1:9" x14ac:dyDescent="0.25">
      <c r="A193" t="s">
        <v>17</v>
      </c>
      <c r="B193" s="3">
        <v>41900</v>
      </c>
      <c r="C193" t="s">
        <v>12</v>
      </c>
      <c r="D193">
        <v>436.04166666666674</v>
      </c>
      <c r="E193">
        <v>24.565624506765083</v>
      </c>
    </row>
    <row r="194" spans="1:9" x14ac:dyDescent="0.25">
      <c r="A194" t="s">
        <v>17</v>
      </c>
      <c r="B194" s="3">
        <v>41957</v>
      </c>
      <c r="C194" t="s">
        <v>12</v>
      </c>
      <c r="D194">
        <v>783.91666666666674</v>
      </c>
      <c r="E194">
        <v>38.523321459814127</v>
      </c>
      <c r="F194">
        <v>281.42539379618336</v>
      </c>
      <c r="G194">
        <v>16.112147909147183</v>
      </c>
      <c r="H194">
        <v>404.67425543674074</v>
      </c>
      <c r="I194">
        <v>18.256732955369298</v>
      </c>
    </row>
    <row r="195" spans="1:9" x14ac:dyDescent="0.25">
      <c r="A195" t="s">
        <v>17</v>
      </c>
      <c r="B195" s="3">
        <v>41834</v>
      </c>
      <c r="C195" t="s">
        <v>12</v>
      </c>
      <c r="D195">
        <v>31.625</v>
      </c>
      <c r="E195">
        <v>3.5469731488296543</v>
      </c>
    </row>
    <row r="196" spans="1:9" x14ac:dyDescent="0.25">
      <c r="A196" t="s">
        <v>17</v>
      </c>
      <c r="B196" s="3">
        <v>41865</v>
      </c>
      <c r="C196" t="s">
        <v>12</v>
      </c>
      <c r="D196">
        <v>155.95833333333331</v>
      </c>
      <c r="E196">
        <v>10.686938202691678</v>
      </c>
    </row>
    <row r="197" spans="1:9" x14ac:dyDescent="0.25">
      <c r="A197" t="s">
        <v>18</v>
      </c>
      <c r="B197" s="3">
        <v>41921</v>
      </c>
      <c r="C197" t="s">
        <v>10</v>
      </c>
      <c r="D197">
        <v>871.83333333333348</v>
      </c>
      <c r="E197">
        <v>79.880118511011105</v>
      </c>
      <c r="F197">
        <v>456.41359556913642</v>
      </c>
      <c r="G197">
        <v>52.778073769045037</v>
      </c>
      <c r="H197">
        <v>241.40615377620961</v>
      </c>
      <c r="I197">
        <v>21.424104034046639</v>
      </c>
    </row>
    <row r="198" spans="1:9" x14ac:dyDescent="0.25">
      <c r="A198" t="s">
        <v>18</v>
      </c>
      <c r="B198" s="3">
        <v>41900</v>
      </c>
      <c r="C198" t="s">
        <v>10</v>
      </c>
      <c r="D198">
        <v>527.41666666666674</v>
      </c>
      <c r="E198">
        <v>37.179619068435933</v>
      </c>
    </row>
    <row r="199" spans="1:9" x14ac:dyDescent="0.25">
      <c r="A199" t="s">
        <v>18</v>
      </c>
      <c r="B199" s="3">
        <v>41957</v>
      </c>
      <c r="C199" t="s">
        <v>10</v>
      </c>
      <c r="D199">
        <v>970.85416666666674</v>
      </c>
      <c r="E199">
        <v>69.305128310861761</v>
      </c>
      <c r="F199">
        <v>295.77355271236235</v>
      </c>
      <c r="G199">
        <v>25.851843479443588</v>
      </c>
      <c r="H199">
        <v>589.99275648100502</v>
      </c>
      <c r="I199">
        <v>38.899701826327977</v>
      </c>
    </row>
    <row r="200" spans="1:9" x14ac:dyDescent="0.25">
      <c r="A200" t="s">
        <v>18</v>
      </c>
      <c r="B200" s="3">
        <v>41834</v>
      </c>
      <c r="C200" t="s">
        <v>10</v>
      </c>
      <c r="D200">
        <v>28.333333333333332</v>
      </c>
      <c r="E200">
        <v>3.0184617127124809</v>
      </c>
    </row>
    <row r="201" spans="1:9" x14ac:dyDescent="0.25">
      <c r="A201" t="s">
        <v>18</v>
      </c>
      <c r="B201" s="3">
        <v>41865</v>
      </c>
      <c r="C201" t="s">
        <v>10</v>
      </c>
      <c r="D201">
        <v>141.08333333333334</v>
      </c>
      <c r="E201">
        <v>32.796087164985529</v>
      </c>
    </row>
    <row r="202" spans="1:9" x14ac:dyDescent="0.25">
      <c r="A202" t="s">
        <v>19</v>
      </c>
      <c r="B202" s="3">
        <v>41925</v>
      </c>
      <c r="C202" t="s">
        <v>8</v>
      </c>
      <c r="D202">
        <v>874.25000000000011</v>
      </c>
      <c r="E202">
        <v>66.146092519175681</v>
      </c>
      <c r="F202">
        <v>510.54393835932734</v>
      </c>
      <c r="G202">
        <v>27.082452178565298</v>
      </c>
      <c r="H202">
        <v>185.55153337887398</v>
      </c>
      <c r="I202">
        <v>10.536654516242645</v>
      </c>
    </row>
    <row r="203" spans="1:9" x14ac:dyDescent="0.25">
      <c r="A203" t="s">
        <v>19</v>
      </c>
      <c r="B203" s="3">
        <v>41900</v>
      </c>
      <c r="C203" t="s">
        <v>8</v>
      </c>
      <c r="D203">
        <v>495.95833333333337</v>
      </c>
      <c r="E203">
        <v>51.768783493959909</v>
      </c>
    </row>
    <row r="204" spans="1:9" x14ac:dyDescent="0.25">
      <c r="A204" t="s">
        <v>19</v>
      </c>
      <c r="B204" s="3">
        <v>41957</v>
      </c>
      <c r="C204" t="s">
        <v>8</v>
      </c>
      <c r="D204">
        <v>942.52083333333348</v>
      </c>
      <c r="E204">
        <v>36.426319277563685</v>
      </c>
      <c r="F204">
        <v>330.31033841203964</v>
      </c>
      <c r="G204">
        <v>19.832609390818803</v>
      </c>
      <c r="H204">
        <v>531.73711962095229</v>
      </c>
      <c r="I204">
        <v>10.080926356464506</v>
      </c>
    </row>
    <row r="205" spans="1:9" x14ac:dyDescent="0.25">
      <c r="A205" t="s">
        <v>19</v>
      </c>
      <c r="B205" s="3">
        <v>41834</v>
      </c>
      <c r="C205" t="s">
        <v>8</v>
      </c>
      <c r="D205">
        <v>29.958333333333332</v>
      </c>
      <c r="E205">
        <v>3.4677749296866205</v>
      </c>
    </row>
    <row r="206" spans="1:9" x14ac:dyDescent="0.25">
      <c r="A206" t="s">
        <v>19</v>
      </c>
      <c r="B206" s="3">
        <v>41865</v>
      </c>
      <c r="C206" t="s">
        <v>8</v>
      </c>
      <c r="D206">
        <v>138.29166666666669</v>
      </c>
      <c r="E206">
        <v>22.287837158082041</v>
      </c>
    </row>
    <row r="207" spans="1:9" x14ac:dyDescent="0.25">
      <c r="A207" t="s">
        <v>20</v>
      </c>
      <c r="B207" s="3">
        <v>41925</v>
      </c>
      <c r="C207" t="s">
        <v>4</v>
      </c>
      <c r="D207">
        <v>832.70833333333337</v>
      </c>
      <c r="E207">
        <v>56.369543753367758</v>
      </c>
      <c r="F207">
        <v>477.22122008288437</v>
      </c>
      <c r="G207">
        <v>3.4440022698983146</v>
      </c>
      <c r="H207">
        <v>172.45546332790951</v>
      </c>
      <c r="I207">
        <v>36.982994517889878</v>
      </c>
    </row>
    <row r="208" spans="1:9" x14ac:dyDescent="0.25">
      <c r="A208" t="s">
        <v>20</v>
      </c>
      <c r="B208" s="3">
        <v>41900</v>
      </c>
      <c r="C208" t="s">
        <v>4</v>
      </c>
      <c r="D208">
        <v>411.375</v>
      </c>
      <c r="E208">
        <v>35.671177025300636</v>
      </c>
    </row>
    <row r="209" spans="1:9" x14ac:dyDescent="0.25">
      <c r="A209" t="s">
        <v>20</v>
      </c>
      <c r="B209" s="3">
        <v>41957</v>
      </c>
      <c r="C209" t="s">
        <v>4</v>
      </c>
      <c r="D209">
        <v>891.04166666666663</v>
      </c>
      <c r="E209">
        <v>39.949186474824621</v>
      </c>
      <c r="F209">
        <v>273.34108686560307</v>
      </c>
      <c r="G209">
        <v>23.976250000692868</v>
      </c>
      <c r="H209">
        <v>534.85353698554115</v>
      </c>
      <c r="I209">
        <v>26.785943351095185</v>
      </c>
    </row>
    <row r="210" spans="1:9" x14ac:dyDescent="0.25">
      <c r="A210" t="s">
        <v>20</v>
      </c>
      <c r="B210" s="3">
        <v>41834</v>
      </c>
      <c r="C210" t="s">
        <v>4</v>
      </c>
      <c r="D210">
        <v>18.791666666666668</v>
      </c>
      <c r="E210">
        <v>1.8377472118914453</v>
      </c>
    </row>
    <row r="211" spans="1:9" x14ac:dyDescent="0.25">
      <c r="A211" t="s">
        <v>20</v>
      </c>
      <c r="B211" s="3">
        <v>41865</v>
      </c>
      <c r="C211" t="s">
        <v>4</v>
      </c>
      <c r="D211">
        <v>114.08333333333334</v>
      </c>
      <c r="E211">
        <v>24.905934143403549</v>
      </c>
    </row>
    <row r="212" spans="1:9" x14ac:dyDescent="0.25">
      <c r="A212" t="s">
        <v>21</v>
      </c>
      <c r="B212" s="3">
        <v>41928</v>
      </c>
      <c r="C212" t="s">
        <v>7</v>
      </c>
      <c r="D212">
        <v>832.70833333333348</v>
      </c>
      <c r="E212">
        <v>33.470101362036722</v>
      </c>
      <c r="F212">
        <v>430.5043339964277</v>
      </c>
      <c r="G212">
        <v>14.714413713253212</v>
      </c>
      <c r="H212">
        <v>226.52376154568125</v>
      </c>
      <c r="I212">
        <v>14.660630562049326</v>
      </c>
    </row>
    <row r="213" spans="1:9" x14ac:dyDescent="0.25">
      <c r="A213" t="s">
        <v>21</v>
      </c>
      <c r="B213" s="3">
        <v>41900</v>
      </c>
      <c r="C213" t="s">
        <v>7</v>
      </c>
      <c r="D213">
        <v>484.12500000000006</v>
      </c>
      <c r="E213">
        <v>64.950176773915871</v>
      </c>
    </row>
    <row r="214" spans="1:9" x14ac:dyDescent="0.25">
      <c r="A214" t="s">
        <v>21</v>
      </c>
      <c r="B214" s="3">
        <v>41957</v>
      </c>
      <c r="C214" t="s">
        <v>7</v>
      </c>
      <c r="D214">
        <v>855.33333333333348</v>
      </c>
      <c r="E214">
        <v>32.648308333462658</v>
      </c>
      <c r="F214">
        <v>303.33619796490098</v>
      </c>
      <c r="G214">
        <v>17.298697871879281</v>
      </c>
      <c r="H214">
        <v>450.48116340637421</v>
      </c>
      <c r="I214">
        <v>47.865318074614869</v>
      </c>
    </row>
    <row r="215" spans="1:9" x14ac:dyDescent="0.25">
      <c r="A215" t="s">
        <v>21</v>
      </c>
      <c r="B215" s="3">
        <v>41834</v>
      </c>
      <c r="C215" t="s">
        <v>7</v>
      </c>
      <c r="D215">
        <v>28.625</v>
      </c>
      <c r="E215">
        <v>3.209866156203538</v>
      </c>
    </row>
    <row r="216" spans="1:9" x14ac:dyDescent="0.25">
      <c r="A216" t="s">
        <v>21</v>
      </c>
      <c r="B216" s="3">
        <v>41865</v>
      </c>
      <c r="C216" t="s">
        <v>7</v>
      </c>
      <c r="D216">
        <v>134.04166666666666</v>
      </c>
      <c r="E216">
        <v>15.728821740147549</v>
      </c>
    </row>
    <row r="217" spans="1:9" x14ac:dyDescent="0.25">
      <c r="A217" t="s">
        <v>22</v>
      </c>
      <c r="B217" s="3">
        <v>41921</v>
      </c>
      <c r="C217" t="s">
        <v>2</v>
      </c>
      <c r="D217">
        <v>892.16666666666674</v>
      </c>
      <c r="E217">
        <v>97.444096033837951</v>
      </c>
      <c r="F217">
        <v>490.4574917874935</v>
      </c>
      <c r="G217">
        <v>55.579914786829818</v>
      </c>
      <c r="H217">
        <v>220.42133893863152</v>
      </c>
      <c r="I217">
        <v>19.863173083067714</v>
      </c>
    </row>
    <row r="218" spans="1:9" x14ac:dyDescent="0.25">
      <c r="A218" t="s">
        <v>22</v>
      </c>
      <c r="B218" s="3">
        <v>41900</v>
      </c>
      <c r="C218" t="s">
        <v>2</v>
      </c>
      <c r="D218">
        <v>586.16666666666674</v>
      </c>
      <c r="E218">
        <v>71.287108595115811</v>
      </c>
    </row>
    <row r="219" spans="1:9" x14ac:dyDescent="0.25">
      <c r="A219" t="s">
        <v>22</v>
      </c>
      <c r="B219" s="3">
        <v>41957</v>
      </c>
      <c r="C219" t="s">
        <v>2</v>
      </c>
      <c r="D219">
        <v>1034.4791666666667</v>
      </c>
      <c r="E219">
        <v>37.72109974193053</v>
      </c>
      <c r="F219">
        <v>333.60695862940076</v>
      </c>
      <c r="G219">
        <v>30.255338605629795</v>
      </c>
      <c r="H219">
        <v>593.31153854520278</v>
      </c>
      <c r="I219">
        <v>47.890460245870564</v>
      </c>
    </row>
    <row r="220" spans="1:9" x14ac:dyDescent="0.25">
      <c r="A220" t="s">
        <v>22</v>
      </c>
      <c r="B220" s="3">
        <v>41834</v>
      </c>
      <c r="C220" t="s">
        <v>2</v>
      </c>
      <c r="D220">
        <v>32.166666666666664</v>
      </c>
      <c r="E220">
        <v>8.8913191122327664</v>
      </c>
    </row>
    <row r="221" spans="1:9" x14ac:dyDescent="0.25">
      <c r="A221" t="s">
        <v>22</v>
      </c>
      <c r="B221" s="3">
        <v>41865</v>
      </c>
      <c r="C221" t="s">
        <v>2</v>
      </c>
      <c r="D221">
        <v>174.25</v>
      </c>
      <c r="E221">
        <v>25.509076089952149</v>
      </c>
    </row>
    <row r="222" spans="1:9" x14ac:dyDescent="0.25">
      <c r="A222" t="s">
        <v>23</v>
      </c>
      <c r="B222" s="3">
        <v>41921</v>
      </c>
      <c r="C222" t="s">
        <v>3</v>
      </c>
      <c r="D222">
        <v>854.95833333333348</v>
      </c>
      <c r="E222">
        <v>31.293821127189254</v>
      </c>
      <c r="F222">
        <v>465.34389648986223</v>
      </c>
      <c r="G222">
        <v>17.10658194283511</v>
      </c>
      <c r="H222">
        <v>185.26604448552104</v>
      </c>
      <c r="I222">
        <v>15.528590341188801</v>
      </c>
    </row>
    <row r="223" spans="1:9" x14ac:dyDescent="0.25">
      <c r="A223" t="s">
        <v>23</v>
      </c>
      <c r="B223" s="3">
        <v>41900</v>
      </c>
      <c r="C223" t="s">
        <v>3</v>
      </c>
      <c r="D223">
        <v>482.95833333333337</v>
      </c>
      <c r="E223">
        <v>29.173292898102904</v>
      </c>
    </row>
    <row r="224" spans="1:9" x14ac:dyDescent="0.25">
      <c r="A224" t="s">
        <v>23</v>
      </c>
      <c r="B224" s="3">
        <v>41957</v>
      </c>
      <c r="C224" t="s">
        <v>3</v>
      </c>
      <c r="D224">
        <v>964.5</v>
      </c>
      <c r="E224">
        <v>17.469152706889972</v>
      </c>
      <c r="F224">
        <v>317.85801808243599</v>
      </c>
      <c r="G224">
        <v>28.039903401679251</v>
      </c>
      <c r="H224">
        <v>546.7370138448897</v>
      </c>
      <c r="I224">
        <v>49.178399814868591</v>
      </c>
    </row>
    <row r="225" spans="1:9" x14ac:dyDescent="0.25">
      <c r="A225" t="s">
        <v>23</v>
      </c>
      <c r="B225" s="3">
        <v>41834</v>
      </c>
      <c r="C225" t="s">
        <v>3</v>
      </c>
      <c r="D225">
        <v>29.541666666666671</v>
      </c>
      <c r="E225">
        <v>3.619328257707036</v>
      </c>
    </row>
    <row r="226" spans="1:9" x14ac:dyDescent="0.25">
      <c r="A226" t="s">
        <v>23</v>
      </c>
      <c r="B226" s="3">
        <v>41865</v>
      </c>
      <c r="C226" t="s">
        <v>3</v>
      </c>
      <c r="D226">
        <v>141</v>
      </c>
      <c r="E226">
        <v>28.431854852794508</v>
      </c>
    </row>
    <row r="227" spans="1:9" x14ac:dyDescent="0.25">
      <c r="A227" t="s">
        <v>24</v>
      </c>
      <c r="B227" s="3">
        <v>41921</v>
      </c>
      <c r="C227" t="s">
        <v>5</v>
      </c>
      <c r="D227">
        <v>743.5</v>
      </c>
      <c r="E227">
        <v>47.636937115833021</v>
      </c>
      <c r="F227">
        <v>365.27563798392379</v>
      </c>
      <c r="G227">
        <v>19.348178560388487</v>
      </c>
      <c r="H227">
        <v>193.75004468511946</v>
      </c>
      <c r="I227">
        <v>16.493400812047987</v>
      </c>
    </row>
    <row r="228" spans="1:9" x14ac:dyDescent="0.25">
      <c r="A228" t="s">
        <v>24</v>
      </c>
      <c r="B228" s="3">
        <v>41900</v>
      </c>
      <c r="C228" t="s">
        <v>5</v>
      </c>
      <c r="D228">
        <v>421.41666666666669</v>
      </c>
      <c r="E228">
        <v>36.444148034025382</v>
      </c>
    </row>
    <row r="229" spans="1:9" x14ac:dyDescent="0.25">
      <c r="A229" t="s">
        <v>24</v>
      </c>
      <c r="B229" s="3">
        <v>41957</v>
      </c>
      <c r="C229" t="s">
        <v>5</v>
      </c>
      <c r="D229">
        <v>885.72916666666674</v>
      </c>
      <c r="E229">
        <v>76.05384225202782</v>
      </c>
      <c r="F229">
        <v>283.81410757540056</v>
      </c>
      <c r="G229">
        <v>28.661114599691725</v>
      </c>
      <c r="H229">
        <v>521.40058795556649</v>
      </c>
      <c r="I229">
        <v>61.297440657609911</v>
      </c>
    </row>
    <row r="230" spans="1:9" x14ac:dyDescent="0.25">
      <c r="A230" t="s">
        <v>24</v>
      </c>
      <c r="B230" s="3">
        <v>41834</v>
      </c>
      <c r="C230" t="s">
        <v>5</v>
      </c>
      <c r="D230">
        <v>24.625</v>
      </c>
      <c r="E230">
        <v>4.6435439052516774</v>
      </c>
    </row>
    <row r="231" spans="1:9" x14ac:dyDescent="0.25">
      <c r="A231" t="s">
        <v>24</v>
      </c>
      <c r="B231" s="3">
        <v>41865</v>
      </c>
      <c r="C231" t="s">
        <v>5</v>
      </c>
      <c r="D231">
        <v>126.33333333333334</v>
      </c>
      <c r="E231">
        <v>6.4477960633128744</v>
      </c>
    </row>
    <row r="232" spans="1:9" x14ac:dyDescent="0.25">
      <c r="A232" t="s">
        <v>25</v>
      </c>
      <c r="B232" s="3">
        <v>41928</v>
      </c>
      <c r="C232" t="s">
        <v>9</v>
      </c>
      <c r="D232">
        <v>813.25</v>
      </c>
      <c r="E232">
        <v>52.651281156374999</v>
      </c>
      <c r="F232">
        <v>424.60787397795491</v>
      </c>
      <c r="G232">
        <v>31.19140226206645</v>
      </c>
      <c r="H232">
        <v>206.6282870627941</v>
      </c>
      <c r="I232">
        <v>8.9016573205762342</v>
      </c>
    </row>
    <row r="233" spans="1:9" x14ac:dyDescent="0.25">
      <c r="A233" t="s">
        <v>25</v>
      </c>
      <c r="B233" s="3">
        <v>41900</v>
      </c>
      <c r="C233" t="s">
        <v>9</v>
      </c>
      <c r="D233">
        <v>473.12500000000006</v>
      </c>
      <c r="E233">
        <v>34.468819780157311</v>
      </c>
    </row>
    <row r="234" spans="1:9" x14ac:dyDescent="0.25">
      <c r="A234" t="s">
        <v>25</v>
      </c>
      <c r="B234" s="3">
        <v>41957</v>
      </c>
      <c r="C234" t="s">
        <v>9</v>
      </c>
      <c r="D234">
        <v>854.91666666666674</v>
      </c>
      <c r="E234">
        <v>33.760115082300601</v>
      </c>
      <c r="F234">
        <v>300.94564364945251</v>
      </c>
      <c r="G234">
        <v>21.909238748633847</v>
      </c>
      <c r="H234">
        <v>451.44127683483248</v>
      </c>
      <c r="I234">
        <v>15.226080443568843</v>
      </c>
    </row>
    <row r="235" spans="1:9" x14ac:dyDescent="0.25">
      <c r="A235" t="s">
        <v>25</v>
      </c>
      <c r="B235" s="3">
        <v>41834</v>
      </c>
      <c r="C235" t="s">
        <v>9</v>
      </c>
      <c r="D235">
        <v>35.958333333333336</v>
      </c>
      <c r="E235">
        <v>2.8815344420535522</v>
      </c>
    </row>
    <row r="236" spans="1:9" x14ac:dyDescent="0.25">
      <c r="A236" t="s">
        <v>25</v>
      </c>
      <c r="B236" s="3">
        <v>41865</v>
      </c>
      <c r="C236" t="s">
        <v>9</v>
      </c>
      <c r="D236">
        <v>160.25</v>
      </c>
      <c r="E236">
        <v>18.173291350730079</v>
      </c>
    </row>
    <row r="237" spans="1:9" x14ac:dyDescent="0.25">
      <c r="A237" t="s">
        <v>26</v>
      </c>
      <c r="B237" s="3">
        <v>41928</v>
      </c>
      <c r="C237" t="s">
        <v>6</v>
      </c>
      <c r="D237">
        <v>794.5</v>
      </c>
      <c r="E237">
        <v>43.33739297223201</v>
      </c>
      <c r="F237">
        <v>416.20534449480135</v>
      </c>
      <c r="G237">
        <v>32.408865879230092</v>
      </c>
      <c r="H237">
        <v>192.89044105511391</v>
      </c>
      <c r="I237">
        <v>27.528352644376611</v>
      </c>
    </row>
    <row r="238" spans="1:9" x14ac:dyDescent="0.25">
      <c r="A238" t="s">
        <v>26</v>
      </c>
      <c r="B238" s="3">
        <v>41900</v>
      </c>
      <c r="C238" t="s">
        <v>6</v>
      </c>
      <c r="D238">
        <v>390.00000000000006</v>
      </c>
      <c r="E238">
        <v>70.852350388364002</v>
      </c>
    </row>
    <row r="239" spans="1:9" x14ac:dyDescent="0.25">
      <c r="A239" t="s">
        <v>26</v>
      </c>
      <c r="B239" s="3">
        <v>41957</v>
      </c>
      <c r="C239" t="s">
        <v>6</v>
      </c>
      <c r="D239">
        <v>800.54166666666663</v>
      </c>
      <c r="E239">
        <v>26.60900884760629</v>
      </c>
      <c r="F239">
        <v>298.60081413014291</v>
      </c>
      <c r="G239">
        <v>6.7172703908558038</v>
      </c>
      <c r="H239">
        <v>400.44213554660348</v>
      </c>
      <c r="I239">
        <v>32.062179725743434</v>
      </c>
    </row>
    <row r="240" spans="1:9" x14ac:dyDescent="0.25">
      <c r="A240" t="s">
        <v>26</v>
      </c>
      <c r="B240" s="3">
        <v>41834</v>
      </c>
      <c r="C240" t="s">
        <v>6</v>
      </c>
      <c r="D240">
        <v>19</v>
      </c>
      <c r="E240">
        <v>3.7589399608971825</v>
      </c>
    </row>
    <row r="241" spans="1:9" x14ac:dyDescent="0.25">
      <c r="A241" t="s">
        <v>26</v>
      </c>
      <c r="B241" s="3">
        <v>41865</v>
      </c>
      <c r="C241" t="s">
        <v>6</v>
      </c>
      <c r="D241">
        <v>102.41666666666666</v>
      </c>
      <c r="E241">
        <v>34.66706730537723</v>
      </c>
    </row>
    <row r="242" spans="1:9" x14ac:dyDescent="0.25">
      <c r="A242" t="s">
        <v>65</v>
      </c>
      <c r="B242" s="3">
        <v>41897</v>
      </c>
      <c r="C242" t="s">
        <v>13</v>
      </c>
      <c r="D242">
        <v>185.47749999999999</v>
      </c>
      <c r="E242">
        <v>22.942984948200184</v>
      </c>
      <c r="F242">
        <v>104.3371501315269</v>
      </c>
      <c r="G242">
        <v>14.579269128116435</v>
      </c>
      <c r="H242">
        <v>43.169822027767339</v>
      </c>
      <c r="I242">
        <v>5.7800444866235088</v>
      </c>
    </row>
    <row r="243" spans="1:9" x14ac:dyDescent="0.25">
      <c r="A243" t="s">
        <v>65</v>
      </c>
      <c r="B243" s="3">
        <v>41883</v>
      </c>
      <c r="C243" t="s">
        <v>13</v>
      </c>
      <c r="D243">
        <v>120.4075</v>
      </c>
      <c r="E243">
        <v>11.511343318657461</v>
      </c>
    </row>
    <row r="244" spans="1:9" x14ac:dyDescent="0.25">
      <c r="A244" t="s">
        <v>65</v>
      </c>
      <c r="B244" s="3">
        <v>41954</v>
      </c>
      <c r="C244" t="s">
        <v>13</v>
      </c>
      <c r="D244">
        <v>447.16203703703701</v>
      </c>
      <c r="E244">
        <v>30.551444261382112</v>
      </c>
      <c r="F244">
        <v>130.42569837716283</v>
      </c>
      <c r="G244">
        <v>13.199774053075771</v>
      </c>
      <c r="H244">
        <v>276.39532052180107</v>
      </c>
      <c r="I244">
        <v>18.737944317413547</v>
      </c>
    </row>
    <row r="245" spans="1:9" x14ac:dyDescent="0.25">
      <c r="A245" t="s">
        <v>65</v>
      </c>
      <c r="B245" s="3">
        <v>41856</v>
      </c>
      <c r="C245" t="s">
        <v>13</v>
      </c>
      <c r="D245">
        <v>21.02</v>
      </c>
      <c r="E245">
        <v>5.3288710499191767</v>
      </c>
    </row>
    <row r="246" spans="1:9" x14ac:dyDescent="0.25">
      <c r="A246" t="s">
        <v>65</v>
      </c>
      <c r="B246" s="3">
        <v>41866</v>
      </c>
      <c r="C246" t="s">
        <v>13</v>
      </c>
      <c r="D246">
        <v>43.577500000000001</v>
      </c>
      <c r="E246">
        <v>8.4386664625796595</v>
      </c>
    </row>
    <row r="247" spans="1:9" x14ac:dyDescent="0.25">
      <c r="A247" t="s">
        <v>66</v>
      </c>
      <c r="B247" s="3">
        <v>41900.25</v>
      </c>
      <c r="C247" t="s">
        <v>14</v>
      </c>
      <c r="D247">
        <v>155.185</v>
      </c>
      <c r="E247">
        <v>31.773873439247737</v>
      </c>
      <c r="F247">
        <v>85.49217490713589</v>
      </c>
      <c r="G247">
        <v>18.458512124402763</v>
      </c>
      <c r="H247">
        <v>37.259167820417716</v>
      </c>
      <c r="I247">
        <v>10.531031192211501</v>
      </c>
    </row>
    <row r="248" spans="1:9" x14ac:dyDescent="0.25">
      <c r="A248" t="s">
        <v>66</v>
      </c>
      <c r="B248" s="3">
        <v>41883</v>
      </c>
      <c r="C248" t="s">
        <v>14</v>
      </c>
      <c r="D248">
        <v>109.59499999999998</v>
      </c>
      <c r="E248">
        <v>7.8841719074785033</v>
      </c>
    </row>
    <row r="249" spans="1:9" x14ac:dyDescent="0.25">
      <c r="A249" t="s">
        <v>66</v>
      </c>
      <c r="B249" s="3">
        <v>41954</v>
      </c>
      <c r="C249" t="s">
        <v>14</v>
      </c>
      <c r="D249">
        <v>461.31018518518511</v>
      </c>
      <c r="E249">
        <v>27.351737443027712</v>
      </c>
      <c r="F249">
        <v>131.15472579141215</v>
      </c>
      <c r="G249">
        <v>5.8605036853644821</v>
      </c>
      <c r="H249">
        <v>286.48250086339357</v>
      </c>
      <c r="I249">
        <v>16.236305932139768</v>
      </c>
    </row>
    <row r="250" spans="1:9" x14ac:dyDescent="0.25">
      <c r="A250" t="s">
        <v>66</v>
      </c>
      <c r="B250" s="3">
        <v>41856</v>
      </c>
      <c r="C250" t="s">
        <v>14</v>
      </c>
      <c r="D250">
        <v>21.712500000000002</v>
      </c>
      <c r="E250">
        <v>2.947997908185588</v>
      </c>
    </row>
    <row r="251" spans="1:9" x14ac:dyDescent="0.25">
      <c r="A251" t="s">
        <v>66</v>
      </c>
      <c r="B251" s="3">
        <v>41873</v>
      </c>
      <c r="C251" t="s">
        <v>14</v>
      </c>
      <c r="D251">
        <v>77.86</v>
      </c>
      <c r="E251">
        <v>18.010794911200737</v>
      </c>
    </row>
    <row r="252" spans="1:9" x14ac:dyDescent="0.25">
      <c r="A252" t="s">
        <v>67</v>
      </c>
      <c r="B252" s="3">
        <v>41900.5</v>
      </c>
      <c r="C252" t="s">
        <v>12</v>
      </c>
      <c r="D252">
        <v>241.33500000000001</v>
      </c>
      <c r="E252">
        <v>49.11204231143298</v>
      </c>
      <c r="F252">
        <v>132.91531225791033</v>
      </c>
      <c r="G252">
        <v>23.991371768713904</v>
      </c>
      <c r="H252">
        <v>50.419441379874428</v>
      </c>
      <c r="I252">
        <v>15.696249324464612</v>
      </c>
    </row>
    <row r="253" spans="1:9" x14ac:dyDescent="0.25">
      <c r="A253" t="s">
        <v>67</v>
      </c>
      <c r="B253" s="3">
        <v>41883</v>
      </c>
      <c r="C253" t="s">
        <v>12</v>
      </c>
      <c r="D253">
        <v>126.58750000000001</v>
      </c>
      <c r="E253">
        <v>15.38073118114567</v>
      </c>
    </row>
    <row r="254" spans="1:9" x14ac:dyDescent="0.25">
      <c r="A254" t="s">
        <v>67</v>
      </c>
      <c r="B254" s="3">
        <v>41954</v>
      </c>
      <c r="C254" t="s">
        <v>12</v>
      </c>
      <c r="D254">
        <v>536.81944444444434</v>
      </c>
      <c r="E254">
        <v>77.277718423529734</v>
      </c>
      <c r="F254">
        <v>163.74091590501126</v>
      </c>
      <c r="G254">
        <v>29.115389462374775</v>
      </c>
      <c r="H254">
        <v>326.20046657374741</v>
      </c>
      <c r="I254">
        <v>44.871272519648734</v>
      </c>
    </row>
    <row r="255" spans="1:9" x14ac:dyDescent="0.25">
      <c r="A255" t="s">
        <v>67</v>
      </c>
      <c r="B255" s="3">
        <v>41856</v>
      </c>
      <c r="C255" t="s">
        <v>12</v>
      </c>
      <c r="D255">
        <v>27.340000000000003</v>
      </c>
      <c r="E255">
        <v>9.4265193293530345</v>
      </c>
    </row>
    <row r="256" spans="1:9" x14ac:dyDescent="0.25">
      <c r="A256" t="s">
        <v>67</v>
      </c>
      <c r="B256" s="3">
        <v>41866</v>
      </c>
      <c r="C256" t="s">
        <v>12</v>
      </c>
      <c r="D256">
        <v>48.602499999999999</v>
      </c>
      <c r="E256">
        <v>4.2614111512502797</v>
      </c>
    </row>
    <row r="257" spans="1:9" x14ac:dyDescent="0.25">
      <c r="A257" t="s">
        <v>68</v>
      </c>
      <c r="B257" s="3">
        <v>41900.25</v>
      </c>
      <c r="C257" s="3" t="s">
        <v>10</v>
      </c>
      <c r="D257">
        <v>168.26499999999999</v>
      </c>
      <c r="E257">
        <v>29.002565978432667</v>
      </c>
      <c r="F257">
        <v>93.071634804874648</v>
      </c>
      <c r="G257">
        <v>15.751377869996096</v>
      </c>
      <c r="H257">
        <v>40.73866942503394</v>
      </c>
      <c r="I257">
        <v>7.2679423379689565</v>
      </c>
    </row>
    <row r="258" spans="1:9" x14ac:dyDescent="0.25">
      <c r="A258" t="s">
        <v>68</v>
      </c>
      <c r="B258" s="3">
        <v>41883</v>
      </c>
      <c r="C258" s="3" t="s">
        <v>10</v>
      </c>
      <c r="D258">
        <v>108.86500000000001</v>
      </c>
      <c r="E258">
        <v>27.053346681448971</v>
      </c>
    </row>
    <row r="259" spans="1:9" x14ac:dyDescent="0.25">
      <c r="A259" t="s">
        <v>68</v>
      </c>
      <c r="B259" s="3">
        <v>41954</v>
      </c>
      <c r="C259" s="3" t="s">
        <v>10</v>
      </c>
      <c r="D259">
        <v>473.625</v>
      </c>
      <c r="E259">
        <v>46.185425576314309</v>
      </c>
      <c r="F259">
        <v>125.07272096002217</v>
      </c>
      <c r="G259">
        <v>13.365605688126818</v>
      </c>
      <c r="H259">
        <v>306.02397599821029</v>
      </c>
      <c r="I259">
        <v>28.374379856057907</v>
      </c>
    </row>
    <row r="260" spans="1:9" x14ac:dyDescent="0.25">
      <c r="A260" t="s">
        <v>68</v>
      </c>
      <c r="B260" s="3">
        <v>41856</v>
      </c>
      <c r="C260" s="3" t="s">
        <v>10</v>
      </c>
      <c r="D260">
        <v>23.212499999999999</v>
      </c>
      <c r="E260">
        <v>4.7540465219992782</v>
      </c>
    </row>
    <row r="261" spans="1:9" x14ac:dyDescent="0.25">
      <c r="A261" t="s">
        <v>68</v>
      </c>
      <c r="B261" s="3">
        <v>41871</v>
      </c>
      <c r="C261" s="3" t="s">
        <v>10</v>
      </c>
      <c r="D261">
        <v>55.332499999999996</v>
      </c>
      <c r="E261">
        <v>8.3873888467548188</v>
      </c>
    </row>
    <row r="262" spans="1:9" x14ac:dyDescent="0.25">
      <c r="A262" t="s">
        <v>69</v>
      </c>
      <c r="B262" s="3">
        <v>41902.5</v>
      </c>
      <c r="C262" s="3" t="s">
        <v>8</v>
      </c>
      <c r="D262">
        <v>229.4725</v>
      </c>
      <c r="E262">
        <v>13.715007291285001</v>
      </c>
      <c r="F262">
        <v>133.61318525891855</v>
      </c>
      <c r="G262">
        <v>11.561667527242447</v>
      </c>
      <c r="H262">
        <v>43.438446757877088</v>
      </c>
      <c r="I262">
        <v>3.3972085539717787</v>
      </c>
    </row>
    <row r="263" spans="1:9" x14ac:dyDescent="0.25">
      <c r="A263" t="s">
        <v>69</v>
      </c>
      <c r="B263" s="3">
        <v>41883</v>
      </c>
      <c r="C263" s="3" t="s">
        <v>8</v>
      </c>
      <c r="D263">
        <v>119.88499999999999</v>
      </c>
      <c r="E263">
        <v>15.537611356533166</v>
      </c>
    </row>
    <row r="264" spans="1:9" x14ac:dyDescent="0.25">
      <c r="A264" t="s">
        <v>69</v>
      </c>
      <c r="B264" s="3">
        <v>41954</v>
      </c>
      <c r="C264" s="3" t="s">
        <v>8</v>
      </c>
      <c r="D264">
        <v>613.04398148148152</v>
      </c>
      <c r="E264">
        <v>96.497196468735908</v>
      </c>
      <c r="F264">
        <v>182.62201283029032</v>
      </c>
      <c r="G264">
        <v>28.786707905016719</v>
      </c>
      <c r="H264">
        <v>369.14045227582386</v>
      </c>
      <c r="I264">
        <v>57.404237194783953</v>
      </c>
    </row>
    <row r="265" spans="1:9" x14ac:dyDescent="0.25">
      <c r="A265" t="s">
        <v>69</v>
      </c>
      <c r="B265" s="3">
        <v>41856</v>
      </c>
      <c r="C265" s="3" t="s">
        <v>8</v>
      </c>
      <c r="D265">
        <v>24.6175</v>
      </c>
      <c r="E265">
        <v>7.3154966794242178</v>
      </c>
    </row>
    <row r="266" spans="1:9" x14ac:dyDescent="0.25">
      <c r="A266" t="s">
        <v>69</v>
      </c>
      <c r="B266" s="3">
        <v>41873</v>
      </c>
      <c r="C266" s="3" t="s">
        <v>8</v>
      </c>
      <c r="D266">
        <v>69.917500000000004</v>
      </c>
      <c r="E266">
        <v>13.748477188401623</v>
      </c>
    </row>
    <row r="267" spans="1:9" x14ac:dyDescent="0.25">
      <c r="A267" t="s">
        <v>70</v>
      </c>
      <c r="B267" s="3">
        <v>41903.25</v>
      </c>
      <c r="C267" s="3" t="s">
        <v>4</v>
      </c>
      <c r="D267">
        <v>204.32</v>
      </c>
      <c r="E267">
        <v>30.271231667487175</v>
      </c>
      <c r="F267">
        <v>104.55979209952039</v>
      </c>
      <c r="G267">
        <v>19.986987895773868</v>
      </c>
      <c r="H267">
        <v>54.702371718406404</v>
      </c>
      <c r="I267">
        <v>22.025657122014099</v>
      </c>
    </row>
    <row r="268" spans="1:9" x14ac:dyDescent="0.25">
      <c r="A268" t="s">
        <v>70</v>
      </c>
      <c r="B268" s="3">
        <v>41883</v>
      </c>
      <c r="C268" s="3" t="s">
        <v>4</v>
      </c>
      <c r="D268">
        <v>99.762500000000003</v>
      </c>
      <c r="E268">
        <v>12.32019040707844</v>
      </c>
    </row>
    <row r="269" spans="1:9" x14ac:dyDescent="0.25">
      <c r="A269" t="s">
        <v>70</v>
      </c>
      <c r="B269" s="3">
        <v>41954</v>
      </c>
      <c r="C269" s="3" t="s">
        <v>4</v>
      </c>
      <c r="D269">
        <v>542.95601851851848</v>
      </c>
      <c r="E269">
        <v>71.46584152727182</v>
      </c>
      <c r="F269">
        <v>140.56430418109613</v>
      </c>
      <c r="G269">
        <v>14.343814681708954</v>
      </c>
      <c r="H269">
        <v>336.78305550305521</v>
      </c>
      <c r="I269">
        <v>42.350913569983355</v>
      </c>
    </row>
    <row r="270" spans="1:9" x14ac:dyDescent="0.25">
      <c r="A270" t="s">
        <v>70</v>
      </c>
      <c r="B270" s="3">
        <v>41859</v>
      </c>
      <c r="C270" s="3" t="s">
        <v>4</v>
      </c>
      <c r="D270">
        <v>21.672499999999999</v>
      </c>
      <c r="E270">
        <v>6.9733367192471105</v>
      </c>
    </row>
    <row r="271" spans="1:9" x14ac:dyDescent="0.25">
      <c r="A271" t="s">
        <v>70</v>
      </c>
      <c r="B271" s="3">
        <v>41873</v>
      </c>
      <c r="C271" s="3" t="s">
        <v>4</v>
      </c>
      <c r="D271">
        <v>44.484999999999999</v>
      </c>
      <c r="E271">
        <v>8.2239872730122343</v>
      </c>
    </row>
    <row r="272" spans="1:9" x14ac:dyDescent="0.25">
      <c r="A272" t="s">
        <v>71</v>
      </c>
      <c r="B272" s="3">
        <v>41902.5</v>
      </c>
      <c r="C272" s="3" t="s">
        <v>7</v>
      </c>
      <c r="D272">
        <v>198.21750000000003</v>
      </c>
      <c r="E272">
        <v>23.699925984412964</v>
      </c>
      <c r="F272">
        <v>109.48108084063179</v>
      </c>
      <c r="G272">
        <v>15.569784304386406</v>
      </c>
      <c r="H272">
        <v>43.359312748733842</v>
      </c>
      <c r="I272">
        <v>5.7475471631364687</v>
      </c>
    </row>
    <row r="273" spans="1:9" x14ac:dyDescent="0.25">
      <c r="A273" t="s">
        <v>71</v>
      </c>
      <c r="B273" s="3">
        <v>41883</v>
      </c>
      <c r="C273" s="3" t="s">
        <v>7</v>
      </c>
      <c r="D273">
        <v>94.737499999999997</v>
      </c>
      <c r="E273">
        <v>18.943499104794125</v>
      </c>
    </row>
    <row r="274" spans="1:9" x14ac:dyDescent="0.25">
      <c r="A274" t="s">
        <v>71</v>
      </c>
      <c r="B274" s="3">
        <v>41954</v>
      </c>
      <c r="C274" s="3" t="s">
        <v>7</v>
      </c>
      <c r="D274">
        <v>441.90509259259255</v>
      </c>
      <c r="E274">
        <v>28.745346510134102</v>
      </c>
      <c r="F274">
        <v>132.59339409539194</v>
      </c>
      <c r="G274">
        <v>13.948061218034464</v>
      </c>
      <c r="H274">
        <v>266.06476919005371</v>
      </c>
      <c r="I274">
        <v>18.995846807888821</v>
      </c>
    </row>
    <row r="275" spans="1:9" x14ac:dyDescent="0.25">
      <c r="A275" t="s">
        <v>71</v>
      </c>
      <c r="B275" s="3">
        <v>41856</v>
      </c>
      <c r="C275" s="3" t="s">
        <v>7</v>
      </c>
      <c r="D275">
        <v>18.164999999999999</v>
      </c>
      <c r="E275">
        <v>2.7440906204667099</v>
      </c>
    </row>
    <row r="276" spans="1:9" x14ac:dyDescent="0.25">
      <c r="A276" t="s">
        <v>71</v>
      </c>
      <c r="B276" s="3">
        <v>41871.5</v>
      </c>
      <c r="C276" s="3" t="s">
        <v>7</v>
      </c>
      <c r="D276">
        <v>55.192500000000003</v>
      </c>
      <c r="E276">
        <v>2.8489340111697143</v>
      </c>
    </row>
    <row r="277" spans="1:9" x14ac:dyDescent="0.25">
      <c r="A277" t="s">
        <v>72</v>
      </c>
      <c r="B277" s="3">
        <v>41897.5</v>
      </c>
      <c r="C277" s="3" t="s">
        <v>2</v>
      </c>
      <c r="D277">
        <v>231.785</v>
      </c>
      <c r="E277">
        <v>14.457564340741245</v>
      </c>
      <c r="F277">
        <v>134.14973460208901</v>
      </c>
      <c r="G277">
        <v>10.528072554642234</v>
      </c>
      <c r="H277">
        <v>47.37279632918586</v>
      </c>
      <c r="I277">
        <v>3.050344409783134</v>
      </c>
    </row>
    <row r="278" spans="1:9" x14ac:dyDescent="0.25">
      <c r="A278" t="s">
        <v>72</v>
      </c>
      <c r="B278" s="3">
        <v>41883</v>
      </c>
      <c r="C278" s="3" t="s">
        <v>2</v>
      </c>
      <c r="D278">
        <v>148.79500000000002</v>
      </c>
      <c r="E278">
        <v>10.586282003926502</v>
      </c>
    </row>
    <row r="279" spans="1:9" x14ac:dyDescent="0.25">
      <c r="A279" t="s">
        <v>72</v>
      </c>
      <c r="B279" s="3">
        <v>41954</v>
      </c>
      <c r="C279" s="3" t="s">
        <v>2</v>
      </c>
      <c r="D279">
        <v>644.42129629629619</v>
      </c>
      <c r="E279">
        <v>20.618916500382507</v>
      </c>
      <c r="F279">
        <v>176.92524275718861</v>
      </c>
      <c r="G279">
        <v>8.4575242509106765</v>
      </c>
      <c r="H279">
        <v>411.17037183294713</v>
      </c>
      <c r="I279">
        <v>12.336001302747466</v>
      </c>
    </row>
    <row r="280" spans="1:9" x14ac:dyDescent="0.25">
      <c r="A280" t="s">
        <v>72</v>
      </c>
      <c r="B280" s="3">
        <v>41856</v>
      </c>
      <c r="C280" s="3" t="s">
        <v>2</v>
      </c>
      <c r="D280">
        <v>30.5275</v>
      </c>
      <c r="E280">
        <v>6.2549893418507656</v>
      </c>
    </row>
    <row r="281" spans="1:9" x14ac:dyDescent="0.25">
      <c r="A281" t="s">
        <v>72</v>
      </c>
      <c r="B281" s="3">
        <v>41873</v>
      </c>
      <c r="C281" s="3" t="s">
        <v>2</v>
      </c>
      <c r="D281">
        <v>96.322499999999991</v>
      </c>
      <c r="E281">
        <v>22.163607370341794</v>
      </c>
    </row>
    <row r="282" spans="1:9" x14ac:dyDescent="0.25">
      <c r="A282" t="s">
        <v>73</v>
      </c>
      <c r="B282" s="3">
        <v>41900.5</v>
      </c>
      <c r="C282" s="3" t="s">
        <v>3</v>
      </c>
      <c r="D282">
        <v>205.8125</v>
      </c>
      <c r="E282">
        <v>21.255297967016766</v>
      </c>
      <c r="F282">
        <v>112.45718232076193</v>
      </c>
      <c r="G282">
        <v>16.017611573261693</v>
      </c>
      <c r="H282">
        <v>44.133791260595117</v>
      </c>
      <c r="I282">
        <v>4.457454391504597</v>
      </c>
    </row>
    <row r="283" spans="1:9" x14ac:dyDescent="0.25">
      <c r="A283" t="s">
        <v>73</v>
      </c>
      <c r="B283" s="3">
        <v>41883</v>
      </c>
      <c r="C283" s="3" t="s">
        <v>3</v>
      </c>
      <c r="D283">
        <v>118.71000000000001</v>
      </c>
      <c r="E283">
        <v>17.479118970932063</v>
      </c>
    </row>
    <row r="284" spans="1:9" x14ac:dyDescent="0.25">
      <c r="A284" t="s">
        <v>73</v>
      </c>
      <c r="B284" s="3">
        <v>41954</v>
      </c>
      <c r="C284" s="3" t="s">
        <v>3</v>
      </c>
      <c r="D284">
        <v>659.87268518518522</v>
      </c>
      <c r="E284">
        <v>111.88547226277174</v>
      </c>
      <c r="F284">
        <v>174.87049048612096</v>
      </c>
      <c r="G284">
        <v>29.642677067540383</v>
      </c>
      <c r="H284">
        <v>403.94314826658899</v>
      </c>
      <c r="I284">
        <v>68.444265425402776</v>
      </c>
    </row>
    <row r="285" spans="1:9" x14ac:dyDescent="0.25">
      <c r="A285" t="s">
        <v>73</v>
      </c>
      <c r="B285" s="3">
        <v>41856</v>
      </c>
      <c r="C285" s="3" t="s">
        <v>3</v>
      </c>
      <c r="D285">
        <v>22.515000000000001</v>
      </c>
      <c r="E285">
        <v>3.8300783281807558</v>
      </c>
    </row>
    <row r="286" spans="1:9" x14ac:dyDescent="0.25">
      <c r="A286" t="s">
        <v>73</v>
      </c>
      <c r="B286" s="3">
        <v>41871</v>
      </c>
      <c r="C286" s="3" t="s">
        <v>3</v>
      </c>
      <c r="D286">
        <v>55.552500000000002</v>
      </c>
      <c r="E286">
        <v>11.763982814789623</v>
      </c>
    </row>
    <row r="287" spans="1:9" x14ac:dyDescent="0.25">
      <c r="A287" t="s">
        <v>74</v>
      </c>
      <c r="B287" s="3">
        <v>41902</v>
      </c>
      <c r="C287" s="3" t="s">
        <v>5</v>
      </c>
      <c r="D287">
        <v>178.23500000000001</v>
      </c>
      <c r="E287">
        <v>38.087262525241492</v>
      </c>
      <c r="F287">
        <v>98.936716352649626</v>
      </c>
      <c r="G287">
        <v>19.591640895813548</v>
      </c>
      <c r="H287">
        <v>42.792177057967294</v>
      </c>
      <c r="I287">
        <v>12.153254262972771</v>
      </c>
    </row>
    <row r="288" spans="1:9" x14ac:dyDescent="0.25">
      <c r="A288" t="s">
        <v>74</v>
      </c>
      <c r="B288" s="3">
        <v>41883</v>
      </c>
      <c r="C288" s="3" t="s">
        <v>5</v>
      </c>
      <c r="D288">
        <v>113.85749999999999</v>
      </c>
      <c r="E288">
        <v>12.334508164765648</v>
      </c>
    </row>
    <row r="289" spans="1:9" x14ac:dyDescent="0.25">
      <c r="A289" t="s">
        <v>74</v>
      </c>
      <c r="B289" s="3">
        <v>41954</v>
      </c>
      <c r="C289" s="3" t="s">
        <v>5</v>
      </c>
      <c r="D289">
        <v>471.32407407407402</v>
      </c>
      <c r="E289">
        <v>22.517731670789193</v>
      </c>
      <c r="F289">
        <v>129.75790478831502</v>
      </c>
      <c r="G289">
        <v>9.0989545930018778</v>
      </c>
      <c r="H289">
        <v>287.82686596504715</v>
      </c>
      <c r="I289">
        <v>14.085713588363173</v>
      </c>
    </row>
    <row r="290" spans="1:9" x14ac:dyDescent="0.25">
      <c r="A290" t="s">
        <v>74</v>
      </c>
      <c r="B290" s="3">
        <v>41856</v>
      </c>
      <c r="C290" s="3" t="s">
        <v>5</v>
      </c>
      <c r="D290">
        <v>23.9725</v>
      </c>
      <c r="E290">
        <v>7.2314746075748584</v>
      </c>
    </row>
    <row r="291" spans="1:9" x14ac:dyDescent="0.25">
      <c r="A291" t="s">
        <v>74</v>
      </c>
      <c r="B291" s="3">
        <v>41871</v>
      </c>
      <c r="C291" s="3" t="s">
        <v>5</v>
      </c>
      <c r="D291">
        <v>56.862500000000004</v>
      </c>
      <c r="E291">
        <v>3.6607683619697937</v>
      </c>
    </row>
    <row r="292" spans="1:9" x14ac:dyDescent="0.25">
      <c r="A292" t="s">
        <v>75</v>
      </c>
      <c r="B292" s="3">
        <v>41900.75</v>
      </c>
      <c r="C292" s="3" t="s">
        <v>9</v>
      </c>
      <c r="D292">
        <v>218.83749999999998</v>
      </c>
      <c r="E292">
        <v>38.80182158524714</v>
      </c>
      <c r="F292">
        <v>126.83110667686509</v>
      </c>
      <c r="G292">
        <v>22.029251369683887</v>
      </c>
      <c r="H292">
        <v>43.23961219164579</v>
      </c>
      <c r="I292">
        <v>10.399004066093378</v>
      </c>
    </row>
    <row r="293" spans="1:9" x14ac:dyDescent="0.25">
      <c r="A293" t="s">
        <v>75</v>
      </c>
      <c r="B293" s="3">
        <v>41883</v>
      </c>
      <c r="C293" s="3" t="s">
        <v>9</v>
      </c>
      <c r="D293">
        <v>128.58000000000001</v>
      </c>
      <c r="E293">
        <v>25.240666921986438</v>
      </c>
    </row>
    <row r="294" spans="1:9" x14ac:dyDescent="0.25">
      <c r="A294" t="s">
        <v>75</v>
      </c>
      <c r="B294" s="3">
        <v>41954</v>
      </c>
      <c r="C294" s="3" t="s">
        <v>9</v>
      </c>
      <c r="D294">
        <v>535.50925925925924</v>
      </c>
      <c r="E294">
        <v>71.707951390611257</v>
      </c>
      <c r="F294">
        <v>168.5951397680773</v>
      </c>
      <c r="G294">
        <v>26.487754793049206</v>
      </c>
      <c r="H294">
        <v>309.30217786944206</v>
      </c>
      <c r="I294">
        <v>48.85877548080424</v>
      </c>
    </row>
    <row r="295" spans="1:9" x14ac:dyDescent="0.25">
      <c r="A295" t="s">
        <v>75</v>
      </c>
      <c r="B295" s="3">
        <v>41856</v>
      </c>
      <c r="C295" s="3" t="s">
        <v>9</v>
      </c>
      <c r="D295">
        <v>29.772500000000001</v>
      </c>
      <c r="E295">
        <v>8.4330910703015487</v>
      </c>
    </row>
    <row r="296" spans="1:9" x14ac:dyDescent="0.25">
      <c r="A296" t="s">
        <v>75</v>
      </c>
      <c r="B296" s="3">
        <v>41871</v>
      </c>
      <c r="C296" s="3" t="s">
        <v>9</v>
      </c>
      <c r="D296">
        <v>76.210000000000008</v>
      </c>
      <c r="E296">
        <v>14.748274475341107</v>
      </c>
    </row>
    <row r="297" spans="1:9" x14ac:dyDescent="0.25">
      <c r="A297" t="s">
        <v>76</v>
      </c>
      <c r="B297" s="3">
        <v>41901.25</v>
      </c>
      <c r="C297" s="3" t="s">
        <v>6</v>
      </c>
      <c r="D297">
        <v>188.32</v>
      </c>
      <c r="E297">
        <v>38.50343447884454</v>
      </c>
      <c r="F297">
        <v>103.79771537732483</v>
      </c>
      <c r="G297">
        <v>25.519939824416291</v>
      </c>
      <c r="H297">
        <v>41.567394681412821</v>
      </c>
      <c r="I297">
        <v>9.1450293488556191</v>
      </c>
    </row>
    <row r="298" spans="1:9" x14ac:dyDescent="0.25">
      <c r="A298" t="s">
        <v>76</v>
      </c>
      <c r="B298" s="3">
        <v>41883</v>
      </c>
      <c r="C298" s="3" t="s">
        <v>6</v>
      </c>
      <c r="D298">
        <v>99.197499999999991</v>
      </c>
      <c r="E298">
        <v>14.94271143400697</v>
      </c>
    </row>
    <row r="299" spans="1:9" x14ac:dyDescent="0.25">
      <c r="A299" t="s">
        <v>76</v>
      </c>
      <c r="B299" s="3">
        <v>41954</v>
      </c>
      <c r="C299" s="3" t="s">
        <v>6</v>
      </c>
      <c r="D299">
        <v>485.30555555555554</v>
      </c>
      <c r="E299">
        <v>84.274964958716367</v>
      </c>
      <c r="F299">
        <v>148.96495867452489</v>
      </c>
      <c r="G299">
        <v>29.822311368770642</v>
      </c>
      <c r="H299">
        <v>285.68923391317406</v>
      </c>
      <c r="I299">
        <v>38.58508966581644</v>
      </c>
    </row>
    <row r="300" spans="1:9" x14ac:dyDescent="0.25">
      <c r="A300" t="s">
        <v>76</v>
      </c>
      <c r="B300" s="3">
        <v>41856</v>
      </c>
      <c r="C300" s="3" t="s">
        <v>6</v>
      </c>
      <c r="D300">
        <v>17.100000000000001</v>
      </c>
      <c r="E300">
        <v>2.0638798414636486</v>
      </c>
    </row>
    <row r="301" spans="1:9" x14ac:dyDescent="0.25">
      <c r="A301" t="s">
        <v>76</v>
      </c>
      <c r="B301" s="3">
        <v>41871</v>
      </c>
      <c r="C301" s="3" t="s">
        <v>6</v>
      </c>
      <c r="D301">
        <v>42.727500000000006</v>
      </c>
      <c r="E301">
        <v>5.8060909109887264</v>
      </c>
    </row>
    <row r="302" spans="1:9" x14ac:dyDescent="0.25">
      <c r="A302" t="s">
        <v>77</v>
      </c>
      <c r="B302" s="3">
        <v>0</v>
      </c>
      <c r="C302" s="3" t="s">
        <v>13</v>
      </c>
      <c r="D302">
        <v>742.34</v>
      </c>
      <c r="E302">
        <v>114.97046925189019</v>
      </c>
    </row>
    <row r="303" spans="1:9" x14ac:dyDescent="0.25">
      <c r="A303" t="s">
        <v>77</v>
      </c>
      <c r="B303" s="3">
        <v>0</v>
      </c>
      <c r="C303" s="3" t="s">
        <v>13</v>
      </c>
      <c r="D303">
        <v>337.4</v>
      </c>
      <c r="E303">
        <v>67.716390925683925</v>
      </c>
    </row>
    <row r="304" spans="1:9" x14ac:dyDescent="0.25">
      <c r="A304" t="s">
        <v>77</v>
      </c>
      <c r="B304" s="3">
        <v>0</v>
      </c>
      <c r="C304" s="3" t="s">
        <v>13</v>
      </c>
      <c r="D304">
        <v>936.2650000000001</v>
      </c>
      <c r="E304">
        <v>48.688011871503363</v>
      </c>
    </row>
    <row r="305" spans="1:5" x14ac:dyDescent="0.25">
      <c r="A305" t="s">
        <v>77</v>
      </c>
      <c r="B305" s="3">
        <v>0</v>
      </c>
      <c r="C305" s="3" t="s">
        <v>13</v>
      </c>
      <c r="D305">
        <v>52.85499999999999</v>
      </c>
      <c r="E305">
        <v>18.280841519652963</v>
      </c>
    </row>
    <row r="306" spans="1:5" x14ac:dyDescent="0.25">
      <c r="A306" t="s">
        <v>77</v>
      </c>
      <c r="B306" s="3">
        <v>0</v>
      </c>
      <c r="C306" s="3" t="s">
        <v>13</v>
      </c>
      <c r="D306">
        <v>114.62</v>
      </c>
      <c r="E306">
        <v>31.515913440673103</v>
      </c>
    </row>
    <row r="307" spans="1:5" x14ac:dyDescent="0.25">
      <c r="A307" t="s">
        <v>78</v>
      </c>
      <c r="B307" s="3">
        <v>0</v>
      </c>
      <c r="C307" s="3" t="s">
        <v>14</v>
      </c>
      <c r="D307">
        <v>830.07999999999993</v>
      </c>
      <c r="E307">
        <v>74.164180033221555</v>
      </c>
    </row>
    <row r="308" spans="1:5" x14ac:dyDescent="0.25">
      <c r="A308" t="s">
        <v>78</v>
      </c>
      <c r="B308" s="3">
        <v>0</v>
      </c>
      <c r="C308" s="3" t="s">
        <v>14</v>
      </c>
      <c r="D308">
        <v>443.90499999999997</v>
      </c>
      <c r="E308">
        <v>31.315378011450303</v>
      </c>
    </row>
    <row r="309" spans="1:5" x14ac:dyDescent="0.25">
      <c r="A309" t="s">
        <v>78</v>
      </c>
      <c r="B309" s="3">
        <v>0</v>
      </c>
      <c r="C309" s="3" t="s">
        <v>14</v>
      </c>
      <c r="D309">
        <v>951.56000000000006</v>
      </c>
      <c r="E309">
        <v>112.20197859217986</v>
      </c>
    </row>
    <row r="310" spans="1:5" x14ac:dyDescent="0.25">
      <c r="A310" t="s">
        <v>78</v>
      </c>
      <c r="B310" s="3">
        <v>0</v>
      </c>
      <c r="C310" s="3" t="s">
        <v>14</v>
      </c>
      <c r="D310">
        <v>116.955</v>
      </c>
      <c r="E310">
        <v>24.830370516768387</v>
      </c>
    </row>
    <row r="311" spans="1:5" x14ac:dyDescent="0.25">
      <c r="A311" t="s">
        <v>78</v>
      </c>
      <c r="B311" s="3">
        <v>0</v>
      </c>
      <c r="C311" s="3" t="s">
        <v>14</v>
      </c>
      <c r="D311">
        <v>160</v>
      </c>
      <c r="E311">
        <v>22.877342503009228</v>
      </c>
    </row>
    <row r="312" spans="1:5" x14ac:dyDescent="0.25">
      <c r="A312" t="s">
        <v>79</v>
      </c>
      <c r="B312" s="3">
        <v>0</v>
      </c>
      <c r="C312" s="3" t="s">
        <v>12</v>
      </c>
      <c r="D312">
        <v>838.55000000000007</v>
      </c>
      <c r="E312">
        <v>105.82932233869091</v>
      </c>
    </row>
    <row r="313" spans="1:5" x14ac:dyDescent="0.25">
      <c r="A313" t="s">
        <v>79</v>
      </c>
      <c r="B313" s="3">
        <v>0</v>
      </c>
      <c r="C313" s="3" t="s">
        <v>12</v>
      </c>
      <c r="D313">
        <v>415.26499999999999</v>
      </c>
      <c r="E313">
        <v>76.498722211550756</v>
      </c>
    </row>
    <row r="314" spans="1:5" x14ac:dyDescent="0.25">
      <c r="A314" t="s">
        <v>79</v>
      </c>
      <c r="B314" s="3">
        <v>0</v>
      </c>
      <c r="C314" s="3" t="s">
        <v>12</v>
      </c>
      <c r="D314">
        <v>1003.8649999999999</v>
      </c>
      <c r="E314">
        <v>122.62025974528069</v>
      </c>
    </row>
    <row r="315" spans="1:5" x14ac:dyDescent="0.25">
      <c r="A315" t="s">
        <v>79</v>
      </c>
      <c r="B315" s="3">
        <v>0</v>
      </c>
      <c r="C315" s="3" t="s">
        <v>12</v>
      </c>
      <c r="D315">
        <v>76.545000000000002</v>
      </c>
      <c r="E315">
        <v>17.256777412560744</v>
      </c>
    </row>
    <row r="316" spans="1:5" x14ac:dyDescent="0.25">
      <c r="A316" t="s">
        <v>79</v>
      </c>
      <c r="B316" s="3">
        <v>0</v>
      </c>
      <c r="C316" s="3" t="s">
        <v>12</v>
      </c>
      <c r="D316">
        <v>119.035</v>
      </c>
      <c r="E316">
        <v>27.27820314219149</v>
      </c>
    </row>
    <row r="317" spans="1:5" x14ac:dyDescent="0.25">
      <c r="A317" t="s">
        <v>80</v>
      </c>
      <c r="B317" s="3">
        <v>0</v>
      </c>
      <c r="C317" s="3" t="s">
        <v>10</v>
      </c>
      <c r="D317">
        <v>824.53</v>
      </c>
      <c r="E317">
        <v>111.88191930185515</v>
      </c>
    </row>
    <row r="318" spans="1:5" x14ac:dyDescent="0.25">
      <c r="A318" t="s">
        <v>80</v>
      </c>
      <c r="B318" s="3">
        <v>0</v>
      </c>
      <c r="C318" s="3" t="s">
        <v>10</v>
      </c>
      <c r="D318">
        <v>363.51</v>
      </c>
      <c r="E318">
        <v>92.438555448109966</v>
      </c>
    </row>
    <row r="319" spans="1:5" x14ac:dyDescent="0.25">
      <c r="A319" t="s">
        <v>80</v>
      </c>
      <c r="B319" s="3">
        <v>0</v>
      </c>
      <c r="C319" s="3" t="s">
        <v>10</v>
      </c>
      <c r="D319">
        <v>980.06500000000005</v>
      </c>
      <c r="E319">
        <v>44.775214497903789</v>
      </c>
    </row>
    <row r="320" spans="1:5" x14ac:dyDescent="0.25">
      <c r="A320" t="s">
        <v>80</v>
      </c>
      <c r="B320" s="3">
        <v>0</v>
      </c>
      <c r="C320" s="3" t="s">
        <v>10</v>
      </c>
      <c r="D320">
        <v>92.829999999999984</v>
      </c>
      <c r="E320">
        <v>16.926448731694137</v>
      </c>
    </row>
    <row r="321" spans="1:5" x14ac:dyDescent="0.25">
      <c r="A321" t="s">
        <v>80</v>
      </c>
      <c r="B321" s="3">
        <v>0</v>
      </c>
      <c r="C321" s="3" t="s">
        <v>10</v>
      </c>
      <c r="D321">
        <v>129.63999999999999</v>
      </c>
      <c r="E321">
        <v>32.518749463450654</v>
      </c>
    </row>
    <row r="322" spans="1:5" x14ac:dyDescent="0.25">
      <c r="A322" t="s">
        <v>81</v>
      </c>
      <c r="B322" s="3">
        <v>0</v>
      </c>
      <c r="C322" s="3" t="s">
        <v>8</v>
      </c>
      <c r="D322">
        <v>893.09999999999991</v>
      </c>
      <c r="E322">
        <v>126.71862372990043</v>
      </c>
    </row>
    <row r="323" spans="1:5" x14ac:dyDescent="0.25">
      <c r="A323" t="s">
        <v>81</v>
      </c>
      <c r="B323" s="3">
        <v>0</v>
      </c>
      <c r="C323" s="3" t="s">
        <v>8</v>
      </c>
      <c r="D323">
        <v>440.64499999999998</v>
      </c>
      <c r="E323">
        <v>83.932278057967736</v>
      </c>
    </row>
    <row r="324" spans="1:5" x14ac:dyDescent="0.25">
      <c r="A324" t="s">
        <v>81</v>
      </c>
      <c r="B324" s="3">
        <v>0</v>
      </c>
      <c r="C324" s="3" t="s">
        <v>8</v>
      </c>
      <c r="D324">
        <v>1074.77</v>
      </c>
      <c r="E324">
        <v>61.071554753418091</v>
      </c>
    </row>
    <row r="325" spans="1:5" x14ac:dyDescent="0.25">
      <c r="A325" t="s">
        <v>81</v>
      </c>
      <c r="B325" s="3">
        <v>0</v>
      </c>
      <c r="C325" s="3" t="s">
        <v>8</v>
      </c>
      <c r="D325">
        <v>97.06</v>
      </c>
      <c r="E325">
        <v>20.849844124117521</v>
      </c>
    </row>
    <row r="326" spans="1:5" x14ac:dyDescent="0.25">
      <c r="A326" t="s">
        <v>81</v>
      </c>
      <c r="B326" s="3">
        <v>0</v>
      </c>
      <c r="C326" s="3" t="s">
        <v>8</v>
      </c>
      <c r="D326">
        <v>161.89500000000001</v>
      </c>
      <c r="E326">
        <v>39.937382237697939</v>
      </c>
    </row>
    <row r="327" spans="1:5" x14ac:dyDescent="0.25">
      <c r="A327" t="s">
        <v>82</v>
      </c>
      <c r="B327" s="3">
        <v>0</v>
      </c>
      <c r="C327" s="3" t="s">
        <v>4</v>
      </c>
      <c r="D327">
        <v>903.20500000000015</v>
      </c>
      <c r="E327">
        <v>111.86733377830402</v>
      </c>
    </row>
    <row r="328" spans="1:5" x14ac:dyDescent="0.25">
      <c r="A328" t="s">
        <v>82</v>
      </c>
      <c r="B328" s="3">
        <v>0</v>
      </c>
      <c r="C328" s="3" t="s">
        <v>4</v>
      </c>
      <c r="D328">
        <v>392.84999999999997</v>
      </c>
      <c r="E328">
        <v>104.21416730304341</v>
      </c>
    </row>
    <row r="329" spans="1:5" x14ac:dyDescent="0.25">
      <c r="A329" t="s">
        <v>82</v>
      </c>
      <c r="B329" s="3">
        <v>0</v>
      </c>
      <c r="C329" s="3" t="s">
        <v>4</v>
      </c>
      <c r="D329">
        <v>1039.105</v>
      </c>
      <c r="E329">
        <v>99.219133067500749</v>
      </c>
    </row>
    <row r="330" spans="1:5" x14ac:dyDescent="0.25">
      <c r="A330" t="s">
        <v>82</v>
      </c>
      <c r="B330" s="3">
        <v>0</v>
      </c>
      <c r="C330" s="3" t="s">
        <v>4</v>
      </c>
      <c r="D330">
        <v>90.110000000000014</v>
      </c>
      <c r="E330">
        <v>24.914266328083208</v>
      </c>
    </row>
    <row r="331" spans="1:5" x14ac:dyDescent="0.25">
      <c r="A331" t="s">
        <v>82</v>
      </c>
      <c r="B331" s="3">
        <v>0</v>
      </c>
      <c r="C331" s="3" t="s">
        <v>4</v>
      </c>
      <c r="D331">
        <v>148.33500000000001</v>
      </c>
      <c r="E331">
        <v>67.102646495251349</v>
      </c>
    </row>
    <row r="332" spans="1:5" x14ac:dyDescent="0.25">
      <c r="A332" t="s">
        <v>83</v>
      </c>
      <c r="B332" s="3">
        <v>0</v>
      </c>
      <c r="C332" s="3" t="s">
        <v>7</v>
      </c>
      <c r="D332">
        <v>689.73500000000001</v>
      </c>
      <c r="E332">
        <v>180.65962572380872</v>
      </c>
    </row>
    <row r="333" spans="1:5" x14ac:dyDescent="0.25">
      <c r="A333" t="s">
        <v>83</v>
      </c>
      <c r="B333" s="3">
        <v>0</v>
      </c>
      <c r="C333" s="3" t="s">
        <v>7</v>
      </c>
      <c r="D333">
        <v>352.59000000000003</v>
      </c>
      <c r="E333">
        <v>68.773395049733068</v>
      </c>
    </row>
    <row r="334" spans="1:5" x14ac:dyDescent="0.25">
      <c r="A334" t="s">
        <v>83</v>
      </c>
      <c r="B334" s="3">
        <v>0</v>
      </c>
      <c r="C334" s="3" t="s">
        <v>7</v>
      </c>
      <c r="D334">
        <v>921.14499999999998</v>
      </c>
      <c r="E334">
        <v>132.64365533262344</v>
      </c>
    </row>
    <row r="335" spans="1:5" x14ac:dyDescent="0.25">
      <c r="A335" t="s">
        <v>83</v>
      </c>
      <c r="B335" s="3">
        <v>0</v>
      </c>
      <c r="C335" s="3" t="s">
        <v>7</v>
      </c>
      <c r="D335">
        <v>77.355000000000004</v>
      </c>
      <c r="E335">
        <v>7.4888962248562931</v>
      </c>
    </row>
    <row r="336" spans="1:5" x14ac:dyDescent="0.25">
      <c r="A336" t="s">
        <v>83</v>
      </c>
      <c r="B336" s="3">
        <v>0</v>
      </c>
      <c r="C336" s="3" t="s">
        <v>7</v>
      </c>
      <c r="D336">
        <v>113.215</v>
      </c>
      <c r="E336">
        <v>24.589040241538541</v>
      </c>
    </row>
    <row r="337" spans="1:5" x14ac:dyDescent="0.25">
      <c r="A337" t="s">
        <v>84</v>
      </c>
      <c r="B337" s="3">
        <v>0</v>
      </c>
      <c r="C337" s="3" t="s">
        <v>2</v>
      </c>
      <c r="D337">
        <v>845.8</v>
      </c>
      <c r="E337">
        <v>51.951477361095264</v>
      </c>
    </row>
    <row r="338" spans="1:5" x14ac:dyDescent="0.25">
      <c r="A338" t="s">
        <v>84</v>
      </c>
      <c r="B338" s="3">
        <v>0</v>
      </c>
      <c r="C338" s="3" t="s">
        <v>2</v>
      </c>
      <c r="D338">
        <v>359.815</v>
      </c>
      <c r="E338">
        <v>41.095532198362264</v>
      </c>
    </row>
    <row r="339" spans="1:5" x14ac:dyDescent="0.25">
      <c r="A339" t="s">
        <v>84</v>
      </c>
      <c r="B339" s="3">
        <v>0</v>
      </c>
      <c r="C339" s="3" t="s">
        <v>2</v>
      </c>
      <c r="D339">
        <v>920.36</v>
      </c>
      <c r="E339">
        <v>41.071164255878656</v>
      </c>
    </row>
    <row r="340" spans="1:5" x14ac:dyDescent="0.25">
      <c r="A340" t="s">
        <v>84</v>
      </c>
      <c r="B340" s="3">
        <v>0</v>
      </c>
      <c r="C340" s="3" t="s">
        <v>2</v>
      </c>
      <c r="D340">
        <v>83.155000000000001</v>
      </c>
      <c r="E340">
        <v>17.474487116937095</v>
      </c>
    </row>
    <row r="341" spans="1:5" x14ac:dyDescent="0.25">
      <c r="A341" t="s">
        <v>84</v>
      </c>
      <c r="B341" s="3">
        <v>0</v>
      </c>
      <c r="C341" s="3" t="s">
        <v>2</v>
      </c>
      <c r="D341">
        <v>122.96</v>
      </c>
      <c r="E341">
        <v>28.137912739457693</v>
      </c>
    </row>
    <row r="342" spans="1:5" x14ac:dyDescent="0.25">
      <c r="A342" t="s">
        <v>85</v>
      </c>
      <c r="B342" s="3">
        <v>0</v>
      </c>
      <c r="C342" s="3" t="s">
        <v>3</v>
      </c>
      <c r="D342">
        <v>744.61</v>
      </c>
      <c r="E342">
        <v>65.575291078271064</v>
      </c>
    </row>
    <row r="343" spans="1:5" x14ac:dyDescent="0.25">
      <c r="A343" t="s">
        <v>85</v>
      </c>
      <c r="B343" s="3">
        <v>0</v>
      </c>
      <c r="C343" s="3" t="s">
        <v>3</v>
      </c>
      <c r="D343">
        <v>368.83000000000004</v>
      </c>
      <c r="E343">
        <v>41.429208697889777</v>
      </c>
    </row>
    <row r="344" spans="1:5" x14ac:dyDescent="0.25">
      <c r="A344" t="s">
        <v>85</v>
      </c>
      <c r="B344" s="3">
        <v>0</v>
      </c>
      <c r="C344" s="3" t="s">
        <v>3</v>
      </c>
      <c r="D344">
        <v>944.8850000000001</v>
      </c>
      <c r="E344">
        <v>90.804885881761479</v>
      </c>
    </row>
    <row r="345" spans="1:5" x14ac:dyDescent="0.25">
      <c r="A345" t="s">
        <v>85</v>
      </c>
      <c r="B345" s="3">
        <v>0</v>
      </c>
      <c r="C345" s="3" t="s">
        <v>3</v>
      </c>
      <c r="D345">
        <v>64.454999999999998</v>
      </c>
      <c r="E345">
        <v>18.361469621647068</v>
      </c>
    </row>
    <row r="346" spans="1:5" x14ac:dyDescent="0.25">
      <c r="A346" t="s">
        <v>85</v>
      </c>
      <c r="B346" s="3">
        <v>0</v>
      </c>
      <c r="C346" s="3" t="s">
        <v>3</v>
      </c>
      <c r="D346">
        <v>108.54499999999999</v>
      </c>
      <c r="E346">
        <v>18.409138129382107</v>
      </c>
    </row>
    <row r="347" spans="1:5" x14ac:dyDescent="0.25">
      <c r="A347" t="s">
        <v>86</v>
      </c>
      <c r="B347" s="3">
        <v>0</v>
      </c>
      <c r="C347" s="3" t="s">
        <v>5</v>
      </c>
      <c r="D347">
        <v>773.43499999999995</v>
      </c>
      <c r="E347">
        <v>148.83843444039186</v>
      </c>
    </row>
    <row r="348" spans="1:5" x14ac:dyDescent="0.25">
      <c r="A348" t="s">
        <v>86</v>
      </c>
      <c r="B348" s="3">
        <v>0</v>
      </c>
      <c r="C348" s="3" t="s">
        <v>5</v>
      </c>
      <c r="D348">
        <v>353.39400000000001</v>
      </c>
      <c r="E348">
        <v>28.387350892019217</v>
      </c>
    </row>
    <row r="349" spans="1:5" x14ac:dyDescent="0.25">
      <c r="A349" t="s">
        <v>86</v>
      </c>
      <c r="B349" s="3">
        <v>0</v>
      </c>
      <c r="C349" s="3" t="s">
        <v>5</v>
      </c>
      <c r="D349">
        <v>890.99</v>
      </c>
      <c r="E349">
        <v>48.415734357060913</v>
      </c>
    </row>
    <row r="350" spans="1:5" x14ac:dyDescent="0.25">
      <c r="A350" t="s">
        <v>86</v>
      </c>
      <c r="B350" s="3">
        <v>0</v>
      </c>
      <c r="C350" s="3" t="s">
        <v>5</v>
      </c>
      <c r="D350">
        <v>71.790000000000006</v>
      </c>
      <c r="E350">
        <v>7.4125029510953366</v>
      </c>
    </row>
    <row r="351" spans="1:5" x14ac:dyDescent="0.25">
      <c r="A351" t="s">
        <v>86</v>
      </c>
      <c r="B351" s="3">
        <v>0</v>
      </c>
      <c r="C351" s="3" t="s">
        <v>5</v>
      </c>
      <c r="D351">
        <v>125.56</v>
      </c>
      <c r="E351">
        <v>20.97806473438381</v>
      </c>
    </row>
    <row r="352" spans="1:5" x14ac:dyDescent="0.25">
      <c r="A352" t="s">
        <v>87</v>
      </c>
      <c r="B352" s="3">
        <v>0</v>
      </c>
      <c r="C352" s="3" t="s">
        <v>9</v>
      </c>
      <c r="D352">
        <v>808.63499999999999</v>
      </c>
      <c r="E352">
        <v>94.032229049405643</v>
      </c>
    </row>
    <row r="353" spans="1:9" x14ac:dyDescent="0.25">
      <c r="A353" t="s">
        <v>87</v>
      </c>
      <c r="B353" s="3">
        <v>0</v>
      </c>
      <c r="C353" s="3" t="s">
        <v>9</v>
      </c>
      <c r="D353">
        <v>370.73</v>
      </c>
      <c r="E353">
        <v>76.392569446685599</v>
      </c>
    </row>
    <row r="354" spans="1:9" x14ac:dyDescent="0.25">
      <c r="A354" t="s">
        <v>87</v>
      </c>
      <c r="B354" s="3">
        <v>0</v>
      </c>
      <c r="C354" s="3" t="s">
        <v>9</v>
      </c>
      <c r="D354">
        <v>972.29</v>
      </c>
      <c r="E354">
        <v>144.02397254161153</v>
      </c>
    </row>
    <row r="355" spans="1:9" x14ac:dyDescent="0.25">
      <c r="A355" t="s">
        <v>87</v>
      </c>
      <c r="B355" s="3">
        <v>0</v>
      </c>
      <c r="C355" s="3" t="s">
        <v>9</v>
      </c>
      <c r="D355">
        <v>73.97</v>
      </c>
      <c r="E355">
        <v>18.31735424854439</v>
      </c>
    </row>
    <row r="356" spans="1:9" x14ac:dyDescent="0.25">
      <c r="A356" t="s">
        <v>87</v>
      </c>
      <c r="B356" s="3">
        <v>0</v>
      </c>
      <c r="C356" s="3" t="s">
        <v>9</v>
      </c>
      <c r="D356">
        <v>115.65</v>
      </c>
      <c r="E356">
        <v>21.763728234534373</v>
      </c>
    </row>
    <row r="357" spans="1:9" x14ac:dyDescent="0.25">
      <c r="A357" t="s">
        <v>88</v>
      </c>
      <c r="B357" s="3">
        <v>0</v>
      </c>
      <c r="C357" s="3" t="s">
        <v>6</v>
      </c>
      <c r="D357">
        <v>859.36500000000001</v>
      </c>
      <c r="E357">
        <v>135.52668261268718</v>
      </c>
    </row>
    <row r="358" spans="1:9" x14ac:dyDescent="0.25">
      <c r="A358" t="s">
        <v>88</v>
      </c>
      <c r="B358" s="3">
        <v>0</v>
      </c>
      <c r="C358" s="3" t="s">
        <v>6</v>
      </c>
      <c r="D358">
        <v>357.87</v>
      </c>
      <c r="E358">
        <v>97.468491318989791</v>
      </c>
    </row>
    <row r="359" spans="1:9" x14ac:dyDescent="0.25">
      <c r="A359" t="s">
        <v>88</v>
      </c>
      <c r="B359" s="3">
        <v>0</v>
      </c>
      <c r="C359" s="3" t="s">
        <v>6</v>
      </c>
      <c r="D359">
        <v>979.77499999999986</v>
      </c>
      <c r="E359">
        <v>116.33245849718986</v>
      </c>
    </row>
    <row r="360" spans="1:9" x14ac:dyDescent="0.25">
      <c r="A360" t="s">
        <v>88</v>
      </c>
      <c r="B360" s="3">
        <v>0</v>
      </c>
      <c r="C360" s="3" t="s">
        <v>6</v>
      </c>
      <c r="D360">
        <v>89.72</v>
      </c>
      <c r="E360">
        <v>22.050838230477027</v>
      </c>
    </row>
    <row r="361" spans="1:9" x14ac:dyDescent="0.25">
      <c r="A361" t="s">
        <v>88</v>
      </c>
      <c r="B361" s="3">
        <v>0</v>
      </c>
      <c r="C361" s="3" t="s">
        <v>6</v>
      </c>
      <c r="D361">
        <v>149.065</v>
      </c>
      <c r="E361">
        <v>52.78414503112338</v>
      </c>
    </row>
    <row r="362" spans="1:9" x14ac:dyDescent="0.25">
      <c r="A362" t="s">
        <v>27</v>
      </c>
      <c r="B362" s="5">
        <v>42293</v>
      </c>
      <c r="C362" s="3" t="s">
        <v>13</v>
      </c>
      <c r="D362">
        <v>644.3772886368015</v>
      </c>
      <c r="E362">
        <v>62.557450988694001</v>
      </c>
      <c r="F362">
        <v>356.88948888767163</v>
      </c>
      <c r="G362">
        <v>34.110327508666735</v>
      </c>
      <c r="H362">
        <v>193.94526340996859</v>
      </c>
      <c r="I362">
        <v>29.049938319428168</v>
      </c>
    </row>
    <row r="363" spans="1:9" x14ac:dyDescent="0.25">
      <c r="A363" t="s">
        <v>27</v>
      </c>
      <c r="B363" s="5">
        <v>42264</v>
      </c>
      <c r="C363" s="3" t="s">
        <v>13</v>
      </c>
      <c r="D363">
        <v>605.80707701753386</v>
      </c>
      <c r="E363">
        <v>25.151210526622648</v>
      </c>
      <c r="F363">
        <v>387.38124944730714</v>
      </c>
      <c r="G363">
        <v>25.839577560918613</v>
      </c>
    </row>
    <row r="364" spans="1:9" x14ac:dyDescent="0.25">
      <c r="A364" t="s">
        <v>27</v>
      </c>
      <c r="B364" s="5">
        <v>42361</v>
      </c>
      <c r="C364" s="3" t="s">
        <v>13</v>
      </c>
      <c r="D364">
        <v>1040.8903217599118</v>
      </c>
      <c r="E364">
        <v>28.701385832376619</v>
      </c>
      <c r="F364">
        <v>382.30716533525714</v>
      </c>
      <c r="G364">
        <v>17.174404598962749</v>
      </c>
      <c r="H364">
        <v>571.79123615880133</v>
      </c>
      <c r="I364">
        <v>27.036871910427372</v>
      </c>
    </row>
    <row r="365" spans="1:9" x14ac:dyDescent="0.25">
      <c r="A365" t="s">
        <v>27</v>
      </c>
      <c r="B365" s="5">
        <v>42214</v>
      </c>
      <c r="C365" s="3" t="s">
        <v>13</v>
      </c>
      <c r="D365">
        <v>69.666666666666671</v>
      </c>
      <c r="E365">
        <v>8.8798565220307228</v>
      </c>
    </row>
    <row r="366" spans="1:9" x14ac:dyDescent="0.25">
      <c r="A366" t="s">
        <v>27</v>
      </c>
      <c r="B366" s="5">
        <v>42247</v>
      </c>
      <c r="C366" s="3" t="s">
        <v>13</v>
      </c>
      <c r="D366">
        <v>259.40245738811018</v>
      </c>
      <c r="E366">
        <v>35.850010169174233</v>
      </c>
      <c r="F366">
        <v>120.60402464048929</v>
      </c>
      <c r="G366">
        <v>20.751022900696718</v>
      </c>
    </row>
    <row r="367" spans="1:9" x14ac:dyDescent="0.25">
      <c r="A367" t="s">
        <v>28</v>
      </c>
      <c r="B367" s="5">
        <v>42293</v>
      </c>
      <c r="C367" s="3" t="s">
        <v>14</v>
      </c>
      <c r="D367">
        <v>688.13028721682849</v>
      </c>
      <c r="E367">
        <v>62.338206057395325</v>
      </c>
      <c r="F367">
        <v>380.57316140776697</v>
      </c>
      <c r="G367">
        <v>36.815010945489419</v>
      </c>
      <c r="H367">
        <v>186.58091221682847</v>
      </c>
      <c r="I367">
        <v>16.060966769509307</v>
      </c>
    </row>
    <row r="368" spans="1:9" x14ac:dyDescent="0.25">
      <c r="A368" t="s">
        <v>28</v>
      </c>
      <c r="B368" s="5">
        <v>42264</v>
      </c>
      <c r="C368" s="3" t="s">
        <v>14</v>
      </c>
      <c r="D368">
        <v>565.99474715788438</v>
      </c>
      <c r="E368">
        <v>118.88290520116612</v>
      </c>
      <c r="F368">
        <v>344.49814614922849</v>
      </c>
      <c r="G368">
        <v>85.173527948293568</v>
      </c>
    </row>
    <row r="369" spans="1:9" x14ac:dyDescent="0.25">
      <c r="A369" t="s">
        <v>28</v>
      </c>
      <c r="B369" s="5">
        <v>42361</v>
      </c>
      <c r="C369" s="3" t="s">
        <v>14</v>
      </c>
      <c r="D369">
        <v>1076.4212431832766</v>
      </c>
      <c r="E369">
        <v>183.0629571346679</v>
      </c>
      <c r="F369">
        <v>427.20443487229397</v>
      </c>
      <c r="G369">
        <v>78.145438491070635</v>
      </c>
      <c r="H369">
        <v>558.52341050223106</v>
      </c>
      <c r="I369">
        <v>94.327518514194807</v>
      </c>
    </row>
    <row r="370" spans="1:9" x14ac:dyDescent="0.25">
      <c r="A370" t="s">
        <v>28</v>
      </c>
      <c r="B370" s="5">
        <v>42214</v>
      </c>
      <c r="C370" s="3" t="s">
        <v>14</v>
      </c>
      <c r="D370">
        <v>52.291666666666671</v>
      </c>
      <c r="E370">
        <v>7.3904029359403234</v>
      </c>
    </row>
    <row r="371" spans="1:9" x14ac:dyDescent="0.25">
      <c r="A371" t="s">
        <v>28</v>
      </c>
      <c r="B371" s="5">
        <v>42247</v>
      </c>
      <c r="C371" s="3" t="s">
        <v>14</v>
      </c>
      <c r="D371">
        <v>228.07135660099595</v>
      </c>
      <c r="E371">
        <v>43.582678804382489</v>
      </c>
      <c r="F371">
        <v>98.899096197140665</v>
      </c>
      <c r="G371">
        <v>27.403547184757734</v>
      </c>
    </row>
    <row r="372" spans="1:9" x14ac:dyDescent="0.25">
      <c r="A372" t="s">
        <v>29</v>
      </c>
      <c r="B372" s="5">
        <v>42296</v>
      </c>
      <c r="C372" s="3" t="s">
        <v>12</v>
      </c>
      <c r="D372">
        <v>641.72359768696379</v>
      </c>
      <c r="E372">
        <v>118.40928864273717</v>
      </c>
      <c r="F372">
        <v>350.27972704962599</v>
      </c>
      <c r="G372">
        <v>64.279289659272607</v>
      </c>
      <c r="H372">
        <v>180.96047456710915</v>
      </c>
      <c r="I372">
        <v>38.205218026867733</v>
      </c>
    </row>
    <row r="373" spans="1:9" x14ac:dyDescent="0.25">
      <c r="A373" t="s">
        <v>29</v>
      </c>
      <c r="B373" s="5">
        <v>42264</v>
      </c>
      <c r="C373" s="3" t="s">
        <v>12</v>
      </c>
      <c r="D373">
        <v>566.78136772704238</v>
      </c>
      <c r="E373">
        <v>17.629228077879993</v>
      </c>
      <c r="F373">
        <v>330.11013011766397</v>
      </c>
      <c r="G373">
        <v>6.8004853108063106</v>
      </c>
    </row>
    <row r="374" spans="1:9" x14ac:dyDescent="0.25">
      <c r="A374" t="s">
        <v>29</v>
      </c>
      <c r="B374" s="5">
        <v>42361</v>
      </c>
      <c r="C374" s="3" t="s">
        <v>12</v>
      </c>
      <c r="D374">
        <v>1053.9606021218881</v>
      </c>
      <c r="E374">
        <v>106.1177708911974</v>
      </c>
      <c r="F374">
        <v>399.40922081770321</v>
      </c>
      <c r="G374">
        <v>44.151641545337711</v>
      </c>
      <c r="H374">
        <v>553.21663545004924</v>
      </c>
      <c r="I374">
        <v>58.437860838343973</v>
      </c>
    </row>
    <row r="375" spans="1:9" x14ac:dyDescent="0.25">
      <c r="A375" t="s">
        <v>29</v>
      </c>
      <c r="B375" s="5">
        <v>42214</v>
      </c>
      <c r="C375" s="3" t="s">
        <v>12</v>
      </c>
      <c r="D375">
        <v>52.916666666666671</v>
      </c>
      <c r="E375">
        <v>8.7691589190838481</v>
      </c>
    </row>
    <row r="376" spans="1:9" x14ac:dyDescent="0.25">
      <c r="A376" t="s">
        <v>29</v>
      </c>
      <c r="B376" s="5">
        <v>42247</v>
      </c>
      <c r="C376" s="3" t="s">
        <v>12</v>
      </c>
      <c r="D376">
        <v>219.63962978285852</v>
      </c>
      <c r="E376">
        <v>38.08193661332389</v>
      </c>
      <c r="F376">
        <v>100.89937144974209</v>
      </c>
      <c r="G376">
        <v>27.862765522308752</v>
      </c>
    </row>
    <row r="377" spans="1:9" x14ac:dyDescent="0.25">
      <c r="A377" t="s">
        <v>30</v>
      </c>
      <c r="B377" s="5">
        <v>42291</v>
      </c>
      <c r="C377" s="3" t="s">
        <v>10</v>
      </c>
      <c r="D377">
        <v>768.73976807067856</v>
      </c>
      <c r="E377">
        <v>62.247121794250639</v>
      </c>
      <c r="F377">
        <v>411.39262359031693</v>
      </c>
      <c r="G377">
        <v>42.32863578479617</v>
      </c>
      <c r="H377">
        <v>244.95252225921968</v>
      </c>
      <c r="I377">
        <v>22.290313693302299</v>
      </c>
    </row>
    <row r="378" spans="1:9" x14ac:dyDescent="0.25">
      <c r="A378" t="s">
        <v>30</v>
      </c>
      <c r="B378" s="5">
        <v>42264</v>
      </c>
      <c r="C378" s="3" t="s">
        <v>10</v>
      </c>
      <c r="D378">
        <v>668.98089809408884</v>
      </c>
      <c r="E378">
        <v>25.162694228134804</v>
      </c>
      <c r="F378">
        <v>455.491575615611</v>
      </c>
      <c r="G378">
        <v>20.422686124932994</v>
      </c>
    </row>
    <row r="379" spans="1:9" x14ac:dyDescent="0.25">
      <c r="A379" t="s">
        <v>30</v>
      </c>
      <c r="B379" s="5">
        <v>42361</v>
      </c>
      <c r="C379" s="3" t="s">
        <v>10</v>
      </c>
      <c r="D379">
        <v>1264.0673689674888</v>
      </c>
      <c r="E379">
        <v>199.67679864351101</v>
      </c>
      <c r="F379">
        <v>411.40303227016523</v>
      </c>
      <c r="G379">
        <v>55.448878882378125</v>
      </c>
      <c r="H379">
        <v>761.01345944023706</v>
      </c>
      <c r="I379">
        <v>124.70267120499491</v>
      </c>
    </row>
    <row r="380" spans="1:9" x14ac:dyDescent="0.25">
      <c r="A380" t="s">
        <v>30</v>
      </c>
      <c r="B380" s="5">
        <v>42214</v>
      </c>
      <c r="C380" s="3" t="s">
        <v>10</v>
      </c>
      <c r="D380">
        <v>63.208333333333329</v>
      </c>
      <c r="E380">
        <v>11.759452462688159</v>
      </c>
    </row>
    <row r="381" spans="1:9" x14ac:dyDescent="0.25">
      <c r="A381" t="s">
        <v>30</v>
      </c>
      <c r="B381" s="5">
        <v>42247</v>
      </c>
      <c r="C381" s="3" t="s">
        <v>10</v>
      </c>
      <c r="D381">
        <v>313.29313193418506</v>
      </c>
      <c r="E381">
        <v>19.544426515949183</v>
      </c>
      <c r="F381">
        <v>156.77223458542684</v>
      </c>
      <c r="G381">
        <v>18.453073077336914</v>
      </c>
    </row>
    <row r="382" spans="1:9" x14ac:dyDescent="0.25">
      <c r="A382" t="s">
        <v>31</v>
      </c>
      <c r="B382" s="5">
        <v>42293</v>
      </c>
      <c r="C382" s="3" t="s">
        <v>8</v>
      </c>
      <c r="D382">
        <v>726.81548263888885</v>
      </c>
      <c r="E382">
        <v>43.846230809080929</v>
      </c>
      <c r="F382">
        <v>406.55833680555554</v>
      </c>
      <c r="G382">
        <v>29.506189200345577</v>
      </c>
      <c r="H382">
        <v>184.45413888888891</v>
      </c>
      <c r="I382">
        <v>19.735524806444626</v>
      </c>
    </row>
    <row r="383" spans="1:9" x14ac:dyDescent="0.25">
      <c r="A383" t="s">
        <v>31</v>
      </c>
      <c r="B383" s="5">
        <v>42264</v>
      </c>
      <c r="C383" s="3" t="s">
        <v>8</v>
      </c>
      <c r="D383">
        <v>577.11781899272228</v>
      </c>
      <c r="E383">
        <v>52.155739326193533</v>
      </c>
      <c r="F383">
        <v>352.09068731903278</v>
      </c>
      <c r="G383">
        <v>42.303448494693185</v>
      </c>
    </row>
    <row r="384" spans="1:9" x14ac:dyDescent="0.25">
      <c r="A384" t="s">
        <v>31</v>
      </c>
      <c r="B384" s="5">
        <v>42361</v>
      </c>
      <c r="C384" s="3" t="s">
        <v>8</v>
      </c>
      <c r="D384">
        <v>1088.5649694594663</v>
      </c>
      <c r="E384">
        <v>123.97269869417288</v>
      </c>
      <c r="F384">
        <v>385.89287317339398</v>
      </c>
      <c r="G384">
        <v>38.433422749807342</v>
      </c>
      <c r="H384">
        <v>585.24589796137514</v>
      </c>
      <c r="I384">
        <v>62.579663969758073</v>
      </c>
    </row>
    <row r="385" spans="1:9" x14ac:dyDescent="0.25">
      <c r="A385" t="s">
        <v>31</v>
      </c>
      <c r="B385" s="5">
        <v>42214</v>
      </c>
      <c r="C385" s="3" t="s">
        <v>8</v>
      </c>
      <c r="D385">
        <v>56.958333333333336</v>
      </c>
      <c r="E385">
        <v>16.442590924069627</v>
      </c>
    </row>
    <row r="386" spans="1:9" x14ac:dyDescent="0.25">
      <c r="A386" t="s">
        <v>31</v>
      </c>
      <c r="B386" s="5">
        <v>42247</v>
      </c>
      <c r="C386" s="3" t="s">
        <v>8</v>
      </c>
      <c r="D386">
        <v>264.23378660565237</v>
      </c>
      <c r="E386">
        <v>34.084615577606748</v>
      </c>
      <c r="F386">
        <v>120.53559310377989</v>
      </c>
      <c r="G386">
        <v>16.997501471340467</v>
      </c>
    </row>
    <row r="387" spans="1:9" x14ac:dyDescent="0.25">
      <c r="A387" t="s">
        <v>32</v>
      </c>
      <c r="B387" s="5">
        <v>42296</v>
      </c>
      <c r="C387" s="3" t="s">
        <v>4</v>
      </c>
      <c r="D387">
        <v>603.39485827397243</v>
      </c>
      <c r="E387">
        <v>48.940899677070973</v>
      </c>
      <c r="F387">
        <v>319.17705548616209</v>
      </c>
      <c r="G387">
        <v>30.464193794638781</v>
      </c>
      <c r="H387">
        <v>187.0463067352446</v>
      </c>
      <c r="I387">
        <v>18.396801194331044</v>
      </c>
    </row>
    <row r="388" spans="1:9" x14ac:dyDescent="0.25">
      <c r="A388" t="s">
        <v>32</v>
      </c>
      <c r="B388" s="5">
        <v>42264</v>
      </c>
      <c r="C388" s="3" t="s">
        <v>4</v>
      </c>
      <c r="D388">
        <v>441.6653606015675</v>
      </c>
      <c r="E388">
        <v>55.504342605219094</v>
      </c>
      <c r="F388">
        <v>246.45242160431917</v>
      </c>
      <c r="G388">
        <v>34.794888177442417</v>
      </c>
    </row>
    <row r="389" spans="1:9" x14ac:dyDescent="0.25">
      <c r="A389" t="s">
        <v>32</v>
      </c>
      <c r="B389" s="5">
        <v>42361</v>
      </c>
      <c r="C389" s="3" t="s">
        <v>4</v>
      </c>
      <c r="D389">
        <v>1114.3768473603091</v>
      </c>
      <c r="E389">
        <v>52.804008273748948</v>
      </c>
      <c r="F389">
        <v>354.91916701761164</v>
      </c>
      <c r="G389">
        <v>10.062429154695053</v>
      </c>
      <c r="H389">
        <v>681.50909554117175</v>
      </c>
      <c r="I389">
        <v>43.273884053321808</v>
      </c>
    </row>
    <row r="390" spans="1:9" x14ac:dyDescent="0.25">
      <c r="A390" t="s">
        <v>32</v>
      </c>
      <c r="B390" s="5">
        <v>42214</v>
      </c>
      <c r="C390" s="3" t="s">
        <v>4</v>
      </c>
      <c r="D390">
        <v>38.575819672131153</v>
      </c>
      <c r="E390">
        <v>3.0355985383232968</v>
      </c>
    </row>
    <row r="391" spans="1:9" x14ac:dyDescent="0.25">
      <c r="A391" t="s">
        <v>32</v>
      </c>
      <c r="B391" s="5">
        <v>42247</v>
      </c>
      <c r="C391" s="3" t="s">
        <v>4</v>
      </c>
      <c r="D391">
        <v>190.28415793979349</v>
      </c>
      <c r="E391">
        <v>18.194096836006331</v>
      </c>
      <c r="F391">
        <v>83.739083180784888</v>
      </c>
      <c r="G391">
        <v>13.710438444145291</v>
      </c>
    </row>
    <row r="392" spans="1:9" x14ac:dyDescent="0.25">
      <c r="A392" t="s">
        <v>33</v>
      </c>
      <c r="B392" s="5">
        <v>42293</v>
      </c>
      <c r="C392" s="3" t="s">
        <v>7</v>
      </c>
      <c r="D392">
        <v>733.95094382022467</v>
      </c>
      <c r="E392">
        <v>52.589078526365533</v>
      </c>
      <c r="F392">
        <v>401.75693258426963</v>
      </c>
      <c r="G392">
        <v>38.804646471118978</v>
      </c>
      <c r="H392">
        <v>213.12149438202249</v>
      </c>
      <c r="I392">
        <v>24.34933691466037</v>
      </c>
    </row>
    <row r="393" spans="1:9" x14ac:dyDescent="0.25">
      <c r="A393" t="s">
        <v>33</v>
      </c>
      <c r="B393" s="5">
        <v>42264</v>
      </c>
      <c r="C393" s="3" t="s">
        <v>7</v>
      </c>
      <c r="D393">
        <v>561.19655078036703</v>
      </c>
      <c r="E393">
        <v>58.434773997770009</v>
      </c>
      <c r="F393">
        <v>337.22135606292875</v>
      </c>
      <c r="G393">
        <v>34.949641206317466</v>
      </c>
    </row>
    <row r="394" spans="1:9" x14ac:dyDescent="0.25">
      <c r="A394" t="s">
        <v>33</v>
      </c>
      <c r="B394" s="5">
        <v>42361</v>
      </c>
      <c r="C394" s="3" t="s">
        <v>7</v>
      </c>
      <c r="D394">
        <v>931.32787105661328</v>
      </c>
      <c r="E394">
        <v>102.43737592037472</v>
      </c>
      <c r="F394">
        <v>370.74473704001088</v>
      </c>
      <c r="G394">
        <v>53.26527472614481</v>
      </c>
      <c r="H394">
        <v>479.24789312434774</v>
      </c>
      <c r="I394">
        <v>37.690957480301428</v>
      </c>
    </row>
    <row r="395" spans="1:9" x14ac:dyDescent="0.25">
      <c r="A395" t="s">
        <v>33</v>
      </c>
      <c r="B395" s="5">
        <v>42214</v>
      </c>
      <c r="C395" s="3" t="s">
        <v>7</v>
      </c>
      <c r="D395">
        <v>64.541666666666671</v>
      </c>
      <c r="E395">
        <v>5.4524459343185301</v>
      </c>
    </row>
    <row r="396" spans="1:9" x14ac:dyDescent="0.25">
      <c r="A396" t="s">
        <v>33</v>
      </c>
      <c r="B396" s="5">
        <v>42247</v>
      </c>
      <c r="C396" s="3" t="s">
        <v>7</v>
      </c>
      <c r="D396">
        <v>271.20813163158812</v>
      </c>
      <c r="E396">
        <v>64.426109179754192</v>
      </c>
      <c r="F396">
        <v>126.39075363020194</v>
      </c>
      <c r="G396">
        <v>35.872883173085647</v>
      </c>
    </row>
    <row r="397" spans="1:9" x14ac:dyDescent="0.25">
      <c r="A397" t="s">
        <v>34</v>
      </c>
      <c r="B397" s="5">
        <v>42291</v>
      </c>
      <c r="C397" s="3" t="s">
        <v>2</v>
      </c>
      <c r="D397">
        <v>709.43879130669973</v>
      </c>
      <c r="E397">
        <v>34.212010046813589</v>
      </c>
      <c r="F397">
        <v>397.71166110948224</v>
      </c>
      <c r="G397">
        <v>18.930122487348456</v>
      </c>
      <c r="H397">
        <v>202.39794813180868</v>
      </c>
      <c r="I397">
        <v>11.264663564369719</v>
      </c>
    </row>
    <row r="398" spans="1:9" x14ac:dyDescent="0.25">
      <c r="A398" t="s">
        <v>34</v>
      </c>
      <c r="B398" s="5">
        <v>42264</v>
      </c>
      <c r="C398" s="3" t="s">
        <v>2</v>
      </c>
      <c r="D398">
        <v>654.61442314485782</v>
      </c>
      <c r="E398">
        <v>33.676933466435152</v>
      </c>
      <c r="F398">
        <v>431.88940163972279</v>
      </c>
      <c r="G398">
        <v>30.4559568775428</v>
      </c>
    </row>
    <row r="399" spans="1:9" x14ac:dyDescent="0.25">
      <c r="A399" t="s">
        <v>34</v>
      </c>
      <c r="B399" s="5">
        <v>42361</v>
      </c>
      <c r="C399" s="3" t="s">
        <v>2</v>
      </c>
      <c r="D399">
        <v>1202.6913896732581</v>
      </c>
      <c r="E399">
        <v>85.890880083485143</v>
      </c>
      <c r="F399">
        <v>413.61360811627924</v>
      </c>
      <c r="G399">
        <v>36.523299858673049</v>
      </c>
      <c r="H399">
        <v>710.50409300695958</v>
      </c>
      <c r="I399">
        <v>59.367545733026574</v>
      </c>
    </row>
    <row r="400" spans="1:9" x14ac:dyDescent="0.25">
      <c r="A400" t="s">
        <v>34</v>
      </c>
      <c r="B400" s="5">
        <v>42214</v>
      </c>
      <c r="C400" s="3" t="s">
        <v>2</v>
      </c>
      <c r="D400">
        <v>66.625</v>
      </c>
      <c r="E400">
        <v>10.571077768382224</v>
      </c>
    </row>
    <row r="401" spans="1:9" x14ac:dyDescent="0.25">
      <c r="A401" t="s">
        <v>34</v>
      </c>
      <c r="B401" s="5">
        <v>42247</v>
      </c>
      <c r="C401" s="3" t="s">
        <v>2</v>
      </c>
      <c r="D401">
        <v>321.15976258926514</v>
      </c>
      <c r="E401">
        <v>86.693951351557232</v>
      </c>
      <c r="F401">
        <v>158.96597764741645</v>
      </c>
      <c r="G401">
        <v>56.826588852519592</v>
      </c>
    </row>
    <row r="402" spans="1:9" x14ac:dyDescent="0.25">
      <c r="A402" t="s">
        <v>35</v>
      </c>
      <c r="B402" s="5">
        <v>42291</v>
      </c>
      <c r="C402" s="3" t="s">
        <v>3</v>
      </c>
      <c r="D402">
        <v>626.94986214903747</v>
      </c>
      <c r="E402">
        <v>28.195543572334184</v>
      </c>
      <c r="F402">
        <v>347.20887864900584</v>
      </c>
      <c r="G402">
        <v>15.406874790902181</v>
      </c>
      <c r="H402">
        <v>161.73593408090034</v>
      </c>
      <c r="I402">
        <v>10.82845283592987</v>
      </c>
    </row>
    <row r="403" spans="1:9" x14ac:dyDescent="0.25">
      <c r="A403" t="s">
        <v>35</v>
      </c>
      <c r="B403" s="5">
        <v>42264</v>
      </c>
      <c r="C403" s="3" t="s">
        <v>3</v>
      </c>
      <c r="D403">
        <v>553.66052915587579</v>
      </c>
      <c r="E403">
        <v>97.602682476164006</v>
      </c>
      <c r="F403">
        <v>328.38883777686112</v>
      </c>
      <c r="G403">
        <v>60.336145585963166</v>
      </c>
    </row>
    <row r="404" spans="1:9" x14ac:dyDescent="0.25">
      <c r="A404" t="s">
        <v>35</v>
      </c>
      <c r="B404" s="5">
        <v>42361</v>
      </c>
      <c r="C404" s="3" t="s">
        <v>3</v>
      </c>
      <c r="D404">
        <v>1142.3609820934594</v>
      </c>
      <c r="E404">
        <v>21.12306614192396</v>
      </c>
      <c r="F404">
        <v>413.48255269824881</v>
      </c>
      <c r="G404">
        <v>30.335941047286518</v>
      </c>
      <c r="H404">
        <v>624.28140608089279</v>
      </c>
      <c r="I404">
        <v>29.208864147418605</v>
      </c>
    </row>
    <row r="405" spans="1:9" x14ac:dyDescent="0.25">
      <c r="A405" t="s">
        <v>35</v>
      </c>
      <c r="B405" s="5">
        <v>42214</v>
      </c>
      <c r="C405" s="3" t="s">
        <v>3</v>
      </c>
      <c r="D405">
        <v>61.166666666666679</v>
      </c>
      <c r="E405">
        <v>20.955420053762424</v>
      </c>
    </row>
    <row r="406" spans="1:9" x14ac:dyDescent="0.25">
      <c r="A406" t="s">
        <v>35</v>
      </c>
      <c r="B406" s="5">
        <v>42247</v>
      </c>
      <c r="C406" s="3" t="s">
        <v>3</v>
      </c>
      <c r="D406">
        <v>240.97812025710488</v>
      </c>
      <c r="E406">
        <v>38.791887829856712</v>
      </c>
      <c r="F406">
        <v>108.83087126524805</v>
      </c>
      <c r="G406">
        <v>21.193610873723362</v>
      </c>
    </row>
    <row r="407" spans="1:9" x14ac:dyDescent="0.25">
      <c r="A407" t="s">
        <v>36</v>
      </c>
      <c r="B407" s="5">
        <v>42291</v>
      </c>
      <c r="C407" s="3" t="s">
        <v>5</v>
      </c>
      <c r="D407">
        <v>667.65617268852088</v>
      </c>
      <c r="E407">
        <v>28.437343816895428</v>
      </c>
      <c r="F407">
        <v>362.17703044547829</v>
      </c>
      <c r="G407">
        <v>13.153281405049238</v>
      </c>
      <c r="H407">
        <v>188.79154572743164</v>
      </c>
      <c r="I407">
        <v>14.292114002013621</v>
      </c>
    </row>
    <row r="408" spans="1:9" x14ac:dyDescent="0.25">
      <c r="A408" t="s">
        <v>36</v>
      </c>
      <c r="B408" s="5">
        <v>42264</v>
      </c>
      <c r="C408" s="3" t="s">
        <v>5</v>
      </c>
      <c r="D408">
        <v>579.29587663972507</v>
      </c>
      <c r="E408">
        <v>26.846802619813449</v>
      </c>
      <c r="F408">
        <v>350.54481071366183</v>
      </c>
      <c r="G408">
        <v>7.447000186954722</v>
      </c>
    </row>
    <row r="409" spans="1:9" x14ac:dyDescent="0.25">
      <c r="A409" t="s">
        <v>36</v>
      </c>
      <c r="B409" s="5">
        <v>42361</v>
      </c>
      <c r="C409" s="3" t="s">
        <v>5</v>
      </c>
      <c r="D409">
        <v>1085.283416683963</v>
      </c>
      <c r="E409">
        <v>31.69773889072021</v>
      </c>
      <c r="F409">
        <v>343.64184683539014</v>
      </c>
      <c r="G409">
        <v>6.6984150385542138</v>
      </c>
      <c r="H409">
        <v>650.56716667834644</v>
      </c>
      <c r="I409">
        <v>43.379901939095518</v>
      </c>
    </row>
    <row r="410" spans="1:9" x14ac:dyDescent="0.25">
      <c r="A410" t="s">
        <v>36</v>
      </c>
      <c r="B410" s="5">
        <v>42214</v>
      </c>
      <c r="C410" s="3" t="s">
        <v>5</v>
      </c>
      <c r="D410">
        <v>54.958333333333336</v>
      </c>
      <c r="E410">
        <v>6.4325200982829793</v>
      </c>
    </row>
    <row r="411" spans="1:9" x14ac:dyDescent="0.25">
      <c r="A411" t="s">
        <v>36</v>
      </c>
      <c r="B411" s="5">
        <v>42247</v>
      </c>
      <c r="C411" s="3" t="s">
        <v>5</v>
      </c>
      <c r="D411">
        <v>238.40051773634252</v>
      </c>
      <c r="E411">
        <v>40.431294427026295</v>
      </c>
      <c r="F411">
        <v>108.01078022610132</v>
      </c>
      <c r="G411">
        <v>21.912686888560867</v>
      </c>
    </row>
    <row r="412" spans="1:9" x14ac:dyDescent="0.25">
      <c r="A412" t="s">
        <v>37</v>
      </c>
      <c r="B412" s="5">
        <v>42293</v>
      </c>
      <c r="C412" s="3" t="s">
        <v>9</v>
      </c>
      <c r="D412">
        <v>713.4478259597231</v>
      </c>
      <c r="E412">
        <v>59.174127159054684</v>
      </c>
      <c r="F412">
        <v>393.54462283332191</v>
      </c>
      <c r="G412">
        <v>26.847068714932576</v>
      </c>
      <c r="H412">
        <v>198.90533859481729</v>
      </c>
      <c r="I412">
        <v>22.552300367186302</v>
      </c>
    </row>
    <row r="413" spans="1:9" x14ac:dyDescent="0.25">
      <c r="A413" t="s">
        <v>37</v>
      </c>
      <c r="B413" s="5">
        <v>42264</v>
      </c>
      <c r="C413" s="3" t="s">
        <v>9</v>
      </c>
      <c r="D413">
        <v>547.21331234146589</v>
      </c>
      <c r="E413">
        <v>59.531098909385911</v>
      </c>
      <c r="F413">
        <v>327.13338581131222</v>
      </c>
      <c r="G413">
        <v>41.729953394790414</v>
      </c>
    </row>
    <row r="414" spans="1:9" x14ac:dyDescent="0.25">
      <c r="A414" t="s">
        <v>37</v>
      </c>
      <c r="B414" s="5">
        <v>42361</v>
      </c>
      <c r="C414" s="3" t="s">
        <v>9</v>
      </c>
      <c r="D414">
        <v>997.19874843683579</v>
      </c>
      <c r="E414">
        <v>54.036083642297754</v>
      </c>
      <c r="F414">
        <v>414.87640006287154</v>
      </c>
      <c r="G414">
        <v>11.842233588952254</v>
      </c>
      <c r="H414">
        <v>499.59922712572063</v>
      </c>
      <c r="I414">
        <v>50.874209092968144</v>
      </c>
    </row>
    <row r="415" spans="1:9" x14ac:dyDescent="0.25">
      <c r="A415" t="s">
        <v>37</v>
      </c>
      <c r="B415" s="5">
        <v>42214</v>
      </c>
      <c r="C415" s="3" t="s">
        <v>9</v>
      </c>
      <c r="D415">
        <v>53.75</v>
      </c>
      <c r="E415">
        <v>7.6212422434491174</v>
      </c>
    </row>
    <row r="416" spans="1:9" x14ac:dyDescent="0.25">
      <c r="A416" t="s">
        <v>37</v>
      </c>
      <c r="B416" s="5">
        <v>42247</v>
      </c>
      <c r="C416" s="3" t="s">
        <v>9</v>
      </c>
      <c r="D416">
        <v>277.90258839995442</v>
      </c>
      <c r="E416">
        <v>27.806702476730475</v>
      </c>
      <c r="F416">
        <v>128.70877725722451</v>
      </c>
      <c r="G416">
        <v>11.332634552771914</v>
      </c>
    </row>
    <row r="417" spans="1:9" x14ac:dyDescent="0.25">
      <c r="A417" t="s">
        <v>38</v>
      </c>
      <c r="B417" s="5">
        <v>42293</v>
      </c>
      <c r="C417" s="3" t="s">
        <v>6</v>
      </c>
      <c r="D417">
        <v>667.41433060398947</v>
      </c>
      <c r="E417">
        <v>45.945120450174713</v>
      </c>
      <c r="F417">
        <v>365.36189250791983</v>
      </c>
      <c r="G417">
        <v>12.706970942090768</v>
      </c>
      <c r="H417">
        <v>186.06270046022598</v>
      </c>
      <c r="I417">
        <v>17.864786767017062</v>
      </c>
    </row>
    <row r="418" spans="1:9" x14ac:dyDescent="0.25">
      <c r="A418" t="s">
        <v>38</v>
      </c>
      <c r="B418" s="5">
        <v>42264</v>
      </c>
      <c r="C418" s="3" t="s">
        <v>6</v>
      </c>
      <c r="D418">
        <v>572.03222792045926</v>
      </c>
      <c r="E418">
        <v>42.914965515615876</v>
      </c>
      <c r="F418">
        <v>319.1945033346808</v>
      </c>
      <c r="G418">
        <v>65.569194465016523</v>
      </c>
    </row>
    <row r="419" spans="1:9" x14ac:dyDescent="0.25">
      <c r="A419" t="s">
        <v>38</v>
      </c>
      <c r="B419" s="5">
        <v>42361</v>
      </c>
      <c r="C419" s="3" t="s">
        <v>6</v>
      </c>
      <c r="D419">
        <v>1066.0586129259163</v>
      </c>
      <c r="E419">
        <v>98.195357006449527</v>
      </c>
      <c r="F419">
        <v>412.52074705059727</v>
      </c>
      <c r="G419">
        <v>36.13945154176723</v>
      </c>
      <c r="H419">
        <v>562.29111144628109</v>
      </c>
      <c r="I419">
        <v>67.859980644836909</v>
      </c>
    </row>
    <row r="420" spans="1:9" x14ac:dyDescent="0.25">
      <c r="A420" t="s">
        <v>38</v>
      </c>
      <c r="B420" s="5">
        <v>42214</v>
      </c>
      <c r="C420" s="3" t="s">
        <v>6</v>
      </c>
      <c r="D420">
        <v>62.583333333333329</v>
      </c>
      <c r="E420">
        <v>10.63232318434202</v>
      </c>
    </row>
    <row r="421" spans="1:9" x14ac:dyDescent="0.25">
      <c r="A421" t="s">
        <v>38</v>
      </c>
      <c r="B421" s="5">
        <v>42247</v>
      </c>
      <c r="C421" s="3" t="s">
        <v>6</v>
      </c>
      <c r="D421">
        <v>313.18920534494737</v>
      </c>
      <c r="E421">
        <v>26.850586912484488</v>
      </c>
      <c r="F421">
        <v>144.68668794833133</v>
      </c>
      <c r="G421">
        <v>14.435031968647536</v>
      </c>
    </row>
    <row r="422" spans="1:9" x14ac:dyDescent="0.25">
      <c r="B422" s="5"/>
      <c r="C422" s="3"/>
    </row>
    <row r="423" spans="1:9" x14ac:dyDescent="0.25">
      <c r="B423" s="5"/>
      <c r="C423" s="3"/>
    </row>
    <row r="424" spans="1:9" x14ac:dyDescent="0.25">
      <c r="B424" s="5"/>
      <c r="C424" s="3"/>
    </row>
    <row r="425" spans="1:9" x14ac:dyDescent="0.25">
      <c r="B425" s="5"/>
      <c r="C425" s="3"/>
    </row>
    <row r="426" spans="1:9" x14ac:dyDescent="0.25">
      <c r="B426" s="5"/>
      <c r="C426" s="3"/>
    </row>
    <row r="427" spans="1:9" x14ac:dyDescent="0.25">
      <c r="B427" s="5"/>
      <c r="C427" s="3"/>
    </row>
    <row r="428" spans="1:9" x14ac:dyDescent="0.25">
      <c r="B428" s="5"/>
      <c r="C428" s="3"/>
    </row>
    <row r="429" spans="1:9" x14ac:dyDescent="0.25">
      <c r="B429" s="5"/>
      <c r="C429" s="3"/>
    </row>
    <row r="430" spans="1:9" x14ac:dyDescent="0.25">
      <c r="B430" s="5"/>
      <c r="C430" s="3"/>
    </row>
    <row r="431" spans="1:9" x14ac:dyDescent="0.25">
      <c r="B431" s="5"/>
      <c r="C431" s="3"/>
    </row>
    <row r="432" spans="1:9" x14ac:dyDescent="0.25">
      <c r="B432" s="5"/>
      <c r="C432" s="3"/>
    </row>
    <row r="433" spans="2:3" x14ac:dyDescent="0.25">
      <c r="B433" s="5"/>
      <c r="C433" s="3"/>
    </row>
    <row r="434" spans="2:3" x14ac:dyDescent="0.25">
      <c r="B434" s="5"/>
      <c r="C434" s="3"/>
    </row>
    <row r="435" spans="2:3" x14ac:dyDescent="0.25">
      <c r="B435" s="5"/>
      <c r="C435" s="3"/>
    </row>
    <row r="436" spans="2:3" x14ac:dyDescent="0.25">
      <c r="B436" s="5"/>
      <c r="C436" s="3"/>
    </row>
    <row r="437" spans="2:3" x14ac:dyDescent="0.25">
      <c r="B437" s="5"/>
      <c r="C437" s="3"/>
    </row>
    <row r="438" spans="2:3" x14ac:dyDescent="0.25">
      <c r="B438" s="5"/>
      <c r="C438" s="3"/>
    </row>
    <row r="439" spans="2:3" x14ac:dyDescent="0.25">
      <c r="B439" s="5"/>
      <c r="C439" s="3"/>
    </row>
    <row r="440" spans="2:3" x14ac:dyDescent="0.25">
      <c r="B440" s="5"/>
      <c r="C440" s="3"/>
    </row>
    <row r="441" spans="2:3" x14ac:dyDescent="0.25">
      <c r="B441" s="5"/>
      <c r="C441" s="3"/>
    </row>
    <row r="442" spans="2:3" x14ac:dyDescent="0.25">
      <c r="B442" s="5"/>
      <c r="C442" s="3"/>
    </row>
    <row r="443" spans="2:3" x14ac:dyDescent="0.25">
      <c r="B443" s="5"/>
      <c r="C443" s="3"/>
    </row>
    <row r="444" spans="2:3" x14ac:dyDescent="0.25">
      <c r="B444" s="5"/>
      <c r="C444" s="3"/>
    </row>
    <row r="445" spans="2:3" x14ac:dyDescent="0.25">
      <c r="B445" s="5"/>
      <c r="C445" s="3"/>
    </row>
    <row r="446" spans="2:3" x14ac:dyDescent="0.25">
      <c r="B446" s="5"/>
      <c r="C446" s="3"/>
    </row>
    <row r="447" spans="2:3" x14ac:dyDescent="0.25">
      <c r="B447" s="5"/>
      <c r="C447" s="3"/>
    </row>
    <row r="448" spans="2:3" x14ac:dyDescent="0.25">
      <c r="B448" s="5"/>
      <c r="C448" s="3"/>
    </row>
    <row r="449" spans="2:3" x14ac:dyDescent="0.25">
      <c r="B449" s="5"/>
      <c r="C449" s="3"/>
    </row>
    <row r="450" spans="2:3" x14ac:dyDescent="0.25">
      <c r="B450" s="5"/>
      <c r="C450" s="3"/>
    </row>
    <row r="451" spans="2:3" x14ac:dyDescent="0.25">
      <c r="B451" s="5"/>
      <c r="C451" s="3"/>
    </row>
    <row r="452" spans="2:3" x14ac:dyDescent="0.25">
      <c r="B452" s="5"/>
      <c r="C452" s="3"/>
    </row>
    <row r="453" spans="2:3" x14ac:dyDescent="0.25">
      <c r="B453" s="5"/>
      <c r="C453" s="3"/>
    </row>
    <row r="454" spans="2:3" x14ac:dyDescent="0.25">
      <c r="B454" s="5"/>
      <c r="C454" s="3"/>
    </row>
    <row r="455" spans="2:3" x14ac:dyDescent="0.25">
      <c r="B455" s="5"/>
      <c r="C455" s="3"/>
    </row>
    <row r="456" spans="2:3" x14ac:dyDescent="0.25">
      <c r="B456" s="5"/>
      <c r="C456" s="3"/>
    </row>
    <row r="457" spans="2:3" x14ac:dyDescent="0.25">
      <c r="B457" s="5"/>
      <c r="C457" s="3"/>
    </row>
    <row r="458" spans="2:3" x14ac:dyDescent="0.25">
      <c r="B458" s="5"/>
      <c r="C458" s="3"/>
    </row>
    <row r="459" spans="2:3" x14ac:dyDescent="0.25">
      <c r="B459" s="5"/>
      <c r="C459" s="3"/>
    </row>
    <row r="460" spans="2:3" x14ac:dyDescent="0.25">
      <c r="B460" s="5"/>
      <c r="C460" s="3"/>
    </row>
    <row r="461" spans="2:3" x14ac:dyDescent="0.25">
      <c r="B461" s="5"/>
      <c r="C461" s="3"/>
    </row>
    <row r="462" spans="2:3" x14ac:dyDescent="0.25">
      <c r="B462" s="5"/>
      <c r="C462" s="3"/>
    </row>
    <row r="463" spans="2:3" x14ac:dyDescent="0.25">
      <c r="B463" s="5"/>
      <c r="C463" s="3"/>
    </row>
    <row r="464" spans="2:3" x14ac:dyDescent="0.25">
      <c r="B464" s="5"/>
      <c r="C464" s="3"/>
    </row>
    <row r="465" spans="2:3" x14ac:dyDescent="0.25">
      <c r="B465" s="5"/>
      <c r="C465" s="3"/>
    </row>
    <row r="466" spans="2:3" x14ac:dyDescent="0.25">
      <c r="B466" s="5"/>
      <c r="C466" s="3"/>
    </row>
    <row r="467" spans="2:3" x14ac:dyDescent="0.25">
      <c r="B467" s="5"/>
      <c r="C467" s="3"/>
    </row>
    <row r="468" spans="2:3" x14ac:dyDescent="0.25">
      <c r="B468" s="5"/>
      <c r="C468" s="3"/>
    </row>
    <row r="469" spans="2:3" x14ac:dyDescent="0.25">
      <c r="B469" s="5"/>
      <c r="C469" s="3"/>
    </row>
    <row r="470" spans="2:3" x14ac:dyDescent="0.25">
      <c r="B470" s="5"/>
      <c r="C470" s="3"/>
    </row>
    <row r="471" spans="2:3" x14ac:dyDescent="0.25">
      <c r="B471" s="5"/>
      <c r="C471" s="3"/>
    </row>
    <row r="472" spans="2:3" x14ac:dyDescent="0.25">
      <c r="B472" s="5"/>
      <c r="C472" s="3"/>
    </row>
    <row r="473" spans="2:3" x14ac:dyDescent="0.25">
      <c r="B473" s="5"/>
      <c r="C473" s="3"/>
    </row>
    <row r="474" spans="2:3" x14ac:dyDescent="0.25">
      <c r="B474" s="5"/>
      <c r="C474" s="3"/>
    </row>
    <row r="475" spans="2:3" x14ac:dyDescent="0.25">
      <c r="B475" s="5"/>
      <c r="C475" s="3"/>
    </row>
    <row r="476" spans="2:3" x14ac:dyDescent="0.25">
      <c r="B476" s="5"/>
      <c r="C476" s="3"/>
    </row>
    <row r="477" spans="2:3" x14ac:dyDescent="0.25">
      <c r="B477" s="5"/>
      <c r="C477" s="3"/>
    </row>
    <row r="478" spans="2:3" x14ac:dyDescent="0.25">
      <c r="B478" s="5"/>
      <c r="C478" s="3"/>
    </row>
    <row r="479" spans="2:3" x14ac:dyDescent="0.25">
      <c r="B479" s="5"/>
      <c r="C479" s="3"/>
    </row>
    <row r="480" spans="2:3" x14ac:dyDescent="0.25">
      <c r="B480" s="5"/>
      <c r="C480" s="3"/>
    </row>
    <row r="481" spans="2:3" x14ac:dyDescent="0.25">
      <c r="B481" s="5"/>
      <c r="C481" s="3"/>
    </row>
    <row r="482" spans="2:3" x14ac:dyDescent="0.25">
      <c r="B482" s="5"/>
    </row>
    <row r="483" spans="2:3" x14ac:dyDescent="0.25">
      <c r="B483" s="5"/>
    </row>
    <row r="484" spans="2:3" x14ac:dyDescent="0.25">
      <c r="B484" s="5"/>
    </row>
    <row r="485" spans="2:3" x14ac:dyDescent="0.25">
      <c r="B485" s="5"/>
    </row>
    <row r="486" spans="2:3" x14ac:dyDescent="0.25">
      <c r="B486" s="5"/>
    </row>
    <row r="487" spans="2:3" x14ac:dyDescent="0.25">
      <c r="B487" s="5"/>
    </row>
    <row r="488" spans="2:3" x14ac:dyDescent="0.25">
      <c r="B488" s="5"/>
    </row>
    <row r="489" spans="2:3" x14ac:dyDescent="0.25">
      <c r="B489" s="5"/>
    </row>
    <row r="490" spans="2:3" x14ac:dyDescent="0.25">
      <c r="B490" s="5"/>
    </row>
    <row r="491" spans="2:3" x14ac:dyDescent="0.25">
      <c r="B491" s="5"/>
    </row>
    <row r="492" spans="2:3" x14ac:dyDescent="0.25">
      <c r="B492" s="5"/>
    </row>
    <row r="493" spans="2:3" x14ac:dyDescent="0.25">
      <c r="B493" s="5"/>
    </row>
    <row r="494" spans="2:3" x14ac:dyDescent="0.25">
      <c r="B494" s="5"/>
    </row>
    <row r="495" spans="2:3" x14ac:dyDescent="0.25">
      <c r="B495" s="5"/>
    </row>
    <row r="496" spans="2:3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</sheetData>
  <pageMargins left="0.7" right="0.7" top="0.75" bottom="0.75" header="0.51180555555555496" footer="0.51180555555555496"/>
  <pageSetup paperSize="9" firstPageNumber="0" orientation="portrait" horizontalDpi="300" verticalDpi="300"/>
  <headerFooter>
    <oddHeader>&amp;C&amp;"Aptos"&amp;12&amp;KFF0000 UNOFFICIAL&amp;1#_x000D_</oddHeader>
    <oddFooter>&amp;C_x000D_&amp;1#&amp;"Aptos"&amp;12&amp;KFF0000 UNOFFICIAL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F64B-FBB9-40C3-9F26-FA12C0F60AB8}">
  <dimension ref="A1:R437"/>
  <sheetViews>
    <sheetView tabSelected="1" topLeftCell="A336" workbookViewId="0">
      <pane xSplit="3" topLeftCell="R1" activePane="topRight" state="frozen"/>
      <selection pane="topRight" activeCell="R315" sqref="R315"/>
    </sheetView>
  </sheetViews>
  <sheetFormatPr defaultRowHeight="15" x14ac:dyDescent="0.25"/>
  <cols>
    <col min="1" max="1" width="27" bestFit="1" customWidth="1"/>
    <col min="2" max="2" width="14.42578125" customWidth="1"/>
    <col min="4" max="4" width="21.5703125" bestFit="1" customWidth="1"/>
    <col min="5" max="5" width="14.140625" bestFit="1" customWidth="1"/>
    <col min="6" max="6" width="17.28515625" bestFit="1" customWidth="1"/>
    <col min="7" max="7" width="12.42578125" bestFit="1" customWidth="1"/>
    <col min="8" max="8" width="18.28515625" bestFit="1" customWidth="1"/>
    <col min="9" max="9" width="20.5703125" bestFit="1" customWidth="1"/>
    <col min="10" max="10" width="28.7109375" bestFit="1" customWidth="1"/>
    <col min="11" max="11" width="24" bestFit="1" customWidth="1"/>
    <col min="12" max="12" width="16.5703125" bestFit="1" customWidth="1"/>
    <col min="13" max="13" width="19.5703125" bestFit="1" customWidth="1"/>
    <col min="14" max="14" width="14.7109375" bestFit="1" customWidth="1"/>
    <col min="15" max="15" width="20.7109375" bestFit="1" customWidth="1"/>
    <col min="16" max="16" width="22.85546875" bestFit="1" customWidth="1"/>
    <col min="17" max="17" width="31" bestFit="1" customWidth="1"/>
  </cols>
  <sheetData>
    <row r="1" spans="1:18" x14ac:dyDescent="0.25">
      <c r="A1" s="1" t="s">
        <v>0</v>
      </c>
      <c r="B1" s="2" t="s">
        <v>1</v>
      </c>
      <c r="C1" s="2" t="s">
        <v>11</v>
      </c>
      <c r="D1" t="s">
        <v>63</v>
      </c>
      <c r="E1" t="s">
        <v>89</v>
      </c>
      <c r="F1" t="s">
        <v>216</v>
      </c>
      <c r="G1" t="s">
        <v>91</v>
      </c>
      <c r="H1" t="s">
        <v>217</v>
      </c>
      <c r="I1" t="s">
        <v>218</v>
      </c>
      <c r="J1" t="s">
        <v>226</v>
      </c>
      <c r="K1" t="str">
        <f>D1&amp;"Err"</f>
        <v>Wheat.AboveGround.WtErr</v>
      </c>
      <c r="L1" t="str">
        <f t="shared" ref="L1:Q1" si="0">E1&amp;"Err"</f>
        <v>Wheat.Stem.WtErr</v>
      </c>
      <c r="M1" t="str">
        <f t="shared" si="0"/>
        <v>Wheat.Leaf.Live.WtErr</v>
      </c>
      <c r="N1" t="str">
        <f t="shared" si="0"/>
        <v>Wheat.Ear.WtErr</v>
      </c>
      <c r="O1" t="str">
        <f t="shared" si="0"/>
        <v>Wheat.Leaf.Dead.WtErr</v>
      </c>
      <c r="P1" t="str">
        <f t="shared" si="0"/>
        <v>Wheat.AboveGround.NErr</v>
      </c>
      <c r="Q1" t="str">
        <f t="shared" si="0"/>
        <v>Wheat.AboveGround.StorageWtErr</v>
      </c>
      <c r="R1" t="s">
        <v>246</v>
      </c>
    </row>
    <row r="2" spans="1:18" x14ac:dyDescent="0.25">
      <c r="A2" t="s">
        <v>144</v>
      </c>
      <c r="B2" s="3">
        <v>41834</v>
      </c>
      <c r="C2" t="s">
        <v>13</v>
      </c>
      <c r="D2" s="16">
        <v>150.5</v>
      </c>
      <c r="E2">
        <v>64.75</v>
      </c>
      <c r="F2">
        <v>85.5</v>
      </c>
      <c r="H2">
        <v>0</v>
      </c>
      <c r="I2">
        <v>6.3381249999999998</v>
      </c>
      <c r="J2">
        <v>7.3314000000000004</v>
      </c>
      <c r="K2" s="16">
        <v>7.9372539331937721</v>
      </c>
      <c r="L2">
        <v>4.349329450233296</v>
      </c>
      <c r="M2">
        <v>3.872983346207417</v>
      </c>
      <c r="O2">
        <v>0</v>
      </c>
      <c r="P2">
        <v>0.46749363899417434</v>
      </c>
      <c r="Q2">
        <v>1.7094151280481835</v>
      </c>
    </row>
    <row r="3" spans="1:18" x14ac:dyDescent="0.25">
      <c r="A3" t="s">
        <v>144</v>
      </c>
      <c r="B3" s="3">
        <v>41842</v>
      </c>
      <c r="C3" t="s">
        <v>13</v>
      </c>
      <c r="D3" s="16">
        <v>224</v>
      </c>
      <c r="E3">
        <v>94.5</v>
      </c>
      <c r="F3">
        <v>125.75</v>
      </c>
      <c r="H3">
        <v>3.5</v>
      </c>
      <c r="K3" s="16">
        <v>22.375581929117882</v>
      </c>
      <c r="L3">
        <v>11.67618659209133</v>
      </c>
      <c r="M3">
        <v>11.026483271348727</v>
      </c>
      <c r="O3">
        <v>1</v>
      </c>
    </row>
    <row r="4" spans="1:18" x14ac:dyDescent="0.25">
      <c r="A4" t="s">
        <v>144</v>
      </c>
      <c r="B4" s="3">
        <v>41863</v>
      </c>
      <c r="C4" t="s">
        <v>13</v>
      </c>
      <c r="D4" s="16">
        <v>536</v>
      </c>
      <c r="E4">
        <v>297.5</v>
      </c>
      <c r="F4">
        <v>216.25</v>
      </c>
      <c r="H4">
        <v>22.25</v>
      </c>
      <c r="I4">
        <v>12.6876</v>
      </c>
      <c r="J4">
        <v>75.950999999999993</v>
      </c>
      <c r="K4" s="16">
        <v>67.626424815550706</v>
      </c>
      <c r="L4">
        <v>77.843860815523968</v>
      </c>
      <c r="M4">
        <v>16.600702796367788</v>
      </c>
      <c r="O4">
        <v>4.349329450233296</v>
      </c>
    </row>
    <row r="5" spans="1:18" x14ac:dyDescent="0.25">
      <c r="A5" t="s">
        <v>144</v>
      </c>
      <c r="B5" s="3">
        <v>41883</v>
      </c>
      <c r="C5" t="s">
        <v>13</v>
      </c>
      <c r="D5" s="16">
        <v>812</v>
      </c>
      <c r="E5">
        <v>430.25</v>
      </c>
      <c r="F5">
        <v>153.75</v>
      </c>
      <c r="G5">
        <v>199.75</v>
      </c>
      <c r="H5">
        <v>28.25</v>
      </c>
      <c r="I5">
        <v>12.714433333333332</v>
      </c>
      <c r="J5">
        <v>98.388266666666667</v>
      </c>
      <c r="K5" s="16">
        <v>15.684387141358123</v>
      </c>
      <c r="L5">
        <v>18.607794065928395</v>
      </c>
      <c r="M5">
        <v>9.4295634398770911</v>
      </c>
      <c r="N5">
        <v>8.2209083034256825</v>
      </c>
      <c r="O5">
        <v>13.647344063956181</v>
      </c>
      <c r="P5">
        <v>0.16448757805182646</v>
      </c>
      <c r="Q5">
        <v>21.861572427740214</v>
      </c>
    </row>
    <row r="6" spans="1:18" x14ac:dyDescent="0.25">
      <c r="A6" t="s">
        <v>144</v>
      </c>
      <c r="B6" s="3">
        <v>41940</v>
      </c>
      <c r="C6" t="s">
        <v>13</v>
      </c>
      <c r="D6" s="16">
        <v>1275.75</v>
      </c>
      <c r="E6">
        <v>388.75</v>
      </c>
      <c r="F6">
        <v>0</v>
      </c>
      <c r="G6">
        <v>713.75</v>
      </c>
      <c r="H6">
        <v>173.25</v>
      </c>
      <c r="K6" s="16">
        <v>190.21807660332038</v>
      </c>
      <c r="L6">
        <v>38.335144884731207</v>
      </c>
      <c r="M6">
        <v>0</v>
      </c>
      <c r="N6">
        <v>182.65701008538747</v>
      </c>
      <c r="O6">
        <v>199.26427175989176</v>
      </c>
      <c r="R6" t="s">
        <v>247</v>
      </c>
    </row>
    <row r="7" spans="1:18" x14ac:dyDescent="0.25">
      <c r="A7" t="s">
        <v>145</v>
      </c>
      <c r="B7" s="3">
        <v>41834</v>
      </c>
      <c r="C7" t="s">
        <v>14</v>
      </c>
      <c r="D7" s="16">
        <v>132.25</v>
      </c>
      <c r="E7">
        <v>44.5</v>
      </c>
      <c r="F7">
        <v>87.5</v>
      </c>
      <c r="H7">
        <v>0</v>
      </c>
      <c r="I7">
        <v>6.2735000000000003</v>
      </c>
      <c r="J7">
        <v>4.358625</v>
      </c>
      <c r="K7" s="16">
        <v>8.0983537421708949</v>
      </c>
      <c r="L7">
        <v>1.7320508075688772</v>
      </c>
      <c r="M7">
        <v>5.9160797830996161</v>
      </c>
      <c r="O7">
        <v>0</v>
      </c>
      <c r="P7">
        <v>0.35526161252427613</v>
      </c>
      <c r="Q7">
        <v>1.4731878187002054</v>
      </c>
    </row>
    <row r="8" spans="1:18" x14ac:dyDescent="0.25">
      <c r="A8" t="s">
        <v>145</v>
      </c>
      <c r="B8" s="3">
        <v>41863</v>
      </c>
      <c r="C8" t="s">
        <v>14</v>
      </c>
      <c r="D8" s="16">
        <v>434.25</v>
      </c>
      <c r="E8">
        <v>175.25</v>
      </c>
      <c r="F8">
        <v>220.75</v>
      </c>
      <c r="H8">
        <v>38.5</v>
      </c>
      <c r="K8" s="16">
        <v>41.120757126622401</v>
      </c>
      <c r="L8">
        <v>13.937359864766353</v>
      </c>
      <c r="M8">
        <v>26.487418396916929</v>
      </c>
      <c r="O8">
        <v>1.7320508075688772</v>
      </c>
    </row>
    <row r="9" spans="1:18" x14ac:dyDescent="0.25">
      <c r="A9" t="s">
        <v>145</v>
      </c>
      <c r="B9" s="3">
        <v>41871</v>
      </c>
      <c r="C9" t="s">
        <v>14</v>
      </c>
      <c r="D9" s="16">
        <v>595</v>
      </c>
      <c r="E9">
        <v>318.75</v>
      </c>
      <c r="F9">
        <v>222.5</v>
      </c>
      <c r="G9">
        <v>3</v>
      </c>
      <c r="H9">
        <v>52.5</v>
      </c>
      <c r="I9">
        <v>15.185750000000001</v>
      </c>
      <c r="J9">
        <v>55.966349999999998</v>
      </c>
      <c r="K9" s="16">
        <v>45.94924736416619</v>
      </c>
      <c r="L9">
        <v>12.038133853162901</v>
      </c>
      <c r="M9">
        <v>34.394767043839678</v>
      </c>
      <c r="O9">
        <v>14.708274315273473</v>
      </c>
      <c r="P9">
        <v>1.7287047415141035</v>
      </c>
      <c r="Q9">
        <v>3.7154679934025885</v>
      </c>
    </row>
    <row r="10" spans="1:18" x14ac:dyDescent="0.25">
      <c r="A10" t="s">
        <v>145</v>
      </c>
      <c r="B10" s="3">
        <v>41891</v>
      </c>
      <c r="C10" t="s">
        <v>14</v>
      </c>
      <c r="D10" s="16">
        <v>976.5</v>
      </c>
      <c r="E10">
        <v>470.75</v>
      </c>
      <c r="F10">
        <v>185</v>
      </c>
      <c r="G10">
        <v>205.25</v>
      </c>
      <c r="H10">
        <v>115.5</v>
      </c>
      <c r="I10">
        <v>15.222066666666668</v>
      </c>
      <c r="J10">
        <v>116.73516666666667</v>
      </c>
      <c r="K10" s="16">
        <v>70.420167565833012</v>
      </c>
      <c r="L10">
        <v>36.362755671153415</v>
      </c>
      <c r="M10">
        <v>45.394566488365832</v>
      </c>
      <c r="N10">
        <v>28.217902119044926</v>
      </c>
      <c r="O10">
        <v>31.522478751942504</v>
      </c>
      <c r="P10">
        <v>3.7009141051006931</v>
      </c>
      <c r="Q10">
        <v>16.007661192170996</v>
      </c>
    </row>
    <row r="11" spans="1:18" x14ac:dyDescent="0.25">
      <c r="A11" t="s">
        <v>145</v>
      </c>
      <c r="B11" s="3">
        <v>41940</v>
      </c>
      <c r="C11" t="s">
        <v>14</v>
      </c>
      <c r="D11" s="16">
        <v>1433</v>
      </c>
      <c r="E11">
        <v>380.5</v>
      </c>
      <c r="F11">
        <v>0</v>
      </c>
      <c r="G11">
        <v>814.75</v>
      </c>
      <c r="H11">
        <v>238</v>
      </c>
      <c r="K11" s="16">
        <v>227.9678339883356</v>
      </c>
      <c r="L11">
        <v>66.480573603622489</v>
      </c>
      <c r="M11">
        <v>0</v>
      </c>
      <c r="N11">
        <v>173.12110404761941</v>
      </c>
      <c r="O11">
        <v>199.06782763671282</v>
      </c>
      <c r="R11" t="s">
        <v>247</v>
      </c>
    </row>
    <row r="12" spans="1:18" x14ac:dyDescent="0.25">
      <c r="A12" t="s">
        <v>146</v>
      </c>
      <c r="B12" s="3">
        <v>41834</v>
      </c>
      <c r="C12" t="s">
        <v>12</v>
      </c>
      <c r="D12" s="16">
        <v>144.5</v>
      </c>
      <c r="E12">
        <v>55.25</v>
      </c>
      <c r="F12">
        <v>89.5</v>
      </c>
      <c r="H12">
        <v>0</v>
      </c>
      <c r="I12">
        <v>6.5401999999999996</v>
      </c>
      <c r="J12">
        <v>6.1306750000000001</v>
      </c>
      <c r="K12" s="16">
        <v>18.064698539785638</v>
      </c>
      <c r="L12">
        <v>5.619905100029122</v>
      </c>
      <c r="M12">
        <v>12.013880860626733</v>
      </c>
      <c r="O12">
        <v>0</v>
      </c>
      <c r="P12">
        <v>0.80959996294467507</v>
      </c>
      <c r="Q12">
        <v>1.546550004310671</v>
      </c>
    </row>
    <row r="13" spans="1:18" x14ac:dyDescent="0.25">
      <c r="A13" t="s">
        <v>146</v>
      </c>
      <c r="B13" s="3">
        <v>41842</v>
      </c>
      <c r="C13" t="s">
        <v>12</v>
      </c>
      <c r="D13" s="16">
        <v>219.25</v>
      </c>
      <c r="E13">
        <v>78.75</v>
      </c>
      <c r="F13">
        <v>137</v>
      </c>
      <c r="H13">
        <v>3</v>
      </c>
      <c r="K13" s="16">
        <v>22.632940595512551</v>
      </c>
      <c r="L13">
        <v>9.535023160258536</v>
      </c>
      <c r="M13">
        <v>12.489995996796797</v>
      </c>
      <c r="O13">
        <v>0.81649658092772603</v>
      </c>
    </row>
    <row r="14" spans="1:18" x14ac:dyDescent="0.25">
      <c r="A14" t="s">
        <v>146</v>
      </c>
      <c r="B14" s="3">
        <v>41863</v>
      </c>
      <c r="C14" t="s">
        <v>12</v>
      </c>
      <c r="D14" s="16">
        <v>481.5</v>
      </c>
      <c r="E14">
        <v>239.75</v>
      </c>
      <c r="F14">
        <v>216.5</v>
      </c>
      <c r="H14">
        <v>25</v>
      </c>
      <c r="I14">
        <v>12.9679</v>
      </c>
      <c r="J14">
        <v>47.9754</v>
      </c>
      <c r="K14" s="16">
        <v>54.421196850736997</v>
      </c>
      <c r="L14">
        <v>36.609425015970956</v>
      </c>
      <c r="M14">
        <v>13.868429375143148</v>
      </c>
      <c r="O14">
        <v>6.0553007081949835</v>
      </c>
      <c r="P14">
        <v>0.51816784925351722</v>
      </c>
      <c r="Q14">
        <v>3.5689093460048</v>
      </c>
    </row>
    <row r="15" spans="1:18" x14ac:dyDescent="0.25">
      <c r="A15" t="s">
        <v>146</v>
      </c>
      <c r="B15" s="3">
        <v>41883</v>
      </c>
      <c r="C15" t="s">
        <v>12</v>
      </c>
      <c r="D15" s="16">
        <v>822</v>
      </c>
      <c r="E15">
        <v>427.75</v>
      </c>
      <c r="F15">
        <v>203</v>
      </c>
      <c r="G15">
        <v>153</v>
      </c>
      <c r="H15">
        <v>38.25</v>
      </c>
      <c r="I15">
        <v>15.463200000000001</v>
      </c>
      <c r="J15">
        <v>75.621724999999998</v>
      </c>
      <c r="K15" s="16">
        <v>59.626615980896766</v>
      </c>
      <c r="L15">
        <v>16.997548842896929</v>
      </c>
      <c r="M15">
        <v>10.360180178613369</v>
      </c>
      <c r="N15">
        <v>38.952963087977444</v>
      </c>
      <c r="O15">
        <v>9.5</v>
      </c>
      <c r="P15">
        <v>0.83115213208331762</v>
      </c>
      <c r="Q15">
        <v>15.264986377846267</v>
      </c>
    </row>
    <row r="16" spans="1:18" x14ac:dyDescent="0.25">
      <c r="A16" t="s">
        <v>146</v>
      </c>
      <c r="B16" s="3">
        <v>41940</v>
      </c>
      <c r="C16" t="s">
        <v>12</v>
      </c>
      <c r="D16" s="16">
        <v>1406.25</v>
      </c>
      <c r="E16">
        <v>375.75</v>
      </c>
      <c r="F16">
        <v>0</v>
      </c>
      <c r="G16">
        <v>736.75</v>
      </c>
      <c r="H16">
        <v>293.75</v>
      </c>
      <c r="K16" s="16">
        <v>85.386864719737005</v>
      </c>
      <c r="L16">
        <v>55.065869647178005</v>
      </c>
      <c r="M16">
        <v>0</v>
      </c>
      <c r="N16">
        <v>177.9950842017835</v>
      </c>
      <c r="O16">
        <v>249.6522581512132</v>
      </c>
      <c r="R16" t="s">
        <v>247</v>
      </c>
    </row>
    <row r="17" spans="1:18" x14ac:dyDescent="0.25">
      <c r="A17" t="s">
        <v>147</v>
      </c>
      <c r="B17" s="3">
        <v>41834</v>
      </c>
      <c r="C17" t="s">
        <v>10</v>
      </c>
      <c r="D17" s="16">
        <v>158</v>
      </c>
      <c r="E17">
        <v>53.75</v>
      </c>
      <c r="F17">
        <v>104.25</v>
      </c>
      <c r="H17">
        <v>0</v>
      </c>
      <c r="I17">
        <v>7.5081999999999987</v>
      </c>
      <c r="J17">
        <v>6.5418000000000003</v>
      </c>
      <c r="K17" s="16">
        <v>14.212670403551895</v>
      </c>
      <c r="L17">
        <v>5.315072906367325</v>
      </c>
      <c r="M17">
        <v>8.9209491273817569</v>
      </c>
      <c r="O17">
        <v>0</v>
      </c>
      <c r="P17">
        <v>1.1778806306243519</v>
      </c>
      <c r="Q17">
        <v>2.2301237409614734</v>
      </c>
    </row>
    <row r="18" spans="1:18" x14ac:dyDescent="0.25">
      <c r="A18" t="s">
        <v>147</v>
      </c>
      <c r="B18" s="3">
        <v>41856</v>
      </c>
      <c r="C18" t="s">
        <v>10</v>
      </c>
      <c r="D18" s="16">
        <v>425</v>
      </c>
      <c r="E18">
        <v>190</v>
      </c>
      <c r="F18">
        <v>215.75</v>
      </c>
      <c r="H18">
        <v>19.25</v>
      </c>
      <c r="K18" s="16">
        <v>30.386400466875529</v>
      </c>
      <c r="L18">
        <v>21.494185260204677</v>
      </c>
      <c r="M18">
        <v>9.742518497116988</v>
      </c>
      <c r="O18">
        <v>3.3040379335998349</v>
      </c>
    </row>
    <row r="19" spans="1:18" x14ac:dyDescent="0.25">
      <c r="A19" t="s">
        <v>147</v>
      </c>
      <c r="B19" s="3">
        <v>41871</v>
      </c>
      <c r="C19" t="s">
        <v>10</v>
      </c>
      <c r="D19" s="16">
        <v>664.75</v>
      </c>
      <c r="E19">
        <v>311.5</v>
      </c>
      <c r="F19">
        <v>185.75</v>
      </c>
      <c r="G19">
        <v>109.25</v>
      </c>
      <c r="H19">
        <v>57.75</v>
      </c>
      <c r="I19">
        <v>14.539724999999999</v>
      </c>
      <c r="J19">
        <v>68.353325000000012</v>
      </c>
      <c r="K19" s="16">
        <v>36.563871056914458</v>
      </c>
      <c r="L19">
        <v>55.380501984001555</v>
      </c>
      <c r="M19">
        <v>21.654483754332883</v>
      </c>
      <c r="N19">
        <v>59.840760913165759</v>
      </c>
      <c r="O19">
        <v>19.517086531208154</v>
      </c>
      <c r="P19">
        <v>1.9321523048576419</v>
      </c>
      <c r="Q19">
        <v>16.015197113445044</v>
      </c>
    </row>
    <row r="20" spans="1:18" x14ac:dyDescent="0.25">
      <c r="A20" t="s">
        <v>147</v>
      </c>
      <c r="B20" s="3">
        <v>41883</v>
      </c>
      <c r="C20" t="s">
        <v>10</v>
      </c>
      <c r="D20" s="16">
        <v>886</v>
      </c>
      <c r="E20">
        <v>413.5</v>
      </c>
      <c r="F20">
        <v>188</v>
      </c>
      <c r="G20">
        <v>231.25</v>
      </c>
      <c r="H20">
        <v>53.25</v>
      </c>
      <c r="I20">
        <v>14.391024999999999</v>
      </c>
      <c r="J20">
        <v>104.2251</v>
      </c>
      <c r="K20" s="16">
        <v>27.141603981096377</v>
      </c>
      <c r="L20">
        <v>30.62134331910778</v>
      </c>
      <c r="M20">
        <v>9.5916630466254382</v>
      </c>
      <c r="N20">
        <v>21.853680086734439</v>
      </c>
      <c r="O20">
        <v>12.5</v>
      </c>
      <c r="P20">
        <v>0.88230418932475652</v>
      </c>
      <c r="Q20">
        <v>12.185165987653429</v>
      </c>
    </row>
    <row r="21" spans="1:18" x14ac:dyDescent="0.25">
      <c r="A21" t="s">
        <v>147</v>
      </c>
      <c r="B21" s="3">
        <v>41940</v>
      </c>
      <c r="C21" t="s">
        <v>10</v>
      </c>
      <c r="D21" s="16">
        <v>1453</v>
      </c>
      <c r="E21">
        <v>360</v>
      </c>
      <c r="F21">
        <v>0</v>
      </c>
      <c r="G21">
        <v>890.25</v>
      </c>
      <c r="H21">
        <v>202.75</v>
      </c>
      <c r="K21" s="16">
        <v>111.16054455905956</v>
      </c>
      <c r="L21">
        <v>92.940841399247077</v>
      </c>
      <c r="M21">
        <v>0</v>
      </c>
      <c r="N21">
        <v>149.31259156548052</v>
      </c>
      <c r="O21">
        <v>160.7531751889627</v>
      </c>
      <c r="R21" t="s">
        <v>247</v>
      </c>
    </row>
    <row r="22" spans="1:18" x14ac:dyDescent="0.25">
      <c r="A22" t="s">
        <v>148</v>
      </c>
      <c r="B22" s="3">
        <v>41834</v>
      </c>
      <c r="C22" t="s">
        <v>8</v>
      </c>
      <c r="D22" s="16">
        <v>159.75</v>
      </c>
      <c r="E22">
        <v>62</v>
      </c>
      <c r="F22">
        <v>97.5</v>
      </c>
      <c r="H22">
        <v>0</v>
      </c>
      <c r="I22">
        <v>6.9332749999999992</v>
      </c>
      <c r="J22">
        <v>10.140775</v>
      </c>
      <c r="K22" s="16">
        <v>15.456929406148772</v>
      </c>
      <c r="L22">
        <v>6.6833125519211407</v>
      </c>
      <c r="M22">
        <v>9.3985814532477896</v>
      </c>
      <c r="O22">
        <v>0</v>
      </c>
      <c r="P22">
        <v>0.72657836179819213</v>
      </c>
      <c r="Q22">
        <v>1.4331520514237064</v>
      </c>
    </row>
    <row r="23" spans="1:18" x14ac:dyDescent="0.25">
      <c r="A23" t="s">
        <v>148</v>
      </c>
      <c r="B23" s="3">
        <v>41856</v>
      </c>
      <c r="C23" t="s">
        <v>8</v>
      </c>
      <c r="D23" s="16">
        <v>452.5</v>
      </c>
      <c r="E23">
        <v>199</v>
      </c>
      <c r="F23">
        <v>238</v>
      </c>
      <c r="H23">
        <v>15.25</v>
      </c>
      <c r="K23" s="16">
        <v>68.119992170678742</v>
      </c>
      <c r="L23">
        <v>29.143323992525858</v>
      </c>
      <c r="M23">
        <v>34.418987008142274</v>
      </c>
      <c r="O23">
        <v>6.6520673478250352</v>
      </c>
    </row>
    <row r="24" spans="1:18" x14ac:dyDescent="0.25">
      <c r="A24" t="s">
        <v>148</v>
      </c>
      <c r="B24" s="3">
        <v>41871</v>
      </c>
      <c r="C24" t="s">
        <v>8</v>
      </c>
      <c r="D24" s="16">
        <v>689.75</v>
      </c>
      <c r="E24">
        <v>395.25</v>
      </c>
      <c r="F24">
        <v>218.25</v>
      </c>
      <c r="G24">
        <v>34.5</v>
      </c>
      <c r="H24">
        <v>41.5</v>
      </c>
      <c r="I24">
        <v>13.771775</v>
      </c>
      <c r="J24">
        <v>66.283900000000003</v>
      </c>
      <c r="K24" s="16">
        <v>36.463452021624796</v>
      </c>
      <c r="L24">
        <v>23.128265535198842</v>
      </c>
      <c r="M24">
        <v>19.687136240025701</v>
      </c>
      <c r="N24">
        <v>12.396235987858034</v>
      </c>
      <c r="O24">
        <v>13.379088160259652</v>
      </c>
      <c r="P24">
        <v>2.4143432238395577</v>
      </c>
      <c r="Q24">
        <v>4.7194892393138419</v>
      </c>
    </row>
    <row r="25" spans="1:18" x14ac:dyDescent="0.25">
      <c r="A25" t="s">
        <v>148</v>
      </c>
      <c r="B25" s="3">
        <v>41883</v>
      </c>
      <c r="C25" t="s">
        <v>8</v>
      </c>
      <c r="D25" s="16">
        <v>926.25</v>
      </c>
      <c r="E25">
        <v>459.75</v>
      </c>
      <c r="F25">
        <v>222.5</v>
      </c>
      <c r="G25">
        <v>194</v>
      </c>
      <c r="H25">
        <v>50</v>
      </c>
      <c r="I25">
        <v>14.759124999999999</v>
      </c>
      <c r="J25">
        <v>95.544225000000012</v>
      </c>
      <c r="K25" s="16">
        <v>18.20942979154848</v>
      </c>
      <c r="L25">
        <v>29.341381471680343</v>
      </c>
      <c r="M25">
        <v>15.154757228892407</v>
      </c>
      <c r="N25">
        <v>4.9665548085837798</v>
      </c>
      <c r="O25">
        <v>13.73559851869101</v>
      </c>
      <c r="P25">
        <v>0.96784768558902012</v>
      </c>
      <c r="Q25">
        <v>21.127960731752992</v>
      </c>
    </row>
    <row r="26" spans="1:18" x14ac:dyDescent="0.25">
      <c r="A26" t="s">
        <v>148</v>
      </c>
      <c r="B26" s="3">
        <v>41940</v>
      </c>
      <c r="C26" t="s">
        <v>8</v>
      </c>
      <c r="D26" s="16">
        <v>1601</v>
      </c>
      <c r="E26">
        <v>426.25</v>
      </c>
      <c r="F26">
        <v>0</v>
      </c>
      <c r="G26">
        <v>952.25</v>
      </c>
      <c r="H26">
        <v>222.5</v>
      </c>
      <c r="K26" s="16">
        <v>182.35313725479654</v>
      </c>
      <c r="L26">
        <v>101.47043904507362</v>
      </c>
      <c r="M26">
        <v>0</v>
      </c>
      <c r="N26">
        <v>315.55810347171672</v>
      </c>
      <c r="O26">
        <v>272.31905307316759</v>
      </c>
      <c r="R26" t="s">
        <v>247</v>
      </c>
    </row>
    <row r="27" spans="1:18" x14ac:dyDescent="0.25">
      <c r="A27" t="s">
        <v>149</v>
      </c>
      <c r="B27" s="3">
        <v>41834</v>
      </c>
      <c r="C27" t="s">
        <v>4</v>
      </c>
      <c r="D27" s="16">
        <v>105</v>
      </c>
      <c r="E27">
        <v>37.25</v>
      </c>
      <c r="F27">
        <v>68.25</v>
      </c>
      <c r="H27">
        <v>0</v>
      </c>
      <c r="I27">
        <v>4.7210999999999999</v>
      </c>
      <c r="J27">
        <v>4.8786750000000003</v>
      </c>
      <c r="K27" s="16">
        <v>11.661903789690601</v>
      </c>
      <c r="L27">
        <v>4.1129875597510219</v>
      </c>
      <c r="M27">
        <v>7.847504911329036</v>
      </c>
      <c r="O27">
        <v>0</v>
      </c>
      <c r="P27">
        <v>0.73577081123585564</v>
      </c>
      <c r="Q27">
        <v>1.5913065834401623</v>
      </c>
    </row>
    <row r="28" spans="1:18" x14ac:dyDescent="0.25">
      <c r="A28" t="s">
        <v>149</v>
      </c>
      <c r="B28" s="3">
        <v>41856</v>
      </c>
      <c r="C28" t="s">
        <v>4</v>
      </c>
      <c r="D28" s="16">
        <v>326</v>
      </c>
      <c r="E28">
        <v>128.75</v>
      </c>
      <c r="F28">
        <v>188.5</v>
      </c>
      <c r="H28">
        <v>9</v>
      </c>
      <c r="K28" s="16">
        <v>23.151673805580451</v>
      </c>
      <c r="L28">
        <v>17.269916039170543</v>
      </c>
      <c r="M28">
        <v>4.7958315233127191</v>
      </c>
      <c r="O28">
        <v>1.8257418583505538</v>
      </c>
    </row>
    <row r="29" spans="1:18" x14ac:dyDescent="0.25">
      <c r="A29" t="s">
        <v>149</v>
      </c>
      <c r="B29" s="3">
        <v>41871</v>
      </c>
      <c r="C29" t="s">
        <v>4</v>
      </c>
      <c r="D29" s="16">
        <v>529</v>
      </c>
      <c r="E29">
        <v>272.5</v>
      </c>
      <c r="F29">
        <v>230</v>
      </c>
      <c r="G29">
        <v>5</v>
      </c>
      <c r="H29">
        <v>25.5</v>
      </c>
      <c r="I29">
        <v>14.12265</v>
      </c>
      <c r="J29">
        <v>55.306024999999998</v>
      </c>
      <c r="K29" s="16">
        <v>41.214884042863289</v>
      </c>
      <c r="L29">
        <v>26.888659319497503</v>
      </c>
      <c r="M29">
        <v>9.4868329805051381</v>
      </c>
      <c r="O29">
        <v>8.5049005481153817</v>
      </c>
      <c r="P29">
        <v>1.453796089553141</v>
      </c>
      <c r="Q29">
        <v>3.0281961928678767</v>
      </c>
    </row>
    <row r="30" spans="1:18" x14ac:dyDescent="0.25">
      <c r="A30" t="s">
        <v>149</v>
      </c>
      <c r="B30" s="3">
        <v>41891</v>
      </c>
      <c r="C30" t="s">
        <v>4</v>
      </c>
      <c r="D30" s="16">
        <v>954</v>
      </c>
      <c r="E30">
        <v>455.25</v>
      </c>
      <c r="F30">
        <v>205.25</v>
      </c>
      <c r="G30">
        <v>219</v>
      </c>
      <c r="H30">
        <v>75</v>
      </c>
      <c r="I30">
        <v>16.296600000000002</v>
      </c>
      <c r="J30">
        <v>113.25597500000001</v>
      </c>
      <c r="K30" s="16">
        <v>74.031524816571675</v>
      </c>
      <c r="L30">
        <v>32.57171574643661</v>
      </c>
      <c r="M30">
        <v>17.969882210706523</v>
      </c>
      <c r="N30">
        <v>23.930454794396756</v>
      </c>
      <c r="O30">
        <v>28.751811537130433</v>
      </c>
      <c r="P30">
        <v>1.507363276276352</v>
      </c>
      <c r="Q30">
        <v>8.2871512959821079</v>
      </c>
    </row>
    <row r="31" spans="1:18" x14ac:dyDescent="0.25">
      <c r="A31" t="s">
        <v>149</v>
      </c>
      <c r="B31" s="3">
        <v>41940</v>
      </c>
      <c r="C31" t="s">
        <v>4</v>
      </c>
      <c r="D31" s="16">
        <v>1388.75</v>
      </c>
      <c r="E31">
        <v>357</v>
      </c>
      <c r="F31">
        <v>0</v>
      </c>
      <c r="G31">
        <v>717.25</v>
      </c>
      <c r="H31">
        <v>314.5</v>
      </c>
      <c r="K31" s="16">
        <v>71.462694230393154</v>
      </c>
      <c r="L31">
        <v>52.719382899777322</v>
      </c>
      <c r="M31">
        <v>0</v>
      </c>
      <c r="N31">
        <v>204.59777613649666</v>
      </c>
      <c r="O31">
        <v>233.59295080688258</v>
      </c>
      <c r="R31" t="s">
        <v>247</v>
      </c>
    </row>
    <row r="32" spans="1:18" x14ac:dyDescent="0.25">
      <c r="A32" t="s">
        <v>150</v>
      </c>
      <c r="B32" s="3">
        <v>41834</v>
      </c>
      <c r="C32" t="s">
        <v>7</v>
      </c>
      <c r="D32" s="16">
        <v>157.25</v>
      </c>
      <c r="E32">
        <v>58.25</v>
      </c>
      <c r="F32">
        <v>99.25</v>
      </c>
      <c r="H32">
        <v>0</v>
      </c>
      <c r="I32">
        <v>7.1265749999999999</v>
      </c>
      <c r="J32">
        <v>8.7355999999999998</v>
      </c>
      <c r="K32" s="16">
        <v>24.308777564218786</v>
      </c>
      <c r="L32">
        <v>8.6554414483991895</v>
      </c>
      <c r="M32">
        <v>15.521490478258416</v>
      </c>
      <c r="O32">
        <v>0</v>
      </c>
      <c r="P32">
        <v>1.1094006621445069</v>
      </c>
      <c r="Q32">
        <v>3.3969618788951257</v>
      </c>
    </row>
    <row r="33" spans="1:18" x14ac:dyDescent="0.25">
      <c r="A33" t="s">
        <v>150</v>
      </c>
      <c r="B33" s="3">
        <v>41856</v>
      </c>
      <c r="C33" t="s">
        <v>7</v>
      </c>
      <c r="D33" s="16">
        <v>413.25</v>
      </c>
      <c r="E33">
        <v>180</v>
      </c>
      <c r="F33">
        <v>202.75</v>
      </c>
      <c r="H33">
        <v>30.25</v>
      </c>
      <c r="K33" s="16">
        <v>26.399179280172074</v>
      </c>
      <c r="L33">
        <v>10.984838035522721</v>
      </c>
      <c r="M33">
        <v>13.889444433333777</v>
      </c>
      <c r="O33">
        <v>4.5734742446707477</v>
      </c>
    </row>
    <row r="34" spans="1:18" x14ac:dyDescent="0.25">
      <c r="A34" t="s">
        <v>150</v>
      </c>
      <c r="B34" s="3">
        <v>41871</v>
      </c>
      <c r="C34" t="s">
        <v>7</v>
      </c>
      <c r="D34" s="16">
        <v>652.5</v>
      </c>
      <c r="E34">
        <v>363.25</v>
      </c>
      <c r="F34">
        <v>220.5</v>
      </c>
      <c r="G34">
        <v>21</v>
      </c>
      <c r="H34">
        <v>57.5</v>
      </c>
      <c r="I34">
        <v>14.70815</v>
      </c>
      <c r="J34">
        <v>66.794700000000006</v>
      </c>
      <c r="K34" s="16">
        <v>51.655912859355546</v>
      </c>
      <c r="L34">
        <v>17.211914478058507</v>
      </c>
      <c r="M34">
        <v>28.641461787648574</v>
      </c>
      <c r="N34">
        <v>11.313708498984761</v>
      </c>
      <c r="O34">
        <v>18.520259177452136</v>
      </c>
      <c r="P34">
        <v>1.8193577447366689</v>
      </c>
      <c r="Q34">
        <v>10.527906607361844</v>
      </c>
    </row>
    <row r="35" spans="1:18" x14ac:dyDescent="0.25">
      <c r="A35" t="s">
        <v>150</v>
      </c>
      <c r="B35" s="3">
        <v>41883</v>
      </c>
      <c r="C35" t="s">
        <v>7</v>
      </c>
      <c r="D35" s="16">
        <v>896</v>
      </c>
      <c r="E35">
        <v>434.25</v>
      </c>
      <c r="F35">
        <v>204.5</v>
      </c>
      <c r="G35">
        <v>183</v>
      </c>
      <c r="H35">
        <v>74.75</v>
      </c>
      <c r="I35">
        <v>16.9923</v>
      </c>
      <c r="J35">
        <v>91.371500000000012</v>
      </c>
      <c r="K35" s="16">
        <v>104.72821969268837</v>
      </c>
      <c r="L35">
        <v>39.911360120480317</v>
      </c>
      <c r="M35">
        <v>32.67516896156264</v>
      </c>
      <c r="N35">
        <v>14.98888477061141</v>
      </c>
      <c r="O35">
        <v>28.546745290254485</v>
      </c>
      <c r="P35">
        <v>2.7487904224707007</v>
      </c>
      <c r="Q35">
        <v>11.132512669354194</v>
      </c>
    </row>
    <row r="36" spans="1:18" x14ac:dyDescent="0.25">
      <c r="A36" t="s">
        <v>150</v>
      </c>
      <c r="B36" s="3">
        <v>41940</v>
      </c>
      <c r="C36" t="s">
        <v>7</v>
      </c>
      <c r="D36" s="16">
        <v>1403.5</v>
      </c>
      <c r="E36">
        <v>435.25</v>
      </c>
      <c r="F36">
        <v>0</v>
      </c>
      <c r="G36">
        <v>656.25</v>
      </c>
      <c r="H36">
        <v>311.25</v>
      </c>
      <c r="K36" s="16">
        <v>132.92228305793327</v>
      </c>
      <c r="L36">
        <v>159.2155247874193</v>
      </c>
      <c r="M36">
        <v>0</v>
      </c>
      <c r="N36">
        <v>50.447167082668443</v>
      </c>
      <c r="O36">
        <v>158.52943995779879</v>
      </c>
      <c r="R36" t="s">
        <v>247</v>
      </c>
    </row>
    <row r="37" spans="1:18" x14ac:dyDescent="0.25">
      <c r="A37" t="s">
        <v>151</v>
      </c>
      <c r="B37" s="3">
        <v>41834</v>
      </c>
      <c r="C37" t="s">
        <v>2</v>
      </c>
      <c r="D37" s="16">
        <v>186.5</v>
      </c>
      <c r="E37">
        <v>66.25</v>
      </c>
      <c r="F37">
        <v>119.75</v>
      </c>
      <c r="H37">
        <v>0</v>
      </c>
      <c r="I37">
        <v>8.0322249999999986</v>
      </c>
      <c r="J37">
        <v>10.248875000000002</v>
      </c>
      <c r="K37" s="16">
        <v>25.013329779672809</v>
      </c>
      <c r="L37">
        <v>9.1423921012683174</v>
      </c>
      <c r="M37">
        <v>15.945218719101975</v>
      </c>
      <c r="O37">
        <v>0</v>
      </c>
      <c r="P37">
        <v>1.3813309870676711</v>
      </c>
      <c r="Q37">
        <v>5.1927637621180738</v>
      </c>
    </row>
    <row r="38" spans="1:18" x14ac:dyDescent="0.25">
      <c r="A38" t="s">
        <v>151</v>
      </c>
      <c r="B38" s="3">
        <v>41856</v>
      </c>
      <c r="C38" t="s">
        <v>2</v>
      </c>
      <c r="D38" s="16">
        <v>489.5</v>
      </c>
      <c r="E38">
        <v>211.5</v>
      </c>
      <c r="F38">
        <v>246.75</v>
      </c>
      <c r="H38">
        <v>31.25</v>
      </c>
      <c r="K38" s="16">
        <v>36.207733980463345</v>
      </c>
      <c r="L38">
        <v>18.064698539785638</v>
      </c>
      <c r="M38">
        <v>12.5</v>
      </c>
      <c r="O38">
        <v>11.236102527122116</v>
      </c>
    </row>
    <row r="39" spans="1:18" x14ac:dyDescent="0.25">
      <c r="A39" t="s">
        <v>151</v>
      </c>
      <c r="B39" s="3">
        <v>41871</v>
      </c>
      <c r="C39" t="s">
        <v>2</v>
      </c>
      <c r="D39" s="16">
        <v>693</v>
      </c>
      <c r="E39">
        <v>379.5</v>
      </c>
      <c r="F39">
        <v>232.5</v>
      </c>
      <c r="G39">
        <v>20</v>
      </c>
      <c r="H39">
        <v>70.75</v>
      </c>
      <c r="I39">
        <v>14.9314</v>
      </c>
      <c r="J39">
        <v>67.519824999999997</v>
      </c>
      <c r="K39" s="16">
        <v>50.990195135927848</v>
      </c>
      <c r="L39">
        <v>15.154757228892407</v>
      </c>
      <c r="M39">
        <v>25.093159758521178</v>
      </c>
      <c r="N39">
        <v>19.798989873223331</v>
      </c>
      <c r="O39">
        <v>22.647663602823727</v>
      </c>
      <c r="P39">
        <v>2.6687417846868065</v>
      </c>
      <c r="Q39">
        <v>8.1330365720621423</v>
      </c>
    </row>
    <row r="40" spans="1:18" x14ac:dyDescent="0.25">
      <c r="A40" t="s">
        <v>151</v>
      </c>
      <c r="B40" s="3">
        <v>41891</v>
      </c>
      <c r="C40" t="s">
        <v>2</v>
      </c>
      <c r="D40" s="16">
        <v>1079.5</v>
      </c>
      <c r="E40">
        <v>506</v>
      </c>
      <c r="F40">
        <v>167.75</v>
      </c>
      <c r="G40">
        <v>276.5</v>
      </c>
      <c r="H40">
        <v>128.75</v>
      </c>
      <c r="I40">
        <v>14.626025</v>
      </c>
      <c r="J40">
        <v>145.31289999999998</v>
      </c>
      <c r="K40" s="16">
        <v>69.043464571239468</v>
      </c>
      <c r="L40">
        <v>27.784887978899608</v>
      </c>
      <c r="M40">
        <v>12.446552400832395</v>
      </c>
      <c r="N40">
        <v>32.109188716004645</v>
      </c>
      <c r="O40">
        <v>12.867918764638411</v>
      </c>
      <c r="P40">
        <v>1.002844070215648</v>
      </c>
      <c r="Q40">
        <v>10.706678783824689</v>
      </c>
    </row>
    <row r="41" spans="1:18" x14ac:dyDescent="0.25">
      <c r="A41" t="s">
        <v>151</v>
      </c>
      <c r="B41" s="3">
        <v>41940</v>
      </c>
      <c r="C41" t="s">
        <v>2</v>
      </c>
      <c r="D41" s="16">
        <v>1398.25</v>
      </c>
      <c r="E41">
        <v>309</v>
      </c>
      <c r="F41">
        <v>0</v>
      </c>
      <c r="G41">
        <v>888</v>
      </c>
      <c r="H41">
        <v>201.5</v>
      </c>
      <c r="K41" s="16">
        <v>66.77012805139735</v>
      </c>
      <c r="L41">
        <v>106.41428475538423</v>
      </c>
      <c r="M41">
        <v>0</v>
      </c>
      <c r="N41">
        <v>125.40600729895944</v>
      </c>
      <c r="O41">
        <v>237.05062750391528</v>
      </c>
      <c r="R41" t="s">
        <v>247</v>
      </c>
    </row>
    <row r="42" spans="1:18" x14ac:dyDescent="0.25">
      <c r="A42" t="s">
        <v>152</v>
      </c>
      <c r="B42" s="3">
        <v>41834</v>
      </c>
      <c r="C42" t="s">
        <v>3</v>
      </c>
      <c r="D42" s="16">
        <v>173.5</v>
      </c>
      <c r="E42">
        <v>54.75</v>
      </c>
      <c r="F42">
        <v>118.5</v>
      </c>
      <c r="H42">
        <v>0</v>
      </c>
      <c r="I42">
        <v>7.7769999999999992</v>
      </c>
      <c r="J42">
        <v>8.5557999999999996</v>
      </c>
      <c r="K42" s="16">
        <v>15.609825965290794</v>
      </c>
      <c r="L42">
        <v>4.349329450233296</v>
      </c>
      <c r="M42">
        <v>11.733143937865361</v>
      </c>
      <c r="O42">
        <v>0</v>
      </c>
      <c r="P42">
        <v>1.0467795852040662</v>
      </c>
      <c r="Q42">
        <v>0.89850570764279303</v>
      </c>
    </row>
    <row r="43" spans="1:18" x14ac:dyDescent="0.25">
      <c r="A43" t="s">
        <v>152</v>
      </c>
      <c r="B43" s="3">
        <v>41863</v>
      </c>
      <c r="C43" t="s">
        <v>3</v>
      </c>
      <c r="D43" s="16">
        <v>545.5</v>
      </c>
      <c r="E43">
        <v>228.5</v>
      </c>
      <c r="F43">
        <v>275.5</v>
      </c>
      <c r="H43">
        <v>42</v>
      </c>
      <c r="K43" s="16">
        <v>57.186828320281357</v>
      </c>
      <c r="L43">
        <v>59.298679018451445</v>
      </c>
      <c r="M43">
        <v>46.636895265444075</v>
      </c>
      <c r="O43">
        <v>14.30617582258329</v>
      </c>
    </row>
    <row r="44" spans="1:18" x14ac:dyDescent="0.25">
      <c r="A44" t="s">
        <v>152</v>
      </c>
      <c r="B44" s="3">
        <v>41871</v>
      </c>
      <c r="C44" t="s">
        <v>3</v>
      </c>
      <c r="D44" s="16">
        <v>653.5</v>
      </c>
      <c r="E44">
        <v>335.25</v>
      </c>
      <c r="F44">
        <v>262.5</v>
      </c>
      <c r="H44">
        <v>55.5</v>
      </c>
      <c r="I44">
        <v>16.863050000000001</v>
      </c>
      <c r="J44">
        <v>64.700600000000009</v>
      </c>
      <c r="K44" s="16">
        <v>7.047458170621991</v>
      </c>
      <c r="L44">
        <v>26.196373794859472</v>
      </c>
      <c r="M44">
        <v>15.609825965290794</v>
      </c>
      <c r="O44">
        <v>10.246950765959598</v>
      </c>
      <c r="P44">
        <v>1.5727223562981159</v>
      </c>
      <c r="Q44">
        <v>12.689823149805195</v>
      </c>
    </row>
    <row r="45" spans="1:18" x14ac:dyDescent="0.25">
      <c r="A45" t="s">
        <v>152</v>
      </c>
      <c r="B45" s="3">
        <v>41891</v>
      </c>
      <c r="C45" t="s">
        <v>3</v>
      </c>
      <c r="D45" s="16">
        <v>1112.5</v>
      </c>
      <c r="E45">
        <v>512</v>
      </c>
      <c r="F45">
        <v>199.75</v>
      </c>
      <c r="G45">
        <v>249.75</v>
      </c>
      <c r="H45">
        <v>151</v>
      </c>
      <c r="I45">
        <v>17.970200000000002</v>
      </c>
      <c r="J45">
        <v>130.925825</v>
      </c>
      <c r="K45" s="16">
        <v>53.916602266834282</v>
      </c>
      <c r="L45">
        <v>15.340577998671801</v>
      </c>
      <c r="M45">
        <v>19.379972480200617</v>
      </c>
      <c r="N45">
        <v>13.5</v>
      </c>
      <c r="O45">
        <v>33.684813591092748</v>
      </c>
      <c r="P45">
        <v>1.3800339053805641</v>
      </c>
      <c r="Q45">
        <v>10.267348427052626</v>
      </c>
    </row>
    <row r="46" spans="1:18" x14ac:dyDescent="0.25">
      <c r="A46" t="s">
        <v>152</v>
      </c>
      <c r="B46" s="3">
        <v>41940</v>
      </c>
      <c r="C46" t="s">
        <v>3</v>
      </c>
      <c r="D46" s="16">
        <v>1432.25</v>
      </c>
      <c r="E46">
        <v>385</v>
      </c>
      <c r="F46">
        <v>0</v>
      </c>
      <c r="G46">
        <v>779</v>
      </c>
      <c r="H46">
        <v>268.25</v>
      </c>
      <c r="K46" s="16">
        <v>131.37319615000112</v>
      </c>
      <c r="L46">
        <v>97.461103352397288</v>
      </c>
      <c r="M46">
        <v>0</v>
      </c>
      <c r="N46">
        <v>176.02461949019138</v>
      </c>
      <c r="O46">
        <v>164.62558529382162</v>
      </c>
      <c r="R46" t="s">
        <v>247</v>
      </c>
    </row>
    <row r="47" spans="1:18" x14ac:dyDescent="0.25">
      <c r="A47" t="s">
        <v>153</v>
      </c>
      <c r="B47" s="3">
        <v>41834</v>
      </c>
      <c r="C47" t="s">
        <v>5</v>
      </c>
      <c r="D47" s="16">
        <v>165.25</v>
      </c>
      <c r="E47">
        <v>56.5</v>
      </c>
      <c r="F47">
        <v>108.75</v>
      </c>
      <c r="H47">
        <v>0</v>
      </c>
      <c r="I47">
        <v>8.0046750000000007</v>
      </c>
      <c r="J47">
        <v>7.7267750000000008</v>
      </c>
      <c r="K47" s="16">
        <v>13.149778198382917</v>
      </c>
      <c r="L47">
        <v>3.1091263510296048</v>
      </c>
      <c r="M47">
        <v>10.781929326423912</v>
      </c>
      <c r="O47">
        <v>0</v>
      </c>
      <c r="P47">
        <v>1.2379116537540142</v>
      </c>
      <c r="Q47">
        <v>1.6815062580416751</v>
      </c>
    </row>
    <row r="48" spans="1:18" x14ac:dyDescent="0.25">
      <c r="A48" t="s">
        <v>153</v>
      </c>
      <c r="B48" s="3">
        <v>41856</v>
      </c>
      <c r="C48" t="s">
        <v>5</v>
      </c>
      <c r="D48" s="16">
        <v>391</v>
      </c>
      <c r="E48">
        <v>162</v>
      </c>
      <c r="F48">
        <v>203.25</v>
      </c>
      <c r="H48">
        <v>26</v>
      </c>
      <c r="K48" s="16">
        <v>30.800432897390689</v>
      </c>
      <c r="L48">
        <v>19.476481543988722</v>
      </c>
      <c r="M48">
        <v>15.456929406148772</v>
      </c>
      <c r="O48">
        <v>4.2426406871192848</v>
      </c>
    </row>
    <row r="49" spans="1:18" x14ac:dyDescent="0.25">
      <c r="A49" t="s">
        <v>153</v>
      </c>
      <c r="B49" s="3">
        <v>41871</v>
      </c>
      <c r="C49" t="s">
        <v>5</v>
      </c>
      <c r="D49" s="16">
        <v>633.25</v>
      </c>
      <c r="E49">
        <v>323.25</v>
      </c>
      <c r="F49">
        <v>207.75</v>
      </c>
      <c r="G49">
        <v>48.25</v>
      </c>
      <c r="H49">
        <v>54.25</v>
      </c>
      <c r="I49">
        <v>15.289199999999999</v>
      </c>
      <c r="J49">
        <v>59.343299999999999</v>
      </c>
      <c r="K49" s="16">
        <v>21.792582836062977</v>
      </c>
      <c r="L49">
        <v>19.619293225462194</v>
      </c>
      <c r="M49">
        <v>31.41522985220173</v>
      </c>
      <c r="N49">
        <v>22.425803590209799</v>
      </c>
      <c r="O49">
        <v>7.0887234393789127</v>
      </c>
      <c r="P49">
        <v>1.6108906170190569</v>
      </c>
      <c r="Q49">
        <v>10.900318038785231</v>
      </c>
    </row>
    <row r="50" spans="1:18" x14ac:dyDescent="0.25">
      <c r="A50" t="s">
        <v>153</v>
      </c>
      <c r="B50" s="3">
        <v>41883</v>
      </c>
      <c r="C50" t="s">
        <v>5</v>
      </c>
      <c r="D50" s="16">
        <v>884.5</v>
      </c>
      <c r="E50">
        <v>403.5</v>
      </c>
      <c r="F50">
        <v>216.25</v>
      </c>
      <c r="G50">
        <v>199.75</v>
      </c>
      <c r="H50">
        <v>64.75</v>
      </c>
      <c r="I50">
        <v>16.929225000000002</v>
      </c>
      <c r="J50">
        <v>92.085425000000015</v>
      </c>
      <c r="K50" s="16">
        <v>51.707510737480554</v>
      </c>
      <c r="L50">
        <v>11.733143937865361</v>
      </c>
      <c r="M50">
        <v>15.819292019556375</v>
      </c>
      <c r="N50">
        <v>40.210902335892271</v>
      </c>
      <c r="O50">
        <v>8.7321245982864895</v>
      </c>
      <c r="P50">
        <v>1.8145734675583125</v>
      </c>
      <c r="Q50">
        <v>15.155247950105114</v>
      </c>
    </row>
    <row r="51" spans="1:18" x14ac:dyDescent="0.25">
      <c r="A51" t="s">
        <v>153</v>
      </c>
      <c r="B51" s="3">
        <v>41940</v>
      </c>
      <c r="C51" t="s">
        <v>5</v>
      </c>
      <c r="D51" s="16">
        <v>1484.75</v>
      </c>
      <c r="E51">
        <v>399.25</v>
      </c>
      <c r="F51">
        <v>0</v>
      </c>
      <c r="G51">
        <v>818.75</v>
      </c>
      <c r="H51">
        <v>266</v>
      </c>
      <c r="K51" s="16">
        <v>112.59181438571218</v>
      </c>
      <c r="L51">
        <v>32.877297131404625</v>
      </c>
      <c r="M51">
        <v>0</v>
      </c>
      <c r="N51">
        <v>116.70011425301462</v>
      </c>
      <c r="O51">
        <v>177.4673678924288</v>
      </c>
      <c r="R51" t="s">
        <v>247</v>
      </c>
    </row>
    <row r="52" spans="1:18" x14ac:dyDescent="0.25">
      <c r="A52" t="s">
        <v>154</v>
      </c>
      <c r="B52" s="3">
        <v>41834</v>
      </c>
      <c r="C52" t="s">
        <v>9</v>
      </c>
      <c r="D52" s="16">
        <v>168</v>
      </c>
      <c r="E52">
        <v>59.75</v>
      </c>
      <c r="F52">
        <v>108.25</v>
      </c>
      <c r="H52">
        <v>0</v>
      </c>
      <c r="I52">
        <v>7.6494750000000007</v>
      </c>
      <c r="J52">
        <v>7.6281999999999996</v>
      </c>
      <c r="K52" s="16">
        <v>14.30617582258329</v>
      </c>
      <c r="L52">
        <v>4.2720018726587652</v>
      </c>
      <c r="M52">
        <v>10.275375094532235</v>
      </c>
      <c r="O52">
        <v>0</v>
      </c>
      <c r="P52">
        <v>0.54230930519399057</v>
      </c>
      <c r="Q52">
        <v>1.4503595944914269</v>
      </c>
    </row>
    <row r="53" spans="1:18" x14ac:dyDescent="0.25">
      <c r="A53" t="s">
        <v>154</v>
      </c>
      <c r="B53" s="3">
        <v>41856</v>
      </c>
      <c r="C53" t="s">
        <v>9</v>
      </c>
      <c r="D53" s="16">
        <v>455.5</v>
      </c>
      <c r="E53">
        <v>196.75</v>
      </c>
      <c r="F53">
        <v>227.5</v>
      </c>
      <c r="H53">
        <v>31</v>
      </c>
      <c r="K53" s="16">
        <v>53.80520420925842</v>
      </c>
      <c r="L53">
        <v>21.234798484249072</v>
      </c>
      <c r="M53">
        <v>29.422213830143146</v>
      </c>
      <c r="O53">
        <v>9.3808315196468595</v>
      </c>
    </row>
    <row r="54" spans="1:18" x14ac:dyDescent="0.25">
      <c r="A54" t="s">
        <v>154</v>
      </c>
      <c r="B54" s="3">
        <v>41871</v>
      </c>
      <c r="C54" t="s">
        <v>9</v>
      </c>
      <c r="D54" s="16">
        <v>701.25</v>
      </c>
      <c r="E54">
        <v>411.75</v>
      </c>
      <c r="F54">
        <v>221.5</v>
      </c>
      <c r="G54">
        <v>10</v>
      </c>
      <c r="H54">
        <v>58.25</v>
      </c>
      <c r="I54">
        <v>14.453225</v>
      </c>
      <c r="J54">
        <v>74.320174999999992</v>
      </c>
      <c r="K54" s="16">
        <v>40.111303477531948</v>
      </c>
      <c r="L54">
        <v>42.397916615481627</v>
      </c>
      <c r="M54">
        <v>10.082988974836116</v>
      </c>
      <c r="N54">
        <v>3.5590260840104371</v>
      </c>
      <c r="O54">
        <v>10.372238588334406</v>
      </c>
      <c r="P54">
        <v>2.0437645271654938</v>
      </c>
      <c r="Q54">
        <v>4.9036929718835953</v>
      </c>
    </row>
    <row r="55" spans="1:18" x14ac:dyDescent="0.25">
      <c r="A55" t="s">
        <v>154</v>
      </c>
      <c r="B55" s="3">
        <v>41883</v>
      </c>
      <c r="C55" t="s">
        <v>9</v>
      </c>
      <c r="D55" s="16">
        <v>946.75</v>
      </c>
      <c r="E55">
        <v>451</v>
      </c>
      <c r="F55">
        <v>223.25</v>
      </c>
      <c r="G55">
        <v>181</v>
      </c>
      <c r="H55">
        <v>91</v>
      </c>
      <c r="I55">
        <v>16.6282</v>
      </c>
      <c r="J55">
        <v>91.698724999999996</v>
      </c>
      <c r="K55" s="16">
        <v>83.806821520287556</v>
      </c>
      <c r="L55">
        <v>68.512772531842558</v>
      </c>
      <c r="M55">
        <v>18.83923211457056</v>
      </c>
      <c r="N55">
        <v>26.993826454703797</v>
      </c>
      <c r="O55">
        <v>22.405356502408079</v>
      </c>
      <c r="P55">
        <v>1.0564963227574327</v>
      </c>
      <c r="Q55">
        <v>11.450225228461692</v>
      </c>
    </row>
    <row r="56" spans="1:18" x14ac:dyDescent="0.25">
      <c r="A56" t="s">
        <v>154</v>
      </c>
      <c r="B56" s="3">
        <v>41940</v>
      </c>
      <c r="C56" t="s">
        <v>9</v>
      </c>
      <c r="D56" s="16">
        <v>1410</v>
      </c>
      <c r="E56">
        <v>516</v>
      </c>
      <c r="F56">
        <v>0</v>
      </c>
      <c r="G56">
        <v>813.75</v>
      </c>
      <c r="H56">
        <v>80.5</v>
      </c>
      <c r="K56" s="16">
        <v>124.95599225327291</v>
      </c>
      <c r="L56">
        <v>124.57661631836584</v>
      </c>
      <c r="M56">
        <v>0</v>
      </c>
      <c r="N56">
        <v>96.472362190767697</v>
      </c>
      <c r="O56">
        <v>17.8232058470598</v>
      </c>
      <c r="R56" t="s">
        <v>247</v>
      </c>
    </row>
    <row r="57" spans="1:18" x14ac:dyDescent="0.25">
      <c r="A57" t="s">
        <v>155</v>
      </c>
      <c r="B57" s="3">
        <v>41834</v>
      </c>
      <c r="C57" t="s">
        <v>6</v>
      </c>
      <c r="D57" s="16">
        <v>146.75</v>
      </c>
      <c r="E57">
        <v>54</v>
      </c>
      <c r="F57">
        <v>93</v>
      </c>
      <c r="H57">
        <v>0</v>
      </c>
      <c r="I57">
        <v>6.9863999999999997</v>
      </c>
      <c r="J57">
        <v>5.9858000000000002</v>
      </c>
      <c r="K57" s="16">
        <v>30.987900864692335</v>
      </c>
      <c r="L57">
        <v>11.51810169544733</v>
      </c>
      <c r="M57">
        <v>20.066555924389881</v>
      </c>
      <c r="O57">
        <v>0</v>
      </c>
      <c r="P57">
        <v>1.7235852111224479</v>
      </c>
      <c r="Q57">
        <v>1.7907789422483202</v>
      </c>
    </row>
    <row r="58" spans="1:18" x14ac:dyDescent="0.25">
      <c r="A58" t="s">
        <v>155</v>
      </c>
      <c r="B58" s="3">
        <v>41856</v>
      </c>
      <c r="C58" t="s">
        <v>6</v>
      </c>
      <c r="D58" s="16">
        <v>467.25</v>
      </c>
      <c r="E58">
        <v>203.75</v>
      </c>
      <c r="F58">
        <v>235.5</v>
      </c>
      <c r="H58">
        <v>28.5</v>
      </c>
      <c r="K58" s="16">
        <v>23.556669260883776</v>
      </c>
      <c r="L58">
        <v>15.5</v>
      </c>
      <c r="M58">
        <v>19.017535767461215</v>
      </c>
      <c r="O58">
        <v>4.4347115652166904</v>
      </c>
    </row>
    <row r="59" spans="1:18" x14ac:dyDescent="0.25">
      <c r="A59" t="s">
        <v>155</v>
      </c>
      <c r="B59" s="3">
        <v>41871</v>
      </c>
      <c r="C59" t="s">
        <v>6</v>
      </c>
      <c r="D59" s="16">
        <v>641</v>
      </c>
      <c r="E59">
        <v>359.25</v>
      </c>
      <c r="F59">
        <v>214.25</v>
      </c>
      <c r="G59">
        <v>27</v>
      </c>
      <c r="H59">
        <v>40.5</v>
      </c>
      <c r="I59">
        <v>15.847750000000001</v>
      </c>
      <c r="J59">
        <v>66.986699999999999</v>
      </c>
      <c r="K59" s="16">
        <v>70.814311171306798</v>
      </c>
      <c r="L59">
        <v>49.92243984422236</v>
      </c>
      <c r="M59">
        <v>20.1059692628831</v>
      </c>
      <c r="N59">
        <v>22.3308456325923</v>
      </c>
      <c r="O59">
        <v>15.416441439796236</v>
      </c>
      <c r="P59">
        <v>1.8737029104600893</v>
      </c>
      <c r="Q59">
        <v>3.938797855522298</v>
      </c>
    </row>
    <row r="60" spans="1:18" x14ac:dyDescent="0.25">
      <c r="A60" t="s">
        <v>155</v>
      </c>
      <c r="B60" s="3">
        <v>41883</v>
      </c>
      <c r="C60" t="s">
        <v>6</v>
      </c>
      <c r="D60" s="16">
        <v>867.75</v>
      </c>
      <c r="E60">
        <v>424.5</v>
      </c>
      <c r="F60">
        <v>195.5</v>
      </c>
      <c r="G60">
        <v>188</v>
      </c>
      <c r="H60">
        <v>59.75</v>
      </c>
      <c r="I60">
        <v>17.070766666666668</v>
      </c>
      <c r="J60">
        <v>87.461866666666666</v>
      </c>
      <c r="K60" s="16">
        <v>6.6520673478250352</v>
      </c>
      <c r="L60">
        <v>7.5938571665963446</v>
      </c>
      <c r="M60">
        <v>3.415650255319866</v>
      </c>
      <c r="N60">
        <v>4.9665548085837798</v>
      </c>
      <c r="O60">
        <v>6.2383224240709669</v>
      </c>
      <c r="P60">
        <v>1.0840141158367809</v>
      </c>
      <c r="Q60">
        <v>15.685723172787867</v>
      </c>
    </row>
    <row r="61" spans="1:18" x14ac:dyDescent="0.25">
      <c r="A61" t="s">
        <v>155</v>
      </c>
      <c r="B61" s="3">
        <v>41940</v>
      </c>
      <c r="C61" t="s">
        <v>6</v>
      </c>
      <c r="D61" s="16">
        <v>1436</v>
      </c>
      <c r="E61">
        <v>447.75</v>
      </c>
      <c r="F61">
        <v>0</v>
      </c>
      <c r="G61">
        <v>894</v>
      </c>
      <c r="H61">
        <v>94</v>
      </c>
      <c r="K61" s="16">
        <v>57.602083295658673</v>
      </c>
      <c r="L61">
        <v>69.705929924696264</v>
      </c>
      <c r="M61">
        <v>0</v>
      </c>
      <c r="N61">
        <v>48.873987628048795</v>
      </c>
      <c r="O61">
        <v>36.615115275889366</v>
      </c>
      <c r="R61" t="s">
        <v>247</v>
      </c>
    </row>
    <row r="62" spans="1:18" x14ac:dyDescent="0.25">
      <c r="A62" t="s">
        <v>156</v>
      </c>
      <c r="B62" s="3">
        <v>42188</v>
      </c>
      <c r="C62" t="s">
        <v>13</v>
      </c>
      <c r="D62" s="16">
        <v>134.5</v>
      </c>
      <c r="E62">
        <v>53</v>
      </c>
      <c r="F62">
        <v>79.75</v>
      </c>
      <c r="H62">
        <v>1.5</v>
      </c>
      <c r="K62" s="16">
        <v>14.433756729740644</v>
      </c>
      <c r="L62">
        <v>6.97614984548545</v>
      </c>
      <c r="M62">
        <v>7.6321687612368736</v>
      </c>
      <c r="O62">
        <v>1.2909944487358056</v>
      </c>
    </row>
    <row r="63" spans="1:18" x14ac:dyDescent="0.25">
      <c r="A63" t="s">
        <v>156</v>
      </c>
      <c r="B63" s="3">
        <v>42194</v>
      </c>
      <c r="C63" t="s">
        <v>13</v>
      </c>
      <c r="D63" s="16">
        <v>182.75</v>
      </c>
      <c r="E63">
        <v>82.75</v>
      </c>
      <c r="F63">
        <v>98.5</v>
      </c>
      <c r="H63">
        <v>1.25</v>
      </c>
      <c r="K63" s="16">
        <v>29.250356123188197</v>
      </c>
      <c r="L63">
        <v>14.997221964972935</v>
      </c>
      <c r="M63">
        <v>15.088627063675034</v>
      </c>
      <c r="O63">
        <v>0.5</v>
      </c>
    </row>
    <row r="64" spans="1:18" x14ac:dyDescent="0.25">
      <c r="A64" t="s">
        <v>156</v>
      </c>
      <c r="B64" s="3">
        <v>42201</v>
      </c>
      <c r="C64" t="s">
        <v>13</v>
      </c>
      <c r="D64" s="16">
        <v>228.75</v>
      </c>
      <c r="E64">
        <v>118</v>
      </c>
      <c r="F64">
        <v>105.5</v>
      </c>
      <c r="H64">
        <v>5.75</v>
      </c>
      <c r="K64" s="16">
        <v>15.840349322747484</v>
      </c>
      <c r="L64">
        <v>13.784048752090222</v>
      </c>
      <c r="M64">
        <v>5.4467115461227307</v>
      </c>
      <c r="O64">
        <v>1.5</v>
      </c>
    </row>
    <row r="65" spans="1:18" x14ac:dyDescent="0.25">
      <c r="A65" t="s">
        <v>156</v>
      </c>
      <c r="B65" s="3">
        <v>42227</v>
      </c>
      <c r="C65" t="s">
        <v>13</v>
      </c>
      <c r="D65" s="16">
        <v>679</v>
      </c>
      <c r="E65">
        <v>403.75</v>
      </c>
      <c r="F65">
        <v>139.25</v>
      </c>
      <c r="G65">
        <v>114.5</v>
      </c>
      <c r="H65">
        <v>21.5</v>
      </c>
      <c r="K65" s="16">
        <v>73.72471317905098</v>
      </c>
      <c r="L65">
        <v>42.350718215082651</v>
      </c>
      <c r="M65">
        <v>18.463928798245153</v>
      </c>
      <c r="N65">
        <v>15.110702608857515</v>
      </c>
      <c r="O65">
        <v>1.7320508075688772</v>
      </c>
    </row>
    <row r="66" spans="1:18" x14ac:dyDescent="0.25">
      <c r="A66" t="s">
        <v>156</v>
      </c>
      <c r="B66" s="3">
        <v>42284</v>
      </c>
      <c r="C66" t="s">
        <v>13</v>
      </c>
      <c r="D66" s="16">
        <v>1254.25</v>
      </c>
      <c r="E66">
        <v>461.5</v>
      </c>
      <c r="F66">
        <v>14.333333333333334</v>
      </c>
      <c r="G66">
        <v>662.25</v>
      </c>
      <c r="H66">
        <v>119.75</v>
      </c>
      <c r="K66" s="16">
        <v>285.91301124642791</v>
      </c>
      <c r="L66">
        <v>112.37289115559263</v>
      </c>
      <c r="M66">
        <v>6.1101009266077853</v>
      </c>
      <c r="N66">
        <v>133.06232875360828</v>
      </c>
      <c r="O66">
        <v>44.783739608627293</v>
      </c>
      <c r="R66" t="s">
        <v>247</v>
      </c>
    </row>
    <row r="67" spans="1:18" x14ac:dyDescent="0.25">
      <c r="A67" t="s">
        <v>157</v>
      </c>
      <c r="B67" s="3">
        <v>42188</v>
      </c>
      <c r="C67" t="s">
        <v>14</v>
      </c>
      <c r="D67" s="16">
        <v>139.25</v>
      </c>
      <c r="E67">
        <v>43.25</v>
      </c>
      <c r="F67">
        <v>93.25</v>
      </c>
      <c r="H67">
        <v>2.75</v>
      </c>
      <c r="K67" s="16">
        <v>5.3774219349672263</v>
      </c>
      <c r="L67">
        <v>3.7749172176353749</v>
      </c>
      <c r="M67">
        <v>3.8622100754188224</v>
      </c>
      <c r="O67">
        <v>1.707825127659933</v>
      </c>
    </row>
    <row r="68" spans="1:18" x14ac:dyDescent="0.25">
      <c r="A68" t="s">
        <v>157</v>
      </c>
      <c r="B68" s="3">
        <v>42194</v>
      </c>
      <c r="C68" t="s">
        <v>14</v>
      </c>
      <c r="D68" s="16">
        <v>144.5</v>
      </c>
      <c r="E68">
        <v>50</v>
      </c>
      <c r="F68">
        <v>91.5</v>
      </c>
      <c r="H68">
        <v>3</v>
      </c>
      <c r="K68" s="16">
        <v>20.273134932713294</v>
      </c>
      <c r="L68">
        <v>8.1649658092772608</v>
      </c>
      <c r="M68">
        <v>11.150485789118488</v>
      </c>
      <c r="O68">
        <v>1.1547005383792515</v>
      </c>
    </row>
    <row r="69" spans="1:18" x14ac:dyDescent="0.25">
      <c r="A69" t="s">
        <v>157</v>
      </c>
      <c r="B69" s="3">
        <v>42213</v>
      </c>
      <c r="C69" t="s">
        <v>14</v>
      </c>
      <c r="D69" s="16">
        <v>393.75</v>
      </c>
      <c r="E69">
        <v>207.5</v>
      </c>
      <c r="F69">
        <v>158.5</v>
      </c>
      <c r="H69">
        <v>28</v>
      </c>
      <c r="K69" s="16">
        <v>91.609224426364406</v>
      </c>
      <c r="L69">
        <v>42.43819034784589</v>
      </c>
      <c r="M69">
        <v>34.073450074801642</v>
      </c>
      <c r="O69">
        <v>18.761663039293719</v>
      </c>
    </row>
    <row r="70" spans="1:18" x14ac:dyDescent="0.25">
      <c r="A70" t="s">
        <v>157</v>
      </c>
      <c r="B70" s="3">
        <v>42241</v>
      </c>
      <c r="C70" t="s">
        <v>14</v>
      </c>
      <c r="D70" s="16">
        <v>760</v>
      </c>
      <c r="E70">
        <v>405.75</v>
      </c>
      <c r="F70">
        <v>145.75</v>
      </c>
      <c r="G70">
        <v>151.5</v>
      </c>
      <c r="H70">
        <v>56.75</v>
      </c>
      <c r="K70" s="16">
        <v>112.18140071628035</v>
      </c>
      <c r="L70">
        <v>77.783352974785032</v>
      </c>
      <c r="M70">
        <v>26.107150999933587</v>
      </c>
      <c r="N70">
        <v>13.527749258468683</v>
      </c>
      <c r="O70">
        <v>11.146748404803978</v>
      </c>
    </row>
    <row r="71" spans="1:18" x14ac:dyDescent="0.25">
      <c r="A71" t="s">
        <v>157</v>
      </c>
      <c r="B71" s="3">
        <v>42290</v>
      </c>
      <c r="C71" t="s">
        <v>14</v>
      </c>
      <c r="D71" s="16">
        <v>1309.75</v>
      </c>
      <c r="E71">
        <v>391.75</v>
      </c>
      <c r="G71">
        <v>773</v>
      </c>
      <c r="H71">
        <v>144.75</v>
      </c>
      <c r="K71" s="16">
        <v>167.44227861166567</v>
      </c>
      <c r="L71">
        <v>45.5878273226527</v>
      </c>
      <c r="N71">
        <v>79.728706666210684</v>
      </c>
      <c r="O71">
        <v>48.078928163316341</v>
      </c>
      <c r="R71" t="s">
        <v>247</v>
      </c>
    </row>
    <row r="72" spans="1:18" x14ac:dyDescent="0.25">
      <c r="A72" t="s">
        <v>158</v>
      </c>
      <c r="B72" s="3">
        <v>42188</v>
      </c>
      <c r="C72" t="s">
        <v>12</v>
      </c>
      <c r="D72" s="16">
        <v>112.5</v>
      </c>
      <c r="E72">
        <v>39.75</v>
      </c>
      <c r="F72">
        <v>71.5</v>
      </c>
      <c r="H72">
        <v>1</v>
      </c>
      <c r="K72" s="16">
        <v>25.225648323350054</v>
      </c>
      <c r="L72">
        <v>9.742518497116988</v>
      </c>
      <c r="M72">
        <v>15.286159317064135</v>
      </c>
      <c r="O72">
        <v>0.81649658092772603</v>
      </c>
    </row>
    <row r="73" spans="1:18" x14ac:dyDescent="0.25">
      <c r="A73" t="s">
        <v>158</v>
      </c>
      <c r="B73" s="3">
        <v>42194</v>
      </c>
      <c r="C73" t="s">
        <v>12</v>
      </c>
      <c r="D73" s="16">
        <v>145.75</v>
      </c>
      <c r="E73">
        <v>60.5</v>
      </c>
      <c r="F73">
        <v>84.25</v>
      </c>
      <c r="H73">
        <v>1</v>
      </c>
      <c r="K73" s="16">
        <v>21.792582836062977</v>
      </c>
      <c r="L73">
        <v>11.387127235025815</v>
      </c>
      <c r="M73">
        <v>10.531698185319719</v>
      </c>
      <c r="O73">
        <v>0</v>
      </c>
    </row>
    <row r="74" spans="1:18" x14ac:dyDescent="0.25">
      <c r="A74" t="s">
        <v>158</v>
      </c>
      <c r="B74" s="3">
        <v>42209</v>
      </c>
      <c r="C74" t="s">
        <v>12</v>
      </c>
      <c r="D74" s="16">
        <v>283</v>
      </c>
      <c r="E74">
        <v>149</v>
      </c>
      <c r="F74">
        <v>127</v>
      </c>
      <c r="H74">
        <v>6.5</v>
      </c>
      <c r="K74" s="16">
        <v>42.996123856304379</v>
      </c>
      <c r="L74">
        <v>25.166114784235834</v>
      </c>
      <c r="M74">
        <v>19.235384061671343</v>
      </c>
      <c r="O74">
        <v>1</v>
      </c>
    </row>
    <row r="75" spans="1:18" x14ac:dyDescent="0.25">
      <c r="A75" t="s">
        <v>158</v>
      </c>
      <c r="B75" s="3">
        <v>42241</v>
      </c>
      <c r="C75" t="s">
        <v>12</v>
      </c>
      <c r="D75" s="16">
        <v>831.5</v>
      </c>
      <c r="E75">
        <v>466.75</v>
      </c>
      <c r="F75">
        <v>151.25</v>
      </c>
      <c r="G75">
        <v>172.75</v>
      </c>
      <c r="H75">
        <v>40.75</v>
      </c>
      <c r="K75" s="16">
        <v>23.302360395462088</v>
      </c>
      <c r="L75">
        <v>11.644025649805712</v>
      </c>
      <c r="M75">
        <v>17.969882210706523</v>
      </c>
      <c r="N75">
        <v>11.926860441876563</v>
      </c>
      <c r="O75">
        <v>10.935416468216166</v>
      </c>
    </row>
    <row r="76" spans="1:18" x14ac:dyDescent="0.25">
      <c r="A76" t="s">
        <v>158</v>
      </c>
      <c r="B76" s="3">
        <v>42290</v>
      </c>
      <c r="C76" t="s">
        <v>12</v>
      </c>
      <c r="D76" s="16">
        <v>1225</v>
      </c>
      <c r="E76">
        <v>402</v>
      </c>
      <c r="G76">
        <v>687.5</v>
      </c>
      <c r="H76">
        <v>135.5</v>
      </c>
      <c r="K76" s="16">
        <v>151.84641363342544</v>
      </c>
      <c r="L76">
        <v>56.750917760567241</v>
      </c>
      <c r="N76">
        <v>80.954719854167038</v>
      </c>
      <c r="O76">
        <v>19.364916731037084</v>
      </c>
      <c r="R76" t="s">
        <v>247</v>
      </c>
    </row>
    <row r="77" spans="1:18" x14ac:dyDescent="0.25">
      <c r="A77" t="s">
        <v>159</v>
      </c>
      <c r="B77" s="3">
        <v>42188</v>
      </c>
      <c r="C77" t="s">
        <v>10</v>
      </c>
      <c r="D77" s="16">
        <v>121.25</v>
      </c>
      <c r="E77">
        <v>36</v>
      </c>
      <c r="F77">
        <v>84</v>
      </c>
      <c r="H77">
        <v>1.25</v>
      </c>
      <c r="K77" s="16">
        <v>31.052375110448477</v>
      </c>
      <c r="L77">
        <v>9.6609178307929593</v>
      </c>
      <c r="M77">
        <v>21.602468994692867</v>
      </c>
      <c r="O77">
        <v>0.5</v>
      </c>
    </row>
    <row r="78" spans="1:18" x14ac:dyDescent="0.25">
      <c r="A78" t="s">
        <v>159</v>
      </c>
      <c r="B78" s="3">
        <v>42194</v>
      </c>
      <c r="C78" t="s">
        <v>10</v>
      </c>
      <c r="D78" s="16">
        <v>158.75</v>
      </c>
      <c r="E78">
        <v>58.75</v>
      </c>
      <c r="F78">
        <v>98.25</v>
      </c>
      <c r="H78">
        <v>1.25</v>
      </c>
      <c r="K78" s="16">
        <v>25.13132175858113</v>
      </c>
      <c r="L78">
        <v>10.965856099730654</v>
      </c>
      <c r="M78">
        <v>15.085865349171501</v>
      </c>
      <c r="O78">
        <v>0.5</v>
      </c>
    </row>
    <row r="79" spans="1:18" x14ac:dyDescent="0.25">
      <c r="A79" t="s">
        <v>159</v>
      </c>
      <c r="B79" s="3">
        <v>42209</v>
      </c>
      <c r="C79" t="s">
        <v>10</v>
      </c>
      <c r="D79" s="16">
        <v>310.5</v>
      </c>
      <c r="E79">
        <v>161</v>
      </c>
      <c r="F79">
        <v>143.5</v>
      </c>
      <c r="H79">
        <v>6</v>
      </c>
      <c r="K79" s="16">
        <v>17.8232058470598</v>
      </c>
      <c r="L79">
        <v>11.16542281629615</v>
      </c>
      <c r="M79">
        <v>14.753530650887152</v>
      </c>
      <c r="O79">
        <v>2.70801280154532</v>
      </c>
    </row>
    <row r="80" spans="1:18" x14ac:dyDescent="0.25">
      <c r="A80" t="s">
        <v>159</v>
      </c>
      <c r="B80" s="3">
        <v>42234</v>
      </c>
      <c r="C80" t="s">
        <v>10</v>
      </c>
      <c r="D80" s="16">
        <v>817.75</v>
      </c>
      <c r="E80">
        <v>424.25</v>
      </c>
      <c r="F80">
        <v>160.75</v>
      </c>
      <c r="G80">
        <v>189.5</v>
      </c>
      <c r="H80">
        <v>43.25</v>
      </c>
      <c r="K80" s="16">
        <v>66.062470435187336</v>
      </c>
      <c r="L80">
        <v>54.658790082962263</v>
      </c>
      <c r="M80">
        <v>17.442763542512409</v>
      </c>
      <c r="N80">
        <v>17.464249196572979</v>
      </c>
      <c r="O80">
        <v>8.421203397773187</v>
      </c>
    </row>
    <row r="81" spans="1:18" x14ac:dyDescent="0.25">
      <c r="A81" t="s">
        <v>159</v>
      </c>
      <c r="B81" s="3">
        <v>42290</v>
      </c>
      <c r="C81" t="s">
        <v>10</v>
      </c>
      <c r="D81" s="16">
        <v>1241.5</v>
      </c>
      <c r="E81">
        <v>315.5</v>
      </c>
      <c r="G81">
        <v>774.25</v>
      </c>
      <c r="H81">
        <v>151.75</v>
      </c>
      <c r="K81" s="16">
        <v>63.929648833698437</v>
      </c>
      <c r="L81">
        <v>9.9498743710661994</v>
      </c>
      <c r="N81">
        <v>39.271490931717885</v>
      </c>
      <c r="O81">
        <v>25.773047937719745</v>
      </c>
      <c r="R81" t="s">
        <v>247</v>
      </c>
    </row>
    <row r="82" spans="1:18" x14ac:dyDescent="0.25">
      <c r="A82" t="s">
        <v>160</v>
      </c>
      <c r="B82" s="3">
        <v>42188</v>
      </c>
      <c r="C82" t="s">
        <v>8</v>
      </c>
      <c r="D82" s="16">
        <v>145.5</v>
      </c>
      <c r="E82">
        <v>49.75</v>
      </c>
      <c r="F82">
        <v>94.25</v>
      </c>
      <c r="H82">
        <v>0.75</v>
      </c>
      <c r="K82" s="16">
        <v>33.191364338735262</v>
      </c>
      <c r="L82">
        <v>10.5</v>
      </c>
      <c r="M82">
        <v>22.081289213570237</v>
      </c>
      <c r="O82">
        <v>0.9574271077563381</v>
      </c>
    </row>
    <row r="83" spans="1:18" x14ac:dyDescent="0.25">
      <c r="A83" t="s">
        <v>160</v>
      </c>
      <c r="B83" s="3">
        <v>42194</v>
      </c>
      <c r="C83" t="s">
        <v>8</v>
      </c>
      <c r="D83" s="16">
        <v>193.25</v>
      </c>
      <c r="E83">
        <v>73</v>
      </c>
      <c r="F83">
        <v>118.75</v>
      </c>
      <c r="H83">
        <v>1.25</v>
      </c>
      <c r="K83" s="16">
        <v>24.998333277774073</v>
      </c>
      <c r="L83">
        <v>9.8994949366116654</v>
      </c>
      <c r="M83">
        <v>14.997221964972935</v>
      </c>
      <c r="O83">
        <v>0.5</v>
      </c>
    </row>
    <row r="84" spans="1:18" x14ac:dyDescent="0.25">
      <c r="A84" t="s">
        <v>160</v>
      </c>
      <c r="B84" s="3">
        <v>42213</v>
      </c>
      <c r="C84" t="s">
        <v>8</v>
      </c>
      <c r="D84" s="16">
        <v>399.25</v>
      </c>
      <c r="E84">
        <v>205.5</v>
      </c>
      <c r="F84">
        <v>186.75</v>
      </c>
      <c r="H84">
        <v>7</v>
      </c>
      <c r="K84" s="16">
        <v>50.400892849234324</v>
      </c>
      <c r="L84">
        <v>25.409971795865232</v>
      </c>
      <c r="M84">
        <v>38.595120589698034</v>
      </c>
      <c r="O84">
        <v>2.1602468994692869</v>
      </c>
    </row>
    <row r="85" spans="1:18" x14ac:dyDescent="0.25">
      <c r="A85" t="s">
        <v>160</v>
      </c>
      <c r="B85" s="3">
        <v>42241</v>
      </c>
      <c r="C85" t="s">
        <v>8</v>
      </c>
      <c r="D85" s="16">
        <v>858.25</v>
      </c>
      <c r="E85">
        <v>461</v>
      </c>
      <c r="F85">
        <v>172</v>
      </c>
      <c r="G85">
        <v>165.75</v>
      </c>
      <c r="H85">
        <v>59.25</v>
      </c>
      <c r="K85" s="16">
        <v>46.571629418205525</v>
      </c>
      <c r="L85">
        <v>26.394443859772206</v>
      </c>
      <c r="M85">
        <v>39.072582032246942</v>
      </c>
      <c r="N85">
        <v>8.05708797684788</v>
      </c>
      <c r="O85">
        <v>12.284814474246922</v>
      </c>
    </row>
    <row r="86" spans="1:18" x14ac:dyDescent="0.25">
      <c r="A86" t="s">
        <v>160</v>
      </c>
      <c r="B86" s="3">
        <v>42290</v>
      </c>
      <c r="C86" t="s">
        <v>8</v>
      </c>
      <c r="D86" s="16">
        <v>1265.25</v>
      </c>
      <c r="E86">
        <v>391.25</v>
      </c>
      <c r="G86">
        <v>712.75</v>
      </c>
      <c r="H86">
        <v>161.25</v>
      </c>
      <c r="K86" s="16">
        <v>113.3089434540216</v>
      </c>
      <c r="L86">
        <v>44.46253104206582</v>
      </c>
      <c r="N86">
        <v>66.183457147538007</v>
      </c>
      <c r="O86">
        <v>17.689450716929191</v>
      </c>
      <c r="R86" t="s">
        <v>247</v>
      </c>
    </row>
    <row r="87" spans="1:18" x14ac:dyDescent="0.25">
      <c r="A87" t="s">
        <v>161</v>
      </c>
      <c r="B87" s="3">
        <v>42188</v>
      </c>
      <c r="C87" t="s">
        <v>4</v>
      </c>
      <c r="D87" s="16">
        <v>93.25</v>
      </c>
      <c r="E87">
        <v>26</v>
      </c>
      <c r="F87">
        <v>65.5</v>
      </c>
      <c r="H87">
        <v>1.25</v>
      </c>
      <c r="K87" s="16">
        <v>24.689741459426696</v>
      </c>
      <c r="L87">
        <v>16.370705543744901</v>
      </c>
      <c r="M87">
        <v>12.069244660154448</v>
      </c>
      <c r="O87">
        <v>0.5</v>
      </c>
    </row>
    <row r="88" spans="1:18" x14ac:dyDescent="0.25">
      <c r="A88" t="s">
        <v>161</v>
      </c>
      <c r="B88" s="3">
        <v>42194</v>
      </c>
      <c r="C88" t="s">
        <v>4</v>
      </c>
      <c r="D88" s="16">
        <v>112.75</v>
      </c>
      <c r="E88">
        <v>39</v>
      </c>
      <c r="F88">
        <v>72.75</v>
      </c>
      <c r="H88">
        <v>1.25</v>
      </c>
      <c r="K88" s="16">
        <v>16.78044496827582</v>
      </c>
      <c r="L88">
        <v>4.2426406871192848</v>
      </c>
      <c r="M88">
        <v>12.789970028633114</v>
      </c>
      <c r="O88">
        <v>0.5</v>
      </c>
    </row>
    <row r="89" spans="1:18" x14ac:dyDescent="0.25">
      <c r="A89" t="s">
        <v>161</v>
      </c>
      <c r="B89" s="3">
        <v>42220</v>
      </c>
      <c r="C89" t="s">
        <v>4</v>
      </c>
      <c r="D89" s="16">
        <v>364</v>
      </c>
      <c r="E89">
        <v>203</v>
      </c>
      <c r="F89">
        <v>148.75</v>
      </c>
      <c r="H89">
        <v>12</v>
      </c>
      <c r="K89" s="16">
        <v>71.114930452988091</v>
      </c>
      <c r="L89">
        <v>39.816244591037631</v>
      </c>
      <c r="M89">
        <v>30.543684562715523</v>
      </c>
      <c r="O89">
        <v>3.9157800414902435</v>
      </c>
    </row>
    <row r="90" spans="1:18" x14ac:dyDescent="0.25">
      <c r="A90" t="s">
        <v>161</v>
      </c>
      <c r="B90" s="3">
        <v>42241</v>
      </c>
      <c r="C90" t="s">
        <v>4</v>
      </c>
      <c r="D90" s="16">
        <v>706</v>
      </c>
      <c r="E90">
        <v>356.5</v>
      </c>
      <c r="F90">
        <v>154.25</v>
      </c>
      <c r="G90">
        <v>151.5</v>
      </c>
      <c r="H90">
        <v>43.5</v>
      </c>
      <c r="K90" s="16">
        <v>78.153694730319685</v>
      </c>
      <c r="L90">
        <v>40.877866871939389</v>
      </c>
      <c r="M90">
        <v>13.250786140200638</v>
      </c>
      <c r="N90">
        <v>24.117766618546309</v>
      </c>
      <c r="O90">
        <v>4.358898943540674</v>
      </c>
    </row>
    <row r="91" spans="1:18" x14ac:dyDescent="0.25">
      <c r="A91" t="s">
        <v>161</v>
      </c>
      <c r="B91" s="3">
        <v>42290</v>
      </c>
      <c r="C91" t="s">
        <v>4</v>
      </c>
      <c r="D91" s="16">
        <v>1259.5</v>
      </c>
      <c r="E91">
        <v>354.25</v>
      </c>
      <c r="F91">
        <v>2</v>
      </c>
      <c r="G91">
        <v>737.25</v>
      </c>
      <c r="H91">
        <v>167.25</v>
      </c>
      <c r="K91" s="16">
        <v>204.52954146854518</v>
      </c>
      <c r="L91">
        <v>63.882052774364304</v>
      </c>
      <c r="N91">
        <v>99.637258760632989</v>
      </c>
      <c r="O91">
        <v>43.797830996523103</v>
      </c>
      <c r="R91" t="s">
        <v>247</v>
      </c>
    </row>
    <row r="92" spans="1:18" x14ac:dyDescent="0.25">
      <c r="A92" t="s">
        <v>162</v>
      </c>
      <c r="B92" s="3">
        <v>42188</v>
      </c>
      <c r="C92" t="s">
        <v>7</v>
      </c>
      <c r="D92" s="16">
        <v>159</v>
      </c>
      <c r="E92">
        <v>55</v>
      </c>
      <c r="F92">
        <v>102.75</v>
      </c>
      <c r="H92">
        <v>1</v>
      </c>
      <c r="K92" s="16">
        <v>9.4868329805051381</v>
      </c>
      <c r="L92">
        <v>5.4772255750516612</v>
      </c>
      <c r="M92">
        <v>5.5602757725374259</v>
      </c>
      <c r="O92">
        <v>0.81649658092772603</v>
      </c>
    </row>
    <row r="93" spans="1:18" x14ac:dyDescent="0.25">
      <c r="A93" t="s">
        <v>162</v>
      </c>
      <c r="B93" s="3">
        <v>42194</v>
      </c>
      <c r="C93" t="s">
        <v>7</v>
      </c>
      <c r="D93" s="16">
        <v>172.5</v>
      </c>
      <c r="E93">
        <v>72.333333333333329</v>
      </c>
      <c r="F93">
        <v>107.33333333333333</v>
      </c>
      <c r="H93">
        <v>2</v>
      </c>
      <c r="K93" s="16">
        <v>20.024984394500787</v>
      </c>
      <c r="L93">
        <v>8.5049005481153639</v>
      </c>
      <c r="M93">
        <v>1.5275252316515497</v>
      </c>
      <c r="O93">
        <v>0</v>
      </c>
    </row>
    <row r="94" spans="1:18" x14ac:dyDescent="0.25">
      <c r="A94" t="s">
        <v>162</v>
      </c>
      <c r="B94" s="3">
        <v>42209</v>
      </c>
      <c r="C94" t="s">
        <v>7</v>
      </c>
      <c r="D94" s="16">
        <v>356.5</v>
      </c>
      <c r="E94">
        <v>197</v>
      </c>
      <c r="F94">
        <v>150</v>
      </c>
      <c r="H94">
        <v>9.75</v>
      </c>
      <c r="K94" s="16">
        <v>49.08835571361773</v>
      </c>
      <c r="L94">
        <v>18.055470085267789</v>
      </c>
      <c r="M94">
        <v>44.698993277254019</v>
      </c>
      <c r="O94">
        <v>2.753785273643051</v>
      </c>
    </row>
    <row r="95" spans="1:18" x14ac:dyDescent="0.25">
      <c r="A95" t="s">
        <v>162</v>
      </c>
      <c r="B95" s="3">
        <v>42234</v>
      </c>
      <c r="C95" t="s">
        <v>7</v>
      </c>
      <c r="D95" s="16">
        <v>778.5</v>
      </c>
      <c r="E95">
        <v>440.5</v>
      </c>
      <c r="F95">
        <v>152.5</v>
      </c>
      <c r="G95">
        <v>153.25</v>
      </c>
      <c r="H95">
        <v>32.75</v>
      </c>
      <c r="K95" s="16">
        <v>111.27293771023872</v>
      </c>
      <c r="L95">
        <v>85.37954477898478</v>
      </c>
      <c r="M95">
        <v>8.5049005481153817</v>
      </c>
      <c r="N95">
        <v>33.797189232242374</v>
      </c>
      <c r="O95">
        <v>3.7749172176353749</v>
      </c>
    </row>
    <row r="96" spans="1:18" x14ac:dyDescent="0.25">
      <c r="A96" t="s">
        <v>162</v>
      </c>
      <c r="B96" s="3">
        <v>42284</v>
      </c>
      <c r="C96" t="s">
        <v>7</v>
      </c>
      <c r="D96" s="16">
        <v>1493.25</v>
      </c>
      <c r="E96">
        <v>481.75</v>
      </c>
      <c r="F96">
        <v>7.5</v>
      </c>
      <c r="G96">
        <v>842.75</v>
      </c>
      <c r="H96">
        <v>161</v>
      </c>
      <c r="K96" s="16">
        <v>113.42361600066657</v>
      </c>
      <c r="L96">
        <v>17.969882210706523</v>
      </c>
      <c r="M96">
        <v>5.6862407030773268</v>
      </c>
      <c r="N96">
        <v>106.23990148087802</v>
      </c>
      <c r="O96">
        <v>32.280024783137947</v>
      </c>
      <c r="R96" t="s">
        <v>247</v>
      </c>
    </row>
    <row r="97" spans="1:18" x14ac:dyDescent="0.25">
      <c r="A97" t="s">
        <v>163</v>
      </c>
      <c r="B97" s="3">
        <v>42188</v>
      </c>
      <c r="C97" t="s">
        <v>2</v>
      </c>
      <c r="D97" s="16">
        <v>111</v>
      </c>
      <c r="E97">
        <v>35.25</v>
      </c>
      <c r="F97">
        <v>75.5</v>
      </c>
      <c r="H97">
        <v>0.75</v>
      </c>
      <c r="K97" s="16">
        <v>48.421758194706918</v>
      </c>
      <c r="L97">
        <v>14.908051515875574</v>
      </c>
      <c r="M97">
        <v>32.634337744161442</v>
      </c>
      <c r="O97">
        <v>0.9574271077563381</v>
      </c>
    </row>
    <row r="98" spans="1:18" x14ac:dyDescent="0.25">
      <c r="A98" t="s">
        <v>163</v>
      </c>
      <c r="B98" s="3">
        <v>42194</v>
      </c>
      <c r="C98" t="s">
        <v>2</v>
      </c>
      <c r="D98" s="16">
        <v>136.5</v>
      </c>
      <c r="E98">
        <v>48.25</v>
      </c>
      <c r="F98">
        <v>86</v>
      </c>
      <c r="H98">
        <v>1.5</v>
      </c>
      <c r="K98" s="16">
        <v>49.08835571361773</v>
      </c>
      <c r="L98">
        <v>16.997548842896929</v>
      </c>
      <c r="M98">
        <v>32.269696827415864</v>
      </c>
      <c r="O98">
        <v>0.57735026918962573</v>
      </c>
    </row>
    <row r="99" spans="1:18" x14ac:dyDescent="0.25">
      <c r="A99" t="s">
        <v>163</v>
      </c>
      <c r="B99" s="3">
        <v>42213</v>
      </c>
      <c r="C99" t="s">
        <v>2</v>
      </c>
      <c r="D99" s="16">
        <v>334.25</v>
      </c>
      <c r="E99">
        <v>179.5</v>
      </c>
      <c r="F99">
        <v>141.5</v>
      </c>
      <c r="H99">
        <v>13.25</v>
      </c>
      <c r="K99" s="16">
        <v>88.917096218893704</v>
      </c>
      <c r="L99">
        <v>49.70915408654627</v>
      </c>
      <c r="M99">
        <v>32.274861218395145</v>
      </c>
      <c r="O99">
        <v>7.1821538088050811</v>
      </c>
    </row>
    <row r="100" spans="1:18" x14ac:dyDescent="0.25">
      <c r="A100" t="s">
        <v>163</v>
      </c>
      <c r="B100" s="3">
        <v>42241</v>
      </c>
      <c r="C100" t="s">
        <v>2</v>
      </c>
      <c r="D100" s="16">
        <v>801</v>
      </c>
      <c r="E100">
        <v>419.5</v>
      </c>
      <c r="F100">
        <v>143</v>
      </c>
      <c r="G100">
        <v>177.25</v>
      </c>
      <c r="H100">
        <v>61.25</v>
      </c>
      <c r="K100" s="16">
        <v>96.377729101004789</v>
      </c>
      <c r="L100">
        <v>57.853262656482912</v>
      </c>
      <c r="M100">
        <v>11.343133018115703</v>
      </c>
      <c r="N100">
        <v>23.471614061812335</v>
      </c>
      <c r="O100">
        <v>13.022416570411705</v>
      </c>
    </row>
    <row r="101" spans="1:18" x14ac:dyDescent="0.25">
      <c r="A101" t="s">
        <v>163</v>
      </c>
      <c r="B101" s="3">
        <v>42290</v>
      </c>
      <c r="C101" t="s">
        <v>2</v>
      </c>
      <c r="D101" s="16">
        <v>1312.5</v>
      </c>
      <c r="E101">
        <v>380.5</v>
      </c>
      <c r="G101">
        <v>774.75</v>
      </c>
      <c r="H101">
        <v>157.5</v>
      </c>
      <c r="K101" s="16">
        <v>129.13429701929178</v>
      </c>
      <c r="L101">
        <v>57.587614409118679</v>
      </c>
      <c r="N101">
        <v>64.443127381177476</v>
      </c>
      <c r="O101">
        <v>16.421530582338136</v>
      </c>
      <c r="R101" t="s">
        <v>247</v>
      </c>
    </row>
    <row r="102" spans="1:18" x14ac:dyDescent="0.25">
      <c r="A102" t="s">
        <v>164</v>
      </c>
      <c r="B102" s="3">
        <v>42188</v>
      </c>
      <c r="C102" t="s">
        <v>3</v>
      </c>
      <c r="D102" s="16">
        <v>112.25</v>
      </c>
      <c r="E102">
        <v>31.25</v>
      </c>
      <c r="F102">
        <v>79.5</v>
      </c>
      <c r="H102">
        <v>1</v>
      </c>
      <c r="K102" s="16">
        <v>35.093921600945841</v>
      </c>
      <c r="L102">
        <v>9.1423921012683174</v>
      </c>
      <c r="M102">
        <v>25.735837529276822</v>
      </c>
      <c r="O102">
        <v>0.81649658092772603</v>
      </c>
    </row>
    <row r="103" spans="1:18" x14ac:dyDescent="0.25">
      <c r="A103" t="s">
        <v>164</v>
      </c>
      <c r="B103" s="3">
        <v>42194</v>
      </c>
      <c r="C103" t="s">
        <v>3</v>
      </c>
      <c r="D103" s="16">
        <v>159.75</v>
      </c>
      <c r="E103">
        <v>49</v>
      </c>
      <c r="F103">
        <v>109.25</v>
      </c>
      <c r="H103">
        <v>1.5</v>
      </c>
      <c r="K103" s="16">
        <v>8.3016062702748474</v>
      </c>
      <c r="L103">
        <v>4.7609522856952333</v>
      </c>
      <c r="M103">
        <v>5.315072906367325</v>
      </c>
      <c r="O103">
        <v>1</v>
      </c>
    </row>
    <row r="104" spans="1:18" x14ac:dyDescent="0.25">
      <c r="A104" t="s">
        <v>164</v>
      </c>
      <c r="B104" s="3">
        <v>42213</v>
      </c>
      <c r="C104" t="s">
        <v>3</v>
      </c>
      <c r="D104" s="16">
        <v>363.75</v>
      </c>
      <c r="E104">
        <v>166.5</v>
      </c>
      <c r="F104">
        <v>184.5</v>
      </c>
      <c r="H104">
        <v>13.25</v>
      </c>
      <c r="K104" s="16">
        <v>19.602295783912659</v>
      </c>
      <c r="L104">
        <v>15.609825965290794</v>
      </c>
      <c r="M104">
        <v>9.882644720249063</v>
      </c>
      <c r="O104">
        <v>2.5</v>
      </c>
    </row>
    <row r="105" spans="1:18" x14ac:dyDescent="0.25">
      <c r="A105" t="s">
        <v>164</v>
      </c>
      <c r="B105" s="3">
        <v>42241</v>
      </c>
      <c r="C105" t="s">
        <v>3</v>
      </c>
      <c r="D105" s="16">
        <v>823.25</v>
      </c>
      <c r="E105">
        <v>393.5</v>
      </c>
      <c r="F105">
        <v>184</v>
      </c>
      <c r="G105">
        <v>163.5</v>
      </c>
      <c r="H105">
        <v>82.25</v>
      </c>
      <c r="K105" s="16">
        <v>125.81037318122858</v>
      </c>
      <c r="L105">
        <v>60.141499815019579</v>
      </c>
      <c r="M105">
        <v>35.693136595149497</v>
      </c>
      <c r="N105">
        <v>26.839026311200886</v>
      </c>
      <c r="O105">
        <v>22.954665466232928</v>
      </c>
    </row>
    <row r="106" spans="1:18" x14ac:dyDescent="0.25">
      <c r="A106" t="s">
        <v>164</v>
      </c>
      <c r="B106" s="3">
        <v>42290</v>
      </c>
      <c r="C106" t="s">
        <v>3</v>
      </c>
      <c r="D106" s="16">
        <v>1299.75</v>
      </c>
      <c r="E106">
        <v>341.5</v>
      </c>
      <c r="F106">
        <v>1</v>
      </c>
      <c r="G106">
        <v>780.25</v>
      </c>
      <c r="H106">
        <v>177.5</v>
      </c>
      <c r="K106" s="16">
        <v>81.295243813317072</v>
      </c>
      <c r="L106">
        <v>15.92691642053372</v>
      </c>
      <c r="N106">
        <v>49.351629490152945</v>
      </c>
      <c r="O106">
        <v>39.076847365159843</v>
      </c>
      <c r="R106" t="s">
        <v>247</v>
      </c>
    </row>
    <row r="107" spans="1:18" x14ac:dyDescent="0.25">
      <c r="A107" t="s">
        <v>165</v>
      </c>
      <c r="B107" s="3">
        <v>42188</v>
      </c>
      <c r="C107" t="s">
        <v>5</v>
      </c>
      <c r="D107" s="16">
        <v>138.25</v>
      </c>
      <c r="E107">
        <v>43.5</v>
      </c>
      <c r="F107">
        <v>93.5</v>
      </c>
      <c r="H107">
        <v>1.25</v>
      </c>
      <c r="K107" s="16">
        <v>21.093047827819163</v>
      </c>
      <c r="L107">
        <v>7.7244201508376449</v>
      </c>
      <c r="M107">
        <v>13.178264933847197</v>
      </c>
      <c r="O107">
        <v>0.5</v>
      </c>
    </row>
    <row r="108" spans="1:18" x14ac:dyDescent="0.25">
      <c r="A108" t="s">
        <v>165</v>
      </c>
      <c r="B108" s="3">
        <v>42194</v>
      </c>
      <c r="C108" t="s">
        <v>5</v>
      </c>
      <c r="D108" s="16">
        <v>166.75</v>
      </c>
      <c r="E108">
        <v>60.25</v>
      </c>
      <c r="F108">
        <v>104.75</v>
      </c>
      <c r="H108">
        <v>1.75</v>
      </c>
      <c r="K108" s="16">
        <v>36.472592449673769</v>
      </c>
      <c r="L108">
        <v>11.265729744080792</v>
      </c>
      <c r="M108">
        <v>25.5</v>
      </c>
      <c r="O108">
        <v>0.5</v>
      </c>
    </row>
    <row r="109" spans="1:18" x14ac:dyDescent="0.25">
      <c r="A109" t="s">
        <v>165</v>
      </c>
      <c r="B109" s="3">
        <v>42209</v>
      </c>
      <c r="C109" t="s">
        <v>5</v>
      </c>
      <c r="D109" s="16">
        <v>339</v>
      </c>
      <c r="E109">
        <v>171.25</v>
      </c>
      <c r="F109">
        <v>161.25</v>
      </c>
      <c r="H109">
        <v>6.25</v>
      </c>
      <c r="K109" s="16">
        <v>28.786570943178813</v>
      </c>
      <c r="L109">
        <v>13.30100246848585</v>
      </c>
      <c r="M109">
        <v>17.651723239767083</v>
      </c>
      <c r="O109">
        <v>0.5</v>
      </c>
    </row>
    <row r="110" spans="1:18" x14ac:dyDescent="0.25">
      <c r="A110" t="s">
        <v>165</v>
      </c>
      <c r="B110" s="3">
        <v>42234</v>
      </c>
      <c r="C110" t="s">
        <v>5</v>
      </c>
      <c r="D110" s="16">
        <v>762</v>
      </c>
      <c r="E110">
        <v>382</v>
      </c>
      <c r="F110">
        <v>168</v>
      </c>
      <c r="G110">
        <v>177.75</v>
      </c>
      <c r="H110">
        <v>34</v>
      </c>
      <c r="K110" s="16">
        <v>48.819395052922701</v>
      </c>
      <c r="L110">
        <v>23.423634787681152</v>
      </c>
      <c r="M110">
        <v>11.972189997378647</v>
      </c>
      <c r="N110">
        <v>24.185050478894325</v>
      </c>
      <c r="O110">
        <v>8.8694231304333808</v>
      </c>
    </row>
    <row r="111" spans="1:18" x14ac:dyDescent="0.25">
      <c r="A111" t="s">
        <v>165</v>
      </c>
      <c r="B111" s="3">
        <v>42284</v>
      </c>
      <c r="C111" t="s">
        <v>5</v>
      </c>
      <c r="D111" s="16">
        <v>1307.25</v>
      </c>
      <c r="E111">
        <v>410.75</v>
      </c>
      <c r="F111">
        <v>13.5</v>
      </c>
      <c r="G111">
        <v>754.5</v>
      </c>
      <c r="H111">
        <v>128.25</v>
      </c>
      <c r="K111" s="16">
        <v>172.19828686720433</v>
      </c>
      <c r="L111">
        <v>56.911480974111598</v>
      </c>
      <c r="M111">
        <v>10.214368964029708</v>
      </c>
      <c r="N111">
        <v>101.48398888494677</v>
      </c>
      <c r="O111">
        <v>15.392097539538485</v>
      </c>
      <c r="R111" t="s">
        <v>247</v>
      </c>
    </row>
    <row r="112" spans="1:18" x14ac:dyDescent="0.25">
      <c r="A112" t="s">
        <v>166</v>
      </c>
      <c r="B112" s="3">
        <v>42188</v>
      </c>
      <c r="C112" t="s">
        <v>9</v>
      </c>
      <c r="D112" s="16">
        <v>127.75</v>
      </c>
      <c r="E112">
        <v>41</v>
      </c>
      <c r="F112">
        <v>85.25</v>
      </c>
      <c r="H112">
        <v>1.25</v>
      </c>
      <c r="K112" s="16">
        <v>19.224550276491083</v>
      </c>
      <c r="L112">
        <v>5.41602560309064</v>
      </c>
      <c r="M112">
        <v>13.598406769422169</v>
      </c>
      <c r="O112">
        <v>0.5</v>
      </c>
    </row>
    <row r="113" spans="1:18" x14ac:dyDescent="0.25">
      <c r="A113" t="s">
        <v>166</v>
      </c>
      <c r="B113" s="3">
        <v>42194</v>
      </c>
      <c r="C113" t="s">
        <v>9</v>
      </c>
      <c r="D113" s="16">
        <v>159</v>
      </c>
      <c r="E113">
        <v>60.5</v>
      </c>
      <c r="F113">
        <v>96.5</v>
      </c>
      <c r="H113">
        <v>2</v>
      </c>
      <c r="K113" s="16">
        <v>14.212670403551895</v>
      </c>
      <c r="L113">
        <v>8.9628864398325021</v>
      </c>
      <c r="M113">
        <v>5.259911279353167</v>
      </c>
      <c r="O113">
        <v>0.81649658092772603</v>
      </c>
    </row>
    <row r="114" spans="1:18" x14ac:dyDescent="0.25">
      <c r="A114" t="s">
        <v>166</v>
      </c>
      <c r="B114" s="3">
        <v>42213</v>
      </c>
      <c r="C114" t="s">
        <v>9</v>
      </c>
      <c r="D114" s="16">
        <v>391.5</v>
      </c>
      <c r="E114">
        <v>210.75</v>
      </c>
      <c r="F114">
        <v>159.5</v>
      </c>
      <c r="H114">
        <v>21.25</v>
      </c>
      <c r="K114" s="16">
        <v>82.180695218930012</v>
      </c>
      <c r="L114">
        <v>52.848052628896994</v>
      </c>
      <c r="M114">
        <v>28.965496715920477</v>
      </c>
      <c r="O114">
        <v>11.056672193747991</v>
      </c>
    </row>
    <row r="115" spans="1:18" x14ac:dyDescent="0.25">
      <c r="A115" t="s">
        <v>166</v>
      </c>
      <c r="B115" s="3">
        <v>42234</v>
      </c>
      <c r="C115" t="s">
        <v>9</v>
      </c>
      <c r="D115" s="16">
        <v>827</v>
      </c>
      <c r="E115">
        <v>461</v>
      </c>
      <c r="F115">
        <v>177</v>
      </c>
      <c r="G115">
        <v>141.25</v>
      </c>
      <c r="H115">
        <v>48</v>
      </c>
      <c r="K115" s="16">
        <v>119.5798199251585</v>
      </c>
      <c r="L115">
        <v>71.474937332373131</v>
      </c>
      <c r="M115">
        <v>25.019992006393608</v>
      </c>
      <c r="N115">
        <v>21.124630174277609</v>
      </c>
      <c r="O115">
        <v>12.780193008453876</v>
      </c>
    </row>
    <row r="116" spans="1:18" x14ac:dyDescent="0.25">
      <c r="A116" t="s">
        <v>166</v>
      </c>
      <c r="B116" s="3">
        <v>42284</v>
      </c>
      <c r="C116" t="s">
        <v>9</v>
      </c>
      <c r="D116" s="16">
        <v>1405.5</v>
      </c>
      <c r="E116">
        <v>507.25</v>
      </c>
      <c r="F116">
        <v>10.5</v>
      </c>
      <c r="G116">
        <v>732.75</v>
      </c>
      <c r="H116">
        <v>159.75</v>
      </c>
      <c r="K116" s="16">
        <v>104.65976622688714</v>
      </c>
      <c r="L116">
        <v>51.23394057328273</v>
      </c>
      <c r="M116">
        <v>4.9497474683058327</v>
      </c>
      <c r="N116">
        <v>59.86860613042532</v>
      </c>
      <c r="O116">
        <v>8.8081401744825403</v>
      </c>
      <c r="R116" t="s">
        <v>247</v>
      </c>
    </row>
    <row r="117" spans="1:18" x14ac:dyDescent="0.25">
      <c r="A117" t="s">
        <v>167</v>
      </c>
      <c r="B117" s="3">
        <v>42188</v>
      </c>
      <c r="C117" t="s">
        <v>6</v>
      </c>
      <c r="D117" s="16">
        <v>129.75</v>
      </c>
      <c r="E117">
        <v>45.25</v>
      </c>
      <c r="F117">
        <v>83.5</v>
      </c>
      <c r="H117">
        <v>1.25</v>
      </c>
      <c r="K117" s="16">
        <v>30.663496212923928</v>
      </c>
      <c r="L117">
        <v>11.236102527122116</v>
      </c>
      <c r="M117">
        <v>19.364916731037084</v>
      </c>
      <c r="O117">
        <v>1.2583057392117916</v>
      </c>
    </row>
    <row r="118" spans="1:18" x14ac:dyDescent="0.25">
      <c r="A118" t="s">
        <v>167</v>
      </c>
      <c r="B118" s="3">
        <v>42194</v>
      </c>
      <c r="C118" t="s">
        <v>6</v>
      </c>
      <c r="D118" s="16">
        <v>136.5</v>
      </c>
      <c r="E118">
        <v>52.5</v>
      </c>
      <c r="F118">
        <v>82.25</v>
      </c>
      <c r="H118">
        <v>1.5</v>
      </c>
      <c r="K118" s="16">
        <v>12.871156384205214</v>
      </c>
      <c r="L118">
        <v>5.4467115461227307</v>
      </c>
      <c r="M118">
        <v>7.6757192931129694</v>
      </c>
      <c r="O118">
        <v>0.57735026918962573</v>
      </c>
    </row>
    <row r="119" spans="1:18" x14ac:dyDescent="0.25">
      <c r="A119" t="s">
        <v>167</v>
      </c>
      <c r="B119" s="3">
        <v>42209</v>
      </c>
      <c r="C119" t="s">
        <v>6</v>
      </c>
      <c r="D119" s="16">
        <v>311.75</v>
      </c>
      <c r="E119">
        <v>166.5</v>
      </c>
      <c r="F119">
        <v>136</v>
      </c>
      <c r="H119">
        <v>9</v>
      </c>
      <c r="K119" s="16">
        <v>35.490609086536303</v>
      </c>
      <c r="L119">
        <v>23.96525262402492</v>
      </c>
      <c r="M119">
        <v>17.4928556845359</v>
      </c>
      <c r="O119">
        <v>2.1602468994692869</v>
      </c>
    </row>
    <row r="120" spans="1:18" x14ac:dyDescent="0.25">
      <c r="A120" t="s">
        <v>167</v>
      </c>
      <c r="B120" s="3">
        <v>42234</v>
      </c>
      <c r="C120" t="s">
        <v>6</v>
      </c>
      <c r="D120" s="16">
        <v>851</v>
      </c>
      <c r="E120">
        <v>477.25</v>
      </c>
      <c r="F120">
        <v>175.75</v>
      </c>
      <c r="G120">
        <v>157</v>
      </c>
      <c r="H120">
        <v>40.75</v>
      </c>
      <c r="K120" s="16">
        <v>53.597263611742967</v>
      </c>
      <c r="L120">
        <v>31.889130854676278</v>
      </c>
      <c r="M120">
        <v>13.225606476327151</v>
      </c>
      <c r="N120">
        <v>21.447610589527216</v>
      </c>
      <c r="O120">
        <v>5.6789083458002736</v>
      </c>
    </row>
    <row r="121" spans="1:18" x14ac:dyDescent="0.25">
      <c r="A121" t="s">
        <v>167</v>
      </c>
      <c r="B121" s="3">
        <v>42284</v>
      </c>
      <c r="C121" t="s">
        <v>6</v>
      </c>
      <c r="D121" s="16">
        <v>1350.25</v>
      </c>
      <c r="E121">
        <v>455.25</v>
      </c>
      <c r="F121">
        <v>7.25</v>
      </c>
      <c r="G121">
        <v>742.75</v>
      </c>
      <c r="H121">
        <v>145.25</v>
      </c>
      <c r="K121" s="16">
        <v>139.38286599626704</v>
      </c>
      <c r="L121">
        <v>41.644327344789708</v>
      </c>
      <c r="M121">
        <v>2.5</v>
      </c>
      <c r="N121">
        <v>83.523948661446795</v>
      </c>
      <c r="O121">
        <v>38.741665770416567</v>
      </c>
      <c r="R121" t="s">
        <v>247</v>
      </c>
    </row>
    <row r="122" spans="1:18" x14ac:dyDescent="0.25">
      <c r="A122" t="s">
        <v>168</v>
      </c>
      <c r="B122" s="3">
        <v>41834</v>
      </c>
      <c r="C122" t="s">
        <v>13</v>
      </c>
      <c r="D122" s="16">
        <v>139</v>
      </c>
      <c r="E122">
        <v>55.5</v>
      </c>
      <c r="F122">
        <v>83.5</v>
      </c>
      <c r="H122">
        <v>0</v>
      </c>
      <c r="I122">
        <v>5.9850500000000002</v>
      </c>
      <c r="J122">
        <v>3.3732249999999997</v>
      </c>
      <c r="K122" s="16">
        <v>13.589211407093005</v>
      </c>
      <c r="L122">
        <v>6.1373175465073224</v>
      </c>
      <c r="M122">
        <v>7.5055534994651349</v>
      </c>
      <c r="O122">
        <v>0</v>
      </c>
      <c r="P122">
        <v>0.90673002781055523</v>
      </c>
      <c r="Q122">
        <v>0.56209854637183787</v>
      </c>
    </row>
    <row r="123" spans="1:18" x14ac:dyDescent="0.25">
      <c r="A123" t="s">
        <v>168</v>
      </c>
      <c r="B123" s="3">
        <v>41842</v>
      </c>
      <c r="C123" t="s">
        <v>13</v>
      </c>
      <c r="D123" s="16">
        <v>217</v>
      </c>
      <c r="E123">
        <v>87.75</v>
      </c>
      <c r="F123">
        <v>127.5</v>
      </c>
      <c r="H123">
        <v>2</v>
      </c>
      <c r="K123" s="16">
        <v>72.677369242426494</v>
      </c>
      <c r="L123">
        <v>29.859392715414245</v>
      </c>
      <c r="M123">
        <v>40.352612472222084</v>
      </c>
      <c r="O123">
        <v>2.8284271247461903</v>
      </c>
    </row>
    <row r="124" spans="1:18" x14ac:dyDescent="0.25">
      <c r="A124" t="s">
        <v>168</v>
      </c>
      <c r="B124" s="3">
        <v>41863</v>
      </c>
      <c r="C124" t="s">
        <v>13</v>
      </c>
      <c r="D124" s="16">
        <v>580.25</v>
      </c>
      <c r="E124">
        <v>276</v>
      </c>
      <c r="F124">
        <v>273</v>
      </c>
      <c r="H124">
        <v>31</v>
      </c>
      <c r="I124">
        <v>0</v>
      </c>
      <c r="J124">
        <v>0</v>
      </c>
      <c r="K124" s="16">
        <v>85.737486939300169</v>
      </c>
      <c r="L124">
        <v>68.063695658307211</v>
      </c>
      <c r="M124">
        <v>19.131126469708992</v>
      </c>
      <c r="O124">
        <v>11.401754250991379</v>
      </c>
    </row>
    <row r="125" spans="1:18" x14ac:dyDescent="0.25">
      <c r="A125" t="s">
        <v>168</v>
      </c>
      <c r="B125" s="3">
        <v>41883</v>
      </c>
      <c r="C125" t="s">
        <v>13</v>
      </c>
      <c r="D125" s="16">
        <v>1042.5</v>
      </c>
      <c r="E125">
        <v>532</v>
      </c>
      <c r="F125">
        <v>253</v>
      </c>
      <c r="G125">
        <v>202.25</v>
      </c>
      <c r="H125">
        <v>55.5</v>
      </c>
      <c r="I125">
        <v>15.858700000000001</v>
      </c>
      <c r="J125">
        <v>83.194874999999996</v>
      </c>
      <c r="K125" s="16">
        <v>57.997126365593893</v>
      </c>
      <c r="L125">
        <v>32.362529773386584</v>
      </c>
      <c r="M125">
        <v>15.405626677721791</v>
      </c>
      <c r="N125">
        <v>15.456929406148772</v>
      </c>
      <c r="O125">
        <v>20.615528128088304</v>
      </c>
      <c r="P125">
        <v>2.951531219553674</v>
      </c>
      <c r="Q125">
        <v>15.452718005230256</v>
      </c>
    </row>
    <row r="126" spans="1:18" x14ac:dyDescent="0.25">
      <c r="A126" t="s">
        <v>168</v>
      </c>
      <c r="B126" s="3">
        <v>41947</v>
      </c>
      <c r="C126" t="s">
        <v>13</v>
      </c>
      <c r="D126" s="16">
        <v>1701.25</v>
      </c>
      <c r="E126">
        <v>554.5</v>
      </c>
      <c r="F126">
        <v>0</v>
      </c>
      <c r="G126">
        <v>1060.25</v>
      </c>
      <c r="H126">
        <v>86.75</v>
      </c>
      <c r="K126" s="16">
        <v>76.787043177869535</v>
      </c>
      <c r="L126">
        <v>33.271609519228249</v>
      </c>
      <c r="M126">
        <v>0</v>
      </c>
      <c r="N126">
        <v>54.119466614765031</v>
      </c>
      <c r="O126">
        <v>18.714967272212903</v>
      </c>
      <c r="R126" t="s">
        <v>247</v>
      </c>
    </row>
    <row r="127" spans="1:18" x14ac:dyDescent="0.25">
      <c r="A127" t="s">
        <v>169</v>
      </c>
      <c r="B127" s="3">
        <v>41834</v>
      </c>
      <c r="C127" t="s">
        <v>14</v>
      </c>
      <c r="D127" s="16">
        <v>112.5</v>
      </c>
      <c r="E127">
        <v>37.75</v>
      </c>
      <c r="F127">
        <v>75</v>
      </c>
      <c r="H127">
        <v>0</v>
      </c>
      <c r="I127">
        <v>5.0422666666666665</v>
      </c>
      <c r="J127">
        <v>2.5430666666666668</v>
      </c>
      <c r="K127" s="16">
        <v>11.150485789118488</v>
      </c>
      <c r="L127">
        <v>3.3040379335998349</v>
      </c>
      <c r="M127">
        <v>7.7888809636986149</v>
      </c>
      <c r="O127">
        <v>0</v>
      </c>
      <c r="P127">
        <v>0.64938094623521347</v>
      </c>
      <c r="Q127">
        <v>0.80258047156240497</v>
      </c>
    </row>
    <row r="128" spans="1:18" x14ac:dyDescent="0.25">
      <c r="A128" t="s">
        <v>169</v>
      </c>
      <c r="B128" s="3">
        <v>41863</v>
      </c>
      <c r="C128" t="s">
        <v>14</v>
      </c>
      <c r="D128" s="16">
        <v>546</v>
      </c>
      <c r="E128">
        <v>200.5</v>
      </c>
      <c r="F128">
        <v>287.75</v>
      </c>
      <c r="H128">
        <v>57.5</v>
      </c>
      <c r="K128" s="16">
        <v>87.449032775287648</v>
      </c>
      <c r="L128">
        <v>50.202921561731181</v>
      </c>
      <c r="M128">
        <v>47.274905252857636</v>
      </c>
      <c r="O128">
        <v>17.368553960150702</v>
      </c>
    </row>
    <row r="129" spans="1:18" x14ac:dyDescent="0.25">
      <c r="A129" t="s">
        <v>169</v>
      </c>
      <c r="B129" s="3">
        <v>41871</v>
      </c>
      <c r="C129" t="s">
        <v>14</v>
      </c>
      <c r="D129" s="16">
        <v>704.25</v>
      </c>
      <c r="E129">
        <v>310.75</v>
      </c>
      <c r="F129">
        <v>334.5</v>
      </c>
      <c r="H129">
        <v>58.75</v>
      </c>
      <c r="I129">
        <v>17.790399999999998</v>
      </c>
      <c r="J129">
        <v>48.7361</v>
      </c>
      <c r="K129" s="16">
        <v>75.0438760548343</v>
      </c>
      <c r="L129">
        <v>54.273228514004337</v>
      </c>
      <c r="M129">
        <v>17.935068069752806</v>
      </c>
      <c r="O129">
        <v>31.878676258590161</v>
      </c>
      <c r="P129">
        <v>3.2659848009444419</v>
      </c>
      <c r="Q129">
        <v>5.669440750197551</v>
      </c>
    </row>
    <row r="130" spans="1:18" x14ac:dyDescent="0.25">
      <c r="A130" t="s">
        <v>169</v>
      </c>
      <c r="B130" s="3">
        <v>41898</v>
      </c>
      <c r="C130" t="s">
        <v>14</v>
      </c>
      <c r="D130" s="16">
        <v>1304.75</v>
      </c>
      <c r="E130">
        <v>654.5</v>
      </c>
      <c r="F130">
        <v>249.5</v>
      </c>
      <c r="G130">
        <v>249.5</v>
      </c>
      <c r="H130">
        <v>150.75</v>
      </c>
      <c r="I130">
        <v>15.179825000000001</v>
      </c>
      <c r="J130">
        <v>122.08354999999999</v>
      </c>
      <c r="K130" s="16">
        <v>80.76044824045988</v>
      </c>
      <c r="L130">
        <v>40.812579760003736</v>
      </c>
      <c r="M130">
        <v>11.733143937865361</v>
      </c>
      <c r="N130">
        <v>31.352830813181765</v>
      </c>
      <c r="O130">
        <v>12.919623317522328</v>
      </c>
      <c r="P130">
        <v>3.9134624416876629</v>
      </c>
      <c r="Q130">
        <v>23.843381139637138</v>
      </c>
    </row>
    <row r="131" spans="1:18" x14ac:dyDescent="0.25">
      <c r="A131" t="s">
        <v>169</v>
      </c>
      <c r="B131" s="3">
        <v>41947</v>
      </c>
      <c r="C131" t="s">
        <v>14</v>
      </c>
      <c r="D131" s="16">
        <v>1771</v>
      </c>
      <c r="E131">
        <v>599.75</v>
      </c>
      <c r="F131">
        <v>0</v>
      </c>
      <c r="G131">
        <v>1073.5</v>
      </c>
      <c r="H131">
        <v>97.5</v>
      </c>
      <c r="K131" s="16">
        <v>103.32795684937676</v>
      </c>
      <c r="L131">
        <v>60.807757180587849</v>
      </c>
      <c r="M131">
        <v>0</v>
      </c>
      <c r="N131">
        <v>41.829017041602434</v>
      </c>
      <c r="O131">
        <v>9.1469484893414954</v>
      </c>
      <c r="R131" t="s">
        <v>247</v>
      </c>
    </row>
    <row r="132" spans="1:18" x14ac:dyDescent="0.25">
      <c r="A132" t="s">
        <v>170</v>
      </c>
      <c r="B132" s="3">
        <v>41834</v>
      </c>
      <c r="C132" t="s">
        <v>12</v>
      </c>
      <c r="D132" s="16">
        <v>131.25</v>
      </c>
      <c r="E132">
        <v>50.5</v>
      </c>
      <c r="F132">
        <v>81</v>
      </c>
      <c r="H132">
        <v>0</v>
      </c>
      <c r="I132">
        <v>5.1619999999999999</v>
      </c>
      <c r="J132">
        <v>3.1041333333333334</v>
      </c>
      <c r="K132" s="16">
        <v>17.839562774911272</v>
      </c>
      <c r="L132">
        <v>6.1373175465073224</v>
      </c>
      <c r="M132">
        <v>11.575836902790225</v>
      </c>
      <c r="O132">
        <v>0</v>
      </c>
      <c r="P132">
        <v>0.42915400499122386</v>
      </c>
      <c r="Q132">
        <v>1.3738537379697058</v>
      </c>
    </row>
    <row r="133" spans="1:18" x14ac:dyDescent="0.25">
      <c r="A133" t="s">
        <v>170</v>
      </c>
      <c r="B133" s="3">
        <v>41842</v>
      </c>
      <c r="C133" t="s">
        <v>12</v>
      </c>
      <c r="D133" s="16">
        <v>222.25</v>
      </c>
      <c r="E133">
        <v>74.25</v>
      </c>
      <c r="F133">
        <v>148</v>
      </c>
      <c r="H133">
        <v>0.25</v>
      </c>
      <c r="K133" s="16">
        <v>26.612966764342527</v>
      </c>
      <c r="L133">
        <v>8.5780728216385143</v>
      </c>
      <c r="M133">
        <v>17.568911937472585</v>
      </c>
      <c r="O133">
        <v>0.5</v>
      </c>
    </row>
    <row r="134" spans="1:18" x14ac:dyDescent="0.25">
      <c r="A134" t="s">
        <v>170</v>
      </c>
      <c r="B134" s="3">
        <v>41863</v>
      </c>
      <c r="C134" t="s">
        <v>12</v>
      </c>
      <c r="D134" s="16">
        <v>563</v>
      </c>
      <c r="E134">
        <v>260.75</v>
      </c>
      <c r="F134">
        <v>270</v>
      </c>
      <c r="H134">
        <v>32.25</v>
      </c>
      <c r="I134">
        <v>15.686999999999999</v>
      </c>
      <c r="J134">
        <v>56.259</v>
      </c>
      <c r="K134" s="16">
        <v>56.320511361314892</v>
      </c>
      <c r="L134">
        <v>53.506230166838201</v>
      </c>
      <c r="M134">
        <v>33.015148038438355</v>
      </c>
      <c r="O134">
        <v>12.893796958227627</v>
      </c>
    </row>
    <row r="135" spans="1:18" x14ac:dyDescent="0.25">
      <c r="A135" t="s">
        <v>170</v>
      </c>
      <c r="B135" s="3">
        <v>41891</v>
      </c>
      <c r="C135" t="s">
        <v>12</v>
      </c>
      <c r="D135" s="16">
        <v>1198</v>
      </c>
      <c r="E135">
        <v>612.25</v>
      </c>
      <c r="F135">
        <v>289.5</v>
      </c>
      <c r="G135">
        <v>184.75</v>
      </c>
      <c r="H135">
        <v>111.75</v>
      </c>
      <c r="I135">
        <v>15.468975</v>
      </c>
      <c r="J135">
        <v>93.668599999999998</v>
      </c>
      <c r="K135" s="16">
        <v>54.313902456001081</v>
      </c>
      <c r="L135">
        <v>35.302266216207705</v>
      </c>
      <c r="M135">
        <v>30.094296248071107</v>
      </c>
      <c r="N135">
        <v>23.907809045024042</v>
      </c>
      <c r="O135">
        <v>11.206396982676159</v>
      </c>
      <c r="P135">
        <v>2.1312471534682826</v>
      </c>
      <c r="Q135">
        <v>31.711889858957754</v>
      </c>
    </row>
    <row r="136" spans="1:18" x14ac:dyDescent="0.25">
      <c r="A136" t="s">
        <v>170</v>
      </c>
      <c r="B136" s="3">
        <v>41947</v>
      </c>
      <c r="C136" t="s">
        <v>12</v>
      </c>
      <c r="D136" s="16">
        <v>1762.5</v>
      </c>
      <c r="E136">
        <v>597.25</v>
      </c>
      <c r="F136">
        <v>0</v>
      </c>
      <c r="G136">
        <v>1045</v>
      </c>
      <c r="H136">
        <v>120.25</v>
      </c>
      <c r="K136" s="16">
        <v>109.84989758757175</v>
      </c>
      <c r="L136">
        <v>44.798623490757691</v>
      </c>
      <c r="M136">
        <v>0</v>
      </c>
      <c r="N136">
        <v>68.327642039416716</v>
      </c>
      <c r="O136">
        <v>19.015344680897407</v>
      </c>
      <c r="R136" t="s">
        <v>247</v>
      </c>
    </row>
    <row r="137" spans="1:18" x14ac:dyDescent="0.25">
      <c r="A137" t="s">
        <v>171</v>
      </c>
      <c r="B137" s="3">
        <v>41834</v>
      </c>
      <c r="C137" t="s">
        <v>10</v>
      </c>
      <c r="D137" s="16">
        <v>152.5</v>
      </c>
      <c r="E137">
        <v>51.25</v>
      </c>
      <c r="F137">
        <v>101.25</v>
      </c>
      <c r="H137">
        <v>0</v>
      </c>
      <c r="I137">
        <v>6.599025000000001</v>
      </c>
      <c r="J137">
        <v>3.2759749999999999</v>
      </c>
      <c r="K137" s="16">
        <v>7.1879528842826081</v>
      </c>
      <c r="L137">
        <v>3.5939764421413041</v>
      </c>
      <c r="M137">
        <v>4.924428900898052</v>
      </c>
      <c r="O137">
        <v>0</v>
      </c>
      <c r="P137">
        <v>0.38319137407652426</v>
      </c>
      <c r="Q137">
        <v>2.8498127615394893</v>
      </c>
    </row>
    <row r="138" spans="1:18" x14ac:dyDescent="0.25">
      <c r="A138" t="s">
        <v>171</v>
      </c>
      <c r="B138" s="3">
        <v>41856</v>
      </c>
      <c r="C138" t="s">
        <v>10</v>
      </c>
      <c r="D138" s="16">
        <v>503.5</v>
      </c>
      <c r="E138">
        <v>191.25</v>
      </c>
      <c r="F138">
        <v>270</v>
      </c>
      <c r="H138">
        <v>42.25</v>
      </c>
      <c r="K138" s="16">
        <v>37.46553972207883</v>
      </c>
      <c r="L138">
        <v>15.75595125658873</v>
      </c>
      <c r="M138">
        <v>29.154759474226502</v>
      </c>
      <c r="O138">
        <v>24.998333277774073</v>
      </c>
    </row>
    <row r="139" spans="1:18" x14ac:dyDescent="0.25">
      <c r="A139" t="s">
        <v>171</v>
      </c>
      <c r="B139" s="3">
        <v>41871</v>
      </c>
      <c r="C139" t="s">
        <v>10</v>
      </c>
      <c r="D139" s="16">
        <v>785.75</v>
      </c>
      <c r="E139">
        <v>415.75</v>
      </c>
      <c r="F139">
        <v>318</v>
      </c>
      <c r="H139">
        <v>52</v>
      </c>
      <c r="I139">
        <v>17.936199999999999</v>
      </c>
      <c r="J139">
        <v>67.824799999999996</v>
      </c>
      <c r="K139" s="16">
        <v>71.420701947451249</v>
      </c>
      <c r="L139">
        <v>28.335784207723396</v>
      </c>
      <c r="M139">
        <v>38.557316642456676</v>
      </c>
      <c r="O139">
        <v>28.717010057919794</v>
      </c>
      <c r="P139">
        <v>1.0640780234550742</v>
      </c>
      <c r="Q139">
        <v>2.8696866240062637</v>
      </c>
    </row>
    <row r="140" spans="1:18" x14ac:dyDescent="0.25">
      <c r="A140" t="s">
        <v>171</v>
      </c>
      <c r="B140" s="3">
        <v>41891</v>
      </c>
      <c r="C140" t="s">
        <v>10</v>
      </c>
      <c r="D140" s="16">
        <v>1214.5</v>
      </c>
      <c r="E140">
        <v>554.75</v>
      </c>
      <c r="F140">
        <v>286</v>
      </c>
      <c r="G140">
        <v>256.75</v>
      </c>
      <c r="H140">
        <v>117.25</v>
      </c>
      <c r="I140">
        <v>17.349775000000001</v>
      </c>
      <c r="J140">
        <v>91.57050000000001</v>
      </c>
      <c r="K140" s="16">
        <v>65.653128892181016</v>
      </c>
      <c r="L140">
        <v>22.035955466766882</v>
      </c>
      <c r="M140">
        <v>15.121728296285006</v>
      </c>
      <c r="N140">
        <v>23.627314701421319</v>
      </c>
      <c r="O140">
        <v>31.616187836823929</v>
      </c>
      <c r="P140">
        <v>4.6680962289245924</v>
      </c>
      <c r="Q140">
        <v>8.5729660433246622</v>
      </c>
    </row>
    <row r="141" spans="1:18" x14ac:dyDescent="0.25">
      <c r="A141" t="s">
        <v>171</v>
      </c>
      <c r="B141" s="3">
        <v>41947</v>
      </c>
      <c r="C141" t="s">
        <v>10</v>
      </c>
      <c r="D141" s="16">
        <v>1847.5</v>
      </c>
      <c r="E141">
        <v>557.25</v>
      </c>
      <c r="F141">
        <v>0</v>
      </c>
      <c r="G141">
        <v>1162.5</v>
      </c>
      <c r="H141">
        <v>127.75</v>
      </c>
      <c r="K141" s="16">
        <v>51.208723215223138</v>
      </c>
      <c r="L141">
        <v>29.713913688147287</v>
      </c>
      <c r="M141">
        <v>0</v>
      </c>
      <c r="N141">
        <v>64.521314307754153</v>
      </c>
      <c r="O141">
        <v>33.925162736038082</v>
      </c>
      <c r="R141" t="s">
        <v>247</v>
      </c>
    </row>
    <row r="142" spans="1:18" x14ac:dyDescent="0.25">
      <c r="A142" t="s">
        <v>172</v>
      </c>
      <c r="B142" s="3">
        <v>41834</v>
      </c>
      <c r="C142" t="s">
        <v>8</v>
      </c>
      <c r="D142" s="16">
        <v>157</v>
      </c>
      <c r="E142">
        <v>57.75</v>
      </c>
      <c r="F142">
        <v>99</v>
      </c>
      <c r="H142">
        <v>0</v>
      </c>
      <c r="I142">
        <v>6.3421749999999992</v>
      </c>
      <c r="J142">
        <v>6.7777250000000002</v>
      </c>
      <c r="K142" s="16">
        <v>27.239676943752471</v>
      </c>
      <c r="L142">
        <v>11.5</v>
      </c>
      <c r="M142">
        <v>15.340577998671801</v>
      </c>
      <c r="O142">
        <v>0</v>
      </c>
      <c r="P142">
        <v>0.7890915552076484</v>
      </c>
      <c r="Q142">
        <v>3.3167533737828609</v>
      </c>
    </row>
    <row r="143" spans="1:18" x14ac:dyDescent="0.25">
      <c r="A143" t="s">
        <v>172</v>
      </c>
      <c r="B143" s="3">
        <v>41856</v>
      </c>
      <c r="C143" t="s">
        <v>8</v>
      </c>
      <c r="D143" s="16">
        <v>488.5</v>
      </c>
      <c r="E143">
        <v>194.75</v>
      </c>
      <c r="F143">
        <v>280.75</v>
      </c>
      <c r="H143">
        <v>12.75</v>
      </c>
      <c r="K143" s="16">
        <v>54.878654016536032</v>
      </c>
      <c r="L143">
        <v>13.32603967176045</v>
      </c>
      <c r="M143">
        <v>41.258332491752498</v>
      </c>
      <c r="O143">
        <v>5.2519837521962431</v>
      </c>
    </row>
    <row r="144" spans="1:18" x14ac:dyDescent="0.25">
      <c r="A144" t="s">
        <v>172</v>
      </c>
      <c r="B144" s="3">
        <v>41871</v>
      </c>
      <c r="C144" t="s">
        <v>8</v>
      </c>
      <c r="D144" s="16">
        <v>759.25</v>
      </c>
      <c r="E144">
        <v>344.75</v>
      </c>
      <c r="F144">
        <v>336</v>
      </c>
      <c r="H144">
        <v>78.5</v>
      </c>
      <c r="I144">
        <v>18.127224999999999</v>
      </c>
      <c r="J144">
        <v>61.748750000000001</v>
      </c>
      <c r="K144" s="16">
        <v>40.524683835904263</v>
      </c>
      <c r="L144">
        <v>19.414341777836988</v>
      </c>
      <c r="M144">
        <v>22</v>
      </c>
      <c r="O144">
        <v>23.614967005411348</v>
      </c>
      <c r="P144">
        <v>2.6085547114254646</v>
      </c>
      <c r="Q144">
        <v>14.602788654568695</v>
      </c>
    </row>
    <row r="145" spans="1:18" x14ac:dyDescent="0.25">
      <c r="A145" t="s">
        <v>172</v>
      </c>
      <c r="B145" s="3">
        <v>41891</v>
      </c>
      <c r="C145" t="s">
        <v>8</v>
      </c>
      <c r="D145" s="16">
        <v>1150.25</v>
      </c>
      <c r="E145">
        <v>562</v>
      </c>
      <c r="F145">
        <v>312.5</v>
      </c>
      <c r="G145">
        <v>183</v>
      </c>
      <c r="H145">
        <v>92.5</v>
      </c>
      <c r="I145">
        <v>15.897825000000001</v>
      </c>
      <c r="J145">
        <v>80.256600000000006</v>
      </c>
      <c r="K145" s="16">
        <v>50.361195378982018</v>
      </c>
      <c r="L145">
        <v>15.853495934125487</v>
      </c>
      <c r="M145">
        <v>42.343830719480259</v>
      </c>
      <c r="N145">
        <v>29.359836511806396</v>
      </c>
      <c r="O145">
        <v>22.052966542697455</v>
      </c>
      <c r="P145">
        <v>5.1654203819727966</v>
      </c>
      <c r="Q145">
        <v>22.354002684083209</v>
      </c>
    </row>
    <row r="146" spans="1:18" x14ac:dyDescent="0.25">
      <c r="A146" t="s">
        <v>172</v>
      </c>
      <c r="B146" s="3">
        <v>41947</v>
      </c>
      <c r="C146" t="s">
        <v>8</v>
      </c>
      <c r="D146" s="16">
        <v>1958.75</v>
      </c>
      <c r="E146">
        <v>621.25</v>
      </c>
      <c r="F146">
        <v>0</v>
      </c>
      <c r="G146">
        <v>1146.5</v>
      </c>
      <c r="H146">
        <v>191.5</v>
      </c>
      <c r="K146" s="16">
        <v>63.184254367682463</v>
      </c>
      <c r="L146">
        <v>46.306047121299393</v>
      </c>
      <c r="M146">
        <v>0</v>
      </c>
      <c r="N146">
        <v>67.673234492424456</v>
      </c>
      <c r="O146">
        <v>66.284739319595033</v>
      </c>
      <c r="R146" t="s">
        <v>247</v>
      </c>
    </row>
    <row r="147" spans="1:18" x14ac:dyDescent="0.25">
      <c r="A147" t="s">
        <v>173</v>
      </c>
      <c r="B147" s="3">
        <v>41834</v>
      </c>
      <c r="C147" t="s">
        <v>4</v>
      </c>
      <c r="D147" s="16">
        <v>110.5</v>
      </c>
      <c r="E147">
        <v>38.5</v>
      </c>
      <c r="F147">
        <v>72</v>
      </c>
      <c r="H147">
        <v>0</v>
      </c>
      <c r="I147">
        <v>5.1693000000000007</v>
      </c>
      <c r="J147">
        <v>3.3087999999999997</v>
      </c>
      <c r="K147" s="16">
        <v>8.1853527718724504</v>
      </c>
      <c r="L147">
        <v>3.6968455021364721</v>
      </c>
      <c r="M147">
        <v>4.5460605656619517</v>
      </c>
      <c r="O147">
        <v>0</v>
      </c>
      <c r="P147">
        <v>0.19562139453544969</v>
      </c>
      <c r="Q147">
        <v>1.7504558949028097</v>
      </c>
    </row>
    <row r="148" spans="1:18" x14ac:dyDescent="0.25">
      <c r="A148" t="s">
        <v>173</v>
      </c>
      <c r="B148" s="3">
        <v>41856</v>
      </c>
      <c r="C148" t="s">
        <v>4</v>
      </c>
      <c r="D148" s="16">
        <v>361.25</v>
      </c>
      <c r="E148">
        <v>123.75</v>
      </c>
      <c r="F148">
        <v>229</v>
      </c>
      <c r="H148">
        <v>8.5</v>
      </c>
      <c r="K148" s="16">
        <v>40.186025763524647</v>
      </c>
      <c r="L148">
        <v>17.519037264263886</v>
      </c>
      <c r="M148">
        <v>18.654758106177631</v>
      </c>
      <c r="O148">
        <v>4.6547466812563139</v>
      </c>
    </row>
    <row r="149" spans="1:18" x14ac:dyDescent="0.25">
      <c r="A149" t="s">
        <v>173</v>
      </c>
      <c r="B149" s="3">
        <v>41871</v>
      </c>
      <c r="C149" t="s">
        <v>4</v>
      </c>
      <c r="D149" s="16">
        <v>612.25</v>
      </c>
      <c r="E149">
        <v>241.75</v>
      </c>
      <c r="F149">
        <v>323.25</v>
      </c>
      <c r="H149">
        <v>47.75</v>
      </c>
      <c r="I149">
        <v>14.099800000000002</v>
      </c>
      <c r="J149">
        <v>64.1828</v>
      </c>
      <c r="K149" s="16">
        <v>24.824383174612819</v>
      </c>
      <c r="L149">
        <v>29.937434759845406</v>
      </c>
      <c r="M149">
        <v>34.538625720585159</v>
      </c>
      <c r="O149">
        <v>16.918924315688631</v>
      </c>
    </row>
    <row r="150" spans="1:18" x14ac:dyDescent="0.25">
      <c r="A150" t="s">
        <v>173</v>
      </c>
      <c r="B150" s="3">
        <v>41898</v>
      </c>
      <c r="C150" t="s">
        <v>4</v>
      </c>
      <c r="D150" s="16">
        <v>1247</v>
      </c>
      <c r="E150">
        <v>589.75</v>
      </c>
      <c r="F150">
        <v>325</v>
      </c>
      <c r="G150">
        <v>217.5</v>
      </c>
      <c r="H150">
        <v>114.5</v>
      </c>
      <c r="I150">
        <v>16.22495</v>
      </c>
      <c r="J150">
        <v>115.82345000000001</v>
      </c>
      <c r="K150" s="16">
        <v>58.395205282625732</v>
      </c>
      <c r="L150">
        <v>43.138343346339425</v>
      </c>
      <c r="M150">
        <v>57.913728942281033</v>
      </c>
      <c r="N150">
        <v>11.902380714238083</v>
      </c>
      <c r="O150">
        <v>30.160680805755472</v>
      </c>
      <c r="P150">
        <v>4.9789161501274588</v>
      </c>
      <c r="Q150">
        <v>30.333162875473374</v>
      </c>
    </row>
    <row r="151" spans="1:18" x14ac:dyDescent="0.25">
      <c r="A151" t="s">
        <v>173</v>
      </c>
      <c r="B151" s="3">
        <v>41947</v>
      </c>
      <c r="C151" t="s">
        <v>4</v>
      </c>
      <c r="D151" s="16">
        <v>1864.25</v>
      </c>
      <c r="E151">
        <v>586.75</v>
      </c>
      <c r="F151">
        <v>0</v>
      </c>
      <c r="G151">
        <v>1079.5</v>
      </c>
      <c r="H151">
        <v>198</v>
      </c>
      <c r="K151" s="16">
        <v>22.366269246345041</v>
      </c>
      <c r="L151">
        <v>27.047797199279156</v>
      </c>
      <c r="M151">
        <v>0</v>
      </c>
      <c r="N151">
        <v>31.649117944528353</v>
      </c>
      <c r="O151">
        <v>49.322070786481241</v>
      </c>
      <c r="R151" t="s">
        <v>247</v>
      </c>
    </row>
    <row r="152" spans="1:18" x14ac:dyDescent="0.25">
      <c r="A152" t="s">
        <v>174</v>
      </c>
      <c r="B152" s="3">
        <v>41834</v>
      </c>
      <c r="C152" t="s">
        <v>7</v>
      </c>
      <c r="D152" s="16">
        <v>157</v>
      </c>
      <c r="E152">
        <v>50</v>
      </c>
      <c r="F152">
        <v>106.75</v>
      </c>
      <c r="H152">
        <v>0</v>
      </c>
      <c r="I152">
        <v>6.5094000000000003</v>
      </c>
      <c r="J152">
        <v>5.3048500000000001</v>
      </c>
      <c r="K152" s="16">
        <v>12.274635093014645</v>
      </c>
      <c r="L152">
        <v>16.06237840420901</v>
      </c>
      <c r="M152">
        <v>8.421203397773187</v>
      </c>
      <c r="O152">
        <v>0</v>
      </c>
      <c r="P152">
        <v>0.8331583442939654</v>
      </c>
      <c r="Q152">
        <v>1.2920835305815168</v>
      </c>
    </row>
    <row r="153" spans="1:18" x14ac:dyDescent="0.25">
      <c r="A153" t="s">
        <v>174</v>
      </c>
      <c r="B153" s="3">
        <v>41856</v>
      </c>
      <c r="C153" t="s">
        <v>7</v>
      </c>
      <c r="D153" s="16">
        <v>450.25</v>
      </c>
      <c r="E153">
        <v>189.5</v>
      </c>
      <c r="F153">
        <v>228.5</v>
      </c>
      <c r="H153">
        <v>31.75</v>
      </c>
      <c r="K153" s="16">
        <v>42.547032799009614</v>
      </c>
      <c r="L153">
        <v>19.502136635080099</v>
      </c>
      <c r="M153">
        <v>26.714540360385516</v>
      </c>
      <c r="O153">
        <v>6.6520673478250352</v>
      </c>
    </row>
    <row r="154" spans="1:18" x14ac:dyDescent="0.25">
      <c r="A154" t="s">
        <v>174</v>
      </c>
      <c r="B154" s="3">
        <v>41871</v>
      </c>
      <c r="C154" t="s">
        <v>7</v>
      </c>
      <c r="D154" s="16">
        <v>709.75</v>
      </c>
      <c r="E154">
        <v>369</v>
      </c>
      <c r="F154">
        <v>306.25</v>
      </c>
      <c r="H154">
        <v>34</v>
      </c>
      <c r="I154">
        <v>15.178125000000001</v>
      </c>
      <c r="J154">
        <v>62.210099999999997</v>
      </c>
      <c r="K154" s="16">
        <v>21.884164746836163</v>
      </c>
      <c r="L154">
        <v>18.421002506197464</v>
      </c>
      <c r="M154">
        <v>29.443448620476961</v>
      </c>
      <c r="O154">
        <v>29.154759474226502</v>
      </c>
      <c r="P154">
        <v>0.8932190376199084</v>
      </c>
      <c r="Q154">
        <v>4.8917145365062158</v>
      </c>
    </row>
    <row r="155" spans="1:18" x14ac:dyDescent="0.25">
      <c r="A155" t="s">
        <v>174</v>
      </c>
      <c r="B155" s="3">
        <v>41891</v>
      </c>
      <c r="C155" t="s">
        <v>7</v>
      </c>
      <c r="D155" s="16">
        <v>1160</v>
      </c>
      <c r="E155">
        <v>544.5</v>
      </c>
      <c r="F155">
        <v>277.25</v>
      </c>
      <c r="G155">
        <v>162</v>
      </c>
      <c r="H155">
        <v>176</v>
      </c>
      <c r="I155">
        <v>16.674825000000002</v>
      </c>
      <c r="J155">
        <v>94.684299999999993</v>
      </c>
      <c r="K155" s="16">
        <v>40.947120370871829</v>
      </c>
      <c r="L155">
        <v>45.434935163740839</v>
      </c>
      <c r="M155">
        <v>38.082148048659228</v>
      </c>
      <c r="N155">
        <v>27.349588662354687</v>
      </c>
      <c r="O155">
        <v>73.448394581955753</v>
      </c>
      <c r="P155">
        <v>2.1728175140049295</v>
      </c>
      <c r="Q155">
        <v>17.704304896079169</v>
      </c>
    </row>
    <row r="156" spans="1:18" x14ac:dyDescent="0.25">
      <c r="A156" t="s">
        <v>174</v>
      </c>
      <c r="B156" s="3">
        <v>41947</v>
      </c>
      <c r="C156" t="s">
        <v>7</v>
      </c>
      <c r="D156" s="16">
        <v>1729.25</v>
      </c>
      <c r="E156">
        <v>575</v>
      </c>
      <c r="F156">
        <v>0</v>
      </c>
      <c r="G156">
        <v>1038.75</v>
      </c>
      <c r="H156">
        <v>115</v>
      </c>
      <c r="K156" s="16">
        <v>157.64173516764737</v>
      </c>
      <c r="L156">
        <v>67.428974978614846</v>
      </c>
      <c r="M156">
        <v>0</v>
      </c>
      <c r="N156">
        <v>79.926528762357748</v>
      </c>
      <c r="O156">
        <v>38.305787204198445</v>
      </c>
      <c r="R156" t="s">
        <v>247</v>
      </c>
    </row>
    <row r="157" spans="1:18" x14ac:dyDescent="0.25">
      <c r="A157" t="s">
        <v>175</v>
      </c>
      <c r="B157" s="3">
        <v>41834</v>
      </c>
      <c r="C157" t="s">
        <v>2</v>
      </c>
      <c r="D157" s="16">
        <v>156.25</v>
      </c>
      <c r="E157">
        <v>55.5</v>
      </c>
      <c r="F157">
        <v>100.5</v>
      </c>
      <c r="H157">
        <v>0</v>
      </c>
      <c r="I157">
        <v>6.9436333333333335</v>
      </c>
      <c r="J157">
        <v>4.6579333333333333</v>
      </c>
      <c r="K157" s="16">
        <v>9.1058589197651578</v>
      </c>
      <c r="L157">
        <v>2.0816659994661326</v>
      </c>
      <c r="M157">
        <v>8.2259751195020439</v>
      </c>
      <c r="O157">
        <v>0</v>
      </c>
      <c r="P157">
        <v>0.27073441475610938</v>
      </c>
      <c r="Q157">
        <v>0.87315712980731131</v>
      </c>
    </row>
    <row r="158" spans="1:18" x14ac:dyDescent="0.25">
      <c r="A158" t="s">
        <v>175</v>
      </c>
      <c r="B158" s="3">
        <v>41856</v>
      </c>
      <c r="C158" t="s">
        <v>2</v>
      </c>
      <c r="D158" s="16">
        <v>492.25</v>
      </c>
      <c r="E158">
        <v>195.75</v>
      </c>
      <c r="F158">
        <v>259.5</v>
      </c>
      <c r="H158">
        <v>36.75</v>
      </c>
      <c r="K158" s="16">
        <v>93.941027600653086</v>
      </c>
      <c r="L158">
        <v>28.158776015066184</v>
      </c>
      <c r="M158">
        <v>62.281618476080084</v>
      </c>
      <c r="O158">
        <v>9.0691785736085269</v>
      </c>
    </row>
    <row r="159" spans="1:18" x14ac:dyDescent="0.25">
      <c r="A159" t="s">
        <v>175</v>
      </c>
      <c r="B159" s="3">
        <v>41871</v>
      </c>
      <c r="C159" t="s">
        <v>2</v>
      </c>
      <c r="D159" s="16">
        <v>782</v>
      </c>
      <c r="E159">
        <v>390</v>
      </c>
      <c r="F159">
        <v>295.5</v>
      </c>
      <c r="H159">
        <v>96.5</v>
      </c>
      <c r="I159">
        <v>17.547733333333333</v>
      </c>
      <c r="J159">
        <v>58.446266666666666</v>
      </c>
      <c r="K159" s="16">
        <v>231.21130306857117</v>
      </c>
      <c r="L159">
        <v>130.60883073769043</v>
      </c>
      <c r="M159">
        <v>61.212743771211564</v>
      </c>
      <c r="O159">
        <v>62.153036933041335</v>
      </c>
      <c r="P159">
        <v>4.9449094363125949</v>
      </c>
      <c r="Q159">
        <v>26.023647637741607</v>
      </c>
    </row>
    <row r="160" spans="1:18" x14ac:dyDescent="0.25">
      <c r="A160" t="s">
        <v>175</v>
      </c>
      <c r="B160" s="3">
        <v>41891</v>
      </c>
      <c r="C160" t="s">
        <v>2</v>
      </c>
      <c r="D160" s="16">
        <v>1174.25</v>
      </c>
      <c r="E160">
        <v>560.75</v>
      </c>
      <c r="F160">
        <v>227.25</v>
      </c>
      <c r="G160">
        <v>198</v>
      </c>
      <c r="H160">
        <v>188</v>
      </c>
      <c r="I160">
        <v>14.561599999999999</v>
      </c>
      <c r="J160">
        <v>79.166224999999997</v>
      </c>
      <c r="K160" s="16">
        <v>59.213596411635059</v>
      </c>
      <c r="L160">
        <v>42.46076620442296</v>
      </c>
      <c r="M160">
        <v>12.84198842339716</v>
      </c>
      <c r="N160">
        <v>36.395970472933769</v>
      </c>
      <c r="O160">
        <v>62.262883539607017</v>
      </c>
      <c r="P160">
        <v>1.531119191963854</v>
      </c>
      <c r="Q160">
        <v>15.941567779942439</v>
      </c>
    </row>
    <row r="161" spans="1:18" x14ac:dyDescent="0.25">
      <c r="A161" t="s">
        <v>175</v>
      </c>
      <c r="B161" s="3">
        <v>41947</v>
      </c>
      <c r="C161" t="s">
        <v>2</v>
      </c>
      <c r="D161" s="16">
        <v>1807</v>
      </c>
      <c r="E161">
        <v>569</v>
      </c>
      <c r="F161">
        <v>0</v>
      </c>
      <c r="G161">
        <v>1115.25</v>
      </c>
      <c r="H161">
        <v>122.75</v>
      </c>
      <c r="K161" s="16">
        <v>93.925502394184718</v>
      </c>
      <c r="L161">
        <v>23.380903889000241</v>
      </c>
      <c r="M161">
        <v>0</v>
      </c>
      <c r="N161">
        <v>63.793285958111092</v>
      </c>
      <c r="O161">
        <v>25.171081290507434</v>
      </c>
      <c r="R161" t="s">
        <v>247</v>
      </c>
    </row>
    <row r="162" spans="1:18" x14ac:dyDescent="0.25">
      <c r="A162" t="s">
        <v>176</v>
      </c>
      <c r="B162" s="3">
        <v>41834</v>
      </c>
      <c r="C162" t="s">
        <v>3</v>
      </c>
      <c r="D162" s="16">
        <v>168.5</v>
      </c>
      <c r="E162">
        <v>52.5</v>
      </c>
      <c r="F162">
        <v>116</v>
      </c>
      <c r="H162">
        <v>0</v>
      </c>
      <c r="I162">
        <v>7.3092499999999996</v>
      </c>
      <c r="J162">
        <v>3.4683250000000001</v>
      </c>
      <c r="K162" s="16">
        <v>10.878112581387146</v>
      </c>
      <c r="L162">
        <v>3.872983346207417</v>
      </c>
      <c r="M162">
        <v>7.6157731058639087</v>
      </c>
      <c r="O162">
        <v>0</v>
      </c>
      <c r="P162">
        <v>0.78015542682212569</v>
      </c>
      <c r="Q162">
        <v>1.3395936557404258</v>
      </c>
    </row>
    <row r="163" spans="1:18" x14ac:dyDescent="0.25">
      <c r="A163" t="s">
        <v>176</v>
      </c>
      <c r="B163" s="3">
        <v>41863</v>
      </c>
      <c r="C163" t="s">
        <v>3</v>
      </c>
      <c r="D163" s="16">
        <v>611</v>
      </c>
      <c r="E163">
        <v>222.75</v>
      </c>
      <c r="F163">
        <v>324</v>
      </c>
      <c r="H163">
        <v>64</v>
      </c>
      <c r="K163" s="16">
        <v>126.78327965469263</v>
      </c>
      <c r="L163">
        <v>48.21047603996459</v>
      </c>
      <c r="M163">
        <v>66.518167944304267</v>
      </c>
      <c r="O163">
        <v>14.7648230602334</v>
      </c>
    </row>
    <row r="164" spans="1:18" x14ac:dyDescent="0.25">
      <c r="A164" t="s">
        <v>176</v>
      </c>
      <c r="B164" s="3">
        <v>41871</v>
      </c>
      <c r="C164" t="s">
        <v>3</v>
      </c>
      <c r="D164" s="16">
        <v>732.25</v>
      </c>
      <c r="E164">
        <v>315</v>
      </c>
      <c r="F164">
        <v>369</v>
      </c>
      <c r="H164">
        <v>47.75</v>
      </c>
      <c r="I164">
        <v>18.743499999999997</v>
      </c>
      <c r="J164">
        <v>55.154775000000001</v>
      </c>
      <c r="K164" s="16">
        <v>39.220530338076763</v>
      </c>
      <c r="L164">
        <v>13.564659966250536</v>
      </c>
      <c r="M164">
        <v>25.495097567963924</v>
      </c>
      <c r="O164">
        <v>18.463928798245153</v>
      </c>
      <c r="P164">
        <v>2.4933221813476476</v>
      </c>
      <c r="Q164">
        <v>6.3851716319270801</v>
      </c>
    </row>
    <row r="165" spans="1:18" x14ac:dyDescent="0.25">
      <c r="A165" t="s">
        <v>176</v>
      </c>
      <c r="B165" s="3">
        <v>41898</v>
      </c>
      <c r="C165" t="s">
        <v>3</v>
      </c>
      <c r="D165" s="16">
        <v>1304.75</v>
      </c>
      <c r="E165">
        <v>582</v>
      </c>
      <c r="F165">
        <v>283.25</v>
      </c>
      <c r="G165">
        <v>253.25</v>
      </c>
      <c r="H165">
        <v>187</v>
      </c>
      <c r="I165">
        <v>16.740925000000001</v>
      </c>
      <c r="J165">
        <v>107.49417500000001</v>
      </c>
      <c r="K165" s="16">
        <v>78.014421743675058</v>
      </c>
      <c r="L165">
        <v>54.936326779281487</v>
      </c>
      <c r="M165">
        <v>32.93807320816849</v>
      </c>
      <c r="N165">
        <v>47.696086492150137</v>
      </c>
      <c r="O165">
        <v>57.97125724586855</v>
      </c>
      <c r="P165">
        <v>3.3479207670582531</v>
      </c>
      <c r="Q165">
        <v>18.149091330490794</v>
      </c>
    </row>
    <row r="166" spans="1:18" x14ac:dyDescent="0.25">
      <c r="A166" t="s">
        <v>176</v>
      </c>
      <c r="B166" s="3">
        <v>41947</v>
      </c>
      <c r="C166" t="s">
        <v>3</v>
      </c>
      <c r="D166" s="16">
        <v>1894</v>
      </c>
      <c r="E166">
        <v>573.25</v>
      </c>
      <c r="F166">
        <v>0</v>
      </c>
      <c r="G166">
        <v>1142.25</v>
      </c>
      <c r="H166">
        <v>178.25</v>
      </c>
      <c r="K166" s="16">
        <v>124.02419118865481</v>
      </c>
      <c r="L166">
        <v>65.682950603638389</v>
      </c>
      <c r="M166">
        <v>0</v>
      </c>
      <c r="N166">
        <v>61.840520696384829</v>
      </c>
      <c r="O166">
        <v>55.433894565208625</v>
      </c>
      <c r="R166" t="s">
        <v>247</v>
      </c>
    </row>
    <row r="167" spans="1:18" x14ac:dyDescent="0.25">
      <c r="A167" t="s">
        <v>177</v>
      </c>
      <c r="B167" s="3">
        <v>41834</v>
      </c>
      <c r="C167" t="s">
        <v>5</v>
      </c>
      <c r="D167" s="16">
        <v>160</v>
      </c>
      <c r="E167">
        <v>52.75</v>
      </c>
      <c r="F167">
        <v>107</v>
      </c>
      <c r="H167">
        <v>0</v>
      </c>
      <c r="I167">
        <v>7.61355</v>
      </c>
      <c r="J167">
        <v>4.2078500000000005</v>
      </c>
      <c r="K167" s="16">
        <v>30.951575081084322</v>
      </c>
      <c r="L167">
        <v>11.146748404803978</v>
      </c>
      <c r="M167">
        <v>19.798989873223331</v>
      </c>
      <c r="O167">
        <v>0</v>
      </c>
      <c r="P167">
        <v>1.665264248300151</v>
      </c>
      <c r="Q167">
        <v>1.9148175065351092</v>
      </c>
    </row>
    <row r="168" spans="1:18" x14ac:dyDescent="0.25">
      <c r="A168" t="s">
        <v>177</v>
      </c>
      <c r="B168" s="3">
        <v>41856</v>
      </c>
      <c r="C168" t="s">
        <v>5</v>
      </c>
      <c r="D168" s="16">
        <v>413.5</v>
      </c>
      <c r="E168">
        <v>160.75</v>
      </c>
      <c r="F168">
        <v>221.75</v>
      </c>
      <c r="H168">
        <v>31</v>
      </c>
      <c r="K168" s="16">
        <v>33.491292400662395</v>
      </c>
      <c r="L168">
        <v>6.2383224240709669</v>
      </c>
      <c r="M168">
        <v>29.511297271835858</v>
      </c>
      <c r="O168">
        <v>8.755950357709132</v>
      </c>
    </row>
    <row r="169" spans="1:18" x14ac:dyDescent="0.25">
      <c r="A169" t="s">
        <v>177</v>
      </c>
      <c r="B169" s="3">
        <v>41871</v>
      </c>
      <c r="C169" t="s">
        <v>5</v>
      </c>
      <c r="D169" s="16">
        <v>758</v>
      </c>
      <c r="E169">
        <v>348.75</v>
      </c>
      <c r="F169">
        <v>309</v>
      </c>
      <c r="H169">
        <v>100.25</v>
      </c>
      <c r="I169">
        <v>19.624933333333335</v>
      </c>
      <c r="J169">
        <v>58.139933333333339</v>
      </c>
      <c r="K169" s="16">
        <v>49.34234151990222</v>
      </c>
      <c r="L169">
        <v>25.721262281103805</v>
      </c>
      <c r="M169">
        <v>10.424330514074594</v>
      </c>
      <c r="O169">
        <v>74.49552559270478</v>
      </c>
      <c r="P169">
        <v>4.0106388036487726</v>
      </c>
      <c r="Q169">
        <v>7.7445744630245255</v>
      </c>
    </row>
    <row r="170" spans="1:18" x14ac:dyDescent="0.25">
      <c r="A170" t="s">
        <v>177</v>
      </c>
      <c r="B170" s="3">
        <v>41891</v>
      </c>
      <c r="C170" t="s">
        <v>5</v>
      </c>
      <c r="D170" s="16">
        <v>1311</v>
      </c>
      <c r="E170">
        <v>591.75</v>
      </c>
      <c r="F170">
        <v>309.25</v>
      </c>
      <c r="G170">
        <v>270.5</v>
      </c>
      <c r="H170">
        <v>139.75</v>
      </c>
      <c r="I170">
        <v>19.250899999999998</v>
      </c>
      <c r="J170">
        <v>102.792475</v>
      </c>
      <c r="K170" s="16">
        <v>186.26862323000083</v>
      </c>
      <c r="L170">
        <v>93.003136147838234</v>
      </c>
      <c r="M170">
        <v>42.074338972822851</v>
      </c>
      <c r="N170">
        <v>46.393246634971923</v>
      </c>
      <c r="O170">
        <v>19.5</v>
      </c>
      <c r="P170">
        <v>3.776519747951375</v>
      </c>
      <c r="Q170">
        <v>25.708091478932634</v>
      </c>
    </row>
    <row r="171" spans="1:18" x14ac:dyDescent="0.25">
      <c r="A171" t="s">
        <v>177</v>
      </c>
      <c r="B171" s="3">
        <v>41947</v>
      </c>
      <c r="C171" t="s">
        <v>5</v>
      </c>
      <c r="D171" s="16">
        <v>1845.75</v>
      </c>
      <c r="E171">
        <v>528.5</v>
      </c>
      <c r="F171">
        <v>0</v>
      </c>
      <c r="G171">
        <v>1190.75</v>
      </c>
      <c r="H171">
        <v>126.5</v>
      </c>
      <c r="K171" s="16">
        <v>153.66494937579836</v>
      </c>
      <c r="L171">
        <v>35.949038002891442</v>
      </c>
      <c r="M171">
        <v>0</v>
      </c>
      <c r="N171">
        <v>89.916164657233168</v>
      </c>
      <c r="O171">
        <v>33.640253665313921</v>
      </c>
      <c r="R171" t="s">
        <v>247</v>
      </c>
    </row>
    <row r="172" spans="1:18" x14ac:dyDescent="0.25">
      <c r="A172" t="s">
        <v>178</v>
      </c>
      <c r="B172" s="3">
        <v>41834</v>
      </c>
      <c r="C172" t="s">
        <v>9</v>
      </c>
      <c r="D172" s="16">
        <v>164.75</v>
      </c>
      <c r="E172">
        <v>58.5</v>
      </c>
      <c r="F172">
        <v>106.25</v>
      </c>
      <c r="H172">
        <v>0</v>
      </c>
      <c r="I172">
        <v>6.9383499999999998</v>
      </c>
      <c r="J172">
        <v>5.0638000000000005</v>
      </c>
      <c r="K172" s="16">
        <v>9.535023160258536</v>
      </c>
      <c r="L172">
        <v>0.57735026918962573</v>
      </c>
      <c r="M172">
        <v>9.0323492698928192</v>
      </c>
      <c r="O172">
        <v>0</v>
      </c>
      <c r="P172">
        <v>6.5400535165966653E-2</v>
      </c>
      <c r="Q172">
        <v>2.9410438101689897</v>
      </c>
    </row>
    <row r="173" spans="1:18" x14ac:dyDescent="0.25">
      <c r="A173" t="s">
        <v>178</v>
      </c>
      <c r="B173" s="3">
        <v>41856</v>
      </c>
      <c r="C173" t="s">
        <v>9</v>
      </c>
      <c r="D173" s="16">
        <v>466.25</v>
      </c>
      <c r="E173">
        <v>192.25</v>
      </c>
      <c r="F173">
        <v>237.75</v>
      </c>
      <c r="H173">
        <v>36.5</v>
      </c>
      <c r="K173" s="16">
        <v>110.40040760794319</v>
      </c>
      <c r="L173">
        <v>46.614554236489987</v>
      </c>
      <c r="M173">
        <v>60.670558483226991</v>
      </c>
      <c r="O173">
        <v>5</v>
      </c>
    </row>
    <row r="174" spans="1:18" x14ac:dyDescent="0.25">
      <c r="A174" t="s">
        <v>178</v>
      </c>
      <c r="B174" s="3">
        <v>41871</v>
      </c>
      <c r="C174" t="s">
        <v>9</v>
      </c>
      <c r="D174" s="16">
        <v>747</v>
      </c>
      <c r="E174">
        <v>366.75</v>
      </c>
      <c r="F174">
        <v>297.5</v>
      </c>
      <c r="H174">
        <v>82.5</v>
      </c>
      <c r="I174">
        <v>16.353233333333332</v>
      </c>
      <c r="J174">
        <v>64.177599999999998</v>
      </c>
      <c r="K174" s="16">
        <v>48.359762888859024</v>
      </c>
      <c r="L174">
        <v>61.646167764103552</v>
      </c>
      <c r="M174">
        <v>37.925365302569375</v>
      </c>
      <c r="O174">
        <v>62.703003649479719</v>
      </c>
      <c r="P174">
        <v>1.7596112023209414</v>
      </c>
      <c r="Q174">
        <v>6.9204222797456163</v>
      </c>
    </row>
    <row r="175" spans="1:18" x14ac:dyDescent="0.25">
      <c r="A175" t="s">
        <v>178</v>
      </c>
      <c r="B175" s="3">
        <v>41891</v>
      </c>
      <c r="C175" t="s">
        <v>9</v>
      </c>
      <c r="D175" s="16">
        <v>1280</v>
      </c>
      <c r="E175">
        <v>642</v>
      </c>
      <c r="F175">
        <v>279.25</v>
      </c>
      <c r="G175">
        <v>210.5</v>
      </c>
      <c r="H175">
        <v>148.75</v>
      </c>
      <c r="I175">
        <v>14.310750000000001</v>
      </c>
      <c r="J175">
        <v>111.364025</v>
      </c>
      <c r="K175" s="16">
        <v>300.01555515228426</v>
      </c>
      <c r="L175">
        <v>120.73662796903569</v>
      </c>
      <c r="M175">
        <v>91.047148957742408</v>
      </c>
      <c r="N175">
        <v>35.893360574531513</v>
      </c>
      <c r="O175">
        <v>76.730589293536212</v>
      </c>
      <c r="P175">
        <v>4.3770357202868073</v>
      </c>
      <c r="Q175">
        <v>27.077436387562631</v>
      </c>
    </row>
    <row r="176" spans="1:18" x14ac:dyDescent="0.25">
      <c r="A176" t="s">
        <v>178</v>
      </c>
      <c r="B176" s="3">
        <v>41947</v>
      </c>
      <c r="C176" t="s">
        <v>9</v>
      </c>
      <c r="D176" s="16">
        <v>1677</v>
      </c>
      <c r="E176">
        <v>569.75</v>
      </c>
      <c r="F176">
        <v>0</v>
      </c>
      <c r="G176">
        <v>959.5</v>
      </c>
      <c r="H176">
        <v>147.5</v>
      </c>
      <c r="K176" s="16">
        <v>169.9274354933109</v>
      </c>
      <c r="L176">
        <v>33.330416539051335</v>
      </c>
      <c r="M176">
        <v>0</v>
      </c>
      <c r="N176">
        <v>98.740400377285624</v>
      </c>
      <c r="O176">
        <v>62.420616252431643</v>
      </c>
      <c r="R176" t="s">
        <v>247</v>
      </c>
    </row>
    <row r="177" spans="1:18" x14ac:dyDescent="0.25">
      <c r="A177" t="s">
        <v>179</v>
      </c>
      <c r="B177" s="3">
        <v>41834</v>
      </c>
      <c r="C177" t="s">
        <v>6</v>
      </c>
      <c r="D177" s="16">
        <v>126.75</v>
      </c>
      <c r="E177">
        <v>42</v>
      </c>
      <c r="F177">
        <v>84.75</v>
      </c>
      <c r="H177">
        <v>0</v>
      </c>
      <c r="I177">
        <v>5.475925000000001</v>
      </c>
      <c r="J177">
        <v>2.9163750000000004</v>
      </c>
      <c r="K177" s="16">
        <v>20.271079563424014</v>
      </c>
      <c r="L177">
        <v>15.979153085609179</v>
      </c>
      <c r="M177">
        <v>6.6017674401127868</v>
      </c>
      <c r="O177">
        <v>0</v>
      </c>
      <c r="P177">
        <v>0.90495335929537879</v>
      </c>
      <c r="Q177">
        <v>1.4787910160555713</v>
      </c>
    </row>
    <row r="178" spans="1:18" x14ac:dyDescent="0.25">
      <c r="A178" t="s">
        <v>179</v>
      </c>
      <c r="B178" s="3">
        <v>41856</v>
      </c>
      <c r="C178" t="s">
        <v>6</v>
      </c>
      <c r="D178" s="16">
        <v>425.5</v>
      </c>
      <c r="E178">
        <v>168</v>
      </c>
      <c r="F178">
        <v>242.75</v>
      </c>
      <c r="H178">
        <v>14.75</v>
      </c>
      <c r="K178" s="16">
        <v>47.346242371139304</v>
      </c>
      <c r="L178">
        <v>21.055482263138341</v>
      </c>
      <c r="M178">
        <v>28.87184326178939</v>
      </c>
      <c r="O178">
        <v>6.946221994724902</v>
      </c>
    </row>
    <row r="179" spans="1:18" x14ac:dyDescent="0.25">
      <c r="A179" t="s">
        <v>179</v>
      </c>
      <c r="B179" s="3">
        <v>41871</v>
      </c>
      <c r="C179" t="s">
        <v>6</v>
      </c>
      <c r="D179" s="16">
        <v>695.5</v>
      </c>
      <c r="E179">
        <v>344.5</v>
      </c>
      <c r="F179">
        <v>314</v>
      </c>
      <c r="H179">
        <v>37.25</v>
      </c>
      <c r="I179">
        <v>15.141433333333334</v>
      </c>
      <c r="J179">
        <v>53.882033333333332</v>
      </c>
      <c r="K179" s="16">
        <v>75.918816288629444</v>
      </c>
      <c r="L179">
        <v>37.188707963574103</v>
      </c>
      <c r="M179">
        <v>34.832934606968351</v>
      </c>
      <c r="O179">
        <v>14.637281168304447</v>
      </c>
      <c r="P179">
        <v>0.81445001278983276</v>
      </c>
      <c r="Q179">
        <v>9.0736824995882444</v>
      </c>
    </row>
    <row r="180" spans="1:18" x14ac:dyDescent="0.25">
      <c r="A180" t="s">
        <v>179</v>
      </c>
      <c r="B180" s="3">
        <v>41891</v>
      </c>
      <c r="C180" t="s">
        <v>6</v>
      </c>
      <c r="D180" s="16">
        <v>1119.75</v>
      </c>
      <c r="E180">
        <v>561.25</v>
      </c>
      <c r="F180">
        <v>272.25</v>
      </c>
      <c r="G180">
        <v>165.5</v>
      </c>
      <c r="H180">
        <v>120.5</v>
      </c>
      <c r="I180">
        <v>16.215624999999999</v>
      </c>
      <c r="J180">
        <v>81.941924999999998</v>
      </c>
      <c r="K180" s="16">
        <v>48.403684432764685</v>
      </c>
      <c r="L180">
        <v>29.859392715414245</v>
      </c>
      <c r="M180">
        <v>19.379972480200617</v>
      </c>
      <c r="N180">
        <v>25.093159758521178</v>
      </c>
      <c r="O180">
        <v>19.502136635080099</v>
      </c>
      <c r="P180">
        <v>2.1219308759947872</v>
      </c>
      <c r="Q180">
        <v>14.967507571040993</v>
      </c>
    </row>
    <row r="181" spans="1:18" x14ac:dyDescent="0.25">
      <c r="A181" t="s">
        <v>179</v>
      </c>
      <c r="B181" s="3">
        <v>41947</v>
      </c>
      <c r="C181" t="s">
        <v>6</v>
      </c>
      <c r="D181" s="16">
        <v>1698.75</v>
      </c>
      <c r="E181">
        <v>604.75</v>
      </c>
      <c r="F181">
        <v>0</v>
      </c>
      <c r="G181">
        <v>969.5</v>
      </c>
      <c r="H181">
        <v>125</v>
      </c>
      <c r="K181" s="16">
        <v>95.398724659539695</v>
      </c>
      <c r="L181">
        <v>44.229515032385329</v>
      </c>
      <c r="M181">
        <v>0</v>
      </c>
      <c r="N181">
        <v>58.495014032536709</v>
      </c>
      <c r="O181">
        <v>27.36177382164151</v>
      </c>
      <c r="R181" t="s">
        <v>247</v>
      </c>
    </row>
    <row r="182" spans="1:18" x14ac:dyDescent="0.25">
      <c r="A182" t="s">
        <v>180</v>
      </c>
      <c r="B182" s="3">
        <v>41834</v>
      </c>
      <c r="C182" t="s">
        <v>13</v>
      </c>
      <c r="D182" s="16">
        <v>29</v>
      </c>
      <c r="K182" s="16">
        <v>5.5976185412488881</v>
      </c>
    </row>
    <row r="183" spans="1:18" x14ac:dyDescent="0.25">
      <c r="A183" t="s">
        <v>180</v>
      </c>
      <c r="B183" s="3">
        <v>41865</v>
      </c>
      <c r="C183" t="s">
        <v>13</v>
      </c>
      <c r="D183" s="16">
        <v>140.25</v>
      </c>
      <c r="I183">
        <v>5.7388250000000003</v>
      </c>
      <c r="J183">
        <v>12.921825</v>
      </c>
      <c r="K183" s="16">
        <v>28.418010720902569</v>
      </c>
      <c r="P183">
        <v>1.1595229374617824</v>
      </c>
      <c r="Q183">
        <v>3.3553010310800313</v>
      </c>
    </row>
    <row r="184" spans="1:18" x14ac:dyDescent="0.25">
      <c r="A184" t="s">
        <v>180</v>
      </c>
      <c r="B184" s="3">
        <v>41900</v>
      </c>
      <c r="C184" t="s">
        <v>13</v>
      </c>
      <c r="D184" s="16">
        <v>382.5</v>
      </c>
      <c r="K184" s="16">
        <v>88.756220439283396</v>
      </c>
    </row>
    <row r="185" spans="1:18" x14ac:dyDescent="0.25">
      <c r="A185" t="s">
        <v>180</v>
      </c>
      <c r="B185" s="3">
        <v>41928</v>
      </c>
      <c r="C185" t="s">
        <v>13</v>
      </c>
      <c r="D185" s="16">
        <v>665.25</v>
      </c>
      <c r="E185">
        <v>343.25</v>
      </c>
      <c r="F185">
        <v>98</v>
      </c>
      <c r="G185">
        <v>185</v>
      </c>
      <c r="H185">
        <v>39</v>
      </c>
      <c r="K185" s="16">
        <v>144.62220899064337</v>
      </c>
      <c r="L185">
        <v>68.090013952120756</v>
      </c>
      <c r="M185">
        <v>10.55146119422961</v>
      </c>
      <c r="N185">
        <v>48.785243670601872</v>
      </c>
      <c r="O185">
        <v>21.893682498230699</v>
      </c>
    </row>
    <row r="186" spans="1:18" x14ac:dyDescent="0.25">
      <c r="A186" t="s">
        <v>180</v>
      </c>
      <c r="B186" s="3">
        <v>41957</v>
      </c>
      <c r="C186" t="s">
        <v>13</v>
      </c>
      <c r="D186" s="16">
        <v>714.25</v>
      </c>
      <c r="E186">
        <v>258.5</v>
      </c>
      <c r="G186">
        <v>376.75</v>
      </c>
      <c r="H186">
        <v>79</v>
      </c>
      <c r="K186" s="16">
        <v>114.45049876110923</v>
      </c>
      <c r="L186">
        <v>51.436044430600091</v>
      </c>
      <c r="N186">
        <v>51.796878927853044</v>
      </c>
      <c r="O186">
        <v>33.396606614045886</v>
      </c>
      <c r="R186" t="s">
        <v>247</v>
      </c>
    </row>
    <row r="187" spans="1:18" x14ac:dyDescent="0.25">
      <c r="A187" t="s">
        <v>181</v>
      </c>
      <c r="B187" s="3">
        <v>41834</v>
      </c>
      <c r="C187" t="s">
        <v>14</v>
      </c>
      <c r="D187" s="16">
        <v>25.25</v>
      </c>
      <c r="K187" s="16">
        <v>3.2015621187164243</v>
      </c>
    </row>
    <row r="188" spans="1:18" x14ac:dyDescent="0.25">
      <c r="A188" t="s">
        <v>181</v>
      </c>
      <c r="B188" s="3">
        <v>41865</v>
      </c>
      <c r="C188" t="s">
        <v>14</v>
      </c>
      <c r="D188" s="16">
        <v>122.5</v>
      </c>
      <c r="I188">
        <v>5.1715999999999998</v>
      </c>
      <c r="J188">
        <v>12.4518</v>
      </c>
      <c r="K188" s="16">
        <v>19.638397762207248</v>
      </c>
      <c r="P188">
        <v>1.0454166442141621</v>
      </c>
      <c r="Q188">
        <v>1.5249874491286772</v>
      </c>
    </row>
    <row r="189" spans="1:18" x14ac:dyDescent="0.25">
      <c r="A189" t="s">
        <v>181</v>
      </c>
      <c r="B189" s="3">
        <v>41900</v>
      </c>
      <c r="C189" t="s">
        <v>14</v>
      </c>
      <c r="D189" s="16">
        <v>466.5</v>
      </c>
      <c r="K189" s="16">
        <v>71.243713172929631</v>
      </c>
    </row>
    <row r="190" spans="1:18" x14ac:dyDescent="0.25">
      <c r="A190" t="s">
        <v>181</v>
      </c>
      <c r="B190" s="3">
        <v>41928</v>
      </c>
      <c r="C190" t="s">
        <v>14</v>
      </c>
      <c r="D190" s="16">
        <v>783.5</v>
      </c>
      <c r="E190">
        <v>408.75</v>
      </c>
      <c r="F190">
        <v>109.5</v>
      </c>
      <c r="G190">
        <v>207.5</v>
      </c>
      <c r="H190">
        <v>58</v>
      </c>
      <c r="I190">
        <v>11.0952</v>
      </c>
      <c r="J190">
        <v>89.083199999999991</v>
      </c>
      <c r="K190" s="16">
        <v>52.918175831497948</v>
      </c>
      <c r="L190">
        <v>19.822125684867068</v>
      </c>
      <c r="M190">
        <v>6.4549722436790278</v>
      </c>
      <c r="N190">
        <v>12.714820748507099</v>
      </c>
      <c r="O190">
        <v>22.435091560618453</v>
      </c>
    </row>
    <row r="191" spans="1:18" x14ac:dyDescent="0.25">
      <c r="A191" t="s">
        <v>181</v>
      </c>
      <c r="B191" s="3">
        <v>41957</v>
      </c>
      <c r="C191" t="s">
        <v>14</v>
      </c>
      <c r="D191" s="16">
        <v>850.25</v>
      </c>
      <c r="E191">
        <v>303.5</v>
      </c>
      <c r="G191">
        <v>448.5</v>
      </c>
      <c r="H191">
        <v>98.5</v>
      </c>
      <c r="K191" s="16">
        <v>29.680240340446481</v>
      </c>
      <c r="L191">
        <v>22.649503305812249</v>
      </c>
      <c r="N191">
        <v>33.995097685793858</v>
      </c>
      <c r="O191">
        <v>44.40345331915826</v>
      </c>
      <c r="R191" t="s">
        <v>247</v>
      </c>
    </row>
    <row r="192" spans="1:18" x14ac:dyDescent="0.25">
      <c r="A192" t="s">
        <v>182</v>
      </c>
      <c r="B192" s="3">
        <v>41834</v>
      </c>
      <c r="C192" t="s">
        <v>12</v>
      </c>
      <c r="D192" s="16">
        <v>31.75</v>
      </c>
      <c r="K192" s="16">
        <v>3.7749172176353749</v>
      </c>
    </row>
    <row r="193" spans="1:18" x14ac:dyDescent="0.25">
      <c r="A193" t="s">
        <v>182</v>
      </c>
      <c r="B193" s="3">
        <v>41865</v>
      </c>
      <c r="C193" t="s">
        <v>12</v>
      </c>
      <c r="D193" s="16">
        <v>156</v>
      </c>
      <c r="I193">
        <v>6.4478499999999999</v>
      </c>
      <c r="J193">
        <v>14.761424999999999</v>
      </c>
      <c r="K193" s="16">
        <v>10.984838035522721</v>
      </c>
      <c r="P193">
        <v>0.20527856683054824</v>
      </c>
      <c r="Q193">
        <v>1.9959093138634001</v>
      </c>
    </row>
    <row r="194" spans="1:18" x14ac:dyDescent="0.25">
      <c r="A194" t="s">
        <v>182</v>
      </c>
      <c r="B194" s="3">
        <v>41900</v>
      </c>
      <c r="C194" t="s">
        <v>12</v>
      </c>
      <c r="D194" s="16">
        <v>436</v>
      </c>
      <c r="K194" s="16">
        <v>24.562844569254054</v>
      </c>
    </row>
    <row r="195" spans="1:18" x14ac:dyDescent="0.25">
      <c r="A195" t="s">
        <v>182</v>
      </c>
      <c r="B195" s="3">
        <v>41928</v>
      </c>
      <c r="C195" t="s">
        <v>12</v>
      </c>
      <c r="D195" s="16">
        <v>741.25</v>
      </c>
      <c r="E195">
        <v>402</v>
      </c>
      <c r="F195">
        <v>101.75</v>
      </c>
      <c r="G195">
        <v>179</v>
      </c>
      <c r="H195">
        <v>58</v>
      </c>
      <c r="I195">
        <v>10.252800000000001</v>
      </c>
      <c r="J195">
        <v>71.983199999999997</v>
      </c>
      <c r="K195" s="16">
        <v>66.339405082248561</v>
      </c>
      <c r="L195">
        <v>28.925190866555514</v>
      </c>
      <c r="M195">
        <v>27.5</v>
      </c>
      <c r="N195">
        <v>29.280255007996999</v>
      </c>
      <c r="O195">
        <v>23.021728866442675</v>
      </c>
    </row>
    <row r="196" spans="1:18" x14ac:dyDescent="0.25">
      <c r="A196" t="s">
        <v>182</v>
      </c>
      <c r="B196" s="3">
        <v>41957</v>
      </c>
      <c r="C196" t="s">
        <v>12</v>
      </c>
      <c r="D196" s="16">
        <v>784</v>
      </c>
      <c r="E196">
        <v>281.5</v>
      </c>
      <c r="G196">
        <v>405</v>
      </c>
      <c r="H196">
        <v>97.75</v>
      </c>
      <c r="K196" s="16">
        <v>38.401388863772453</v>
      </c>
      <c r="L196">
        <v>16.010413278030438</v>
      </c>
      <c r="N196">
        <v>18.257418583505537</v>
      </c>
      <c r="O196">
        <v>25.157835094989128</v>
      </c>
      <c r="R196" t="s">
        <v>247</v>
      </c>
    </row>
    <row r="197" spans="1:18" x14ac:dyDescent="0.25">
      <c r="A197" t="s">
        <v>183</v>
      </c>
      <c r="B197" s="3">
        <v>41834</v>
      </c>
      <c r="C197" t="s">
        <v>10</v>
      </c>
      <c r="D197" s="16">
        <v>28.5</v>
      </c>
      <c r="K197" s="16">
        <v>3.3166247903553998</v>
      </c>
    </row>
    <row r="198" spans="1:18" x14ac:dyDescent="0.25">
      <c r="A198" t="s">
        <v>183</v>
      </c>
      <c r="B198" s="3">
        <v>41865</v>
      </c>
      <c r="C198" t="s">
        <v>10</v>
      </c>
      <c r="D198" s="16">
        <v>141.5</v>
      </c>
      <c r="I198">
        <v>5.7798249999999998</v>
      </c>
      <c r="J198">
        <v>13.522749999999998</v>
      </c>
      <c r="K198" s="16">
        <v>32.807519463277522</v>
      </c>
      <c r="P198">
        <v>1.537024984344757</v>
      </c>
      <c r="Q198">
        <v>2.2115420886793089</v>
      </c>
    </row>
    <row r="199" spans="1:18" x14ac:dyDescent="0.25">
      <c r="A199" t="s">
        <v>183</v>
      </c>
      <c r="B199" s="3">
        <v>41900</v>
      </c>
      <c r="C199" t="s">
        <v>10</v>
      </c>
      <c r="D199" s="16">
        <v>527.5</v>
      </c>
      <c r="K199" s="16">
        <v>37.134889255254286</v>
      </c>
    </row>
    <row r="200" spans="1:18" x14ac:dyDescent="0.25">
      <c r="A200" t="s">
        <v>183</v>
      </c>
      <c r="B200" s="3">
        <v>41921</v>
      </c>
      <c r="C200" t="s">
        <v>10</v>
      </c>
      <c r="D200" s="16">
        <v>872</v>
      </c>
      <c r="E200">
        <v>456.25</v>
      </c>
      <c r="F200">
        <v>124.25</v>
      </c>
      <c r="G200">
        <v>241.5</v>
      </c>
      <c r="H200">
        <v>49.75</v>
      </c>
      <c r="I200">
        <v>12.569466666666665</v>
      </c>
      <c r="J200">
        <v>98.204066666666677</v>
      </c>
      <c r="K200" s="16">
        <v>79.870728889458206</v>
      </c>
      <c r="L200">
        <v>52.531736439350006</v>
      </c>
      <c r="M200">
        <v>17.480942003603047</v>
      </c>
      <c r="N200">
        <v>21.763884457207237</v>
      </c>
      <c r="O200">
        <v>14.5</v>
      </c>
      <c r="P200">
        <v>1.2998747683270631</v>
      </c>
      <c r="Q200">
        <v>9.7677032327630897</v>
      </c>
    </row>
    <row r="201" spans="1:18" x14ac:dyDescent="0.25">
      <c r="A201" t="s">
        <v>183</v>
      </c>
      <c r="B201" s="3">
        <v>41957</v>
      </c>
      <c r="C201" t="s">
        <v>10</v>
      </c>
      <c r="D201" s="16">
        <v>971</v>
      </c>
      <c r="E201">
        <v>295.75</v>
      </c>
      <c r="G201">
        <v>590</v>
      </c>
      <c r="H201">
        <v>85</v>
      </c>
      <c r="K201" s="16">
        <v>69.055533208184457</v>
      </c>
      <c r="L201">
        <v>25.96632434519757</v>
      </c>
      <c r="N201">
        <v>38.893015654056278</v>
      </c>
      <c r="O201">
        <v>24.993332444207329</v>
      </c>
      <c r="R201" t="s">
        <v>247</v>
      </c>
    </row>
    <row r="202" spans="1:18" x14ac:dyDescent="0.25">
      <c r="A202" t="s">
        <v>184</v>
      </c>
      <c r="B202" s="3">
        <v>41834</v>
      </c>
      <c r="C202" t="s">
        <v>8</v>
      </c>
      <c r="D202" s="16">
        <v>30</v>
      </c>
      <c r="K202" s="16">
        <v>3.8297084310253524</v>
      </c>
    </row>
    <row r="203" spans="1:18" x14ac:dyDescent="0.25">
      <c r="A203" t="s">
        <v>184</v>
      </c>
      <c r="B203" s="3">
        <v>41865</v>
      </c>
      <c r="C203" t="s">
        <v>8</v>
      </c>
      <c r="D203" s="16">
        <v>138.25</v>
      </c>
      <c r="I203">
        <v>5.3224749999999998</v>
      </c>
      <c r="J203">
        <v>22.10005</v>
      </c>
      <c r="K203" s="16">
        <v>22.096379793984354</v>
      </c>
      <c r="P203">
        <v>0.86073466052746805</v>
      </c>
      <c r="Q203">
        <v>2.9017155402738508</v>
      </c>
    </row>
    <row r="204" spans="1:18" x14ac:dyDescent="0.25">
      <c r="A204" t="s">
        <v>184</v>
      </c>
      <c r="B204" s="3">
        <v>41900</v>
      </c>
      <c r="C204" t="s">
        <v>8</v>
      </c>
      <c r="D204" s="16">
        <v>496</v>
      </c>
      <c r="K204" s="16">
        <v>51.555795018600968</v>
      </c>
    </row>
    <row r="205" spans="1:18" x14ac:dyDescent="0.25">
      <c r="A205" t="s">
        <v>184</v>
      </c>
      <c r="B205" s="3">
        <v>41925</v>
      </c>
      <c r="C205" t="s">
        <v>8</v>
      </c>
      <c r="D205" s="16">
        <v>874.5</v>
      </c>
      <c r="E205">
        <v>510.5</v>
      </c>
      <c r="F205">
        <v>133.5</v>
      </c>
      <c r="G205">
        <v>185.5</v>
      </c>
      <c r="H205">
        <v>44.5</v>
      </c>
      <c r="I205">
        <v>12.8383</v>
      </c>
      <c r="J205">
        <v>97.72175</v>
      </c>
      <c r="K205" s="16">
        <v>66.214298556530323</v>
      </c>
      <c r="L205">
        <v>27.209067116190024</v>
      </c>
      <c r="M205">
        <v>28.160255680657446</v>
      </c>
      <c r="N205">
        <v>10.535653752852738</v>
      </c>
      <c r="O205">
        <v>10.148891565092219</v>
      </c>
      <c r="P205">
        <v>1.5506373291865061</v>
      </c>
      <c r="Q205">
        <v>7.6007890583805207</v>
      </c>
    </row>
    <row r="206" spans="1:18" x14ac:dyDescent="0.25">
      <c r="A206" t="s">
        <v>184</v>
      </c>
      <c r="B206" s="3">
        <v>41957</v>
      </c>
      <c r="C206" t="s">
        <v>8</v>
      </c>
      <c r="D206" s="16">
        <v>942.75</v>
      </c>
      <c r="E206">
        <v>330.25</v>
      </c>
      <c r="G206">
        <v>531.75</v>
      </c>
      <c r="H206">
        <v>80.5</v>
      </c>
      <c r="K206" s="16">
        <v>36.472592449673769</v>
      </c>
      <c r="L206">
        <v>19.568256607747831</v>
      </c>
      <c r="N206">
        <v>10.111874208078342</v>
      </c>
      <c r="O206">
        <v>29.625439518539917</v>
      </c>
      <c r="R206" t="s">
        <v>247</v>
      </c>
    </row>
    <row r="207" spans="1:18" x14ac:dyDescent="0.25">
      <c r="A207" t="s">
        <v>185</v>
      </c>
      <c r="B207" s="3">
        <v>41834</v>
      </c>
      <c r="C207" t="s">
        <v>4</v>
      </c>
      <c r="D207" s="16">
        <v>19</v>
      </c>
      <c r="K207" s="16">
        <v>2</v>
      </c>
    </row>
    <row r="208" spans="1:18" x14ac:dyDescent="0.25">
      <c r="A208" t="s">
        <v>185</v>
      </c>
      <c r="B208" s="3">
        <v>41865</v>
      </c>
      <c r="C208" t="s">
        <v>4</v>
      </c>
      <c r="D208" s="16">
        <v>114</v>
      </c>
      <c r="I208">
        <v>4.8778500000000005</v>
      </c>
      <c r="J208">
        <v>12.9979</v>
      </c>
      <c r="K208" s="16">
        <v>25.099800796022265</v>
      </c>
      <c r="P208">
        <v>1.2573838700518878</v>
      </c>
      <c r="Q208">
        <v>2.1300191329344109</v>
      </c>
    </row>
    <row r="209" spans="1:18" x14ac:dyDescent="0.25">
      <c r="A209" t="s">
        <v>185</v>
      </c>
      <c r="B209" s="3">
        <v>41900</v>
      </c>
      <c r="C209" t="s">
        <v>4</v>
      </c>
      <c r="D209" s="16">
        <v>411.5</v>
      </c>
      <c r="K209" s="16">
        <v>35.482389998420345</v>
      </c>
    </row>
    <row r="210" spans="1:18" x14ac:dyDescent="0.25">
      <c r="A210" t="s">
        <v>185</v>
      </c>
      <c r="B210" s="3">
        <v>41925</v>
      </c>
      <c r="C210" t="s">
        <v>4</v>
      </c>
      <c r="D210" s="16">
        <v>832.75</v>
      </c>
      <c r="E210">
        <v>477</v>
      </c>
      <c r="F210">
        <v>153.75</v>
      </c>
      <c r="G210">
        <v>172.5</v>
      </c>
      <c r="H210">
        <v>29.25</v>
      </c>
      <c r="I210">
        <v>13.571375</v>
      </c>
      <c r="J210">
        <v>99.655425000000008</v>
      </c>
      <c r="K210" s="16">
        <v>56.446877681586606</v>
      </c>
      <c r="L210">
        <v>3.5590260840104371</v>
      </c>
      <c r="M210">
        <v>20.039544239661073</v>
      </c>
      <c r="N210">
        <v>36.918829883949464</v>
      </c>
      <c r="O210">
        <v>7.9739158092704576</v>
      </c>
      <c r="P210">
        <v>0.48363775958874961</v>
      </c>
      <c r="Q210">
        <v>14.472566422113827</v>
      </c>
    </row>
    <row r="211" spans="1:18" x14ac:dyDescent="0.25">
      <c r="A211" t="s">
        <v>185</v>
      </c>
      <c r="B211" s="3">
        <v>41957</v>
      </c>
      <c r="C211" t="s">
        <v>4</v>
      </c>
      <c r="D211" s="16">
        <v>891.25</v>
      </c>
      <c r="E211">
        <v>273.25</v>
      </c>
      <c r="G211">
        <v>535.25</v>
      </c>
      <c r="H211">
        <v>82.5</v>
      </c>
      <c r="K211" s="16">
        <v>39.710410054123926</v>
      </c>
      <c r="L211">
        <v>24.102212899787162</v>
      </c>
      <c r="N211">
        <v>26.787745954696028</v>
      </c>
      <c r="O211">
        <v>28.442925306655784</v>
      </c>
      <c r="R211" t="s">
        <v>247</v>
      </c>
    </row>
    <row r="212" spans="1:18" x14ac:dyDescent="0.25">
      <c r="A212" t="s">
        <v>186</v>
      </c>
      <c r="B212" s="3">
        <v>41834</v>
      </c>
      <c r="C212" t="s">
        <v>7</v>
      </c>
      <c r="D212" s="16">
        <v>28.5</v>
      </c>
      <c r="K212" s="16">
        <v>3.1091263510296048</v>
      </c>
    </row>
    <row r="213" spans="1:18" x14ac:dyDescent="0.25">
      <c r="A213" t="s">
        <v>186</v>
      </c>
      <c r="B213" s="3">
        <v>41865</v>
      </c>
      <c r="C213" t="s">
        <v>7</v>
      </c>
      <c r="D213" s="16">
        <v>134.25</v>
      </c>
      <c r="I213">
        <v>5.4078750000000007</v>
      </c>
      <c r="J213">
        <v>14.112399999999999</v>
      </c>
      <c r="K213" s="16">
        <v>15.628499608087784</v>
      </c>
      <c r="P213">
        <v>0.70811547728224533</v>
      </c>
      <c r="Q213">
        <v>2.3321192651034548</v>
      </c>
    </row>
    <row r="214" spans="1:18" x14ac:dyDescent="0.25">
      <c r="A214" t="s">
        <v>186</v>
      </c>
      <c r="B214" s="3">
        <v>41900</v>
      </c>
      <c r="C214" t="s">
        <v>7</v>
      </c>
      <c r="D214" s="16">
        <v>484.25</v>
      </c>
      <c r="K214" s="16">
        <v>64.561985719152105</v>
      </c>
    </row>
    <row r="215" spans="1:18" x14ac:dyDescent="0.25">
      <c r="A215" t="s">
        <v>186</v>
      </c>
      <c r="B215" s="3">
        <v>41928</v>
      </c>
      <c r="C215" t="s">
        <v>7</v>
      </c>
      <c r="D215" s="16">
        <v>832.75</v>
      </c>
      <c r="E215">
        <v>430.25</v>
      </c>
      <c r="F215">
        <v>112.75</v>
      </c>
      <c r="G215">
        <v>226.5</v>
      </c>
      <c r="H215">
        <v>62.75</v>
      </c>
      <c r="I215">
        <v>12.8367</v>
      </c>
      <c r="J215">
        <v>97.827399999999997</v>
      </c>
      <c r="K215" s="16">
        <v>33.420303210274241</v>
      </c>
      <c r="L215">
        <v>14.545904349105742</v>
      </c>
      <c r="M215">
        <v>12.038133853162901</v>
      </c>
      <c r="N215">
        <v>14.548768561863463</v>
      </c>
      <c r="O215">
        <v>17.134273644754636</v>
      </c>
    </row>
    <row r="216" spans="1:18" x14ac:dyDescent="0.25">
      <c r="A216" t="s">
        <v>186</v>
      </c>
      <c r="B216" s="3">
        <v>41957</v>
      </c>
      <c r="C216" t="s">
        <v>7</v>
      </c>
      <c r="D216" s="16">
        <v>855.5</v>
      </c>
      <c r="E216">
        <v>303.25</v>
      </c>
      <c r="G216">
        <v>450.25</v>
      </c>
      <c r="H216">
        <v>101.5</v>
      </c>
      <c r="K216" s="16">
        <v>32.766853170035517</v>
      </c>
      <c r="L216">
        <v>17.036725037400821</v>
      </c>
      <c r="N216">
        <v>47.988713950955869</v>
      </c>
      <c r="O216">
        <v>36.774085078127143</v>
      </c>
      <c r="R216" t="s">
        <v>247</v>
      </c>
    </row>
    <row r="217" spans="1:18" x14ac:dyDescent="0.25">
      <c r="A217" t="s">
        <v>187</v>
      </c>
      <c r="B217" s="3">
        <v>41834</v>
      </c>
      <c r="C217" t="s">
        <v>2</v>
      </c>
      <c r="D217" s="16">
        <v>32.25</v>
      </c>
      <c r="K217" s="16">
        <v>8.6938675704966499</v>
      </c>
    </row>
    <row r="218" spans="1:18" x14ac:dyDescent="0.25">
      <c r="A218" t="s">
        <v>187</v>
      </c>
      <c r="B218" s="3">
        <v>41865</v>
      </c>
      <c r="C218" t="s">
        <v>2</v>
      </c>
      <c r="D218" s="16">
        <v>174.25</v>
      </c>
      <c r="I218">
        <v>6.7975500000000002</v>
      </c>
      <c r="J218">
        <v>20.281874999999999</v>
      </c>
      <c r="K218" s="16">
        <v>25.630385612913955</v>
      </c>
      <c r="P218">
        <v>0.93698179811563354</v>
      </c>
      <c r="Q218">
        <v>2.7834033452771494</v>
      </c>
    </row>
    <row r="219" spans="1:18" x14ac:dyDescent="0.25">
      <c r="A219" t="s">
        <v>187</v>
      </c>
      <c r="B219" s="3">
        <v>41900</v>
      </c>
      <c r="C219" t="s">
        <v>2</v>
      </c>
      <c r="D219" s="16">
        <v>586.25</v>
      </c>
      <c r="K219" s="16">
        <v>70.980631160901922</v>
      </c>
    </row>
    <row r="220" spans="1:18" x14ac:dyDescent="0.25">
      <c r="A220" t="s">
        <v>187</v>
      </c>
      <c r="B220" s="3">
        <v>41921</v>
      </c>
      <c r="C220" t="s">
        <v>2</v>
      </c>
      <c r="D220" s="16">
        <v>892.25</v>
      </c>
      <c r="E220">
        <v>490.5</v>
      </c>
      <c r="F220">
        <v>103.25</v>
      </c>
      <c r="G220">
        <v>220.5</v>
      </c>
      <c r="H220">
        <v>78</v>
      </c>
      <c r="I220">
        <v>10.625700000000002</v>
      </c>
      <c r="J220">
        <v>81.331050000000005</v>
      </c>
      <c r="K220" s="16">
        <v>97.404226465453405</v>
      </c>
      <c r="L220">
        <v>55.842039122271792</v>
      </c>
      <c r="M220">
        <v>9.6393291606141691</v>
      </c>
      <c r="N220">
        <v>19.891371663780923</v>
      </c>
      <c r="O220">
        <v>27.748873851023216</v>
      </c>
      <c r="P220">
        <v>0.29953043251060102</v>
      </c>
      <c r="Q220">
        <v>6.6119433788411994</v>
      </c>
    </row>
    <row r="221" spans="1:18" x14ac:dyDescent="0.25">
      <c r="A221" t="s">
        <v>187</v>
      </c>
      <c r="B221" s="3">
        <v>41957</v>
      </c>
      <c r="C221" t="s">
        <v>2</v>
      </c>
      <c r="D221" s="16">
        <v>1034.5</v>
      </c>
      <c r="E221">
        <v>333.5</v>
      </c>
      <c r="G221">
        <v>593.25</v>
      </c>
      <c r="H221">
        <v>107.5</v>
      </c>
      <c r="K221" s="16">
        <v>37.775653535048207</v>
      </c>
      <c r="L221">
        <v>30.336996115853879</v>
      </c>
      <c r="N221">
        <v>47.751963310423164</v>
      </c>
      <c r="O221">
        <v>34.161381705077446</v>
      </c>
      <c r="R221" t="s">
        <v>247</v>
      </c>
    </row>
    <row r="222" spans="1:18" x14ac:dyDescent="0.25">
      <c r="A222" t="s">
        <v>188</v>
      </c>
      <c r="B222" s="3">
        <v>41834</v>
      </c>
      <c r="C222" t="s">
        <v>3</v>
      </c>
      <c r="D222" s="16">
        <v>29.5</v>
      </c>
      <c r="K222" s="16">
        <v>3.3166247903553998</v>
      </c>
    </row>
    <row r="223" spans="1:18" x14ac:dyDescent="0.25">
      <c r="A223" t="s">
        <v>188</v>
      </c>
      <c r="B223" s="3">
        <v>41865</v>
      </c>
      <c r="C223" t="s">
        <v>3</v>
      </c>
      <c r="D223" s="16">
        <v>141</v>
      </c>
      <c r="I223">
        <v>6.7191000000000001</v>
      </c>
      <c r="J223">
        <v>14.434899999999999</v>
      </c>
      <c r="K223" s="16">
        <v>28.106938645110393</v>
      </c>
      <c r="P223">
        <v>1.4783405257247046</v>
      </c>
      <c r="Q223">
        <v>0.97401612409651472</v>
      </c>
    </row>
    <row r="224" spans="1:18" x14ac:dyDescent="0.25">
      <c r="A224" t="s">
        <v>188</v>
      </c>
      <c r="B224" s="3">
        <v>41900</v>
      </c>
      <c r="C224" t="s">
        <v>3</v>
      </c>
      <c r="D224" s="16">
        <v>483</v>
      </c>
      <c r="K224" s="16">
        <v>29.518355871107275</v>
      </c>
    </row>
    <row r="225" spans="1:18" x14ac:dyDescent="0.25">
      <c r="A225" t="s">
        <v>188</v>
      </c>
      <c r="B225" s="3">
        <v>41921</v>
      </c>
      <c r="C225" t="s">
        <v>3</v>
      </c>
      <c r="D225" s="16">
        <v>855</v>
      </c>
      <c r="E225">
        <v>465.75</v>
      </c>
      <c r="F225">
        <v>139</v>
      </c>
      <c r="G225">
        <v>185.5</v>
      </c>
      <c r="H225">
        <v>65.25</v>
      </c>
      <c r="I225">
        <v>15.665649999999999</v>
      </c>
      <c r="J225">
        <v>82.141199999999998</v>
      </c>
      <c r="K225" s="16">
        <v>31.101982787811671</v>
      </c>
      <c r="L225">
        <v>17.134273644754636</v>
      </c>
      <c r="M225">
        <v>22.553639765383029</v>
      </c>
      <c r="N225">
        <v>15.588457268119896</v>
      </c>
      <c r="O225">
        <v>7.7620873481300121</v>
      </c>
      <c r="P225">
        <v>1.6378714372623906</v>
      </c>
      <c r="Q225">
        <v>13.265888900484692</v>
      </c>
    </row>
    <row r="226" spans="1:18" x14ac:dyDescent="0.25">
      <c r="A226" t="s">
        <v>188</v>
      </c>
      <c r="B226" s="3">
        <v>41957</v>
      </c>
      <c r="C226" t="s">
        <v>3</v>
      </c>
      <c r="D226" s="16">
        <v>964.5</v>
      </c>
      <c r="E226">
        <v>317.75</v>
      </c>
      <c r="G226">
        <v>546.75</v>
      </c>
      <c r="H226">
        <v>100</v>
      </c>
      <c r="K226" s="16">
        <v>17.233687939614086</v>
      </c>
      <c r="L226">
        <v>27.944886234634534</v>
      </c>
      <c r="N226">
        <v>49.284040689321188</v>
      </c>
      <c r="O226">
        <v>36.715119501371639</v>
      </c>
      <c r="R226" t="s">
        <v>247</v>
      </c>
    </row>
    <row r="227" spans="1:18" x14ac:dyDescent="0.25">
      <c r="A227" t="s">
        <v>189</v>
      </c>
      <c r="B227" s="3">
        <v>41834</v>
      </c>
      <c r="C227" t="s">
        <v>5</v>
      </c>
      <c r="D227" s="16">
        <v>24.75</v>
      </c>
      <c r="K227" s="16">
        <v>4.7871355387816905</v>
      </c>
    </row>
    <row r="228" spans="1:18" x14ac:dyDescent="0.25">
      <c r="A228" t="s">
        <v>189</v>
      </c>
      <c r="B228" s="3">
        <v>41865</v>
      </c>
      <c r="C228" t="s">
        <v>5</v>
      </c>
      <c r="D228" s="16">
        <v>126.5</v>
      </c>
      <c r="I228">
        <v>5.2389749999999999</v>
      </c>
      <c r="J228">
        <v>14.299675000000001</v>
      </c>
      <c r="K228" s="16">
        <v>6.757711644237764</v>
      </c>
      <c r="P228">
        <v>0.38155097846377511</v>
      </c>
      <c r="Q228">
        <v>1.0848885637858374</v>
      </c>
    </row>
    <row r="229" spans="1:18" x14ac:dyDescent="0.25">
      <c r="A229" t="s">
        <v>189</v>
      </c>
      <c r="B229" s="3">
        <v>41900</v>
      </c>
      <c r="C229" t="s">
        <v>5</v>
      </c>
      <c r="D229" s="16">
        <v>421.25</v>
      </c>
      <c r="K229" s="16">
        <v>36.563871056914458</v>
      </c>
    </row>
    <row r="230" spans="1:18" x14ac:dyDescent="0.25">
      <c r="A230" t="s">
        <v>189</v>
      </c>
      <c r="B230" s="3">
        <v>41921</v>
      </c>
      <c r="C230" t="s">
        <v>5</v>
      </c>
      <c r="D230" s="16">
        <v>743.5</v>
      </c>
      <c r="E230">
        <v>365.25</v>
      </c>
      <c r="F230">
        <v>118.5</v>
      </c>
      <c r="G230">
        <v>193.75</v>
      </c>
      <c r="H230">
        <v>66</v>
      </c>
      <c r="I230">
        <v>10.9475</v>
      </c>
      <c r="J230">
        <v>76.783500000000004</v>
      </c>
      <c r="K230" s="16">
        <v>47.920072342738941</v>
      </c>
      <c r="L230">
        <v>19.137659209004639</v>
      </c>
      <c r="M230">
        <v>5.5677643628300215</v>
      </c>
      <c r="N230">
        <v>16.680827317612277</v>
      </c>
      <c r="O230">
        <v>26.242459234352765</v>
      </c>
    </row>
    <row r="231" spans="1:18" x14ac:dyDescent="0.25">
      <c r="A231" t="s">
        <v>189</v>
      </c>
      <c r="B231" s="3">
        <v>41957</v>
      </c>
      <c r="C231" t="s">
        <v>5</v>
      </c>
      <c r="D231" s="16">
        <v>885.75</v>
      </c>
      <c r="E231">
        <v>284</v>
      </c>
      <c r="G231">
        <v>521.25</v>
      </c>
      <c r="H231">
        <v>80.5</v>
      </c>
      <c r="K231" s="16">
        <v>76.049873986308043</v>
      </c>
      <c r="L231">
        <v>28.589042189855423</v>
      </c>
      <c r="N231">
        <v>61.548761157313315</v>
      </c>
      <c r="O231">
        <v>46.234907447367803</v>
      </c>
      <c r="R231" t="s">
        <v>247</v>
      </c>
    </row>
    <row r="232" spans="1:18" x14ac:dyDescent="0.25">
      <c r="A232" t="s">
        <v>190</v>
      </c>
      <c r="B232" s="3">
        <v>41834</v>
      </c>
      <c r="C232" t="s">
        <v>9</v>
      </c>
      <c r="D232" s="16">
        <v>36</v>
      </c>
      <c r="K232" s="16">
        <v>2.9439202887759488</v>
      </c>
    </row>
    <row r="233" spans="1:18" x14ac:dyDescent="0.25">
      <c r="A233" t="s">
        <v>190</v>
      </c>
      <c r="B233" s="3">
        <v>41865</v>
      </c>
      <c r="C233" t="s">
        <v>9</v>
      </c>
      <c r="D233" s="16">
        <v>160.25</v>
      </c>
      <c r="I233">
        <v>6.7964500000000001</v>
      </c>
      <c r="J233">
        <v>15.89955</v>
      </c>
      <c r="K233" s="16">
        <v>18.172781845386247</v>
      </c>
      <c r="P233">
        <v>0.86451447838271034</v>
      </c>
      <c r="Q233">
        <v>3.4691926001112439</v>
      </c>
    </row>
    <row r="234" spans="1:18" x14ac:dyDescent="0.25">
      <c r="A234" t="s">
        <v>190</v>
      </c>
      <c r="B234" s="3">
        <v>41900</v>
      </c>
      <c r="C234" t="s">
        <v>9</v>
      </c>
      <c r="D234" s="16">
        <v>473.25</v>
      </c>
      <c r="K234" s="16">
        <v>34.711909579662525</v>
      </c>
    </row>
    <row r="235" spans="1:18" x14ac:dyDescent="0.25">
      <c r="A235" t="s">
        <v>190</v>
      </c>
      <c r="B235" s="3">
        <v>41928</v>
      </c>
      <c r="C235" t="s">
        <v>9</v>
      </c>
      <c r="D235" s="16">
        <v>813.25</v>
      </c>
      <c r="E235">
        <v>424.5</v>
      </c>
      <c r="F235">
        <v>113.25</v>
      </c>
      <c r="G235">
        <v>206.5</v>
      </c>
      <c r="H235">
        <v>68.75</v>
      </c>
      <c r="I235">
        <v>8.7629999999999999</v>
      </c>
      <c r="J235">
        <v>79.629000000000005</v>
      </c>
      <c r="K235" s="16">
        <v>52.747037831521872</v>
      </c>
      <c r="L235">
        <v>30.956959368344517</v>
      </c>
      <c r="M235">
        <v>19.102792117035317</v>
      </c>
      <c r="N235">
        <v>8.8128693776015243</v>
      </c>
      <c r="O235">
        <v>33.569579483018053</v>
      </c>
    </row>
    <row r="236" spans="1:18" x14ac:dyDescent="0.25">
      <c r="A236" t="s">
        <v>190</v>
      </c>
      <c r="B236" s="3">
        <v>41957</v>
      </c>
      <c r="C236" t="s">
        <v>9</v>
      </c>
      <c r="D236" s="16">
        <v>855</v>
      </c>
      <c r="E236">
        <v>300.75</v>
      </c>
      <c r="G236">
        <v>451.5</v>
      </c>
      <c r="H236">
        <v>102.5</v>
      </c>
      <c r="K236" s="16">
        <v>34.009802508492555</v>
      </c>
      <c r="L236">
        <v>22.156639336024465</v>
      </c>
      <c r="N236">
        <v>15.198684153570664</v>
      </c>
      <c r="O236">
        <v>17.990738358018181</v>
      </c>
      <c r="R236" t="s">
        <v>247</v>
      </c>
    </row>
    <row r="237" spans="1:18" x14ac:dyDescent="0.25">
      <c r="A237" t="s">
        <v>191</v>
      </c>
      <c r="B237" s="3">
        <v>41834</v>
      </c>
      <c r="C237" t="s">
        <v>6</v>
      </c>
      <c r="D237" s="16">
        <v>19.25</v>
      </c>
      <c r="K237" s="16">
        <v>3.6855573979159968</v>
      </c>
    </row>
    <row r="238" spans="1:18" x14ac:dyDescent="0.25">
      <c r="A238" t="s">
        <v>191</v>
      </c>
      <c r="B238" s="3">
        <v>41865</v>
      </c>
      <c r="C238" t="s">
        <v>6</v>
      </c>
      <c r="D238" s="16">
        <v>102.25</v>
      </c>
      <c r="I238">
        <v>4.4132249999999997</v>
      </c>
      <c r="J238">
        <v>10.308074999999999</v>
      </c>
      <c r="K238" s="16">
        <v>34.490336810958127</v>
      </c>
      <c r="P238">
        <v>1.6549521652200929</v>
      </c>
      <c r="Q238">
        <v>2.0125780835783842</v>
      </c>
    </row>
    <row r="239" spans="1:18" x14ac:dyDescent="0.25">
      <c r="A239" t="s">
        <v>191</v>
      </c>
      <c r="B239" s="3">
        <v>41900</v>
      </c>
      <c r="C239" t="s">
        <v>6</v>
      </c>
      <c r="D239" s="16">
        <v>390</v>
      </c>
      <c r="K239" s="16">
        <v>70.828431202919262</v>
      </c>
    </row>
    <row r="240" spans="1:18" x14ac:dyDescent="0.25">
      <c r="A240" t="s">
        <v>191</v>
      </c>
      <c r="B240" s="3">
        <v>41928</v>
      </c>
      <c r="C240" t="s">
        <v>6</v>
      </c>
      <c r="D240" s="16">
        <v>794.5</v>
      </c>
      <c r="E240">
        <v>416</v>
      </c>
      <c r="F240">
        <v>127.75</v>
      </c>
      <c r="G240">
        <v>192.75</v>
      </c>
      <c r="H240">
        <v>57.25</v>
      </c>
      <c r="I240">
        <v>10.476299999999998</v>
      </c>
      <c r="J240">
        <v>90.051600000000008</v>
      </c>
      <c r="K240" s="16">
        <v>43.147035433117146</v>
      </c>
      <c r="L240">
        <v>32.114378918692061</v>
      </c>
      <c r="M240">
        <v>5.1881274720911268</v>
      </c>
      <c r="N240">
        <v>27.5121185419565</v>
      </c>
      <c r="O240">
        <v>24.83780720326709</v>
      </c>
    </row>
    <row r="241" spans="1:18" x14ac:dyDescent="0.25">
      <c r="A241" t="s">
        <v>191</v>
      </c>
      <c r="B241" s="3">
        <v>41957</v>
      </c>
      <c r="C241" t="s">
        <v>6</v>
      </c>
      <c r="D241" s="16">
        <v>800.75</v>
      </c>
      <c r="E241">
        <v>298.75</v>
      </c>
      <c r="G241">
        <v>400.5</v>
      </c>
      <c r="H241">
        <v>101.5</v>
      </c>
      <c r="K241" s="16">
        <v>26.437032107758743</v>
      </c>
      <c r="L241">
        <v>6.5</v>
      </c>
      <c r="N241">
        <v>32.254198693090068</v>
      </c>
      <c r="O241">
        <v>14.708274315273473</v>
      </c>
      <c r="R241" t="s">
        <v>247</v>
      </c>
    </row>
    <row r="242" spans="1:18" x14ac:dyDescent="0.25">
      <c r="A242" t="s">
        <v>192</v>
      </c>
      <c r="B242" s="3">
        <v>41883</v>
      </c>
      <c r="C242" t="s">
        <v>13</v>
      </c>
      <c r="D242" s="16">
        <v>240.75</v>
      </c>
      <c r="I242">
        <v>5.8149999999999995</v>
      </c>
      <c r="J242">
        <v>29.259800000000002</v>
      </c>
      <c r="K242" s="16">
        <v>23.214578752729214</v>
      </c>
      <c r="P242">
        <v>0.61675190582059425</v>
      </c>
      <c r="Q242">
        <v>10.87637096553807</v>
      </c>
    </row>
    <row r="243" spans="1:18" x14ac:dyDescent="0.25">
      <c r="A243" t="s">
        <v>192</v>
      </c>
      <c r="B243" s="3">
        <v>41897</v>
      </c>
      <c r="C243" t="s">
        <v>13</v>
      </c>
      <c r="D243" s="16">
        <v>371</v>
      </c>
      <c r="E243">
        <v>208.5</v>
      </c>
      <c r="F243">
        <v>65.25</v>
      </c>
      <c r="G243">
        <v>86.5</v>
      </c>
      <c r="H243">
        <v>10.675000000000001</v>
      </c>
      <c r="I243">
        <v>7.3370250000000006</v>
      </c>
      <c r="J243">
        <v>50.804249999999996</v>
      </c>
      <c r="K243" s="16">
        <v>45.658150057428593</v>
      </c>
      <c r="L243">
        <v>29.080348461919549</v>
      </c>
      <c r="M243">
        <v>9.716823898098939</v>
      </c>
      <c r="N243">
        <v>11.561430130683084</v>
      </c>
      <c r="O243">
        <v>5.281019472286264</v>
      </c>
      <c r="P243">
        <v>1.4650846901004246</v>
      </c>
      <c r="Q243">
        <v>6.7579645143095597</v>
      </c>
    </row>
    <row r="244" spans="1:18" x14ac:dyDescent="0.25">
      <c r="A244" t="s">
        <v>192</v>
      </c>
      <c r="B244" s="3">
        <v>41954</v>
      </c>
      <c r="C244" t="s">
        <v>13</v>
      </c>
      <c r="D244" s="16">
        <v>447.25</v>
      </c>
      <c r="E244">
        <v>130.5</v>
      </c>
      <c r="G244">
        <v>276.5</v>
      </c>
      <c r="H244">
        <v>39.25</v>
      </c>
      <c r="K244" s="16">
        <v>30.58730673552893</v>
      </c>
      <c r="L244">
        <v>13.076696830622021</v>
      </c>
      <c r="N244">
        <v>18.663690238892556</v>
      </c>
      <c r="O244">
        <v>3.8622100754188224</v>
      </c>
      <c r="R244" t="s">
        <v>247</v>
      </c>
    </row>
    <row r="245" spans="1:18" x14ac:dyDescent="0.25">
      <c r="A245" t="s">
        <v>192</v>
      </c>
      <c r="B245" s="28">
        <v>41856</v>
      </c>
      <c r="C245" t="s">
        <v>13</v>
      </c>
      <c r="D245" s="16">
        <v>42.25</v>
      </c>
      <c r="I245">
        <v>1.9106249999999998</v>
      </c>
      <c r="J245">
        <v>3.5435999999999996</v>
      </c>
      <c r="K245" s="16">
        <v>10.626225419530053</v>
      </c>
      <c r="P245">
        <v>0.45586974290909066</v>
      </c>
      <c r="Q245">
        <v>0.619260219939891</v>
      </c>
    </row>
    <row r="246" spans="1:18" x14ac:dyDescent="0.25">
      <c r="A246" t="s">
        <v>192</v>
      </c>
      <c r="B246" s="28">
        <v>41866</v>
      </c>
      <c r="C246" t="s">
        <v>13</v>
      </c>
      <c r="D246" s="16">
        <v>87</v>
      </c>
      <c r="I246">
        <v>2.7799249999999995</v>
      </c>
      <c r="J246">
        <v>9.42835</v>
      </c>
      <c r="K246" s="16">
        <v>16.57307052620807</v>
      </c>
      <c r="P246">
        <v>0.4684025788073084</v>
      </c>
      <c r="Q246">
        <v>1.9986286973822815</v>
      </c>
    </row>
    <row r="247" spans="1:18" x14ac:dyDescent="0.25">
      <c r="A247" t="s">
        <v>193</v>
      </c>
      <c r="B247" s="3">
        <v>41883</v>
      </c>
      <c r="C247" t="s">
        <v>14</v>
      </c>
      <c r="D247" s="16">
        <v>219.25</v>
      </c>
      <c r="I247">
        <v>5.4326000000000008</v>
      </c>
      <c r="J247">
        <v>18.446766666666665</v>
      </c>
      <c r="K247" s="16">
        <v>15.521490478258416</v>
      </c>
      <c r="P247">
        <v>0.71250911573115427</v>
      </c>
      <c r="Q247">
        <v>1.9104141601583382</v>
      </c>
    </row>
    <row r="248" spans="1:18" x14ac:dyDescent="0.25">
      <c r="A248" t="s">
        <v>193</v>
      </c>
      <c r="B248" s="3">
        <v>41899</v>
      </c>
      <c r="C248" t="s">
        <v>14</v>
      </c>
      <c r="D248" s="16">
        <v>279.66666666666669</v>
      </c>
      <c r="E248">
        <v>153.33333333333334</v>
      </c>
      <c r="F248">
        <v>50.966666666666669</v>
      </c>
      <c r="G248">
        <v>64.333333333333329</v>
      </c>
      <c r="H248">
        <v>11.299999999999999</v>
      </c>
      <c r="I248">
        <v>5.9360666666666662</v>
      </c>
      <c r="J248">
        <v>30.215266666666665</v>
      </c>
      <c r="K248" s="16">
        <v>20.550750189064352</v>
      </c>
      <c r="L248">
        <v>11.930353445448956</v>
      </c>
      <c r="M248">
        <v>6.5431898439013292</v>
      </c>
      <c r="N248">
        <v>6.0277137733416826</v>
      </c>
      <c r="O248">
        <v>5.0566787519082173</v>
      </c>
      <c r="P248">
        <v>1.4257656516178709</v>
      </c>
      <c r="Q248">
        <v>7.9718297029812177</v>
      </c>
    </row>
    <row r="249" spans="1:18" x14ac:dyDescent="0.25">
      <c r="A249" t="s">
        <v>193</v>
      </c>
      <c r="B249" s="3">
        <v>41904</v>
      </c>
      <c r="C249" t="s">
        <v>14</v>
      </c>
      <c r="D249" s="16">
        <v>402</v>
      </c>
      <c r="E249">
        <v>224</v>
      </c>
      <c r="F249">
        <v>51.5</v>
      </c>
      <c r="G249">
        <v>105</v>
      </c>
      <c r="H249">
        <v>21.2</v>
      </c>
      <c r="I249">
        <v>7.4772000000000007</v>
      </c>
      <c r="J249">
        <v>65.968199999999996</v>
      </c>
      <c r="K249" s="16"/>
    </row>
    <row r="250" spans="1:18" x14ac:dyDescent="0.25">
      <c r="A250" t="s">
        <v>193</v>
      </c>
      <c r="B250" s="3">
        <v>41954</v>
      </c>
      <c r="C250" t="s">
        <v>14</v>
      </c>
      <c r="D250" s="16">
        <v>461.5</v>
      </c>
      <c r="E250">
        <v>131.25</v>
      </c>
      <c r="G250">
        <v>286.5</v>
      </c>
      <c r="H250">
        <v>41.5</v>
      </c>
      <c r="K250" s="16">
        <v>27.440845468024488</v>
      </c>
      <c r="L250">
        <v>5.9090326337452783</v>
      </c>
      <c r="N250">
        <v>16.380883167074153</v>
      </c>
      <c r="O250">
        <v>7.1414284285428504</v>
      </c>
      <c r="R250" t="s">
        <v>247</v>
      </c>
    </row>
    <row r="251" spans="1:18" x14ac:dyDescent="0.25">
      <c r="A251" t="s">
        <v>193</v>
      </c>
      <c r="B251" s="28">
        <v>41856</v>
      </c>
      <c r="C251" t="s">
        <v>14</v>
      </c>
      <c r="D251" s="16">
        <v>43.5</v>
      </c>
      <c r="I251">
        <v>1.958925</v>
      </c>
      <c r="J251">
        <v>4.0027749999999997</v>
      </c>
      <c r="K251" s="16">
        <v>5.9160797830996161</v>
      </c>
      <c r="P251">
        <v>0.30082860430262648</v>
      </c>
      <c r="Q251">
        <v>0.97757027496748405</v>
      </c>
    </row>
    <row r="252" spans="1:18" x14ac:dyDescent="0.25">
      <c r="A252" t="s">
        <v>193</v>
      </c>
      <c r="B252" s="28">
        <v>41873</v>
      </c>
      <c r="C252" t="s">
        <v>14</v>
      </c>
      <c r="D252" s="16">
        <v>155.5</v>
      </c>
      <c r="I252">
        <v>4.3575499999999998</v>
      </c>
      <c r="J252">
        <v>21.614725</v>
      </c>
      <c r="K252" s="16">
        <v>35.800372437541299</v>
      </c>
      <c r="P252">
        <v>1.2642543032686626</v>
      </c>
      <c r="Q252">
        <v>3.2472043620885187</v>
      </c>
    </row>
    <row r="253" spans="1:18" x14ac:dyDescent="0.25">
      <c r="A253" t="s">
        <v>194</v>
      </c>
      <c r="B253" s="3">
        <v>41883</v>
      </c>
      <c r="C253" t="s">
        <v>12</v>
      </c>
      <c r="D253" s="16">
        <v>253.25</v>
      </c>
      <c r="I253">
        <v>6.0874500000000005</v>
      </c>
      <c r="J253">
        <v>26.306100000000001</v>
      </c>
      <c r="K253" s="16">
        <v>30.467195473164246</v>
      </c>
      <c r="P253">
        <v>1.7357445078889515</v>
      </c>
      <c r="Q253">
        <v>3.0556355694573964</v>
      </c>
    </row>
    <row r="254" spans="1:18" x14ac:dyDescent="0.25">
      <c r="A254" t="s">
        <v>194</v>
      </c>
      <c r="B254" s="3">
        <v>41899</v>
      </c>
      <c r="C254" t="s">
        <v>12</v>
      </c>
      <c r="D254" s="16">
        <v>625</v>
      </c>
      <c r="E254">
        <v>332</v>
      </c>
      <c r="F254">
        <v>97.8</v>
      </c>
      <c r="G254">
        <v>148</v>
      </c>
      <c r="H254">
        <v>46.8</v>
      </c>
      <c r="I254">
        <v>10.3125</v>
      </c>
      <c r="J254">
        <v>58.4375</v>
      </c>
      <c r="K254" s="16"/>
    </row>
    <row r="255" spans="1:18" x14ac:dyDescent="0.25">
      <c r="A255" t="s">
        <v>194</v>
      </c>
      <c r="B255" s="3">
        <v>41901</v>
      </c>
      <c r="C255" t="s">
        <v>12</v>
      </c>
      <c r="D255" s="16">
        <v>435.33333333333331</v>
      </c>
      <c r="E255">
        <v>243.66666666666666</v>
      </c>
      <c r="F255">
        <v>75.933333333333337</v>
      </c>
      <c r="G255">
        <v>85.333333333333329</v>
      </c>
      <c r="H255">
        <v>30.5</v>
      </c>
      <c r="I255">
        <v>8.0330666666666666</v>
      </c>
      <c r="J255">
        <v>48.826933333333329</v>
      </c>
      <c r="K255" s="16">
        <v>32.347076117221384</v>
      </c>
      <c r="L255">
        <v>22.898325994127354</v>
      </c>
      <c r="M255">
        <v>5.7830211250982559</v>
      </c>
      <c r="N255">
        <v>4.5092497528229618</v>
      </c>
      <c r="O255">
        <v>10.804165863221465</v>
      </c>
      <c r="P255">
        <v>0.18016718162119022</v>
      </c>
      <c r="Q255">
        <v>4.4349778988551742</v>
      </c>
    </row>
    <row r="256" spans="1:18" x14ac:dyDescent="0.25">
      <c r="A256" t="s">
        <v>194</v>
      </c>
      <c r="B256" s="3">
        <v>41954</v>
      </c>
      <c r="C256" t="s">
        <v>12</v>
      </c>
      <c r="D256" s="16">
        <v>536.75</v>
      </c>
      <c r="E256">
        <v>163.5</v>
      </c>
      <c r="G256">
        <v>326.25</v>
      </c>
      <c r="H256">
        <v>52.25</v>
      </c>
      <c r="K256" s="16">
        <v>77.016773064919647</v>
      </c>
      <c r="L256">
        <v>29.045940622859273</v>
      </c>
      <c r="N256">
        <v>45.176505693409567</v>
      </c>
      <c r="O256">
        <v>1.707825127659933</v>
      </c>
      <c r="R256" t="s">
        <v>247</v>
      </c>
    </row>
    <row r="257" spans="1:18" x14ac:dyDescent="0.25">
      <c r="A257" t="s">
        <v>194</v>
      </c>
      <c r="B257" s="28">
        <v>41856</v>
      </c>
      <c r="C257" t="s">
        <v>12</v>
      </c>
      <c r="D257" s="16">
        <v>54.75</v>
      </c>
      <c r="I257">
        <v>2.4815750000000003</v>
      </c>
      <c r="J257">
        <v>4.3250999999999999</v>
      </c>
      <c r="K257" s="16">
        <v>18.997806890972093</v>
      </c>
      <c r="P257">
        <v>0.89436628728576939</v>
      </c>
      <c r="Q257">
        <v>1.4121773401382713</v>
      </c>
    </row>
    <row r="258" spans="1:18" x14ac:dyDescent="0.25">
      <c r="A258" t="s">
        <v>194</v>
      </c>
      <c r="B258" s="28">
        <v>41866</v>
      </c>
      <c r="C258" t="s">
        <v>12</v>
      </c>
      <c r="D258" s="16">
        <v>97.25</v>
      </c>
      <c r="I258">
        <v>3.3823999999999996</v>
      </c>
      <c r="J258">
        <v>12.177100000000001</v>
      </c>
      <c r="K258" s="16">
        <v>8.6168439698070429</v>
      </c>
      <c r="P258">
        <v>0.34019790318774407</v>
      </c>
      <c r="Q258">
        <v>1.5870247257053021</v>
      </c>
    </row>
    <row r="259" spans="1:18" x14ac:dyDescent="0.25">
      <c r="A259" t="s">
        <v>195</v>
      </c>
      <c r="B259" s="3">
        <v>41883</v>
      </c>
      <c r="C259" t="s">
        <v>10</v>
      </c>
      <c r="D259" s="16">
        <v>217.75</v>
      </c>
      <c r="I259">
        <v>5.4585000000000008</v>
      </c>
      <c r="J259">
        <v>29.520766666666663</v>
      </c>
      <c r="K259" s="16">
        <v>54.322340401225965</v>
      </c>
      <c r="P259">
        <v>0.39727923429243595</v>
      </c>
      <c r="Q259">
        <v>5.1754195581936733</v>
      </c>
    </row>
    <row r="260" spans="1:18" x14ac:dyDescent="0.25">
      <c r="A260" t="s">
        <v>195</v>
      </c>
      <c r="B260" s="3">
        <v>41899</v>
      </c>
      <c r="C260" t="s">
        <v>10</v>
      </c>
      <c r="D260" s="16">
        <v>347.33333333333331</v>
      </c>
      <c r="E260">
        <v>195.66666666666666</v>
      </c>
      <c r="F260">
        <v>55.9</v>
      </c>
      <c r="G260">
        <v>80.333333333333329</v>
      </c>
      <c r="H260">
        <v>15.733333333333334</v>
      </c>
      <c r="I260">
        <v>7.0712000000000002</v>
      </c>
      <c r="J260">
        <v>43.023966666666666</v>
      </c>
      <c r="K260" s="16">
        <v>66.289767938448406</v>
      </c>
      <c r="L260">
        <v>31.342197327777384</v>
      </c>
      <c r="M260">
        <v>10.454185764563396</v>
      </c>
      <c r="N260">
        <v>17.953644012660327</v>
      </c>
      <c r="O260">
        <v>7.9977080050057658</v>
      </c>
      <c r="P260">
        <v>1.2946710663330716</v>
      </c>
      <c r="Q260">
        <v>3.6062777656932674</v>
      </c>
    </row>
    <row r="261" spans="1:18" x14ac:dyDescent="0.25">
      <c r="A261" t="s">
        <v>195</v>
      </c>
      <c r="B261" s="3">
        <v>41904</v>
      </c>
      <c r="C261" t="s">
        <v>10</v>
      </c>
      <c r="D261" s="16">
        <v>304</v>
      </c>
      <c r="E261">
        <v>158</v>
      </c>
      <c r="F261">
        <v>53.9</v>
      </c>
      <c r="G261">
        <v>85</v>
      </c>
      <c r="H261">
        <v>6.8</v>
      </c>
      <c r="I261">
        <v>6.5055999999999994</v>
      </c>
      <c r="J261">
        <v>44.414400000000001</v>
      </c>
      <c r="K261" s="16"/>
    </row>
    <row r="262" spans="1:18" x14ac:dyDescent="0.25">
      <c r="A262" t="s">
        <v>195</v>
      </c>
      <c r="B262" s="3">
        <v>41954</v>
      </c>
      <c r="C262" t="s">
        <v>10</v>
      </c>
      <c r="D262" s="16">
        <v>473.5</v>
      </c>
      <c r="E262">
        <v>125</v>
      </c>
      <c r="G262">
        <v>306</v>
      </c>
      <c r="H262">
        <v>40.75</v>
      </c>
      <c r="K262" s="16">
        <v>46.335731352812381</v>
      </c>
      <c r="L262">
        <v>13.291601358251256</v>
      </c>
      <c r="N262">
        <v>28.307831660749528</v>
      </c>
      <c r="O262">
        <v>8.6554414483991895</v>
      </c>
      <c r="R262" t="s">
        <v>247</v>
      </c>
    </row>
    <row r="263" spans="1:18" x14ac:dyDescent="0.25">
      <c r="A263" t="s">
        <v>195</v>
      </c>
      <c r="B263" s="28">
        <v>41856</v>
      </c>
      <c r="C263" t="s">
        <v>10</v>
      </c>
      <c r="D263" s="16">
        <v>46.5</v>
      </c>
      <c r="I263">
        <v>2.0392000000000001</v>
      </c>
      <c r="J263">
        <v>4.9705250000000003</v>
      </c>
      <c r="K263" s="16">
        <v>9.6090235369330497</v>
      </c>
      <c r="P263">
        <v>0.4123625993386546</v>
      </c>
      <c r="Q263">
        <v>1.3754164251236789</v>
      </c>
    </row>
    <row r="264" spans="1:18" x14ac:dyDescent="0.25">
      <c r="A264" t="s">
        <v>195</v>
      </c>
      <c r="B264" s="28">
        <v>41871</v>
      </c>
      <c r="C264" t="s">
        <v>10</v>
      </c>
      <c r="D264" s="16">
        <v>110.75</v>
      </c>
      <c r="I264">
        <v>3.0678749999999999</v>
      </c>
      <c r="J264">
        <v>12.942749999999998</v>
      </c>
      <c r="K264" s="16">
        <v>16.640813281407453</v>
      </c>
      <c r="P264">
        <v>0.57272777346659298</v>
      </c>
      <c r="Q264">
        <v>3.9776645421654235</v>
      </c>
    </row>
    <row r="265" spans="1:18" x14ac:dyDescent="0.25">
      <c r="A265" t="s">
        <v>196</v>
      </c>
      <c r="B265" s="3">
        <v>41883</v>
      </c>
      <c r="C265" t="s">
        <v>8</v>
      </c>
      <c r="D265" s="16">
        <v>240</v>
      </c>
      <c r="I265">
        <v>6.1253500000000001</v>
      </c>
      <c r="J265">
        <v>32.797699999999999</v>
      </c>
      <c r="K265" s="16">
        <v>31.026870075253587</v>
      </c>
      <c r="P265">
        <v>0.69740210065642483</v>
      </c>
      <c r="Q265">
        <v>2.2938525875333098</v>
      </c>
    </row>
    <row r="266" spans="1:18" x14ac:dyDescent="0.25">
      <c r="A266" t="s">
        <v>196</v>
      </c>
      <c r="B266" s="3">
        <v>41901</v>
      </c>
      <c r="C266" t="s">
        <v>8</v>
      </c>
      <c r="D266" s="16">
        <v>447.5</v>
      </c>
      <c r="E266">
        <v>259</v>
      </c>
      <c r="F266">
        <v>87.75</v>
      </c>
      <c r="G266">
        <v>81</v>
      </c>
      <c r="H266">
        <v>18.899999999999999</v>
      </c>
      <c r="I266">
        <v>8.8818000000000001</v>
      </c>
      <c r="J266">
        <v>60.594250000000002</v>
      </c>
      <c r="K266" s="16">
        <v>30.405591591021544</v>
      </c>
      <c r="L266">
        <v>18.384776310850235</v>
      </c>
      <c r="M266">
        <v>6.2932503525602383</v>
      </c>
      <c r="N266">
        <v>2.8284271247461903</v>
      </c>
      <c r="O266">
        <v>2.5455844122715972</v>
      </c>
      <c r="P266">
        <v>0.57190796462368221</v>
      </c>
      <c r="Q266">
        <v>6.1691531124620003</v>
      </c>
    </row>
    <row r="267" spans="1:18" x14ac:dyDescent="0.25">
      <c r="A267" t="s">
        <v>196</v>
      </c>
      <c r="B267" s="3">
        <v>41904</v>
      </c>
      <c r="C267" t="s">
        <v>8</v>
      </c>
      <c r="D267" s="16">
        <v>471</v>
      </c>
      <c r="E267">
        <v>275.5</v>
      </c>
      <c r="F267">
        <v>95.95</v>
      </c>
      <c r="G267">
        <v>92.5</v>
      </c>
      <c r="H267">
        <v>7.1</v>
      </c>
      <c r="I267">
        <v>9.6300500000000007</v>
      </c>
      <c r="J267">
        <v>62.666549999999994</v>
      </c>
      <c r="K267" s="16">
        <v>28.284271247461902</v>
      </c>
      <c r="L267">
        <v>31.81980515339464</v>
      </c>
      <c r="M267">
        <v>7.8488852711706496</v>
      </c>
      <c r="N267">
        <v>2.1213203435596424</v>
      </c>
      <c r="O267">
        <v>6.9296464556281663</v>
      </c>
      <c r="P267">
        <v>1.0506899661650815</v>
      </c>
      <c r="Q267">
        <v>11.895020983798227</v>
      </c>
    </row>
    <row r="268" spans="1:18" x14ac:dyDescent="0.25">
      <c r="A268" t="s">
        <v>196</v>
      </c>
      <c r="B268" s="3">
        <v>41954</v>
      </c>
      <c r="C268" t="s">
        <v>8</v>
      </c>
      <c r="D268" s="16">
        <v>613.25</v>
      </c>
      <c r="E268">
        <v>182.5</v>
      </c>
      <c r="G268">
        <v>369.25</v>
      </c>
      <c r="H268">
        <v>58.25</v>
      </c>
      <c r="K268" s="16">
        <v>96.38940121541718</v>
      </c>
      <c r="L268">
        <v>28.94247167514666</v>
      </c>
      <c r="N268">
        <v>57.731418367009368</v>
      </c>
      <c r="O268">
        <v>14.863265679744362</v>
      </c>
      <c r="R268" t="s">
        <v>247</v>
      </c>
    </row>
    <row r="269" spans="1:18" x14ac:dyDescent="0.25">
      <c r="A269" t="s">
        <v>196</v>
      </c>
      <c r="B269" s="28">
        <v>41856</v>
      </c>
      <c r="C269" t="s">
        <v>8</v>
      </c>
      <c r="D269" s="16">
        <v>49</v>
      </c>
      <c r="I269">
        <v>2.1639749999999998</v>
      </c>
      <c r="J269">
        <v>5.7515749999999999</v>
      </c>
      <c r="K269" s="16">
        <v>14.53730832490435</v>
      </c>
      <c r="P269">
        <v>0.57047638791335431</v>
      </c>
      <c r="Q269">
        <v>2.7420380235328614</v>
      </c>
    </row>
    <row r="270" spans="1:18" x14ac:dyDescent="0.25">
      <c r="A270" t="s">
        <v>196</v>
      </c>
      <c r="B270" s="28">
        <v>41873</v>
      </c>
      <c r="C270" t="s">
        <v>8</v>
      </c>
      <c r="D270" s="16">
        <v>139.75</v>
      </c>
      <c r="I270">
        <v>3.9000250000000003</v>
      </c>
      <c r="J270">
        <v>26.090375000000002</v>
      </c>
      <c r="K270" s="16">
        <v>27.29316153666824</v>
      </c>
      <c r="P270">
        <v>0.83548351818971467</v>
      </c>
      <c r="Q270">
        <v>6.846962728283235</v>
      </c>
    </row>
    <row r="271" spans="1:18" x14ac:dyDescent="0.25">
      <c r="A271" t="s">
        <v>197</v>
      </c>
      <c r="B271" s="3">
        <v>41883</v>
      </c>
      <c r="C271" t="s">
        <v>4</v>
      </c>
      <c r="D271" s="16">
        <v>199.5</v>
      </c>
      <c r="I271">
        <v>6.3142500000000004</v>
      </c>
      <c r="J271">
        <v>22.841474999999999</v>
      </c>
      <c r="K271" s="16">
        <v>24.365275838099322</v>
      </c>
      <c r="P271">
        <v>0.77836528485452627</v>
      </c>
      <c r="Q271">
        <v>6.6387960582096568</v>
      </c>
    </row>
    <row r="272" spans="1:18" x14ac:dyDescent="0.25">
      <c r="A272" t="s">
        <v>197</v>
      </c>
      <c r="B272" s="3">
        <v>41901</v>
      </c>
      <c r="C272" t="s">
        <v>4</v>
      </c>
      <c r="D272" s="16">
        <v>359</v>
      </c>
      <c r="E272">
        <v>194</v>
      </c>
      <c r="F272">
        <v>76.7</v>
      </c>
      <c r="G272">
        <v>71</v>
      </c>
      <c r="H272">
        <v>17.5</v>
      </c>
      <c r="I272">
        <v>8.041599999999999</v>
      </c>
      <c r="J272">
        <v>36.115400000000001</v>
      </c>
      <c r="K272" s="16"/>
    </row>
    <row r="273" spans="1:18" x14ac:dyDescent="0.25">
      <c r="A273" t="s">
        <v>197</v>
      </c>
      <c r="B273" s="3">
        <v>41904</v>
      </c>
      <c r="C273" t="s">
        <v>4</v>
      </c>
      <c r="D273" s="16">
        <v>425</v>
      </c>
      <c r="E273">
        <v>214.33333333333334</v>
      </c>
      <c r="F273">
        <v>79.3</v>
      </c>
      <c r="G273">
        <v>122.33333333333333</v>
      </c>
      <c r="H273">
        <v>9.5</v>
      </c>
      <c r="I273">
        <v>8.3862666666666659</v>
      </c>
      <c r="J273">
        <v>47.329333333333331</v>
      </c>
      <c r="K273" s="16">
        <v>62</v>
      </c>
      <c r="L273">
        <v>47.226405043506418</v>
      </c>
      <c r="M273">
        <v>27.466160998581497</v>
      </c>
      <c r="N273">
        <v>44.094595284834313</v>
      </c>
      <c r="O273">
        <v>1.4000000000000028</v>
      </c>
      <c r="P273">
        <v>2.3914823631658577</v>
      </c>
      <c r="Q273">
        <v>11.769299133055187</v>
      </c>
    </row>
    <row r="274" spans="1:18" x14ac:dyDescent="0.25">
      <c r="A274" t="s">
        <v>197</v>
      </c>
      <c r="B274" s="3">
        <v>41954</v>
      </c>
      <c r="C274" t="s">
        <v>4</v>
      </c>
      <c r="D274" s="16">
        <v>543</v>
      </c>
      <c r="E274">
        <v>140.5</v>
      </c>
      <c r="G274">
        <v>336.75</v>
      </c>
      <c r="H274">
        <v>53</v>
      </c>
      <c r="K274" s="16">
        <v>71.339563590852819</v>
      </c>
      <c r="L274">
        <v>14.708274315273473</v>
      </c>
      <c r="N274">
        <v>42.382189655561689</v>
      </c>
      <c r="O274">
        <v>15.077577170531523</v>
      </c>
      <c r="R274" t="s">
        <v>247</v>
      </c>
    </row>
    <row r="275" spans="1:18" x14ac:dyDescent="0.25">
      <c r="A275" t="s">
        <v>197</v>
      </c>
      <c r="B275" s="28">
        <v>41856</v>
      </c>
      <c r="C275" t="s">
        <v>4</v>
      </c>
      <c r="D275" s="16">
        <v>36</v>
      </c>
      <c r="I275">
        <v>1.6051000000000002</v>
      </c>
      <c r="J275">
        <v>3.9866999999999999</v>
      </c>
      <c r="K275" s="16">
        <v>14.142135623730951</v>
      </c>
      <c r="P275">
        <v>0.50133870786126256</v>
      </c>
      <c r="Q275">
        <v>2.799435746717541</v>
      </c>
    </row>
    <row r="276" spans="1:18" x14ac:dyDescent="0.25">
      <c r="A276" t="s">
        <v>197</v>
      </c>
      <c r="B276" s="28">
        <v>41862</v>
      </c>
      <c r="C276" t="s">
        <v>4</v>
      </c>
      <c r="D276" s="16">
        <v>50.5</v>
      </c>
      <c r="I276">
        <v>2.3220499999999999</v>
      </c>
      <c r="J276">
        <v>6.7493499999999997</v>
      </c>
      <c r="K276" s="16">
        <v>13.435028842544403</v>
      </c>
      <c r="P276">
        <v>0.61086954826705842</v>
      </c>
      <c r="Q276">
        <v>1.5028140420557707</v>
      </c>
    </row>
    <row r="277" spans="1:18" x14ac:dyDescent="0.25">
      <c r="A277" t="s">
        <v>197</v>
      </c>
      <c r="B277" s="28">
        <v>41873</v>
      </c>
      <c r="C277" t="s">
        <v>4</v>
      </c>
      <c r="D277" s="16">
        <v>89.25</v>
      </c>
      <c r="I277">
        <v>2.9083750000000004</v>
      </c>
      <c r="J277">
        <v>13.961475</v>
      </c>
      <c r="K277" s="16">
        <v>16.660832312142553</v>
      </c>
      <c r="P277">
        <v>0.36960032805721094</v>
      </c>
      <c r="Q277">
        <v>3.657142136855867</v>
      </c>
    </row>
    <row r="278" spans="1:18" x14ac:dyDescent="0.25">
      <c r="A278" t="s">
        <v>198</v>
      </c>
      <c r="B278" s="3">
        <v>41883</v>
      </c>
      <c r="C278" t="s">
        <v>7</v>
      </c>
      <c r="D278" s="16">
        <v>189.5</v>
      </c>
      <c r="I278">
        <v>4.4551499999999997</v>
      </c>
      <c r="J278">
        <v>22.876525000000001</v>
      </c>
      <c r="K278" s="16">
        <v>37.969285832981726</v>
      </c>
      <c r="P278">
        <v>0.33892668332055698</v>
      </c>
      <c r="Q278">
        <v>7.2097152442034877</v>
      </c>
    </row>
    <row r="279" spans="1:18" x14ac:dyDescent="0.25">
      <c r="A279" t="s">
        <v>198</v>
      </c>
      <c r="B279" s="3">
        <v>41901</v>
      </c>
      <c r="C279" t="s">
        <v>7</v>
      </c>
      <c r="D279" s="16">
        <v>409.5</v>
      </c>
      <c r="E279">
        <v>226.5</v>
      </c>
      <c r="F279">
        <v>68.8</v>
      </c>
      <c r="G279">
        <v>85.5</v>
      </c>
      <c r="H279">
        <v>28.7</v>
      </c>
      <c r="I279">
        <v>7.4954999999999998</v>
      </c>
      <c r="J279">
        <v>50.182850000000002</v>
      </c>
      <c r="K279" s="16">
        <v>41.719300090006307</v>
      </c>
      <c r="L279">
        <v>26.16295090390226</v>
      </c>
      <c r="M279">
        <v>6.3639610306789276</v>
      </c>
      <c r="N279">
        <v>13.435028842544403</v>
      </c>
      <c r="O279">
        <v>5.2325901807804618</v>
      </c>
      <c r="P279">
        <v>1.1957175669864553</v>
      </c>
      <c r="Q279">
        <v>8.6844733544988237</v>
      </c>
    </row>
    <row r="280" spans="1:18" x14ac:dyDescent="0.25">
      <c r="A280" t="s">
        <v>198</v>
      </c>
      <c r="B280" s="3">
        <v>41904</v>
      </c>
      <c r="C280" t="s">
        <v>7</v>
      </c>
      <c r="D280" s="16">
        <v>383.5</v>
      </c>
      <c r="E280">
        <v>211.5</v>
      </c>
      <c r="F280">
        <v>69.800000000000011</v>
      </c>
      <c r="G280">
        <v>88</v>
      </c>
      <c r="H280">
        <v>14.3</v>
      </c>
      <c r="I280">
        <v>7.3323999999999989</v>
      </c>
      <c r="J280">
        <v>45.070399999999999</v>
      </c>
      <c r="K280" s="16">
        <v>65.760930650348925</v>
      </c>
      <c r="L280">
        <v>44.547727214752491</v>
      </c>
      <c r="M280">
        <v>7.9195959492891763</v>
      </c>
      <c r="N280">
        <v>14.142135623730951</v>
      </c>
      <c r="O280">
        <v>0.42426406871186956</v>
      </c>
      <c r="P280">
        <v>1.1237340966616656</v>
      </c>
      <c r="Q280">
        <v>2.5450187268466742</v>
      </c>
    </row>
    <row r="281" spans="1:18" x14ac:dyDescent="0.25">
      <c r="A281" t="s">
        <v>198</v>
      </c>
      <c r="B281" s="3">
        <v>41954</v>
      </c>
      <c r="C281" t="s">
        <v>7</v>
      </c>
      <c r="D281" s="16">
        <v>441.75</v>
      </c>
      <c r="E281">
        <v>132.5</v>
      </c>
      <c r="G281">
        <v>266</v>
      </c>
      <c r="H281">
        <v>40.75</v>
      </c>
      <c r="K281" s="16">
        <v>28.721362548922826</v>
      </c>
      <c r="L281">
        <v>14.106735979665885</v>
      </c>
      <c r="N281">
        <v>19.131126469708992</v>
      </c>
      <c r="O281">
        <v>4.7871355387816905</v>
      </c>
      <c r="R281" t="s">
        <v>247</v>
      </c>
    </row>
    <row r="282" spans="1:18" x14ac:dyDescent="0.25">
      <c r="A282" t="s">
        <v>198</v>
      </c>
      <c r="B282" s="28">
        <v>41856</v>
      </c>
      <c r="C282" t="s">
        <v>7</v>
      </c>
      <c r="D282" s="16">
        <v>36.25</v>
      </c>
      <c r="I282">
        <v>1.6357249999999999</v>
      </c>
      <c r="J282">
        <v>3.4482249999999999</v>
      </c>
      <c r="K282" s="16">
        <v>5.3774219349672263</v>
      </c>
      <c r="P282">
        <v>0.19581159950319693</v>
      </c>
      <c r="Q282">
        <v>0.51612784188286931</v>
      </c>
    </row>
    <row r="283" spans="1:18" x14ac:dyDescent="0.25">
      <c r="A283" t="s">
        <v>198</v>
      </c>
      <c r="B283" s="28">
        <v>41871</v>
      </c>
      <c r="C283" t="s">
        <v>7</v>
      </c>
      <c r="D283" s="16">
        <v>112</v>
      </c>
      <c r="I283">
        <v>3.5051999999999999</v>
      </c>
      <c r="J283">
        <v>11.830133333333334</v>
      </c>
      <c r="K283" s="16">
        <v>6.0827625302982193</v>
      </c>
      <c r="P283">
        <v>0.17537174800976957</v>
      </c>
      <c r="Q283">
        <v>1.5948826832508169</v>
      </c>
    </row>
    <row r="284" spans="1:18" x14ac:dyDescent="0.25">
      <c r="A284" t="s">
        <v>198</v>
      </c>
      <c r="B284" s="28">
        <v>41873</v>
      </c>
      <c r="C284" t="s">
        <v>7</v>
      </c>
      <c r="D284" s="16">
        <v>106</v>
      </c>
      <c r="I284">
        <v>3.286</v>
      </c>
      <c r="J284">
        <v>11.3102</v>
      </c>
      <c r="K284" s="16"/>
    </row>
    <row r="285" spans="1:18" x14ac:dyDescent="0.25">
      <c r="A285" t="s">
        <v>199</v>
      </c>
      <c r="B285" s="3">
        <v>41883</v>
      </c>
      <c r="C285" t="s">
        <v>2</v>
      </c>
      <c r="D285" s="16">
        <v>297.5</v>
      </c>
      <c r="I285">
        <v>7.1434749999999996</v>
      </c>
      <c r="J285">
        <v>39.955199999999998</v>
      </c>
      <c r="K285" s="16">
        <v>21.377558326431949</v>
      </c>
      <c r="P285">
        <v>0.24508420831760758</v>
      </c>
      <c r="Q285">
        <v>6.4642762879278814</v>
      </c>
    </row>
    <row r="286" spans="1:18" x14ac:dyDescent="0.25">
      <c r="A286" t="s">
        <v>199</v>
      </c>
      <c r="B286" s="3">
        <v>41897</v>
      </c>
      <c r="C286" t="s">
        <v>2</v>
      </c>
      <c r="D286" s="16">
        <v>464.33333333333331</v>
      </c>
      <c r="E286">
        <v>264.66666666666669</v>
      </c>
      <c r="F286">
        <v>88.8</v>
      </c>
      <c r="G286">
        <v>96.333333333333329</v>
      </c>
      <c r="H286">
        <v>14.1</v>
      </c>
      <c r="I286">
        <v>9.4086999999999978</v>
      </c>
      <c r="J286">
        <v>64.062433333333331</v>
      </c>
      <c r="K286" s="16">
        <v>35.004761580866592</v>
      </c>
      <c r="L286">
        <v>24.027761721253366</v>
      </c>
      <c r="M286">
        <v>3.8431757701151841</v>
      </c>
      <c r="N286">
        <v>6.0277137733417581</v>
      </c>
      <c r="O286">
        <v>1.8083141320025231</v>
      </c>
      <c r="P286">
        <v>1.1836072701703126</v>
      </c>
      <c r="Q286">
        <v>7.9413810142401005</v>
      </c>
    </row>
    <row r="287" spans="1:18" x14ac:dyDescent="0.25">
      <c r="A287" t="s">
        <v>199</v>
      </c>
      <c r="B287" s="3">
        <v>41899</v>
      </c>
      <c r="C287" t="s">
        <v>2</v>
      </c>
      <c r="D287" s="16">
        <v>462</v>
      </c>
      <c r="E287">
        <v>279</v>
      </c>
      <c r="F287">
        <v>73.400000000000006</v>
      </c>
      <c r="G287">
        <v>89</v>
      </c>
      <c r="H287">
        <v>20.100000000000001</v>
      </c>
      <c r="I287">
        <v>8.5007999999999999</v>
      </c>
      <c r="J287">
        <v>67.821600000000004</v>
      </c>
      <c r="K287" s="16"/>
    </row>
    <row r="288" spans="1:18" x14ac:dyDescent="0.25">
      <c r="A288" t="s">
        <v>199</v>
      </c>
      <c r="B288" s="3">
        <v>41954</v>
      </c>
      <c r="C288" t="s">
        <v>2</v>
      </c>
      <c r="D288" s="16">
        <v>644.25</v>
      </c>
      <c r="E288">
        <v>176.75</v>
      </c>
      <c r="G288">
        <v>411</v>
      </c>
      <c r="H288">
        <v>54.25</v>
      </c>
      <c r="K288" s="16">
        <v>20.758532382292028</v>
      </c>
      <c r="L288">
        <v>8.6938675704966499</v>
      </c>
      <c r="N288">
        <v>12.110601416389967</v>
      </c>
      <c r="O288">
        <v>4.7871355387816905</v>
      </c>
      <c r="R288" t="s">
        <v>247</v>
      </c>
    </row>
    <row r="289" spans="1:18" x14ac:dyDescent="0.25">
      <c r="A289" t="s">
        <v>199</v>
      </c>
      <c r="B289" s="28">
        <v>41856</v>
      </c>
      <c r="C289" t="s">
        <v>2</v>
      </c>
      <c r="D289" s="16">
        <v>61.25</v>
      </c>
      <c r="I289">
        <v>2.6616249999999999</v>
      </c>
      <c r="J289">
        <v>6.8871500000000001</v>
      </c>
      <c r="K289" s="16">
        <v>12.526638282742368</v>
      </c>
      <c r="P289">
        <v>0.55667776660590085</v>
      </c>
      <c r="Q289">
        <v>0.9400140761357374</v>
      </c>
    </row>
    <row r="290" spans="1:18" x14ac:dyDescent="0.25">
      <c r="A290" t="s">
        <v>199</v>
      </c>
      <c r="B290" s="28">
        <v>41873</v>
      </c>
      <c r="C290" t="s">
        <v>2</v>
      </c>
      <c r="D290" s="16">
        <v>192.75</v>
      </c>
      <c r="I290">
        <v>5.3279250000000005</v>
      </c>
      <c r="J290">
        <v>30.928349999999995</v>
      </c>
      <c r="K290" s="16">
        <v>44.252118593350986</v>
      </c>
      <c r="P290">
        <v>1.4709473350531592</v>
      </c>
      <c r="Q290">
        <v>9.6081360694986131</v>
      </c>
    </row>
    <row r="291" spans="1:18" x14ac:dyDescent="0.25">
      <c r="A291" t="s">
        <v>200</v>
      </c>
      <c r="B291" s="3">
        <v>41883</v>
      </c>
      <c r="C291" t="s">
        <v>3</v>
      </c>
      <c r="D291" s="16">
        <v>237.5</v>
      </c>
      <c r="I291">
        <v>6.5930999999999997</v>
      </c>
      <c r="J291">
        <v>25.781300000000002</v>
      </c>
      <c r="K291" s="16">
        <v>34.78026260203719</v>
      </c>
      <c r="P291">
        <v>0.72976022546221397</v>
      </c>
      <c r="Q291">
        <v>6.2154921001210077</v>
      </c>
    </row>
    <row r="292" spans="1:18" x14ac:dyDescent="0.25">
      <c r="A292" t="s">
        <v>200</v>
      </c>
      <c r="B292" s="3">
        <v>41899</v>
      </c>
      <c r="C292" t="s">
        <v>3</v>
      </c>
      <c r="D292" s="16">
        <v>436</v>
      </c>
      <c r="E292">
        <v>246</v>
      </c>
      <c r="F292">
        <v>81</v>
      </c>
      <c r="G292">
        <v>94</v>
      </c>
      <c r="H292">
        <v>14.8</v>
      </c>
      <c r="I292">
        <v>8.4148000000000014</v>
      </c>
      <c r="J292">
        <v>68.190400000000011</v>
      </c>
      <c r="K292" s="16"/>
    </row>
    <row r="293" spans="1:18" x14ac:dyDescent="0.25">
      <c r="A293" t="s">
        <v>200</v>
      </c>
      <c r="B293" s="3">
        <v>41901</v>
      </c>
      <c r="C293" t="s">
        <v>3</v>
      </c>
      <c r="D293" s="16">
        <v>403.66666666666669</v>
      </c>
      <c r="E293">
        <v>217.66666666666666</v>
      </c>
      <c r="F293">
        <v>74.833333333333329</v>
      </c>
      <c r="G293">
        <v>86.333333333333329</v>
      </c>
      <c r="H293">
        <v>24.533333333333331</v>
      </c>
      <c r="I293">
        <v>8.0980333333333334</v>
      </c>
      <c r="J293">
        <v>35.526266666666665</v>
      </c>
      <c r="K293" s="16">
        <v>48.003472096644664</v>
      </c>
      <c r="L293">
        <v>35.218366420567101</v>
      </c>
      <c r="M293">
        <v>4.2099089459670456</v>
      </c>
      <c r="N293">
        <v>9.4516312525052495</v>
      </c>
      <c r="O293">
        <v>7.7054093553382073</v>
      </c>
      <c r="P293">
        <v>0.62538273347874385</v>
      </c>
      <c r="Q293">
        <v>5.9204884336795391</v>
      </c>
    </row>
    <row r="294" spans="1:18" x14ac:dyDescent="0.25">
      <c r="A294" t="s">
        <v>200</v>
      </c>
      <c r="B294" s="3">
        <v>41954</v>
      </c>
      <c r="C294" t="s">
        <v>3</v>
      </c>
      <c r="D294" s="16">
        <v>660</v>
      </c>
      <c r="E294">
        <v>174.75</v>
      </c>
      <c r="G294">
        <v>404</v>
      </c>
      <c r="H294">
        <v>65</v>
      </c>
      <c r="K294" s="16">
        <v>111.68706281391771</v>
      </c>
      <c r="L294">
        <v>29.432125305522874</v>
      </c>
      <c r="N294">
        <v>68.278840060446257</v>
      </c>
      <c r="O294">
        <v>15.641824275533422</v>
      </c>
      <c r="R294" t="s">
        <v>247</v>
      </c>
    </row>
    <row r="295" spans="1:18" x14ac:dyDescent="0.25">
      <c r="A295" t="s">
        <v>200</v>
      </c>
      <c r="B295" s="28">
        <v>41856</v>
      </c>
      <c r="C295" t="s">
        <v>3</v>
      </c>
      <c r="D295" s="16">
        <v>45</v>
      </c>
      <c r="I295">
        <v>2.06115</v>
      </c>
      <c r="J295">
        <v>4.2642500000000005</v>
      </c>
      <c r="K295" s="16">
        <v>7.7028133388608957</v>
      </c>
      <c r="P295">
        <v>0.36328616360476279</v>
      </c>
      <c r="Q295">
        <v>0.90147302233621684</v>
      </c>
    </row>
    <row r="296" spans="1:18" x14ac:dyDescent="0.25">
      <c r="A296" t="s">
        <v>200</v>
      </c>
      <c r="B296" s="28">
        <v>41871</v>
      </c>
      <c r="C296" t="s">
        <v>3</v>
      </c>
      <c r="D296" s="16">
        <v>111</v>
      </c>
      <c r="I296">
        <v>3.6523749999999997</v>
      </c>
      <c r="J296">
        <v>10.688424999999999</v>
      </c>
      <c r="K296" s="16">
        <v>23.338094752285727</v>
      </c>
      <c r="P296">
        <v>0.89937289402116216</v>
      </c>
      <c r="Q296">
        <v>2.9148596951654531</v>
      </c>
    </row>
    <row r="297" spans="1:18" x14ac:dyDescent="0.25">
      <c r="A297" t="s">
        <v>201</v>
      </c>
      <c r="B297" s="3">
        <v>41883</v>
      </c>
      <c r="C297" t="s">
        <v>5</v>
      </c>
      <c r="D297" s="16">
        <v>228</v>
      </c>
      <c r="I297">
        <v>5.1403999999999996</v>
      </c>
      <c r="J297">
        <v>33.744500000000002</v>
      </c>
      <c r="K297" s="16">
        <v>24.426761280748348</v>
      </c>
      <c r="P297">
        <v>1.0308237094673351</v>
      </c>
      <c r="Q297">
        <v>4.3129987108739032</v>
      </c>
    </row>
    <row r="298" spans="1:18" x14ac:dyDescent="0.25">
      <c r="A298" t="s">
        <v>201</v>
      </c>
      <c r="B298" s="3">
        <v>41899</v>
      </c>
      <c r="C298" t="s">
        <v>5</v>
      </c>
      <c r="D298" s="16">
        <v>319</v>
      </c>
      <c r="E298">
        <v>178</v>
      </c>
      <c r="F298">
        <v>46.7</v>
      </c>
      <c r="G298">
        <v>68</v>
      </c>
      <c r="H298">
        <v>25.4</v>
      </c>
      <c r="I298">
        <v>5.423</v>
      </c>
      <c r="J298">
        <v>43.926299999999998</v>
      </c>
      <c r="K298" s="16"/>
    </row>
    <row r="299" spans="1:18" x14ac:dyDescent="0.25">
      <c r="A299" t="s">
        <v>201</v>
      </c>
      <c r="B299" s="3">
        <v>41901</v>
      </c>
      <c r="C299" t="s">
        <v>5</v>
      </c>
      <c r="D299" s="16">
        <v>403</v>
      </c>
      <c r="E299">
        <v>230</v>
      </c>
      <c r="F299">
        <v>60.9</v>
      </c>
      <c r="G299">
        <v>84</v>
      </c>
      <c r="H299">
        <v>28</v>
      </c>
      <c r="I299">
        <v>7.8988000000000005</v>
      </c>
      <c r="J299">
        <v>43.403100000000002</v>
      </c>
      <c r="K299" s="16"/>
    </row>
    <row r="300" spans="1:18" x14ac:dyDescent="0.25">
      <c r="A300" t="s">
        <v>201</v>
      </c>
      <c r="B300" s="3">
        <v>41904</v>
      </c>
      <c r="C300" t="s">
        <v>5</v>
      </c>
      <c r="D300" s="16">
        <v>352</v>
      </c>
      <c r="E300">
        <v>191.5</v>
      </c>
      <c r="F300">
        <v>49.9</v>
      </c>
      <c r="G300">
        <v>95</v>
      </c>
      <c r="H300">
        <v>15.7</v>
      </c>
      <c r="I300">
        <v>6.319700000000001</v>
      </c>
      <c r="J300">
        <v>55.888200000000005</v>
      </c>
      <c r="K300" s="16">
        <v>117.37972567696688</v>
      </c>
      <c r="L300">
        <v>55.861435713737258</v>
      </c>
      <c r="M300">
        <v>19.091883092036785</v>
      </c>
      <c r="N300">
        <v>35.355339059327378</v>
      </c>
      <c r="O300">
        <v>6.5053823869162457</v>
      </c>
      <c r="P300">
        <v>2.8125879328476127</v>
      </c>
      <c r="Q300">
        <v>21.175443933481052</v>
      </c>
    </row>
    <row r="301" spans="1:18" x14ac:dyDescent="0.25">
      <c r="A301" t="s">
        <v>201</v>
      </c>
      <c r="B301" s="3">
        <v>41954</v>
      </c>
      <c r="C301" t="s">
        <v>5</v>
      </c>
      <c r="D301" s="16">
        <v>471.5</v>
      </c>
      <c r="E301">
        <v>129.75</v>
      </c>
      <c r="G301">
        <v>287.75</v>
      </c>
      <c r="H301">
        <v>46.25</v>
      </c>
      <c r="K301" s="16">
        <v>22.649503305812249</v>
      </c>
      <c r="L301">
        <v>8.9953691790090904</v>
      </c>
      <c r="N301">
        <v>14.080127840328723</v>
      </c>
      <c r="O301">
        <v>4.1129875597510219</v>
      </c>
      <c r="R301" t="s">
        <v>247</v>
      </c>
    </row>
    <row r="302" spans="1:18" x14ac:dyDescent="0.25">
      <c r="A302" t="s">
        <v>201</v>
      </c>
      <c r="B302" s="28">
        <v>41856</v>
      </c>
      <c r="C302" t="s">
        <v>5</v>
      </c>
      <c r="D302" s="16">
        <v>48</v>
      </c>
      <c r="I302">
        <v>2.0755500000000002</v>
      </c>
      <c r="J302">
        <v>4.9512</v>
      </c>
      <c r="K302" s="16">
        <v>14.719601443879744</v>
      </c>
      <c r="P302">
        <v>0.50780141459695294</v>
      </c>
      <c r="Q302">
        <v>2.5861360533944575</v>
      </c>
    </row>
    <row r="303" spans="1:18" x14ac:dyDescent="0.25">
      <c r="A303" t="s">
        <v>201</v>
      </c>
      <c r="B303" s="28">
        <v>41871</v>
      </c>
      <c r="C303" t="s">
        <v>5</v>
      </c>
      <c r="D303" s="16">
        <v>113.75</v>
      </c>
      <c r="I303">
        <v>3.4735999999999998</v>
      </c>
      <c r="J303">
        <v>13.587025000000001</v>
      </c>
      <c r="K303" s="16">
        <v>7.455423082115014</v>
      </c>
      <c r="P303">
        <v>0.47324942683536492</v>
      </c>
      <c r="Q303">
        <v>2.1749900879084354</v>
      </c>
    </row>
    <row r="304" spans="1:18" x14ac:dyDescent="0.25">
      <c r="A304" t="s">
        <v>202</v>
      </c>
      <c r="B304" s="3">
        <v>41883</v>
      </c>
      <c r="C304" t="s">
        <v>9</v>
      </c>
      <c r="D304" s="16">
        <v>257.25</v>
      </c>
      <c r="I304">
        <v>6.3229499999999996</v>
      </c>
      <c r="J304">
        <v>33.960324999999997</v>
      </c>
      <c r="K304" s="16">
        <v>50.162236792232463</v>
      </c>
      <c r="P304">
        <v>1.19543390309405</v>
      </c>
      <c r="Q304">
        <v>13.122785198367779</v>
      </c>
    </row>
    <row r="305" spans="1:18" x14ac:dyDescent="0.25">
      <c r="A305" t="s">
        <v>202</v>
      </c>
      <c r="B305" s="3">
        <v>41899</v>
      </c>
      <c r="C305" t="s">
        <v>9</v>
      </c>
      <c r="D305" s="16">
        <v>392</v>
      </c>
      <c r="E305">
        <v>224.5</v>
      </c>
      <c r="F305">
        <v>56.75</v>
      </c>
      <c r="G305">
        <v>75.5</v>
      </c>
      <c r="H305">
        <v>35.15</v>
      </c>
      <c r="I305">
        <v>7.2410499999999995</v>
      </c>
      <c r="J305">
        <v>43.606099999999998</v>
      </c>
      <c r="K305" s="16">
        <v>41.012193308819754</v>
      </c>
      <c r="L305">
        <v>27.577164466275352</v>
      </c>
      <c r="M305">
        <v>13.364318164425733</v>
      </c>
      <c r="N305">
        <v>7.7781745930520225</v>
      </c>
      <c r="O305">
        <v>7.9903066274080032</v>
      </c>
      <c r="P305">
        <v>1.6672870793597598</v>
      </c>
      <c r="Q305">
        <v>8.5869633293732281</v>
      </c>
    </row>
    <row r="306" spans="1:18" x14ac:dyDescent="0.25">
      <c r="A306" t="s">
        <v>202</v>
      </c>
      <c r="B306" s="3">
        <v>41901</v>
      </c>
      <c r="C306" t="s">
        <v>9</v>
      </c>
      <c r="D306" s="16">
        <v>420</v>
      </c>
      <c r="E306">
        <v>254</v>
      </c>
      <c r="F306">
        <v>63.8</v>
      </c>
      <c r="G306">
        <v>78</v>
      </c>
      <c r="H306">
        <v>24.2</v>
      </c>
      <c r="I306">
        <v>7.476</v>
      </c>
      <c r="J306">
        <v>40.194000000000003</v>
      </c>
      <c r="K306" s="16"/>
    </row>
    <row r="307" spans="1:18" x14ac:dyDescent="0.25">
      <c r="A307" t="s">
        <v>202</v>
      </c>
      <c r="B307" s="3">
        <v>41904</v>
      </c>
      <c r="C307" t="s">
        <v>9</v>
      </c>
      <c r="D307" s="16">
        <v>547</v>
      </c>
      <c r="E307">
        <v>312</v>
      </c>
      <c r="F307">
        <v>100.8</v>
      </c>
      <c r="G307">
        <v>117</v>
      </c>
      <c r="H307">
        <v>17.399999999999999</v>
      </c>
      <c r="I307">
        <v>9.4631000000000007</v>
      </c>
      <c r="J307">
        <v>53.168399999999998</v>
      </c>
      <c r="K307" s="16"/>
    </row>
    <row r="308" spans="1:18" x14ac:dyDescent="0.25">
      <c r="A308" t="s">
        <v>202</v>
      </c>
      <c r="B308" s="3">
        <v>41954</v>
      </c>
      <c r="C308" t="s">
        <v>9</v>
      </c>
      <c r="D308" s="16">
        <v>535.5</v>
      </c>
      <c r="E308">
        <v>168.75</v>
      </c>
      <c r="G308">
        <v>309.5</v>
      </c>
      <c r="H308">
        <v>51.5</v>
      </c>
      <c r="K308" s="16">
        <v>71.579792306674562</v>
      </c>
      <c r="L308">
        <v>26.310644233845739</v>
      </c>
      <c r="N308">
        <v>48.897852713590602</v>
      </c>
      <c r="O308">
        <v>7.416198487095663</v>
      </c>
      <c r="R308" t="s">
        <v>247</v>
      </c>
    </row>
    <row r="309" spans="1:18" x14ac:dyDescent="0.25">
      <c r="A309" t="s">
        <v>202</v>
      </c>
      <c r="B309" s="28">
        <v>41856</v>
      </c>
      <c r="C309" t="s">
        <v>9</v>
      </c>
      <c r="D309" s="16">
        <v>59.5</v>
      </c>
      <c r="I309">
        <v>2.7743500000000001</v>
      </c>
      <c r="J309">
        <v>5.1277249999999999</v>
      </c>
      <c r="K309" s="16">
        <v>17.175564037317667</v>
      </c>
      <c r="P309">
        <v>0.78371361478540136</v>
      </c>
      <c r="Q309">
        <v>0.80991820729009412</v>
      </c>
    </row>
    <row r="310" spans="1:18" x14ac:dyDescent="0.25">
      <c r="A310" t="s">
        <v>202</v>
      </c>
      <c r="B310" s="28">
        <v>41871</v>
      </c>
      <c r="C310" t="s">
        <v>9</v>
      </c>
      <c r="D310" s="16">
        <v>152.25</v>
      </c>
      <c r="I310">
        <v>4.4977</v>
      </c>
      <c r="J310">
        <v>15.075725</v>
      </c>
      <c r="K310" s="16">
        <v>29.352739792621289</v>
      </c>
      <c r="P310">
        <v>0.95054804542782967</v>
      </c>
      <c r="Q310">
        <v>2.6168638499483765</v>
      </c>
    </row>
    <row r="311" spans="1:18" x14ac:dyDescent="0.25">
      <c r="A311" t="s">
        <v>203</v>
      </c>
      <c r="B311" s="3">
        <v>41883</v>
      </c>
      <c r="C311" t="s">
        <v>6</v>
      </c>
      <c r="D311" s="16">
        <v>198.5</v>
      </c>
      <c r="I311">
        <v>5.2832249999999998</v>
      </c>
      <c r="J311">
        <v>21.673175000000001</v>
      </c>
      <c r="K311" s="16">
        <v>30.160680805755472</v>
      </c>
      <c r="P311">
        <v>1.1797730131258266</v>
      </c>
      <c r="Q311">
        <v>7.0822710869583876</v>
      </c>
    </row>
    <row r="312" spans="1:18" x14ac:dyDescent="0.25">
      <c r="A312" t="s">
        <v>203</v>
      </c>
      <c r="B312" s="3">
        <v>41899</v>
      </c>
      <c r="C312" t="s">
        <v>6</v>
      </c>
      <c r="D312" s="16">
        <v>449</v>
      </c>
      <c r="E312">
        <v>249</v>
      </c>
      <c r="F312">
        <v>75.3</v>
      </c>
      <c r="G312">
        <v>94</v>
      </c>
      <c r="H312">
        <v>29.4</v>
      </c>
      <c r="I312">
        <v>10.057599999999999</v>
      </c>
      <c r="J312">
        <v>63.488600000000005</v>
      </c>
      <c r="K312" s="16"/>
    </row>
    <row r="313" spans="1:18" x14ac:dyDescent="0.25">
      <c r="A313" t="s">
        <v>203</v>
      </c>
      <c r="B313" s="3">
        <v>41901</v>
      </c>
      <c r="C313" t="s">
        <v>6</v>
      </c>
      <c r="D313" s="16">
        <v>324</v>
      </c>
      <c r="E313">
        <v>174</v>
      </c>
      <c r="F313">
        <v>62.65</v>
      </c>
      <c r="G313">
        <v>69</v>
      </c>
      <c r="H313">
        <v>18.7</v>
      </c>
      <c r="I313">
        <v>5.3398500000000002</v>
      </c>
      <c r="J313">
        <v>39.656500000000001</v>
      </c>
      <c r="K313" s="16">
        <v>77.781745930520231</v>
      </c>
      <c r="L313">
        <v>56.568542494923804</v>
      </c>
      <c r="M313">
        <v>0.21213203435613576</v>
      </c>
      <c r="N313">
        <v>12.727922061357855</v>
      </c>
      <c r="O313">
        <v>8.0610173055266365</v>
      </c>
      <c r="P313">
        <v>2.1496753254852248</v>
      </c>
      <c r="Q313">
        <v>6.6277118600615132</v>
      </c>
    </row>
    <row r="314" spans="1:18" x14ac:dyDescent="0.25">
      <c r="A314" t="s">
        <v>203</v>
      </c>
      <c r="B314" s="3">
        <v>41904</v>
      </c>
      <c r="C314" t="s">
        <v>6</v>
      </c>
      <c r="D314" s="16">
        <v>409</v>
      </c>
      <c r="E314">
        <v>233</v>
      </c>
      <c r="F314">
        <v>67.2</v>
      </c>
      <c r="G314">
        <v>100</v>
      </c>
      <c r="H314">
        <v>8.9</v>
      </c>
      <c r="I314">
        <v>6.9120999999999997</v>
      </c>
      <c r="J314">
        <v>47.116800000000005</v>
      </c>
      <c r="K314" s="16"/>
    </row>
    <row r="315" spans="1:18" x14ac:dyDescent="0.25">
      <c r="A315" t="s">
        <v>203</v>
      </c>
      <c r="B315" s="3">
        <v>41954</v>
      </c>
      <c r="C315" t="s">
        <v>6</v>
      </c>
      <c r="D315" s="16">
        <v>485.5</v>
      </c>
      <c r="E315">
        <v>148.75</v>
      </c>
      <c r="G315">
        <v>285.5</v>
      </c>
      <c r="H315">
        <v>46.5</v>
      </c>
      <c r="K315" s="16">
        <v>84.208075622234716</v>
      </c>
      <c r="L315">
        <v>29.81470554385313</v>
      </c>
      <c r="N315">
        <v>38.38836629327519</v>
      </c>
      <c r="O315">
        <v>15.588457268119896</v>
      </c>
      <c r="R315" t="s">
        <v>247</v>
      </c>
    </row>
    <row r="316" spans="1:18" x14ac:dyDescent="0.25">
      <c r="A316" t="s">
        <v>203</v>
      </c>
      <c r="B316" s="28">
        <v>41856</v>
      </c>
      <c r="C316" t="s">
        <v>6</v>
      </c>
      <c r="D316" s="16">
        <v>34.25</v>
      </c>
      <c r="I316">
        <v>1.6234000000000002</v>
      </c>
      <c r="J316">
        <v>3.380525</v>
      </c>
      <c r="K316" s="16">
        <v>4.4253060157839181</v>
      </c>
      <c r="P316">
        <v>0.16335476730110904</v>
      </c>
      <c r="Q316">
        <v>1.260908845172138</v>
      </c>
    </row>
    <row r="317" spans="1:18" x14ac:dyDescent="0.25">
      <c r="A317" t="s">
        <v>203</v>
      </c>
      <c r="B317" s="28">
        <v>41871</v>
      </c>
      <c r="C317" t="s">
        <v>6</v>
      </c>
      <c r="D317" s="16">
        <v>85.5</v>
      </c>
      <c r="I317">
        <v>2.8856000000000002</v>
      </c>
      <c r="J317">
        <v>8.759800000000002</v>
      </c>
      <c r="K317" s="16">
        <v>11.61895003862225</v>
      </c>
      <c r="P317">
        <v>0.42140791797655153</v>
      </c>
      <c r="Q317">
        <v>1.3225078626105178</v>
      </c>
    </row>
    <row r="318" spans="1:18" x14ac:dyDescent="0.25">
      <c r="A318" t="s">
        <v>227</v>
      </c>
      <c r="B318" s="3">
        <v>42222</v>
      </c>
      <c r="C318" t="s">
        <v>13</v>
      </c>
      <c r="D318" s="16">
        <v>52.75</v>
      </c>
      <c r="E318">
        <v>18.25</v>
      </c>
      <c r="F318">
        <v>34.5</v>
      </c>
      <c r="K318" s="16">
        <v>18.463928798245153</v>
      </c>
      <c r="L318">
        <v>7.7620873481300121</v>
      </c>
      <c r="M318">
        <v>10.408329997330663</v>
      </c>
    </row>
    <row r="319" spans="1:18" x14ac:dyDescent="0.25">
      <c r="A319" t="s">
        <v>227</v>
      </c>
      <c r="B319" s="3">
        <v>42230</v>
      </c>
      <c r="C319" t="s">
        <v>13</v>
      </c>
      <c r="D319" s="16">
        <v>114.5</v>
      </c>
      <c r="E319">
        <v>34.25</v>
      </c>
      <c r="F319">
        <v>80.5</v>
      </c>
      <c r="K319" s="16">
        <v>31.522478751942504</v>
      </c>
      <c r="L319">
        <v>15.58578412100805</v>
      </c>
      <c r="M319">
        <v>16.743157806499145</v>
      </c>
    </row>
    <row r="320" spans="1:18" x14ac:dyDescent="0.25">
      <c r="A320" t="s">
        <v>227</v>
      </c>
      <c r="B320" s="3">
        <v>42251</v>
      </c>
      <c r="C320" t="s">
        <v>13</v>
      </c>
      <c r="D320" s="16">
        <v>337.25</v>
      </c>
      <c r="E320">
        <v>190</v>
      </c>
      <c r="F320">
        <v>143</v>
      </c>
      <c r="H320">
        <v>4.625</v>
      </c>
      <c r="K320" s="16">
        <v>67.859536298641672</v>
      </c>
      <c r="L320">
        <v>51.61395160225576</v>
      </c>
      <c r="M320">
        <v>16.593171286204857</v>
      </c>
      <c r="O320">
        <v>3.9160992496786058</v>
      </c>
    </row>
    <row r="321" spans="1:18" x14ac:dyDescent="0.25">
      <c r="A321" t="s">
        <v>227</v>
      </c>
      <c r="B321" s="3">
        <v>42276</v>
      </c>
      <c r="C321" t="s">
        <v>13</v>
      </c>
      <c r="D321" s="16">
        <v>742.5</v>
      </c>
      <c r="E321">
        <v>401.75</v>
      </c>
      <c r="F321">
        <v>123.5</v>
      </c>
      <c r="G321">
        <v>177.5</v>
      </c>
      <c r="H321">
        <v>39.950000000000003</v>
      </c>
      <c r="K321" s="16">
        <v>115.01449184052127</v>
      </c>
      <c r="L321">
        <v>67.336839842689386</v>
      </c>
      <c r="M321">
        <v>18.77054430040145</v>
      </c>
      <c r="N321">
        <v>13.674794331177344</v>
      </c>
      <c r="O321">
        <v>18.938760959119428</v>
      </c>
    </row>
    <row r="322" spans="1:18" x14ac:dyDescent="0.25">
      <c r="A322" t="s">
        <v>227</v>
      </c>
      <c r="B322" s="3">
        <v>42306</v>
      </c>
      <c r="C322" t="s">
        <v>13</v>
      </c>
      <c r="D322" s="16">
        <v>936.25</v>
      </c>
      <c r="E322">
        <v>325</v>
      </c>
      <c r="G322">
        <v>485.25</v>
      </c>
      <c r="H322">
        <v>99.9</v>
      </c>
      <c r="K322" s="16">
        <v>48.767304621026575</v>
      </c>
      <c r="L322">
        <v>27.58018612458347</v>
      </c>
      <c r="N322">
        <v>70.745435659600446</v>
      </c>
      <c r="O322">
        <v>10.385566907973573</v>
      </c>
      <c r="R322" t="s">
        <v>247</v>
      </c>
    </row>
    <row r="323" spans="1:18" x14ac:dyDescent="0.25">
      <c r="A323" t="s">
        <v>228</v>
      </c>
      <c r="B323" s="3">
        <v>42222</v>
      </c>
      <c r="C323" t="s">
        <v>14</v>
      </c>
      <c r="D323" s="16">
        <v>117</v>
      </c>
      <c r="E323">
        <v>50</v>
      </c>
      <c r="F323">
        <v>66.5</v>
      </c>
      <c r="K323" s="16">
        <v>25.073226092121985</v>
      </c>
      <c r="L323">
        <v>9.8994949366116654</v>
      </c>
      <c r="M323">
        <v>15.154757228892407</v>
      </c>
    </row>
    <row r="324" spans="1:18" x14ac:dyDescent="0.25">
      <c r="A324" t="s">
        <v>228</v>
      </c>
      <c r="B324" s="3">
        <v>42230</v>
      </c>
      <c r="C324" t="s">
        <v>14</v>
      </c>
      <c r="D324" s="16">
        <v>160</v>
      </c>
      <c r="E324">
        <v>64.5</v>
      </c>
      <c r="F324">
        <v>95.25</v>
      </c>
      <c r="K324" s="16">
        <v>22.464787260658994</v>
      </c>
      <c r="L324">
        <v>13.076696830622021</v>
      </c>
      <c r="M324">
        <v>14.522970311429637</v>
      </c>
    </row>
    <row r="325" spans="1:18" x14ac:dyDescent="0.25">
      <c r="A325" t="s">
        <v>228</v>
      </c>
      <c r="B325" s="3">
        <v>42251</v>
      </c>
      <c r="C325" t="s">
        <v>14</v>
      </c>
      <c r="D325" s="16">
        <v>443.75</v>
      </c>
      <c r="E325">
        <v>282.25</v>
      </c>
      <c r="F325">
        <v>151</v>
      </c>
      <c r="H325">
        <v>10.725</v>
      </c>
      <c r="K325" s="16">
        <v>31.212978070027216</v>
      </c>
      <c r="L325">
        <v>52.898487691048409</v>
      </c>
      <c r="M325">
        <v>25.495097567963924</v>
      </c>
      <c r="O325">
        <v>5.200881335568682</v>
      </c>
    </row>
    <row r="326" spans="1:18" x14ac:dyDescent="0.25">
      <c r="A326" t="s">
        <v>228</v>
      </c>
      <c r="B326" s="3">
        <v>42276</v>
      </c>
      <c r="C326" t="s">
        <v>14</v>
      </c>
      <c r="D326" s="16">
        <v>830</v>
      </c>
      <c r="E326">
        <v>461</v>
      </c>
      <c r="F326">
        <v>109</v>
      </c>
      <c r="G326">
        <v>221.25</v>
      </c>
      <c r="H326">
        <v>38.6</v>
      </c>
      <c r="K326" s="16">
        <v>74.175467642610784</v>
      </c>
      <c r="L326">
        <v>54.814839839834129</v>
      </c>
      <c r="M326">
        <v>36.533090023520685</v>
      </c>
      <c r="N326">
        <v>25.863423336183992</v>
      </c>
      <c r="O326">
        <v>14.703060905811425</v>
      </c>
    </row>
    <row r="327" spans="1:18" x14ac:dyDescent="0.25">
      <c r="A327" t="s">
        <v>228</v>
      </c>
      <c r="B327" s="3">
        <v>42306</v>
      </c>
      <c r="C327" t="s">
        <v>14</v>
      </c>
      <c r="D327" s="16">
        <v>951.75</v>
      </c>
      <c r="E327">
        <v>343.25</v>
      </c>
      <c r="G327">
        <v>505</v>
      </c>
      <c r="H327">
        <v>95.425000000000011</v>
      </c>
      <c r="K327" s="16">
        <v>112.11415313569172</v>
      </c>
      <c r="L327">
        <v>50.347955933351123</v>
      </c>
      <c r="N327">
        <v>59.794091123900643</v>
      </c>
      <c r="O327">
        <v>12.651844397820547</v>
      </c>
      <c r="R327" t="s">
        <v>247</v>
      </c>
    </row>
    <row r="328" spans="1:18" x14ac:dyDescent="0.25">
      <c r="A328" t="s">
        <v>229</v>
      </c>
      <c r="B328" s="3">
        <v>42222</v>
      </c>
      <c r="C328" t="s">
        <v>12</v>
      </c>
      <c r="D328" s="16">
        <v>76.5</v>
      </c>
      <c r="E328">
        <v>29.75</v>
      </c>
      <c r="F328">
        <v>47</v>
      </c>
      <c r="K328" s="16">
        <v>17.253019059476713</v>
      </c>
      <c r="L328">
        <v>7.5883682918881403</v>
      </c>
      <c r="M328">
        <v>9.4868329805051381</v>
      </c>
    </row>
    <row r="329" spans="1:18" x14ac:dyDescent="0.25">
      <c r="A329" t="s">
        <v>229</v>
      </c>
      <c r="B329" s="3">
        <v>42230</v>
      </c>
      <c r="C329" t="s">
        <v>12</v>
      </c>
      <c r="D329" s="16">
        <v>119</v>
      </c>
      <c r="E329">
        <v>36.5</v>
      </c>
      <c r="F329">
        <v>82.25</v>
      </c>
      <c r="K329" s="16">
        <v>27.288581250527969</v>
      </c>
      <c r="L329">
        <v>10.082988974836116</v>
      </c>
      <c r="M329">
        <v>19.137659209004639</v>
      </c>
    </row>
    <row r="330" spans="1:18" x14ac:dyDescent="0.25">
      <c r="A330" t="s">
        <v>229</v>
      </c>
      <c r="B330" s="3">
        <v>42251</v>
      </c>
      <c r="C330" t="s">
        <v>12</v>
      </c>
      <c r="D330" s="16">
        <v>415.25</v>
      </c>
      <c r="E330">
        <v>257</v>
      </c>
      <c r="F330">
        <v>155</v>
      </c>
      <c r="H330">
        <v>3.375</v>
      </c>
      <c r="K330" s="16">
        <v>76.687134948873052</v>
      </c>
      <c r="L330">
        <v>70.531316921397874</v>
      </c>
      <c r="M330">
        <v>8.3666002653407556</v>
      </c>
      <c r="O330">
        <v>2.4472773987978287</v>
      </c>
    </row>
    <row r="331" spans="1:18" x14ac:dyDescent="0.25">
      <c r="A331" t="s">
        <v>229</v>
      </c>
      <c r="B331" s="3">
        <v>42276</v>
      </c>
      <c r="C331" t="s">
        <v>12</v>
      </c>
      <c r="D331" s="16">
        <v>838.5</v>
      </c>
      <c r="E331">
        <v>470.75</v>
      </c>
      <c r="F331">
        <v>117.75</v>
      </c>
      <c r="G331">
        <v>208.25</v>
      </c>
      <c r="H331">
        <v>42.050000000000004</v>
      </c>
      <c r="K331" s="16">
        <v>105.64247882993533</v>
      </c>
      <c r="L331">
        <v>67.073964149039725</v>
      </c>
      <c r="M331">
        <v>17.557049866079439</v>
      </c>
      <c r="N331">
        <v>38.577843381920665</v>
      </c>
      <c r="O331">
        <v>19.255215743619512</v>
      </c>
    </row>
    <row r="332" spans="1:18" x14ac:dyDescent="0.25">
      <c r="A332" t="s">
        <v>229</v>
      </c>
      <c r="B332" s="3">
        <v>42306</v>
      </c>
      <c r="C332" t="s">
        <v>12</v>
      </c>
      <c r="D332" s="16">
        <v>1003.75</v>
      </c>
      <c r="E332">
        <v>334.75</v>
      </c>
      <c r="G332">
        <v>559</v>
      </c>
      <c r="H332">
        <v>102.9</v>
      </c>
      <c r="K332" s="16">
        <v>122.91833332203404</v>
      </c>
      <c r="L332">
        <v>16.049402896473541</v>
      </c>
      <c r="N332">
        <v>127.43364286299492</v>
      </c>
      <c r="O332">
        <v>20.70362287137198</v>
      </c>
      <c r="R332" t="s">
        <v>247</v>
      </c>
    </row>
    <row r="333" spans="1:18" x14ac:dyDescent="0.25">
      <c r="A333" t="s">
        <v>230</v>
      </c>
      <c r="B333" s="3">
        <v>42222</v>
      </c>
      <c r="C333" t="s">
        <v>10</v>
      </c>
      <c r="D333" s="16">
        <v>93</v>
      </c>
      <c r="E333">
        <v>35.5</v>
      </c>
      <c r="F333">
        <v>57</v>
      </c>
      <c r="K333" s="16">
        <v>16.872067646458351</v>
      </c>
      <c r="L333">
        <v>8.3466560170326094</v>
      </c>
      <c r="M333">
        <v>8.8694231304333808</v>
      </c>
    </row>
    <row r="334" spans="1:18" x14ac:dyDescent="0.25">
      <c r="A334" t="s">
        <v>230</v>
      </c>
      <c r="B334" s="3">
        <v>42230</v>
      </c>
      <c r="C334" t="s">
        <v>10</v>
      </c>
      <c r="D334" s="16">
        <v>129.5</v>
      </c>
      <c r="E334">
        <v>44.5</v>
      </c>
      <c r="F334">
        <v>85.25</v>
      </c>
      <c r="K334" s="16">
        <v>32.398559638765839</v>
      </c>
      <c r="L334">
        <v>17.136705245369271</v>
      </c>
      <c r="M334">
        <v>15.129992289048486</v>
      </c>
    </row>
    <row r="335" spans="1:18" x14ac:dyDescent="0.25">
      <c r="A335" t="s">
        <v>230</v>
      </c>
      <c r="B335" s="3">
        <v>42251</v>
      </c>
      <c r="C335" t="s">
        <v>10</v>
      </c>
      <c r="D335" s="16">
        <v>363.5</v>
      </c>
      <c r="E335">
        <v>219</v>
      </c>
      <c r="F335">
        <v>130</v>
      </c>
      <c r="H335">
        <v>14.825000000000001</v>
      </c>
      <c r="K335" s="16">
        <v>92.471617267137702</v>
      </c>
      <c r="L335">
        <v>49.24090440545001</v>
      </c>
      <c r="M335">
        <v>45.912961132995989</v>
      </c>
      <c r="O335">
        <v>6.6849956369968284</v>
      </c>
    </row>
    <row r="336" spans="1:18" x14ac:dyDescent="0.25">
      <c r="A336" t="s">
        <v>230</v>
      </c>
      <c r="B336" s="3">
        <v>42276</v>
      </c>
      <c r="C336" t="s">
        <v>10</v>
      </c>
      <c r="D336" s="16">
        <v>824.25</v>
      </c>
      <c r="E336">
        <v>439.5</v>
      </c>
      <c r="F336">
        <v>115.25</v>
      </c>
      <c r="G336">
        <v>221</v>
      </c>
      <c r="H336">
        <v>48.55</v>
      </c>
      <c r="K336" s="16">
        <v>112.00409218714584</v>
      </c>
      <c r="L336">
        <v>59.067757702489438</v>
      </c>
      <c r="M336">
        <v>20.854655755170516</v>
      </c>
      <c r="N336">
        <v>24.467665738003422</v>
      </c>
      <c r="O336">
        <v>18.059254321999767</v>
      </c>
    </row>
    <row r="337" spans="1:18" x14ac:dyDescent="0.25">
      <c r="A337" t="s">
        <v>230</v>
      </c>
      <c r="B337" s="3">
        <v>42306</v>
      </c>
      <c r="C337" t="s">
        <v>10</v>
      </c>
      <c r="D337" s="16">
        <v>980</v>
      </c>
      <c r="E337">
        <v>353.25</v>
      </c>
      <c r="G337">
        <v>519.25</v>
      </c>
      <c r="H337">
        <v>102.97499999999999</v>
      </c>
      <c r="K337" s="16">
        <v>44.654227123532216</v>
      </c>
      <c r="L337">
        <v>20.758532382292028</v>
      </c>
      <c r="N337">
        <v>8.9953691790090904</v>
      </c>
      <c r="O337">
        <v>18.073622584676624</v>
      </c>
      <c r="R337" t="s">
        <v>247</v>
      </c>
    </row>
    <row r="338" spans="1:18" x14ac:dyDescent="0.25">
      <c r="A338" t="s">
        <v>231</v>
      </c>
      <c r="B338" s="3">
        <v>42222</v>
      </c>
      <c r="C338" t="s">
        <v>8</v>
      </c>
      <c r="D338" s="16">
        <v>97</v>
      </c>
      <c r="E338">
        <v>36.5</v>
      </c>
      <c r="F338">
        <v>60.5</v>
      </c>
      <c r="K338" s="16">
        <v>21.118712081942874</v>
      </c>
      <c r="L338">
        <v>7.416198487095663</v>
      </c>
      <c r="M338">
        <v>15.154757228892407</v>
      </c>
    </row>
    <row r="339" spans="1:18" x14ac:dyDescent="0.25">
      <c r="A339" t="s">
        <v>231</v>
      </c>
      <c r="B339" s="3">
        <v>42230</v>
      </c>
      <c r="C339" t="s">
        <v>8</v>
      </c>
      <c r="D339" s="16">
        <v>161.75</v>
      </c>
      <c r="E339">
        <v>54.75</v>
      </c>
      <c r="F339">
        <v>107</v>
      </c>
      <c r="K339" s="16">
        <v>39.928060308509856</v>
      </c>
      <c r="L339">
        <v>17.914147109663542</v>
      </c>
      <c r="M339">
        <v>23.888630489558555</v>
      </c>
    </row>
    <row r="340" spans="1:18" x14ac:dyDescent="0.25">
      <c r="A340" t="s">
        <v>231</v>
      </c>
      <c r="B340" s="3">
        <v>42251</v>
      </c>
      <c r="C340" t="s">
        <v>8</v>
      </c>
      <c r="D340" s="16">
        <v>440.75</v>
      </c>
      <c r="E340">
        <v>292.5</v>
      </c>
      <c r="F340">
        <v>143.25</v>
      </c>
      <c r="H340">
        <v>4.8250000000000002</v>
      </c>
      <c r="K340" s="16">
        <v>83.735197696866592</v>
      </c>
      <c r="L340">
        <v>67.609170975541474</v>
      </c>
      <c r="M340">
        <v>17.017148213885115</v>
      </c>
      <c r="O340">
        <v>4.603169198135852</v>
      </c>
    </row>
    <row r="341" spans="1:18" x14ac:dyDescent="0.25">
      <c r="A341" t="s">
        <v>231</v>
      </c>
      <c r="B341" s="3">
        <v>42276</v>
      </c>
      <c r="C341" t="s">
        <v>8</v>
      </c>
      <c r="D341" s="16">
        <v>893</v>
      </c>
      <c r="E341">
        <v>508.75</v>
      </c>
      <c r="F341">
        <v>114</v>
      </c>
      <c r="G341">
        <v>232.75</v>
      </c>
      <c r="H341">
        <v>38.075000000000003</v>
      </c>
      <c r="K341" s="16">
        <v>126.6359611905981</v>
      </c>
      <c r="L341">
        <v>86.550081840901029</v>
      </c>
      <c r="M341">
        <v>7.4833147735478827</v>
      </c>
      <c r="N341">
        <v>28.883386228072357</v>
      </c>
      <c r="O341">
        <v>16.644793980901838</v>
      </c>
    </row>
    <row r="342" spans="1:18" x14ac:dyDescent="0.25">
      <c r="A342" t="s">
        <v>231</v>
      </c>
      <c r="B342" s="3">
        <v>42306</v>
      </c>
      <c r="C342" t="s">
        <v>8</v>
      </c>
      <c r="D342" s="16">
        <v>1075</v>
      </c>
      <c r="E342">
        <v>358.25</v>
      </c>
      <c r="G342">
        <v>607.5</v>
      </c>
      <c r="H342">
        <v>94.625</v>
      </c>
      <c r="K342" s="16">
        <v>60.997267698370443</v>
      </c>
      <c r="L342">
        <v>38.525965270191477</v>
      </c>
      <c r="N342">
        <v>39.920754835882882</v>
      </c>
      <c r="O342">
        <v>23.28008805825268</v>
      </c>
      <c r="R342" t="s">
        <v>247</v>
      </c>
    </row>
    <row r="343" spans="1:18" x14ac:dyDescent="0.25">
      <c r="A343" t="s">
        <v>232</v>
      </c>
      <c r="B343" s="3">
        <v>42222</v>
      </c>
      <c r="C343" t="s">
        <v>4</v>
      </c>
      <c r="D343" s="16">
        <v>90</v>
      </c>
      <c r="E343">
        <v>36.25</v>
      </c>
      <c r="F343">
        <v>53.75</v>
      </c>
      <c r="K343" s="16">
        <v>24.993332444207329</v>
      </c>
      <c r="L343">
        <v>11.954775893619532</v>
      </c>
      <c r="M343">
        <v>15.195942440884233</v>
      </c>
    </row>
    <row r="344" spans="1:18" x14ac:dyDescent="0.25">
      <c r="A344" t="s">
        <v>232</v>
      </c>
      <c r="B344" s="3">
        <v>42230</v>
      </c>
      <c r="C344" t="s">
        <v>4</v>
      </c>
      <c r="D344" s="16">
        <v>148.25</v>
      </c>
      <c r="E344">
        <v>55</v>
      </c>
      <c r="F344">
        <v>93.75</v>
      </c>
      <c r="K344" s="16">
        <v>67.014301956124754</v>
      </c>
      <c r="L344">
        <v>35.13782387494517</v>
      </c>
      <c r="M344">
        <v>37.818646194701365</v>
      </c>
    </row>
    <row r="345" spans="1:18" x14ac:dyDescent="0.25">
      <c r="A345" t="s">
        <v>232</v>
      </c>
      <c r="B345" s="3">
        <v>42251</v>
      </c>
      <c r="C345" t="s">
        <v>4</v>
      </c>
      <c r="D345" s="16">
        <v>393</v>
      </c>
      <c r="E345">
        <v>255</v>
      </c>
      <c r="F345">
        <v>130.75</v>
      </c>
      <c r="H345">
        <v>7.1</v>
      </c>
      <c r="K345" s="16">
        <v>104.36474500519799</v>
      </c>
      <c r="L345">
        <v>87.821789247695619</v>
      </c>
      <c r="M345">
        <v>20.838665984174707</v>
      </c>
      <c r="O345">
        <v>4.5188494110780031</v>
      </c>
    </row>
    <row r="346" spans="1:18" x14ac:dyDescent="0.25">
      <c r="A346" t="s">
        <v>232</v>
      </c>
      <c r="B346" s="3">
        <v>42276</v>
      </c>
      <c r="C346" t="s">
        <v>4</v>
      </c>
      <c r="D346" s="16">
        <v>903.5</v>
      </c>
      <c r="E346">
        <v>502.75</v>
      </c>
      <c r="F346">
        <v>112</v>
      </c>
      <c r="G346">
        <v>241.25</v>
      </c>
      <c r="H346">
        <v>47.625</v>
      </c>
      <c r="K346" s="16">
        <v>111.77805389848821</v>
      </c>
      <c r="L346">
        <v>71.541945738147206</v>
      </c>
      <c r="M346">
        <v>27.27636339397171</v>
      </c>
      <c r="N346">
        <v>43.736902801486373</v>
      </c>
      <c r="O346">
        <v>20.723798718703414</v>
      </c>
    </row>
    <row r="347" spans="1:18" x14ac:dyDescent="0.25">
      <c r="A347" t="s">
        <v>232</v>
      </c>
      <c r="B347" s="3">
        <v>42306</v>
      </c>
      <c r="C347" t="s">
        <v>4</v>
      </c>
      <c r="D347" s="16">
        <v>1039.25</v>
      </c>
      <c r="E347">
        <v>357.5</v>
      </c>
      <c r="G347">
        <v>579</v>
      </c>
      <c r="H347">
        <v>90.574999999999989</v>
      </c>
      <c r="K347" s="16">
        <v>99.426270840926819</v>
      </c>
      <c r="L347">
        <v>31.585861816114289</v>
      </c>
      <c r="N347">
        <v>58.480766068853782</v>
      </c>
      <c r="O347">
        <v>20.078408801496241</v>
      </c>
      <c r="R347" t="s">
        <v>247</v>
      </c>
    </row>
    <row r="348" spans="1:18" x14ac:dyDescent="0.25">
      <c r="A348" t="s">
        <v>233</v>
      </c>
      <c r="B348" s="3">
        <v>42222</v>
      </c>
      <c r="C348" t="s">
        <v>7</v>
      </c>
      <c r="D348" s="16">
        <v>77.25</v>
      </c>
      <c r="E348">
        <v>31.75</v>
      </c>
      <c r="F348">
        <v>45.75</v>
      </c>
      <c r="K348" s="16">
        <v>7.5</v>
      </c>
      <c r="L348">
        <v>3.5939764421413041</v>
      </c>
      <c r="M348">
        <v>3.7749172176353749</v>
      </c>
    </row>
    <row r="349" spans="1:18" x14ac:dyDescent="0.25">
      <c r="A349" t="s">
        <v>233</v>
      </c>
      <c r="B349" s="3">
        <v>42230</v>
      </c>
      <c r="C349" t="s">
        <v>7</v>
      </c>
      <c r="D349" s="16">
        <v>113</v>
      </c>
      <c r="E349">
        <v>40.75</v>
      </c>
      <c r="F349">
        <v>72.25</v>
      </c>
      <c r="K349" s="16">
        <v>24.535688292770594</v>
      </c>
      <c r="L349">
        <v>9.215023964519391</v>
      </c>
      <c r="M349">
        <v>16.276260831857748</v>
      </c>
    </row>
    <row r="350" spans="1:18" x14ac:dyDescent="0.25">
      <c r="A350" t="s">
        <v>233</v>
      </c>
      <c r="B350" s="3">
        <v>42251</v>
      </c>
      <c r="C350" t="s">
        <v>7</v>
      </c>
      <c r="D350" s="16">
        <v>352.75</v>
      </c>
      <c r="E350">
        <v>222.5</v>
      </c>
      <c r="F350">
        <v>124.5</v>
      </c>
      <c r="H350">
        <v>5.625</v>
      </c>
      <c r="K350" s="16">
        <v>68.941400237206281</v>
      </c>
      <c r="L350">
        <v>40.869711686447374</v>
      </c>
      <c r="M350">
        <v>46.278144589716071</v>
      </c>
      <c r="O350">
        <v>4.1072091091964955</v>
      </c>
    </row>
    <row r="351" spans="1:18" x14ac:dyDescent="0.25">
      <c r="A351" t="s">
        <v>233</v>
      </c>
      <c r="B351" s="3">
        <v>42276</v>
      </c>
      <c r="C351" t="s">
        <v>7</v>
      </c>
      <c r="D351" s="16">
        <v>689.5</v>
      </c>
      <c r="E351">
        <v>350.25</v>
      </c>
      <c r="F351">
        <v>91.75</v>
      </c>
      <c r="G351">
        <v>213.75</v>
      </c>
      <c r="H351">
        <v>33.799999999999997</v>
      </c>
      <c r="K351" s="16">
        <v>180.78440198202941</v>
      </c>
      <c r="L351">
        <v>76.019186174719522</v>
      </c>
      <c r="M351">
        <v>23.837994882120434</v>
      </c>
      <c r="N351">
        <v>93.542770966013194</v>
      </c>
      <c r="O351">
        <v>14.639444433903</v>
      </c>
    </row>
    <row r="352" spans="1:18" x14ac:dyDescent="0.25">
      <c r="A352" t="s">
        <v>233</v>
      </c>
      <c r="B352" s="3">
        <v>42306</v>
      </c>
      <c r="C352" t="s">
        <v>7</v>
      </c>
      <c r="D352" s="16">
        <v>921.25</v>
      </c>
      <c r="E352">
        <v>323</v>
      </c>
      <c r="G352">
        <v>514.5</v>
      </c>
      <c r="H352">
        <v>77.075000000000003</v>
      </c>
      <c r="K352" s="16">
        <v>132.4874207865285</v>
      </c>
      <c r="L352">
        <v>35.279833710870392</v>
      </c>
      <c r="N352">
        <v>92.182789427672816</v>
      </c>
      <c r="O352">
        <v>19.247056051943773</v>
      </c>
      <c r="R352" t="s">
        <v>247</v>
      </c>
    </row>
    <row r="353" spans="1:18" x14ac:dyDescent="0.25">
      <c r="A353" t="s">
        <v>234</v>
      </c>
      <c r="B353" s="3">
        <v>42222</v>
      </c>
      <c r="C353" t="s">
        <v>2</v>
      </c>
      <c r="D353" s="16">
        <v>83.25</v>
      </c>
      <c r="E353">
        <v>32.5</v>
      </c>
      <c r="F353">
        <v>50.5</v>
      </c>
      <c r="K353" s="16">
        <v>17.404501333467348</v>
      </c>
      <c r="L353">
        <v>10.472185381603339</v>
      </c>
      <c r="M353">
        <v>6.8556546004010439</v>
      </c>
    </row>
    <row r="354" spans="1:18" x14ac:dyDescent="0.25">
      <c r="A354" t="s">
        <v>234</v>
      </c>
      <c r="B354" s="3">
        <v>42230</v>
      </c>
      <c r="C354" t="s">
        <v>2</v>
      </c>
      <c r="D354" s="16">
        <v>123</v>
      </c>
      <c r="E354">
        <v>41.25</v>
      </c>
      <c r="F354">
        <v>82</v>
      </c>
      <c r="K354" s="16">
        <v>27.988092706244444</v>
      </c>
      <c r="L354">
        <v>17.5</v>
      </c>
      <c r="M354">
        <v>11.803954139750516</v>
      </c>
    </row>
    <row r="355" spans="1:18" x14ac:dyDescent="0.25">
      <c r="A355" t="s">
        <v>234</v>
      </c>
      <c r="B355" s="3">
        <v>42251</v>
      </c>
      <c r="C355" t="s">
        <v>2</v>
      </c>
      <c r="D355" s="16">
        <v>359.75</v>
      </c>
      <c r="E355">
        <v>210</v>
      </c>
      <c r="F355">
        <v>136.25</v>
      </c>
      <c r="H355">
        <v>13.225000000000001</v>
      </c>
      <c r="K355" s="16">
        <v>40.95831213970289</v>
      </c>
      <c r="L355">
        <v>22.642143596988927</v>
      </c>
      <c r="M355">
        <v>15.628499608087784</v>
      </c>
      <c r="O355">
        <v>8.5480504599976843</v>
      </c>
    </row>
    <row r="356" spans="1:18" x14ac:dyDescent="0.25">
      <c r="A356" t="s">
        <v>234</v>
      </c>
      <c r="B356" s="3">
        <v>42276</v>
      </c>
      <c r="C356" t="s">
        <v>2</v>
      </c>
      <c r="D356" s="16">
        <v>845.75</v>
      </c>
      <c r="E356">
        <v>443.25</v>
      </c>
      <c r="F356">
        <v>107.75</v>
      </c>
      <c r="G356">
        <v>226.75</v>
      </c>
      <c r="H356">
        <v>68.125</v>
      </c>
      <c r="K356" s="16">
        <v>52.085666614402342</v>
      </c>
      <c r="L356">
        <v>33.470135942359121</v>
      </c>
      <c r="M356">
        <v>12.711543310445563</v>
      </c>
      <c r="N356">
        <v>14.5</v>
      </c>
      <c r="O356">
        <v>25.150397611171073</v>
      </c>
    </row>
    <row r="357" spans="1:18" x14ac:dyDescent="0.25">
      <c r="A357" t="s">
        <v>234</v>
      </c>
      <c r="B357" s="3">
        <v>42306</v>
      </c>
      <c r="C357" t="s">
        <v>2</v>
      </c>
      <c r="D357" s="16">
        <v>920.25</v>
      </c>
      <c r="E357">
        <v>336.25</v>
      </c>
      <c r="G357">
        <v>483.25</v>
      </c>
      <c r="H357">
        <v>92.125</v>
      </c>
      <c r="K357" s="16">
        <v>40.974585619218487</v>
      </c>
      <c r="L357">
        <v>24.851223980587623</v>
      </c>
      <c r="N357">
        <v>16.560495161679196</v>
      </c>
      <c r="O357">
        <v>10.600117923872379</v>
      </c>
      <c r="R357" t="s">
        <v>247</v>
      </c>
    </row>
    <row r="358" spans="1:18" x14ac:dyDescent="0.25">
      <c r="A358" t="s">
        <v>235</v>
      </c>
      <c r="B358" s="3">
        <v>42222</v>
      </c>
      <c r="C358" t="s">
        <v>3</v>
      </c>
      <c r="D358" s="16">
        <v>64.25</v>
      </c>
      <c r="E358">
        <v>22</v>
      </c>
      <c r="F358">
        <v>42.5</v>
      </c>
      <c r="K358" s="16">
        <v>18.318933738985283</v>
      </c>
      <c r="L358">
        <v>8.6794777108610237</v>
      </c>
      <c r="M358">
        <v>9.983319421247959</v>
      </c>
    </row>
    <row r="359" spans="1:18" x14ac:dyDescent="0.25">
      <c r="A359" t="s">
        <v>235</v>
      </c>
      <c r="B359" s="3">
        <v>42230</v>
      </c>
      <c r="C359" t="s">
        <v>3</v>
      </c>
      <c r="D359" s="16">
        <v>108.25</v>
      </c>
      <c r="E359">
        <v>29.75</v>
      </c>
      <c r="F359">
        <v>78.75</v>
      </c>
      <c r="K359" s="16">
        <v>18.463928798245153</v>
      </c>
      <c r="L359">
        <v>13.598406769422169</v>
      </c>
      <c r="M359">
        <v>17.914147109663542</v>
      </c>
    </row>
    <row r="360" spans="1:18" x14ac:dyDescent="0.25">
      <c r="A360" t="s">
        <v>235</v>
      </c>
      <c r="B360" s="3">
        <v>42251</v>
      </c>
      <c r="C360" t="s">
        <v>3</v>
      </c>
      <c r="D360" s="16">
        <v>368.75</v>
      </c>
      <c r="E360">
        <v>203.5</v>
      </c>
      <c r="F360">
        <v>157.5</v>
      </c>
      <c r="H360">
        <v>7.9750000000000005</v>
      </c>
      <c r="K360" s="16">
        <v>41.5</v>
      </c>
      <c r="L360">
        <v>30.2709982216202</v>
      </c>
      <c r="M360">
        <v>20.566963801203133</v>
      </c>
      <c r="O360">
        <v>1.3744695946679477</v>
      </c>
    </row>
    <row r="361" spans="1:18" x14ac:dyDescent="0.25">
      <c r="A361" t="s">
        <v>235</v>
      </c>
      <c r="B361" s="3">
        <v>42276</v>
      </c>
      <c r="C361" t="s">
        <v>3</v>
      </c>
      <c r="D361" s="16">
        <v>744.75</v>
      </c>
      <c r="E361">
        <v>404.25</v>
      </c>
      <c r="F361">
        <v>113.75</v>
      </c>
      <c r="G361">
        <v>188.75</v>
      </c>
      <c r="H361">
        <v>38.075000000000003</v>
      </c>
      <c r="K361" s="16">
        <v>65.632182146667446</v>
      </c>
      <c r="L361">
        <v>33.797189232242374</v>
      </c>
      <c r="M361">
        <v>10.404326023342406</v>
      </c>
      <c r="N361">
        <v>38.672772506420237</v>
      </c>
      <c r="O361">
        <v>16.087754141996736</v>
      </c>
    </row>
    <row r="362" spans="1:18" x14ac:dyDescent="0.25">
      <c r="A362" t="s">
        <v>235</v>
      </c>
      <c r="B362" s="3">
        <v>42306</v>
      </c>
      <c r="C362" t="s">
        <v>3</v>
      </c>
      <c r="D362" s="16">
        <v>944.75</v>
      </c>
      <c r="E362">
        <v>320</v>
      </c>
      <c r="G362">
        <v>515</v>
      </c>
      <c r="H362">
        <v>101.35</v>
      </c>
      <c r="K362" s="16">
        <v>90.599392933948508</v>
      </c>
      <c r="L362">
        <v>36.742346141747674</v>
      </c>
      <c r="N362">
        <v>76.131465242697118</v>
      </c>
      <c r="O362">
        <v>20.113428350234152</v>
      </c>
      <c r="R362" t="s">
        <v>247</v>
      </c>
    </row>
    <row r="363" spans="1:18" x14ac:dyDescent="0.25">
      <c r="A363" t="s">
        <v>236</v>
      </c>
      <c r="B363" s="3">
        <v>42222</v>
      </c>
      <c r="C363" t="s">
        <v>5</v>
      </c>
      <c r="D363" s="16">
        <v>72</v>
      </c>
      <c r="E363">
        <v>25.5</v>
      </c>
      <c r="F363">
        <v>46.5</v>
      </c>
      <c r="K363" s="16">
        <v>7.3936910042729442</v>
      </c>
      <c r="L363">
        <v>1</v>
      </c>
      <c r="M363">
        <v>6.8068592855540455</v>
      </c>
    </row>
    <row r="364" spans="1:18" x14ac:dyDescent="0.25">
      <c r="A364" t="s">
        <v>236</v>
      </c>
      <c r="B364" s="3">
        <v>42230</v>
      </c>
      <c r="C364" t="s">
        <v>5</v>
      </c>
      <c r="D364" s="16">
        <v>125.75</v>
      </c>
      <c r="E364">
        <v>41.25</v>
      </c>
      <c r="F364">
        <v>84</v>
      </c>
      <c r="K364" s="16">
        <v>20.934421415458321</v>
      </c>
      <c r="L364">
        <v>6.2383224240709669</v>
      </c>
      <c r="M364">
        <v>14.854853303438128</v>
      </c>
    </row>
    <row r="365" spans="1:18" x14ac:dyDescent="0.25">
      <c r="A365" t="s">
        <v>236</v>
      </c>
      <c r="B365" s="3">
        <v>42251</v>
      </c>
      <c r="C365" t="s">
        <v>5</v>
      </c>
      <c r="D365" s="16">
        <v>353.5</v>
      </c>
      <c r="E365">
        <v>212.25</v>
      </c>
      <c r="F365">
        <v>132.75</v>
      </c>
      <c r="H365">
        <v>8.2750000000000004</v>
      </c>
      <c r="K365" s="16">
        <v>28.242993231360352</v>
      </c>
      <c r="L365">
        <v>23.32916629457641</v>
      </c>
      <c r="M365">
        <v>12.526638282742368</v>
      </c>
      <c r="O365">
        <v>4.5110050616981878</v>
      </c>
    </row>
    <row r="366" spans="1:18" x14ac:dyDescent="0.25">
      <c r="A366" t="s">
        <v>236</v>
      </c>
      <c r="B366" s="3">
        <v>42276</v>
      </c>
      <c r="C366" t="s">
        <v>5</v>
      </c>
      <c r="D366" s="16">
        <v>773.25</v>
      </c>
      <c r="E366">
        <v>415.5</v>
      </c>
      <c r="F366">
        <v>100.5</v>
      </c>
      <c r="G366">
        <v>204.75</v>
      </c>
      <c r="H366">
        <v>52.825000000000003</v>
      </c>
      <c r="K366" s="16">
        <v>148.79152081575975</v>
      </c>
      <c r="L366">
        <v>64.758525822216384</v>
      </c>
      <c r="M366">
        <v>19.908122295518815</v>
      </c>
      <c r="N366">
        <v>44.731607020837814</v>
      </c>
      <c r="O366">
        <v>27.806399143602405</v>
      </c>
    </row>
    <row r="367" spans="1:18" x14ac:dyDescent="0.25">
      <c r="A367" t="s">
        <v>236</v>
      </c>
      <c r="B367" s="3">
        <v>42306</v>
      </c>
      <c r="C367" t="s">
        <v>5</v>
      </c>
      <c r="D367" s="16">
        <v>891</v>
      </c>
      <c r="E367">
        <v>306.5</v>
      </c>
      <c r="G367">
        <v>477.75</v>
      </c>
      <c r="H367">
        <v>99.2</v>
      </c>
      <c r="K367" s="16">
        <v>48.56610615096362</v>
      </c>
      <c r="L367">
        <v>19.958289839896938</v>
      </c>
      <c r="N367">
        <v>29.364093720052047</v>
      </c>
      <c r="O367">
        <v>20.319120715883997</v>
      </c>
      <c r="R367" t="s">
        <v>247</v>
      </c>
    </row>
    <row r="368" spans="1:18" x14ac:dyDescent="0.25">
      <c r="A368" t="s">
        <v>237</v>
      </c>
      <c r="B368" s="3">
        <v>42222</v>
      </c>
      <c r="C368" t="s">
        <v>9</v>
      </c>
      <c r="D368" s="16">
        <v>74</v>
      </c>
      <c r="E368">
        <v>26.25</v>
      </c>
      <c r="F368">
        <v>47.75</v>
      </c>
      <c r="K368" s="16">
        <v>18.384776310850235</v>
      </c>
      <c r="L368">
        <v>7.1355915428692152</v>
      </c>
      <c r="M368">
        <v>12.230426539304888</v>
      </c>
    </row>
    <row r="369" spans="1:18" x14ac:dyDescent="0.25">
      <c r="A369" t="s">
        <v>237</v>
      </c>
      <c r="B369" s="3">
        <v>42230</v>
      </c>
      <c r="C369" t="s">
        <v>9</v>
      </c>
      <c r="D369" s="16">
        <v>115.5</v>
      </c>
      <c r="E369">
        <v>36</v>
      </c>
      <c r="F369">
        <v>79.75</v>
      </c>
      <c r="K369" s="16">
        <v>21.855586623714007</v>
      </c>
      <c r="L369">
        <v>8.8317608663278477</v>
      </c>
      <c r="M369">
        <v>14.221462653327892</v>
      </c>
    </row>
    <row r="370" spans="1:18" x14ac:dyDescent="0.25">
      <c r="A370" t="s">
        <v>237</v>
      </c>
      <c r="B370" s="3">
        <v>42251</v>
      </c>
      <c r="C370" t="s">
        <v>9</v>
      </c>
      <c r="D370" s="16">
        <v>370.75</v>
      </c>
      <c r="E370">
        <v>244.5</v>
      </c>
      <c r="F370">
        <v>118.75</v>
      </c>
      <c r="H370">
        <v>7.625</v>
      </c>
      <c r="K370" s="16">
        <v>76.399716404360206</v>
      </c>
      <c r="L370">
        <v>106.38452268383153</v>
      </c>
      <c r="M370">
        <v>45.864837657331066</v>
      </c>
      <c r="O370">
        <v>6.7425885237051206</v>
      </c>
    </row>
    <row r="371" spans="1:18" x14ac:dyDescent="0.25">
      <c r="A371" t="s">
        <v>237</v>
      </c>
      <c r="B371" s="3">
        <v>42276</v>
      </c>
      <c r="C371" t="s">
        <v>9</v>
      </c>
      <c r="D371" s="16">
        <v>808.5</v>
      </c>
      <c r="E371">
        <v>443</v>
      </c>
      <c r="F371">
        <v>123</v>
      </c>
      <c r="G371">
        <v>196.25</v>
      </c>
      <c r="H371">
        <v>46.424999999999997</v>
      </c>
      <c r="K371" s="16">
        <v>94.36630754670864</v>
      </c>
      <c r="L371">
        <v>61.779176642835459</v>
      </c>
      <c r="M371">
        <v>10.033277962194941</v>
      </c>
      <c r="N371">
        <v>36.809192692405887</v>
      </c>
      <c r="O371">
        <v>7.4620707581743151</v>
      </c>
    </row>
    <row r="372" spans="1:18" x14ac:dyDescent="0.25">
      <c r="A372" t="s">
        <v>237</v>
      </c>
      <c r="B372" s="3">
        <v>42306</v>
      </c>
      <c r="C372" t="s">
        <v>9</v>
      </c>
      <c r="D372" s="16">
        <v>972.25</v>
      </c>
      <c r="E372">
        <v>323.25</v>
      </c>
      <c r="G372">
        <v>523</v>
      </c>
      <c r="H372">
        <v>113.02500000000001</v>
      </c>
      <c r="K372" s="16">
        <v>143.86886390042844</v>
      </c>
      <c r="L372">
        <v>51.175352140133498</v>
      </c>
      <c r="N372">
        <v>55.635719940819797</v>
      </c>
      <c r="O372">
        <v>42.832649151474783</v>
      </c>
      <c r="R372" t="s">
        <v>247</v>
      </c>
    </row>
    <row r="373" spans="1:18" x14ac:dyDescent="0.25">
      <c r="A373" t="s">
        <v>238</v>
      </c>
      <c r="B373" s="3">
        <v>42222</v>
      </c>
      <c r="C373" t="s">
        <v>6</v>
      </c>
      <c r="D373" s="16">
        <v>89.75</v>
      </c>
      <c r="E373">
        <v>34.5</v>
      </c>
      <c r="F373">
        <v>55</v>
      </c>
      <c r="K373" s="16">
        <v>21.792582836062977</v>
      </c>
      <c r="L373">
        <v>11.269427669584644</v>
      </c>
      <c r="M373">
        <v>10.862780491200215</v>
      </c>
    </row>
    <row r="374" spans="1:18" x14ac:dyDescent="0.25">
      <c r="A374" t="s">
        <v>238</v>
      </c>
      <c r="B374" s="3">
        <v>42230</v>
      </c>
      <c r="C374" t="s">
        <v>6</v>
      </c>
      <c r="D374" s="16">
        <v>149</v>
      </c>
      <c r="E374">
        <v>44.25</v>
      </c>
      <c r="F374">
        <v>104.75</v>
      </c>
      <c r="K374" s="16">
        <v>52.94651389216606</v>
      </c>
      <c r="L374">
        <v>18.463928798245153</v>
      </c>
      <c r="M374">
        <v>36.998873856736054</v>
      </c>
    </row>
    <row r="375" spans="1:18" x14ac:dyDescent="0.25">
      <c r="A375" t="s">
        <v>238</v>
      </c>
      <c r="B375" s="3">
        <v>42251</v>
      </c>
      <c r="C375" t="s">
        <v>6</v>
      </c>
      <c r="D375" s="16">
        <v>358</v>
      </c>
      <c r="E375">
        <v>216.75</v>
      </c>
      <c r="F375">
        <v>131.5</v>
      </c>
      <c r="H375">
        <v>9.8249999999999993</v>
      </c>
      <c r="K375" s="16">
        <v>97.224825361975661</v>
      </c>
      <c r="L375">
        <v>64.845328796041017</v>
      </c>
      <c r="M375">
        <v>38.561638969317684</v>
      </c>
      <c r="O375">
        <v>12.357555044047617</v>
      </c>
    </row>
    <row r="376" spans="1:18" x14ac:dyDescent="0.25">
      <c r="A376" t="s">
        <v>238</v>
      </c>
      <c r="B376" s="3">
        <v>42276</v>
      </c>
      <c r="C376" t="s">
        <v>6</v>
      </c>
      <c r="D376" s="16">
        <v>859.5</v>
      </c>
      <c r="E376">
        <v>473.25</v>
      </c>
      <c r="F376">
        <v>133.5</v>
      </c>
      <c r="G376">
        <v>220.5</v>
      </c>
      <c r="H376">
        <v>31.900000000000002</v>
      </c>
      <c r="K376" s="16">
        <v>135.70679177304771</v>
      </c>
      <c r="L376">
        <v>94.665639665790749</v>
      </c>
      <c r="M376">
        <v>32.150686877058583</v>
      </c>
      <c r="N376">
        <v>12.503332889007368</v>
      </c>
      <c r="O376">
        <v>9.8937690829464131</v>
      </c>
    </row>
    <row r="377" spans="1:18" x14ac:dyDescent="0.25">
      <c r="A377" t="s">
        <v>238</v>
      </c>
      <c r="B377" s="3">
        <v>42306</v>
      </c>
      <c r="C377" t="s">
        <v>6</v>
      </c>
      <c r="D377" s="16">
        <v>979.5</v>
      </c>
      <c r="E377">
        <v>327</v>
      </c>
      <c r="G377">
        <v>531.75</v>
      </c>
      <c r="H377">
        <v>96.074999999999989</v>
      </c>
      <c r="K377" s="16">
        <v>116.38298844762494</v>
      </c>
      <c r="L377">
        <v>49.146040871400146</v>
      </c>
      <c r="N377">
        <v>70.801953833680798</v>
      </c>
      <c r="O377">
        <v>19.071335384113389</v>
      </c>
      <c r="R377" t="s">
        <v>247</v>
      </c>
    </row>
    <row r="378" spans="1:18" x14ac:dyDescent="0.25">
      <c r="A378" t="s">
        <v>204</v>
      </c>
      <c r="B378" s="3">
        <v>42214</v>
      </c>
      <c r="C378" t="s">
        <v>13</v>
      </c>
      <c r="D378" s="16">
        <v>69.75</v>
      </c>
      <c r="I378">
        <v>4.1390749999999992</v>
      </c>
      <c r="J378">
        <v>1.5411499999999998</v>
      </c>
      <c r="K378">
        <v>8.8081401744825403</v>
      </c>
      <c r="P378">
        <v>0.60159389056627932</v>
      </c>
      <c r="Q378">
        <v>0.56188227414646152</v>
      </c>
    </row>
    <row r="379" spans="1:18" x14ac:dyDescent="0.25">
      <c r="A379" t="s">
        <v>204</v>
      </c>
      <c r="B379" s="3">
        <v>42247</v>
      </c>
      <c r="C379" t="s">
        <v>13</v>
      </c>
      <c r="D379" s="16">
        <v>259.5</v>
      </c>
      <c r="E379">
        <v>120.75</v>
      </c>
      <c r="F379">
        <v>138.75</v>
      </c>
      <c r="I379">
        <v>13.833949999999998</v>
      </c>
      <c r="J379">
        <v>7.0144750000000009</v>
      </c>
      <c r="K379">
        <v>36.050889956652483</v>
      </c>
      <c r="L379">
        <v>20.613506898794942</v>
      </c>
      <c r="M379">
        <v>19.939491802283559</v>
      </c>
      <c r="P379">
        <v>2.8812907437466402</v>
      </c>
      <c r="Q379">
        <v>5.8009388638822923</v>
      </c>
    </row>
    <row r="380" spans="1:18" x14ac:dyDescent="0.25">
      <c r="A380" t="s">
        <v>204</v>
      </c>
      <c r="B380" s="3">
        <v>42264</v>
      </c>
      <c r="C380" t="s">
        <v>13</v>
      </c>
      <c r="D380" s="16">
        <v>606</v>
      </c>
      <c r="E380">
        <v>387.5</v>
      </c>
      <c r="F380">
        <v>218.5</v>
      </c>
      <c r="I380">
        <v>20.314725000000003</v>
      </c>
      <c r="J380">
        <v>56.586975000000002</v>
      </c>
      <c r="K380">
        <v>25.205819433879419</v>
      </c>
      <c r="L380">
        <v>25.579940057266228</v>
      </c>
      <c r="M380">
        <v>17.935068069752806</v>
      </c>
      <c r="P380">
        <v>1.5339540831349885</v>
      </c>
      <c r="Q380">
        <v>7.5719576739329923</v>
      </c>
    </row>
    <row r="381" spans="1:18" x14ac:dyDescent="0.25">
      <c r="A381" t="s">
        <v>204</v>
      </c>
      <c r="B381" s="3">
        <v>42293</v>
      </c>
      <c r="C381" t="s">
        <v>13</v>
      </c>
      <c r="D381" s="16">
        <v>1074</v>
      </c>
      <c r="E381">
        <v>594.5</v>
      </c>
      <c r="F381">
        <v>98.75</v>
      </c>
      <c r="G381">
        <v>323.5</v>
      </c>
      <c r="H381">
        <v>57.25</v>
      </c>
      <c r="I381">
        <v>18.2117</v>
      </c>
      <c r="J381">
        <v>143.58634999999998</v>
      </c>
      <c r="K381">
        <v>104.59764178348701</v>
      </c>
      <c r="L381">
        <v>56.771471708949029</v>
      </c>
      <c r="M381">
        <v>17.114808402861737</v>
      </c>
      <c r="N381">
        <v>48.28043081829324</v>
      </c>
      <c r="O381">
        <v>6.7019897542943667</v>
      </c>
      <c r="P381">
        <v>1.2888608070695096</v>
      </c>
      <c r="Q381">
        <v>17.181619743881466</v>
      </c>
    </row>
    <row r="382" spans="1:18" x14ac:dyDescent="0.25">
      <c r="A382" t="s">
        <v>204</v>
      </c>
      <c r="B382" s="3">
        <v>42361</v>
      </c>
      <c r="C382" t="s">
        <v>13</v>
      </c>
      <c r="D382" s="16">
        <v>1041</v>
      </c>
      <c r="E382">
        <v>382.25</v>
      </c>
      <c r="G382">
        <v>571.75</v>
      </c>
      <c r="H382">
        <v>86.75</v>
      </c>
      <c r="K382">
        <v>28.577380332470412</v>
      </c>
      <c r="L382">
        <v>17.173137938847013</v>
      </c>
      <c r="N382">
        <v>26.849891371599004</v>
      </c>
      <c r="O382">
        <v>6.946221994724902</v>
      </c>
      <c r="R382" t="s">
        <v>247</v>
      </c>
    </row>
    <row r="383" spans="1:18" x14ac:dyDescent="0.25">
      <c r="A383" t="s">
        <v>205</v>
      </c>
      <c r="B383" s="3">
        <v>42214</v>
      </c>
      <c r="C383" t="s">
        <v>14</v>
      </c>
      <c r="D383" s="16">
        <v>52.5</v>
      </c>
      <c r="I383">
        <v>3.0143750000000002</v>
      </c>
      <c r="J383">
        <v>2.0773000000000001</v>
      </c>
      <c r="K383">
        <v>7.047458170621991</v>
      </c>
      <c r="P383">
        <v>0.33512591041775519</v>
      </c>
      <c r="Q383">
        <v>0.55789140520355684</v>
      </c>
    </row>
    <row r="384" spans="1:18" x14ac:dyDescent="0.25">
      <c r="A384" t="s">
        <v>205</v>
      </c>
      <c r="B384" s="3">
        <v>42247</v>
      </c>
      <c r="C384" t="s">
        <v>14</v>
      </c>
      <c r="D384" s="16">
        <v>228</v>
      </c>
      <c r="E384">
        <v>98.75</v>
      </c>
      <c r="F384">
        <v>129.25</v>
      </c>
      <c r="I384">
        <v>13.666925000000001</v>
      </c>
      <c r="J384">
        <v>3.5041000000000002</v>
      </c>
      <c r="K384">
        <v>43.627208635590399</v>
      </c>
      <c r="L384">
        <v>27.244265451650556</v>
      </c>
      <c r="M384">
        <v>16.580611166861935</v>
      </c>
      <c r="P384">
        <v>2.1245901555751021</v>
      </c>
      <c r="Q384">
        <v>3.3768174938344924</v>
      </c>
    </row>
    <row r="385" spans="1:18" x14ac:dyDescent="0.25">
      <c r="A385" t="s">
        <v>205</v>
      </c>
      <c r="B385" s="3">
        <v>42264</v>
      </c>
      <c r="C385" t="s">
        <v>14</v>
      </c>
      <c r="D385" s="16">
        <v>566</v>
      </c>
      <c r="E385">
        <v>344.5</v>
      </c>
      <c r="F385">
        <v>221.5</v>
      </c>
      <c r="I385">
        <v>20.256225000000001</v>
      </c>
      <c r="J385">
        <v>49.597400000000007</v>
      </c>
      <c r="K385">
        <v>118.82480100270875</v>
      </c>
      <c r="L385">
        <v>85.027446549138872</v>
      </c>
      <c r="M385">
        <v>34.122328955294556</v>
      </c>
      <c r="P385">
        <v>1.8231759073568949</v>
      </c>
      <c r="Q385">
        <v>22.06731300679807</v>
      </c>
    </row>
    <row r="386" spans="1:18" x14ac:dyDescent="0.25">
      <c r="A386" t="s">
        <v>205</v>
      </c>
      <c r="B386" s="3">
        <v>42293</v>
      </c>
      <c r="C386" t="s">
        <v>14</v>
      </c>
      <c r="D386" s="16">
        <v>1147</v>
      </c>
      <c r="E386">
        <v>634.25</v>
      </c>
      <c r="F386">
        <v>140</v>
      </c>
      <c r="G386">
        <v>310.75</v>
      </c>
      <c r="H386">
        <v>61.75</v>
      </c>
      <c r="I386">
        <v>23.743600000000001</v>
      </c>
      <c r="J386">
        <v>139.56377499999999</v>
      </c>
      <c r="K386">
        <v>104.06728592598157</v>
      </c>
      <c r="L386">
        <v>61.548761157313315</v>
      </c>
      <c r="M386">
        <v>12.909944487358056</v>
      </c>
      <c r="N386">
        <v>26.449637678677821</v>
      </c>
      <c r="O386">
        <v>8.9953691790090904</v>
      </c>
      <c r="P386">
        <v>6.7333243661656441</v>
      </c>
      <c r="Q386">
        <v>23.869322099349695</v>
      </c>
    </row>
    <row r="387" spans="1:18" x14ac:dyDescent="0.25">
      <c r="A387" t="s">
        <v>205</v>
      </c>
      <c r="B387" s="3">
        <v>42361</v>
      </c>
      <c r="C387" t="s">
        <v>14</v>
      </c>
      <c r="D387" s="16">
        <v>1076.5</v>
      </c>
      <c r="E387">
        <v>427.25</v>
      </c>
      <c r="G387">
        <v>558.5</v>
      </c>
      <c r="H387">
        <v>90.75</v>
      </c>
      <c r="K387">
        <v>183.20207422406548</v>
      </c>
      <c r="L387">
        <v>78.15955902297982</v>
      </c>
      <c r="N387">
        <v>94.58858282054976</v>
      </c>
      <c r="O387">
        <v>18.997806890972093</v>
      </c>
      <c r="R387" t="s">
        <v>247</v>
      </c>
    </row>
    <row r="388" spans="1:18" x14ac:dyDescent="0.25">
      <c r="A388" t="s">
        <v>206</v>
      </c>
      <c r="B388" s="3">
        <v>42214</v>
      </c>
      <c r="C388" t="s">
        <v>12</v>
      </c>
      <c r="D388" s="16">
        <v>53</v>
      </c>
      <c r="I388">
        <v>3.141375</v>
      </c>
      <c r="J388">
        <v>1.8169749999999998</v>
      </c>
      <c r="K388">
        <v>8.981462390204987</v>
      </c>
      <c r="P388">
        <v>0.4956459648781556</v>
      </c>
      <c r="Q388">
        <v>3.8540573858377877E-2</v>
      </c>
    </row>
    <row r="389" spans="1:18" x14ac:dyDescent="0.25">
      <c r="A389" t="s">
        <v>206</v>
      </c>
      <c r="B389" s="3">
        <v>42247</v>
      </c>
      <c r="C389" t="s">
        <v>12</v>
      </c>
      <c r="D389" s="16">
        <v>219.5</v>
      </c>
      <c r="E389">
        <v>101</v>
      </c>
      <c r="F389">
        <v>118.75</v>
      </c>
      <c r="I389">
        <v>12.745750000000001</v>
      </c>
      <c r="J389">
        <v>6.1700666666666661</v>
      </c>
      <c r="K389">
        <v>38.249182997810557</v>
      </c>
      <c r="L389">
        <v>27.94041278626117</v>
      </c>
      <c r="M389">
        <v>10.436314802968846</v>
      </c>
      <c r="P389">
        <v>2.4002494738394593</v>
      </c>
      <c r="Q389">
        <v>3.8072772125671834</v>
      </c>
    </row>
    <row r="390" spans="1:18" x14ac:dyDescent="0.25">
      <c r="A390" t="s">
        <v>206</v>
      </c>
      <c r="B390" s="3">
        <v>42264</v>
      </c>
      <c r="C390" t="s">
        <v>12</v>
      </c>
      <c r="D390" s="16">
        <v>566.75</v>
      </c>
      <c r="E390">
        <v>330</v>
      </c>
      <c r="F390">
        <v>236.75</v>
      </c>
      <c r="I390">
        <v>21.794049999999999</v>
      </c>
      <c r="J390">
        <v>44.881725000000003</v>
      </c>
      <c r="K390">
        <v>17.914147109663542</v>
      </c>
      <c r="L390">
        <v>6.6332495807107996</v>
      </c>
      <c r="M390">
        <v>14.314910641239317</v>
      </c>
      <c r="P390">
        <v>0.84661302257878901</v>
      </c>
      <c r="Q390">
        <v>5.0719812837292171</v>
      </c>
    </row>
    <row r="391" spans="1:18" x14ac:dyDescent="0.25">
      <c r="A391" t="s">
        <v>206</v>
      </c>
      <c r="B391" s="3">
        <v>42296</v>
      </c>
      <c r="C391" t="s">
        <v>12</v>
      </c>
      <c r="D391" s="16">
        <v>1069.5</v>
      </c>
      <c r="E391">
        <v>584</v>
      </c>
      <c r="F391">
        <v>78.5</v>
      </c>
      <c r="G391">
        <v>301.25</v>
      </c>
      <c r="H391">
        <v>106</v>
      </c>
      <c r="I391">
        <v>18.657474999999998</v>
      </c>
      <c r="J391">
        <v>137.99270000000001</v>
      </c>
      <c r="K391">
        <v>197.27561092711554</v>
      </c>
      <c r="L391">
        <v>107.26913193769522</v>
      </c>
      <c r="M391">
        <v>38.759944960401235</v>
      </c>
      <c r="N391">
        <v>63.662521680080083</v>
      </c>
      <c r="O391">
        <v>24.589970855343985</v>
      </c>
      <c r="P391">
        <v>4.0714513606943745</v>
      </c>
      <c r="Q391">
        <v>20.09771910789885</v>
      </c>
    </row>
    <row r="392" spans="1:18" x14ac:dyDescent="0.25">
      <c r="A392" t="s">
        <v>206</v>
      </c>
      <c r="B392" s="3">
        <v>42361</v>
      </c>
      <c r="C392" t="s">
        <v>12</v>
      </c>
      <c r="D392" s="16">
        <v>1054</v>
      </c>
      <c r="E392">
        <v>399.5</v>
      </c>
      <c r="G392">
        <v>553.25</v>
      </c>
      <c r="H392">
        <v>101.5</v>
      </c>
      <c r="K392">
        <v>106.39862154495549</v>
      </c>
      <c r="L392">
        <v>44.10215414239989</v>
      </c>
      <c r="N392">
        <v>58.5</v>
      </c>
      <c r="O392">
        <v>20.404247923737188</v>
      </c>
      <c r="R392" t="s">
        <v>247</v>
      </c>
    </row>
    <row r="393" spans="1:18" x14ac:dyDescent="0.25">
      <c r="A393" t="s">
        <v>207</v>
      </c>
      <c r="B393" s="3">
        <v>42214</v>
      </c>
      <c r="C393" t="s">
        <v>10</v>
      </c>
      <c r="D393" s="16">
        <v>63.5</v>
      </c>
      <c r="I393">
        <v>3.690725</v>
      </c>
      <c r="J393">
        <v>1.9580250000000001</v>
      </c>
      <c r="K393">
        <v>11.733143937865361</v>
      </c>
      <c r="P393">
        <v>0.72274630576710819</v>
      </c>
      <c r="Q393">
        <v>0.62301180499783915</v>
      </c>
    </row>
    <row r="394" spans="1:18" x14ac:dyDescent="0.25">
      <c r="A394" t="s">
        <v>207</v>
      </c>
      <c r="B394" s="3">
        <v>42247</v>
      </c>
      <c r="C394" t="s">
        <v>10</v>
      </c>
      <c r="D394" s="16">
        <v>313.25</v>
      </c>
      <c r="E394">
        <v>157</v>
      </c>
      <c r="F394">
        <v>156.25</v>
      </c>
      <c r="I394">
        <v>15.353399999999999</v>
      </c>
      <c r="J394">
        <v>14.27725</v>
      </c>
      <c r="K394">
        <v>19.720970226301411</v>
      </c>
      <c r="L394">
        <v>18.672618098881223</v>
      </c>
      <c r="M394">
        <v>3.2015621187164243</v>
      </c>
      <c r="P394">
        <v>0.4946603952882222</v>
      </c>
      <c r="Q394">
        <v>3.1349880441026676</v>
      </c>
    </row>
    <row r="395" spans="1:18" x14ac:dyDescent="0.25">
      <c r="A395" t="s">
        <v>207</v>
      </c>
      <c r="B395" s="3">
        <v>42264</v>
      </c>
      <c r="C395" t="s">
        <v>10</v>
      </c>
      <c r="D395" s="16">
        <v>669</v>
      </c>
      <c r="E395">
        <v>455.25</v>
      </c>
      <c r="F395">
        <v>213.5</v>
      </c>
      <c r="I395">
        <v>21.277999999999999</v>
      </c>
      <c r="J395">
        <v>82.292924999999997</v>
      </c>
      <c r="K395">
        <v>25.298221281347036</v>
      </c>
      <c r="L395">
        <v>20.726392192886184</v>
      </c>
      <c r="M395">
        <v>4.9328828623162471</v>
      </c>
      <c r="P395">
        <v>3.0107518009073249</v>
      </c>
      <c r="Q395">
        <v>4.1468009673120099</v>
      </c>
    </row>
    <row r="396" spans="1:18" x14ac:dyDescent="0.25">
      <c r="A396" t="s">
        <v>207</v>
      </c>
      <c r="B396" s="3">
        <v>42291</v>
      </c>
      <c r="C396" t="s">
        <v>10</v>
      </c>
      <c r="D396" s="16">
        <v>1281.25</v>
      </c>
      <c r="E396">
        <v>685.75</v>
      </c>
      <c r="F396">
        <v>129</v>
      </c>
      <c r="G396">
        <v>408.25</v>
      </c>
      <c r="H396">
        <v>58.25</v>
      </c>
      <c r="I396">
        <v>23.895224999999996</v>
      </c>
      <c r="J396">
        <v>215.47830000000002</v>
      </c>
      <c r="K396">
        <v>103.58048400479052</v>
      </c>
      <c r="L396">
        <v>70.613384000485354</v>
      </c>
      <c r="M396">
        <v>20.330600909302539</v>
      </c>
      <c r="N396">
        <v>37.052890125692848</v>
      </c>
      <c r="O396">
        <v>16.879474715365603</v>
      </c>
      <c r="P396">
        <v>2.6337343226871015</v>
      </c>
      <c r="Q396">
        <v>24.245799477022466</v>
      </c>
    </row>
    <row r="397" spans="1:18" x14ac:dyDescent="0.25">
      <c r="A397" t="s">
        <v>207</v>
      </c>
      <c r="B397" s="3">
        <v>42361</v>
      </c>
      <c r="C397" t="s">
        <v>10</v>
      </c>
      <c r="D397" s="16">
        <v>1264</v>
      </c>
      <c r="E397">
        <v>411.25</v>
      </c>
      <c r="G397">
        <v>761</v>
      </c>
      <c r="H397">
        <v>91.5</v>
      </c>
      <c r="K397">
        <v>199.84660784378269</v>
      </c>
      <c r="L397">
        <v>55.301446635689381</v>
      </c>
      <c r="N397">
        <v>124.8118584109699</v>
      </c>
      <c r="O397">
        <v>35.161532010612582</v>
      </c>
      <c r="R397" t="s">
        <v>247</v>
      </c>
    </row>
    <row r="398" spans="1:18" x14ac:dyDescent="0.25">
      <c r="A398" t="s">
        <v>208</v>
      </c>
      <c r="B398" s="3">
        <v>42214</v>
      </c>
      <c r="C398" t="s">
        <v>8</v>
      </c>
      <c r="D398" s="16">
        <v>57</v>
      </c>
      <c r="I398">
        <v>3.0560499999999999</v>
      </c>
      <c r="J398">
        <v>3.2561499999999999</v>
      </c>
      <c r="K398">
        <v>16.512621435334449</v>
      </c>
      <c r="P398">
        <v>0.93714275504500089</v>
      </c>
      <c r="Q398">
        <v>1.3949968064479576</v>
      </c>
    </row>
    <row r="399" spans="1:18" x14ac:dyDescent="0.25">
      <c r="A399" t="s">
        <v>208</v>
      </c>
      <c r="B399" s="3">
        <v>42247</v>
      </c>
      <c r="C399" t="s">
        <v>8</v>
      </c>
      <c r="D399" s="16">
        <v>264.25</v>
      </c>
      <c r="E399">
        <v>120.5</v>
      </c>
      <c r="F399">
        <v>143.5</v>
      </c>
      <c r="I399">
        <v>13.655775</v>
      </c>
      <c r="J399">
        <v>11.68465</v>
      </c>
      <c r="K399">
        <v>34.218659626973505</v>
      </c>
      <c r="L399">
        <v>17.253019059476713</v>
      </c>
      <c r="M399">
        <v>19.226717521892983</v>
      </c>
      <c r="P399">
        <v>2.5456629920644813</v>
      </c>
      <c r="Q399">
        <v>1.1430492713206493</v>
      </c>
    </row>
    <row r="400" spans="1:18" x14ac:dyDescent="0.25">
      <c r="A400" t="s">
        <v>208</v>
      </c>
      <c r="B400" s="3">
        <v>42264</v>
      </c>
      <c r="C400" t="s">
        <v>8</v>
      </c>
      <c r="D400" s="16">
        <v>577</v>
      </c>
      <c r="E400">
        <v>352</v>
      </c>
      <c r="F400">
        <v>225</v>
      </c>
      <c r="I400">
        <v>18.283224999999998</v>
      </c>
      <c r="J400">
        <v>66.757975000000002</v>
      </c>
      <c r="K400">
        <v>52.300414274968546</v>
      </c>
      <c r="L400">
        <v>42.339894504670966</v>
      </c>
      <c r="M400">
        <v>15.853495934125487</v>
      </c>
      <c r="P400">
        <v>2.4210857349200694</v>
      </c>
      <c r="Q400">
        <v>16.550567390953699</v>
      </c>
    </row>
    <row r="401" spans="1:18" x14ac:dyDescent="0.25">
      <c r="A401" t="s">
        <v>208</v>
      </c>
      <c r="B401" s="3">
        <v>42293</v>
      </c>
      <c r="C401" t="s">
        <v>8</v>
      </c>
      <c r="D401" s="16">
        <v>1211.5</v>
      </c>
      <c r="E401">
        <v>677.75</v>
      </c>
      <c r="F401">
        <v>169</v>
      </c>
      <c r="G401">
        <v>307.5</v>
      </c>
      <c r="H401">
        <v>57.5</v>
      </c>
      <c r="I401">
        <v>21.493874999999999</v>
      </c>
      <c r="J401">
        <v>156.072</v>
      </c>
      <c r="K401">
        <v>73.141415536388592</v>
      </c>
      <c r="L401">
        <v>49.419125852244697</v>
      </c>
      <c r="M401">
        <v>11.69045194450012</v>
      </c>
      <c r="N401">
        <v>32.888701200665658</v>
      </c>
      <c r="O401">
        <v>7</v>
      </c>
      <c r="P401">
        <v>5.8581881586801243</v>
      </c>
      <c r="Q401">
        <v>24.968651312128699</v>
      </c>
    </row>
    <row r="402" spans="1:18" x14ac:dyDescent="0.25">
      <c r="A402" t="s">
        <v>208</v>
      </c>
      <c r="B402" s="3">
        <v>42361</v>
      </c>
      <c r="C402" t="s">
        <v>8</v>
      </c>
      <c r="D402" s="16">
        <v>1088.5</v>
      </c>
      <c r="E402">
        <v>386</v>
      </c>
      <c r="G402">
        <v>585.25</v>
      </c>
      <c r="H402">
        <v>117.25</v>
      </c>
      <c r="K402">
        <v>123.78072009269725</v>
      </c>
      <c r="L402">
        <v>38.131351929875237</v>
      </c>
      <c r="N402">
        <v>62.483997951475544</v>
      </c>
      <c r="O402">
        <v>29.892864254422548</v>
      </c>
      <c r="R402" t="s">
        <v>247</v>
      </c>
    </row>
    <row r="403" spans="1:18" x14ac:dyDescent="0.25">
      <c r="A403" t="s">
        <v>209</v>
      </c>
      <c r="B403" s="3">
        <v>42214</v>
      </c>
      <c r="C403" t="s">
        <v>4</v>
      </c>
      <c r="D403" s="16">
        <v>38.5</v>
      </c>
      <c r="I403">
        <v>2.0244249999999999</v>
      </c>
      <c r="J403">
        <v>2.4208499999999997</v>
      </c>
      <c r="K403">
        <v>3.1091263510296048</v>
      </c>
      <c r="P403">
        <v>0.22001273258609561</v>
      </c>
      <c r="Q403">
        <v>0.3600392710061881</v>
      </c>
    </row>
    <row r="404" spans="1:18" x14ac:dyDescent="0.25">
      <c r="A404" t="s">
        <v>209</v>
      </c>
      <c r="B404" s="3">
        <v>42247</v>
      </c>
      <c r="C404" t="s">
        <v>4</v>
      </c>
      <c r="D404" s="16">
        <v>190.25</v>
      </c>
      <c r="E404">
        <v>83.75</v>
      </c>
      <c r="F404">
        <v>106.5</v>
      </c>
      <c r="I404">
        <v>10.348375000000001</v>
      </c>
      <c r="J404">
        <v>6.1668749999999992</v>
      </c>
      <c r="K404">
        <v>18.20942979154848</v>
      </c>
      <c r="L404">
        <v>13.720422734012244</v>
      </c>
      <c r="M404">
        <v>4.7958315233127191</v>
      </c>
      <c r="P404">
        <v>0.52458132115048173</v>
      </c>
      <c r="Q404">
        <v>4.0683684333116465</v>
      </c>
    </row>
    <row r="405" spans="1:18" x14ac:dyDescent="0.25">
      <c r="A405" t="s">
        <v>209</v>
      </c>
      <c r="B405" s="3">
        <v>42264</v>
      </c>
      <c r="C405" t="s">
        <v>4</v>
      </c>
      <c r="D405" s="16">
        <v>441.75</v>
      </c>
      <c r="E405">
        <v>246.75</v>
      </c>
      <c r="F405">
        <v>195.25</v>
      </c>
      <c r="I405">
        <v>16.351675</v>
      </c>
      <c r="J405">
        <v>46.141849999999998</v>
      </c>
      <c r="K405">
        <v>55.51801509420163</v>
      </c>
      <c r="L405">
        <v>34.807805638007885</v>
      </c>
      <c r="M405">
        <v>22.231734075415709</v>
      </c>
      <c r="P405">
        <v>1.5992425381515476</v>
      </c>
      <c r="Q405">
        <v>9.5852140607291823</v>
      </c>
    </row>
    <row r="406" spans="1:18" x14ac:dyDescent="0.25">
      <c r="A406" t="s">
        <v>209</v>
      </c>
      <c r="B406" s="3">
        <v>42296</v>
      </c>
      <c r="C406" t="s">
        <v>4</v>
      </c>
      <c r="D406" s="16">
        <v>1005.75</v>
      </c>
      <c r="E406">
        <v>531.75</v>
      </c>
      <c r="F406">
        <v>118.75</v>
      </c>
      <c r="G406">
        <v>311.75</v>
      </c>
      <c r="H406">
        <v>43</v>
      </c>
      <c r="I406">
        <v>17.267499999999998</v>
      </c>
      <c r="J406">
        <v>175.37865000000002</v>
      </c>
      <c r="K406">
        <v>81.49181963035717</v>
      </c>
      <c r="L406">
        <v>50.723925978444001</v>
      </c>
      <c r="M406">
        <v>14.174507634012077</v>
      </c>
      <c r="N406">
        <v>30.934069675144048</v>
      </c>
      <c r="O406">
        <v>7.3484692283495345</v>
      </c>
      <c r="P406">
        <v>1.4225037223150272</v>
      </c>
      <c r="Q406">
        <v>23.673940129531985</v>
      </c>
    </row>
    <row r="407" spans="1:18" x14ac:dyDescent="0.25">
      <c r="A407" t="s">
        <v>209</v>
      </c>
      <c r="B407" s="3">
        <v>42361</v>
      </c>
      <c r="C407" t="s">
        <v>4</v>
      </c>
      <c r="D407" s="16">
        <v>1114.25</v>
      </c>
      <c r="E407">
        <v>354.75</v>
      </c>
      <c r="G407">
        <v>681.75</v>
      </c>
      <c r="H407">
        <v>78</v>
      </c>
      <c r="K407">
        <v>52.582474900547105</v>
      </c>
      <c r="L407">
        <v>10.045728777279759</v>
      </c>
      <c r="N407">
        <v>43.277207241995953</v>
      </c>
      <c r="O407">
        <v>11.105554165971787</v>
      </c>
      <c r="R407" t="s">
        <v>247</v>
      </c>
    </row>
    <row r="408" spans="1:18" x14ac:dyDescent="0.25">
      <c r="A408" t="s">
        <v>210</v>
      </c>
      <c r="B408" s="3">
        <v>42214</v>
      </c>
      <c r="C408" t="s">
        <v>7</v>
      </c>
      <c r="D408" s="16">
        <v>64.5</v>
      </c>
      <c r="I408">
        <v>3.7573999999999996</v>
      </c>
      <c r="J408">
        <v>2.1864249999999998</v>
      </c>
      <c r="K408">
        <v>5.3229064742237702</v>
      </c>
      <c r="P408">
        <v>0.49884707075415641</v>
      </c>
      <c r="Q408">
        <v>0.73333701381652294</v>
      </c>
    </row>
    <row r="409" spans="1:18" x14ac:dyDescent="0.25">
      <c r="A409" t="s">
        <v>210</v>
      </c>
      <c r="B409" s="3">
        <v>42247</v>
      </c>
      <c r="C409" t="s">
        <v>7</v>
      </c>
      <c r="D409" s="16">
        <v>271.25</v>
      </c>
      <c r="E409">
        <v>126.5</v>
      </c>
      <c r="F409">
        <v>145</v>
      </c>
      <c r="I409">
        <v>15.17445</v>
      </c>
      <c r="J409">
        <v>6.2426499999999994</v>
      </c>
      <c r="K409">
        <v>64.14761621967466</v>
      </c>
      <c r="L409">
        <v>35.707142142714247</v>
      </c>
      <c r="M409">
        <v>28.855964143772194</v>
      </c>
      <c r="P409">
        <v>3.520713395984775</v>
      </c>
      <c r="Q409">
        <v>4.9011013173911575</v>
      </c>
    </row>
    <row r="410" spans="1:18" x14ac:dyDescent="0.25">
      <c r="A410" t="s">
        <v>210</v>
      </c>
      <c r="B410" s="3">
        <v>42264</v>
      </c>
      <c r="C410" t="s">
        <v>7</v>
      </c>
      <c r="D410" s="16">
        <v>561</v>
      </c>
      <c r="E410">
        <v>337.5</v>
      </c>
      <c r="F410">
        <v>224</v>
      </c>
      <c r="I410">
        <v>19.648500000000002</v>
      </c>
      <c r="J410">
        <v>50.871899999999997</v>
      </c>
      <c r="K410">
        <v>58.42944463196617</v>
      </c>
      <c r="L410">
        <v>34.837719022155667</v>
      </c>
      <c r="M410">
        <v>31.123410267299864</v>
      </c>
      <c r="P410">
        <v>4.4554402595777907</v>
      </c>
      <c r="Q410">
        <v>15.130892603104</v>
      </c>
    </row>
    <row r="411" spans="1:18" x14ac:dyDescent="0.25">
      <c r="A411" t="s">
        <v>210</v>
      </c>
      <c r="B411" s="3">
        <v>42293</v>
      </c>
      <c r="C411" t="s">
        <v>7</v>
      </c>
      <c r="D411" s="16">
        <v>1223</v>
      </c>
      <c r="E411">
        <v>669.75</v>
      </c>
      <c r="F411">
        <v>126.5</v>
      </c>
      <c r="G411">
        <v>355</v>
      </c>
      <c r="H411">
        <v>72</v>
      </c>
      <c r="I411">
        <v>20.953050000000001</v>
      </c>
      <c r="J411">
        <v>182.82119999999998</v>
      </c>
      <c r="K411">
        <v>87.795216270591879</v>
      </c>
      <c r="L411">
        <v>64.783614183423467</v>
      </c>
      <c r="M411">
        <v>14.200938936093861</v>
      </c>
      <c r="N411">
        <v>40.521599178709621</v>
      </c>
      <c r="O411">
        <v>8.8317608663278477</v>
      </c>
      <c r="P411">
        <v>2.4000360073687848</v>
      </c>
      <c r="Q411">
        <v>31.979693539911807</v>
      </c>
    </row>
    <row r="412" spans="1:18" x14ac:dyDescent="0.25">
      <c r="A412" t="s">
        <v>210</v>
      </c>
      <c r="B412" s="3">
        <v>42361</v>
      </c>
      <c r="C412" t="s">
        <v>7</v>
      </c>
      <c r="D412" s="16">
        <v>931.25</v>
      </c>
      <c r="E412">
        <v>371</v>
      </c>
      <c r="G412">
        <v>479.25</v>
      </c>
      <c r="H412">
        <v>81.25</v>
      </c>
      <c r="K412">
        <v>102.63974214049189</v>
      </c>
      <c r="L412">
        <v>53.216538782600281</v>
      </c>
      <c r="N412">
        <v>37.641953544770587</v>
      </c>
      <c r="O412">
        <v>23.542514733987108</v>
      </c>
      <c r="R412" t="s">
        <v>247</v>
      </c>
    </row>
    <row r="413" spans="1:18" x14ac:dyDescent="0.25">
      <c r="A413" t="s">
        <v>211</v>
      </c>
      <c r="B413" s="3">
        <v>42214</v>
      </c>
      <c r="C413" t="s">
        <v>2</v>
      </c>
      <c r="D413" s="16">
        <v>66.75</v>
      </c>
      <c r="I413">
        <v>3.6950500000000002</v>
      </c>
      <c r="J413">
        <v>3.5097500000000004</v>
      </c>
      <c r="K413">
        <v>10.3400515794974</v>
      </c>
      <c r="P413">
        <v>0.82127815223183276</v>
      </c>
      <c r="Q413">
        <v>0.74336706276240017</v>
      </c>
    </row>
    <row r="414" spans="1:18" x14ac:dyDescent="0.25">
      <c r="A414" t="s">
        <v>211</v>
      </c>
      <c r="B414" s="3">
        <v>42247</v>
      </c>
      <c r="C414" t="s">
        <v>2</v>
      </c>
      <c r="D414" s="16">
        <v>321.25</v>
      </c>
      <c r="E414">
        <v>159</v>
      </c>
      <c r="F414">
        <v>162.25</v>
      </c>
      <c r="I414">
        <v>15.204625</v>
      </c>
      <c r="J414">
        <v>17.072649999999999</v>
      </c>
      <c r="K414">
        <v>86.688619014647287</v>
      </c>
      <c r="L414">
        <v>56.868268832451726</v>
      </c>
      <c r="M414">
        <v>31.478828864280619</v>
      </c>
      <c r="P414">
        <v>2.4467562899684152</v>
      </c>
      <c r="Q414">
        <v>7.4834932077205805</v>
      </c>
    </row>
    <row r="415" spans="1:18" x14ac:dyDescent="0.25">
      <c r="A415" t="s">
        <v>211</v>
      </c>
      <c r="B415" s="3">
        <v>42264</v>
      </c>
      <c r="C415" t="s">
        <v>2</v>
      </c>
      <c r="D415" s="16">
        <v>654.5</v>
      </c>
      <c r="E415">
        <v>431.75</v>
      </c>
      <c r="F415">
        <v>223</v>
      </c>
      <c r="I415">
        <v>19.519500000000001</v>
      </c>
      <c r="J415">
        <v>77.394424999999998</v>
      </c>
      <c r="K415">
        <v>33.965668941839887</v>
      </c>
      <c r="L415">
        <v>30.48906907948049</v>
      </c>
      <c r="M415">
        <v>5.41602560309064</v>
      </c>
      <c r="P415">
        <v>1.2372583265699617</v>
      </c>
      <c r="Q415">
        <v>17.890201578587678</v>
      </c>
    </row>
    <row r="416" spans="1:18" x14ac:dyDescent="0.25">
      <c r="A416" t="s">
        <v>211</v>
      </c>
      <c r="B416" s="3">
        <v>42291</v>
      </c>
      <c r="C416" t="s">
        <v>2</v>
      </c>
      <c r="D416" s="16">
        <v>1182.25</v>
      </c>
      <c r="E416">
        <v>663</v>
      </c>
      <c r="F416">
        <v>109.75</v>
      </c>
      <c r="G416">
        <v>337.25</v>
      </c>
      <c r="H416">
        <v>72.25</v>
      </c>
      <c r="I416">
        <v>20.071550000000002</v>
      </c>
      <c r="J416">
        <v>185.59264999999999</v>
      </c>
      <c r="K416">
        <v>57.244359256320323</v>
      </c>
      <c r="L416">
        <v>31.347514521356658</v>
      </c>
      <c r="M416">
        <v>21.234798484249072</v>
      </c>
      <c r="N416">
        <v>18.589871794429712</v>
      </c>
      <c r="O416">
        <v>17.969882210706523</v>
      </c>
      <c r="P416">
        <v>2.792351000501184</v>
      </c>
      <c r="Q416">
        <v>39.791723127094357</v>
      </c>
    </row>
    <row r="417" spans="1:18" x14ac:dyDescent="0.25">
      <c r="A417" t="s">
        <v>211</v>
      </c>
      <c r="B417" s="3">
        <v>42361</v>
      </c>
      <c r="C417" t="s">
        <v>2</v>
      </c>
      <c r="D417" s="16">
        <v>1202.75</v>
      </c>
      <c r="E417">
        <v>413.75</v>
      </c>
      <c r="G417">
        <v>710.5</v>
      </c>
      <c r="H417">
        <v>78.75</v>
      </c>
      <c r="K417">
        <v>85.951051961760967</v>
      </c>
      <c r="L417">
        <v>36.664015055637321</v>
      </c>
      <c r="N417">
        <v>59.354865007006801</v>
      </c>
      <c r="O417">
        <v>9.2870878105033547</v>
      </c>
      <c r="R417" t="s">
        <v>247</v>
      </c>
    </row>
    <row r="418" spans="1:18" x14ac:dyDescent="0.25">
      <c r="A418" t="s">
        <v>212</v>
      </c>
      <c r="B418" s="3">
        <v>42214</v>
      </c>
      <c r="C418" t="s">
        <v>3</v>
      </c>
      <c r="D418" s="16">
        <v>61</v>
      </c>
      <c r="I418">
        <v>3.4291499999999999</v>
      </c>
      <c r="J418">
        <v>3.1094999999999997</v>
      </c>
      <c r="K418">
        <v>20.992061991778385</v>
      </c>
      <c r="P418">
        <v>1.1376592181609868</v>
      </c>
      <c r="Q418">
        <v>1.2955477554558408</v>
      </c>
    </row>
    <row r="419" spans="1:18" x14ac:dyDescent="0.25">
      <c r="A419" t="s">
        <v>212</v>
      </c>
      <c r="B419" s="3">
        <v>42247</v>
      </c>
      <c r="C419" t="s">
        <v>3</v>
      </c>
      <c r="D419" s="16">
        <v>241</v>
      </c>
      <c r="E419">
        <v>108.75</v>
      </c>
      <c r="F419">
        <v>132.25</v>
      </c>
      <c r="I419">
        <v>11.921200000000001</v>
      </c>
      <c r="J419">
        <v>12.02355</v>
      </c>
      <c r="K419">
        <v>38.729833462074168</v>
      </c>
      <c r="L419">
        <v>21.437894797142125</v>
      </c>
      <c r="M419">
        <v>22.5</v>
      </c>
      <c r="P419">
        <v>1.64731694582432</v>
      </c>
      <c r="Q419">
        <v>3.9907033778520784</v>
      </c>
    </row>
    <row r="420" spans="1:18" x14ac:dyDescent="0.25">
      <c r="A420" t="s">
        <v>212</v>
      </c>
      <c r="B420" s="3">
        <v>42264</v>
      </c>
      <c r="C420" t="s">
        <v>3</v>
      </c>
      <c r="D420" s="16">
        <v>553.5</v>
      </c>
      <c r="E420">
        <v>328.5</v>
      </c>
      <c r="F420">
        <v>225.25</v>
      </c>
      <c r="I420">
        <v>18.35445</v>
      </c>
      <c r="J420">
        <v>61.631824999999999</v>
      </c>
      <c r="K420">
        <v>97.394387244166523</v>
      </c>
      <c r="L420">
        <v>60.346223300772238</v>
      </c>
      <c r="M420">
        <v>40.036441733334229</v>
      </c>
      <c r="P420">
        <v>3.6315870851002203</v>
      </c>
      <c r="Q420">
        <v>4.7794115874759742</v>
      </c>
    </row>
    <row r="421" spans="1:18" x14ac:dyDescent="0.25">
      <c r="A421" t="s">
        <v>212</v>
      </c>
      <c r="B421" s="3">
        <v>42291</v>
      </c>
      <c r="C421" t="s">
        <v>3</v>
      </c>
      <c r="D421" s="16">
        <v>1044.75</v>
      </c>
      <c r="E421">
        <v>578.75</v>
      </c>
      <c r="F421">
        <v>142.5</v>
      </c>
      <c r="G421">
        <v>269.5</v>
      </c>
      <c r="H421">
        <v>54.25</v>
      </c>
      <c r="I421">
        <v>21.223750000000003</v>
      </c>
      <c r="J421">
        <v>165.63185000000001</v>
      </c>
      <c r="K421">
        <v>47.18315377335432</v>
      </c>
      <c r="L421">
        <v>25.421447637772321</v>
      </c>
      <c r="M421">
        <v>12.369316876852981</v>
      </c>
      <c r="N421">
        <v>18.119970566569176</v>
      </c>
      <c r="O421">
        <v>8.8835053141576203</v>
      </c>
      <c r="P421">
        <v>2.0440524805721489</v>
      </c>
      <c r="Q421">
        <v>30.189868954722691</v>
      </c>
    </row>
    <row r="422" spans="1:18" x14ac:dyDescent="0.25">
      <c r="A422" t="s">
        <v>212</v>
      </c>
      <c r="B422" s="3">
        <v>42361</v>
      </c>
      <c r="C422" t="s">
        <v>3</v>
      </c>
      <c r="D422" s="16">
        <v>1142.5</v>
      </c>
      <c r="E422">
        <v>413.5</v>
      </c>
      <c r="G422">
        <v>624.25</v>
      </c>
      <c r="H422">
        <v>104.75</v>
      </c>
      <c r="K422">
        <v>21.079215671683169</v>
      </c>
      <c r="L422">
        <v>30.490435658853198</v>
      </c>
      <c r="N422">
        <v>28.894924583162812</v>
      </c>
      <c r="O422">
        <v>16.479785597310826</v>
      </c>
      <c r="R422" t="s">
        <v>247</v>
      </c>
    </row>
    <row r="423" spans="1:18" x14ac:dyDescent="0.25">
      <c r="A423" t="s">
        <v>213</v>
      </c>
      <c r="B423" s="3">
        <v>42214</v>
      </c>
      <c r="C423" t="s">
        <v>5</v>
      </c>
      <c r="D423" s="16">
        <v>55</v>
      </c>
      <c r="I423">
        <v>3.1361499999999998</v>
      </c>
      <c r="J423">
        <v>2.8931499999999994</v>
      </c>
      <c r="K423">
        <v>6.4807406984078604</v>
      </c>
      <c r="P423">
        <v>0.26963923428660808</v>
      </c>
      <c r="Q423">
        <v>0.38702235508215282</v>
      </c>
    </row>
    <row r="424" spans="1:18" x14ac:dyDescent="0.25">
      <c r="A424" t="s">
        <v>213</v>
      </c>
      <c r="B424" s="3">
        <v>42247</v>
      </c>
      <c r="C424" t="s">
        <v>5</v>
      </c>
      <c r="D424" s="16">
        <v>238.5</v>
      </c>
      <c r="E424">
        <v>107.75</v>
      </c>
      <c r="F424">
        <v>130.25</v>
      </c>
      <c r="I424">
        <v>12.378900000000002</v>
      </c>
      <c r="J424">
        <v>10.750449999999999</v>
      </c>
      <c r="K424">
        <v>40.269922605670189</v>
      </c>
      <c r="L424">
        <v>21.777281740382566</v>
      </c>
      <c r="M424">
        <v>19.619293225462194</v>
      </c>
      <c r="P424">
        <v>2.3594837443813819</v>
      </c>
      <c r="Q424">
        <v>1.1993251783121064</v>
      </c>
    </row>
    <row r="425" spans="1:18" x14ac:dyDescent="0.25">
      <c r="A425" t="s">
        <v>213</v>
      </c>
      <c r="B425" s="3">
        <v>42264</v>
      </c>
      <c r="C425" t="s">
        <v>5</v>
      </c>
      <c r="D425" s="16">
        <v>579</v>
      </c>
      <c r="E425">
        <v>350.5</v>
      </c>
      <c r="F425">
        <v>229</v>
      </c>
      <c r="I425">
        <v>18.969450000000002</v>
      </c>
      <c r="J425">
        <v>62.048400000000001</v>
      </c>
      <c r="K425">
        <v>26.658332030842939</v>
      </c>
      <c r="L425">
        <v>7.8528126595931642</v>
      </c>
      <c r="M425">
        <v>19.629909152447276</v>
      </c>
      <c r="P425">
        <v>2.0071461755437587</v>
      </c>
      <c r="Q425">
        <v>12.992041817461413</v>
      </c>
    </row>
    <row r="426" spans="1:18" x14ac:dyDescent="0.25">
      <c r="A426" t="s">
        <v>213</v>
      </c>
      <c r="B426" s="3">
        <v>42291</v>
      </c>
      <c r="C426" t="s">
        <v>5</v>
      </c>
      <c r="D426" s="16">
        <v>1112.75</v>
      </c>
      <c r="E426">
        <v>603.5</v>
      </c>
      <c r="F426">
        <v>122.5</v>
      </c>
      <c r="G426">
        <v>315</v>
      </c>
      <c r="H426">
        <v>72</v>
      </c>
      <c r="I426">
        <v>21.739899999999999</v>
      </c>
      <c r="J426">
        <v>158.91097500000001</v>
      </c>
      <c r="K426">
        <v>47.408684155261405</v>
      </c>
      <c r="L426">
        <v>21.794494717703369</v>
      </c>
      <c r="M426">
        <v>10.344080432788601</v>
      </c>
      <c r="N426">
        <v>23.664319132398465</v>
      </c>
      <c r="O426">
        <v>11.16542281629615</v>
      </c>
      <c r="P426">
        <v>2.5844062761106548</v>
      </c>
      <c r="Q426">
        <v>20.907153705589831</v>
      </c>
    </row>
    <row r="427" spans="1:18" x14ac:dyDescent="0.25">
      <c r="A427" t="s">
        <v>213</v>
      </c>
      <c r="B427" s="3">
        <v>42361</v>
      </c>
      <c r="C427" t="s">
        <v>5</v>
      </c>
      <c r="D427" s="16">
        <v>1085.5</v>
      </c>
      <c r="E427">
        <v>343.5</v>
      </c>
      <c r="G427">
        <v>650.5</v>
      </c>
      <c r="H427">
        <v>91</v>
      </c>
      <c r="K427">
        <v>31.806707887907333</v>
      </c>
      <c r="L427">
        <v>6.8556546004010439</v>
      </c>
      <c r="N427">
        <v>43.285871444001991</v>
      </c>
      <c r="O427">
        <v>6.6833125519211407</v>
      </c>
      <c r="R427" t="s">
        <v>247</v>
      </c>
    </row>
    <row r="428" spans="1:18" x14ac:dyDescent="0.25">
      <c r="A428" t="s">
        <v>214</v>
      </c>
      <c r="B428" s="3">
        <v>42214</v>
      </c>
      <c r="C428" t="s">
        <v>9</v>
      </c>
      <c r="D428" s="16">
        <v>54</v>
      </c>
      <c r="I428">
        <v>3.2520500000000001</v>
      </c>
      <c r="J428">
        <v>1.7824499999999999</v>
      </c>
      <c r="K428">
        <v>7.3936910042729442</v>
      </c>
      <c r="P428">
        <v>0.57572038641456069</v>
      </c>
      <c r="Q428">
        <v>0.49630947670447245</v>
      </c>
    </row>
    <row r="429" spans="1:18" x14ac:dyDescent="0.25">
      <c r="A429" t="s">
        <v>214</v>
      </c>
      <c r="B429" s="3">
        <v>42247</v>
      </c>
      <c r="C429" t="s">
        <v>9</v>
      </c>
      <c r="D429" s="16">
        <v>277.75</v>
      </c>
      <c r="E429">
        <v>128.75</v>
      </c>
      <c r="F429">
        <v>149.25</v>
      </c>
      <c r="I429">
        <v>15.219175000000002</v>
      </c>
      <c r="J429">
        <v>4.9047499999999999</v>
      </c>
      <c r="K429">
        <v>27.83732506306356</v>
      </c>
      <c r="L429">
        <v>11.354147553500733</v>
      </c>
      <c r="M429">
        <v>17.250603854165028</v>
      </c>
      <c r="P429">
        <v>1.6630103554999172</v>
      </c>
      <c r="Q429">
        <v>1.611903805028907</v>
      </c>
    </row>
    <row r="430" spans="1:18" x14ac:dyDescent="0.25">
      <c r="A430" t="s">
        <v>214</v>
      </c>
      <c r="B430" s="3">
        <v>42264</v>
      </c>
      <c r="C430" t="s">
        <v>9</v>
      </c>
      <c r="D430" s="16">
        <v>547</v>
      </c>
      <c r="E430">
        <v>327</v>
      </c>
      <c r="F430">
        <v>220.25</v>
      </c>
      <c r="I430">
        <v>20.662475000000001</v>
      </c>
      <c r="J430">
        <v>44.155875000000002</v>
      </c>
      <c r="K430">
        <v>59.648973168026956</v>
      </c>
      <c r="L430">
        <v>41.70531540863027</v>
      </c>
      <c r="M430">
        <v>19.241881404893856</v>
      </c>
      <c r="P430">
        <v>2.2918934288414738</v>
      </c>
      <c r="Q430">
        <v>12.060252974509559</v>
      </c>
    </row>
    <row r="431" spans="1:18" x14ac:dyDescent="0.25">
      <c r="A431" t="s">
        <v>214</v>
      </c>
      <c r="B431" s="3">
        <v>42293</v>
      </c>
      <c r="C431" t="s">
        <v>9</v>
      </c>
      <c r="D431" s="16">
        <v>1189.25</v>
      </c>
      <c r="E431">
        <v>656</v>
      </c>
      <c r="F431">
        <v>124.75</v>
      </c>
      <c r="G431">
        <v>331.5</v>
      </c>
      <c r="H431">
        <v>77</v>
      </c>
      <c r="I431">
        <v>23.0624</v>
      </c>
      <c r="J431">
        <v>136.908175</v>
      </c>
      <c r="K431">
        <v>98.766981662226911</v>
      </c>
      <c r="L431">
        <v>44.877611344633749</v>
      </c>
      <c r="M431">
        <v>17.5</v>
      </c>
      <c r="N431">
        <v>37.704995248198436</v>
      </c>
      <c r="O431">
        <v>14.023789311975086</v>
      </c>
      <c r="P431">
        <v>5.2681097856188677</v>
      </c>
      <c r="Q431">
        <v>20.222367335926872</v>
      </c>
    </row>
    <row r="432" spans="1:18" x14ac:dyDescent="0.25">
      <c r="A432" t="s">
        <v>214</v>
      </c>
      <c r="B432" s="3">
        <v>42361</v>
      </c>
      <c r="C432" t="s">
        <v>9</v>
      </c>
      <c r="D432" s="16">
        <v>997</v>
      </c>
      <c r="E432">
        <v>414.75</v>
      </c>
      <c r="G432">
        <v>499.5</v>
      </c>
      <c r="H432">
        <v>82.75</v>
      </c>
      <c r="K432">
        <v>54.09867527644893</v>
      </c>
      <c r="L432">
        <v>11.84271928232701</v>
      </c>
      <c r="N432">
        <v>50.770726473694133</v>
      </c>
      <c r="O432">
        <v>11.146748404803978</v>
      </c>
      <c r="R432" t="s">
        <v>247</v>
      </c>
    </row>
    <row r="433" spans="1:18" x14ac:dyDescent="0.25">
      <c r="A433" t="s">
        <v>215</v>
      </c>
      <c r="B433" s="3">
        <v>42214</v>
      </c>
      <c r="C433" t="s">
        <v>6</v>
      </c>
      <c r="D433" s="16">
        <v>62.5</v>
      </c>
      <c r="I433">
        <v>3.66655</v>
      </c>
      <c r="J433">
        <v>2.3624000000000001</v>
      </c>
      <c r="K433">
        <v>10.246950765959598</v>
      </c>
      <c r="P433">
        <v>0.63685710328142031</v>
      </c>
      <c r="Q433">
        <v>0.34659671089033445</v>
      </c>
    </row>
    <row r="434" spans="1:18" x14ac:dyDescent="0.25">
      <c r="A434" t="s">
        <v>215</v>
      </c>
      <c r="B434" s="3">
        <v>42247</v>
      </c>
      <c r="C434" t="s">
        <v>6</v>
      </c>
      <c r="D434" s="16">
        <v>313.25</v>
      </c>
      <c r="E434">
        <v>144.75</v>
      </c>
      <c r="F434">
        <v>168.5</v>
      </c>
      <c r="I434">
        <v>17.9529</v>
      </c>
      <c r="J434">
        <v>5.9572500000000002</v>
      </c>
      <c r="K434">
        <v>26.849891371599004</v>
      </c>
      <c r="L434">
        <v>14.384598244882151</v>
      </c>
      <c r="M434">
        <v>13.988090172238191</v>
      </c>
      <c r="P434">
        <v>1.200315675145518</v>
      </c>
      <c r="Q434">
        <v>4.1904999331821982</v>
      </c>
    </row>
    <row r="435" spans="1:18" x14ac:dyDescent="0.25">
      <c r="A435" t="s">
        <v>215</v>
      </c>
      <c r="B435" s="3">
        <v>42264</v>
      </c>
      <c r="C435" t="s">
        <v>6</v>
      </c>
      <c r="D435" s="16">
        <v>572</v>
      </c>
      <c r="E435">
        <v>319</v>
      </c>
      <c r="F435">
        <v>252.75</v>
      </c>
      <c r="I435">
        <v>21.792449999999999</v>
      </c>
      <c r="J435">
        <v>45.206775</v>
      </c>
      <c r="K435">
        <v>42.70050741306634</v>
      </c>
      <c r="L435">
        <v>65.822994968830358</v>
      </c>
      <c r="M435">
        <v>51.272962335588396</v>
      </c>
      <c r="P435">
        <v>2.3677137390317924</v>
      </c>
      <c r="Q435">
        <v>13.874625163555471</v>
      </c>
    </row>
    <row r="436" spans="1:18" x14ac:dyDescent="0.25">
      <c r="A436" t="s">
        <v>215</v>
      </c>
      <c r="B436" s="3">
        <v>42293</v>
      </c>
      <c r="C436" t="s">
        <v>6</v>
      </c>
      <c r="D436" s="16">
        <v>1112.5</v>
      </c>
      <c r="E436">
        <v>608.75</v>
      </c>
      <c r="F436">
        <v>115.75</v>
      </c>
      <c r="G436">
        <v>310.25</v>
      </c>
      <c r="H436">
        <v>77.5</v>
      </c>
      <c r="I436">
        <v>22.735225</v>
      </c>
      <c r="J436">
        <v>135.8656</v>
      </c>
      <c r="K436">
        <v>76.526683799399891</v>
      </c>
      <c r="L436">
        <v>21.093047827819163</v>
      </c>
      <c r="M436">
        <v>24.240118261537699</v>
      </c>
      <c r="N436">
        <v>29.747548918636415</v>
      </c>
      <c r="O436">
        <v>7.8528126595931642</v>
      </c>
      <c r="P436">
        <v>5.7513122887302774</v>
      </c>
      <c r="Q436">
        <v>9.8672051635707927</v>
      </c>
    </row>
    <row r="437" spans="1:18" x14ac:dyDescent="0.25">
      <c r="A437" t="s">
        <v>215</v>
      </c>
      <c r="B437" s="3">
        <v>42361</v>
      </c>
      <c r="C437" t="s">
        <v>6</v>
      </c>
      <c r="D437" s="16">
        <v>1065.75</v>
      </c>
      <c r="E437">
        <v>412.5</v>
      </c>
      <c r="G437">
        <v>562.25</v>
      </c>
      <c r="H437">
        <v>91</v>
      </c>
      <c r="K437">
        <v>98.286570801915758</v>
      </c>
      <c r="L437">
        <v>36.152454965050438</v>
      </c>
      <c r="N437">
        <v>68.050838838817171</v>
      </c>
      <c r="O437">
        <v>9.966610925150702</v>
      </c>
      <c r="R437" t="s">
        <v>247</v>
      </c>
    </row>
  </sheetData>
  <autoFilter ref="B1:B437" xr:uid="{D4E3F64B-FBB9-40C3-9F26-FA12C0F60AB8}"/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7D63-371C-4E0F-85CC-F563DABDB060}">
  <dimension ref="A1:BC1681"/>
  <sheetViews>
    <sheetView topLeftCell="Z383" workbookViewId="0">
      <selection activeCell="AD380" sqref="AD380:AD439"/>
    </sheetView>
  </sheetViews>
  <sheetFormatPr defaultRowHeight="15" x14ac:dyDescent="0.25"/>
  <cols>
    <col min="3" max="3" width="19.28515625" bestFit="1" customWidth="1"/>
    <col min="27" max="27" width="18.28515625" bestFit="1" customWidth="1"/>
    <col min="28" max="28" width="21.85546875" bestFit="1" customWidth="1"/>
    <col min="29" max="29" width="10.140625" bestFit="1" customWidth="1"/>
    <col min="30" max="30" width="10.42578125" bestFit="1" customWidth="1"/>
    <col min="31" max="31" width="22" bestFit="1" customWidth="1"/>
    <col min="32" max="32" width="27.140625" bestFit="1" customWidth="1"/>
    <col min="33" max="33" width="27" bestFit="1" customWidth="1"/>
    <col min="34" max="34" width="27.28515625" bestFit="1" customWidth="1"/>
    <col min="35" max="35" width="27.140625" bestFit="1" customWidth="1"/>
    <col min="36" max="36" width="24" bestFit="1" customWidth="1"/>
    <col min="37" max="37" width="32.28515625" bestFit="1" customWidth="1"/>
    <col min="40" max="40" width="10.140625" bestFit="1" customWidth="1"/>
    <col min="41" max="41" width="10.140625" customWidth="1"/>
    <col min="43" max="43" width="21" bestFit="1" customWidth="1"/>
  </cols>
  <sheetData>
    <row r="1" spans="1:55" ht="45" x14ac:dyDescent="0.25">
      <c r="A1" s="6" t="s">
        <v>105</v>
      </c>
      <c r="B1" s="6" t="s">
        <v>106</v>
      </c>
      <c r="C1" s="6" t="s">
        <v>107</v>
      </c>
      <c r="D1" s="6" t="s">
        <v>108</v>
      </c>
      <c r="E1" s="6" t="s">
        <v>109</v>
      </c>
      <c r="F1" s="6" t="s">
        <v>110</v>
      </c>
      <c r="G1" s="6" t="s">
        <v>111</v>
      </c>
      <c r="H1" s="6" t="s">
        <v>112</v>
      </c>
      <c r="I1" s="6" t="s">
        <v>113</v>
      </c>
      <c r="J1" s="6" t="s">
        <v>114</v>
      </c>
      <c r="K1" s="7" t="s">
        <v>115</v>
      </c>
      <c r="L1" s="7" t="s">
        <v>116</v>
      </c>
      <c r="M1" s="7" t="s">
        <v>117</v>
      </c>
      <c r="N1" s="7" t="s">
        <v>118</v>
      </c>
      <c r="O1" s="7" t="s">
        <v>119</v>
      </c>
      <c r="P1" s="8" t="s">
        <v>120</v>
      </c>
      <c r="Q1" s="8" t="s">
        <v>121</v>
      </c>
      <c r="R1" s="9" t="s">
        <v>122</v>
      </c>
      <c r="S1" t="s">
        <v>140</v>
      </c>
      <c r="T1" t="s">
        <v>141</v>
      </c>
    </row>
    <row r="2" spans="1:55" x14ac:dyDescent="0.25">
      <c r="A2" s="14">
        <v>2014</v>
      </c>
      <c r="B2" s="14" t="s">
        <v>123</v>
      </c>
      <c r="C2" s="14" t="s">
        <v>124</v>
      </c>
      <c r="D2" s="14">
        <v>1</v>
      </c>
      <c r="E2" s="14">
        <v>1</v>
      </c>
      <c r="F2" s="14">
        <v>1</v>
      </c>
      <c r="G2" s="14">
        <v>1</v>
      </c>
      <c r="H2" s="14" t="s">
        <v>3</v>
      </c>
      <c r="I2" s="18">
        <v>46239</v>
      </c>
      <c r="J2" s="14" t="s">
        <v>125</v>
      </c>
      <c r="K2" s="21">
        <v>52</v>
      </c>
      <c r="L2" s="21"/>
      <c r="M2" s="21"/>
      <c r="N2" s="21"/>
      <c r="O2" s="24"/>
      <c r="P2" s="10">
        <v>-25.68</v>
      </c>
      <c r="Q2" s="10">
        <v>47.2</v>
      </c>
      <c r="R2" s="10">
        <v>83.4</v>
      </c>
      <c r="S2" s="16">
        <f>K2*Q2/1000</f>
        <v>2.4544000000000001</v>
      </c>
      <c r="T2" s="16">
        <f>K2*R2/1000</f>
        <v>4.3368000000000002</v>
      </c>
      <c r="AE2" s="17" t="s">
        <v>142</v>
      </c>
      <c r="AW2" s="17" t="s">
        <v>142</v>
      </c>
    </row>
    <row r="3" spans="1:55" x14ac:dyDescent="0.25">
      <c r="A3" s="14">
        <v>2014</v>
      </c>
      <c r="B3" s="14" t="s">
        <v>123</v>
      </c>
      <c r="C3" s="14" t="s">
        <v>124</v>
      </c>
      <c r="D3" s="14">
        <v>1</v>
      </c>
      <c r="E3" s="14">
        <v>2</v>
      </c>
      <c r="F3" s="14">
        <v>2</v>
      </c>
      <c r="G3" s="14">
        <v>1</v>
      </c>
      <c r="H3" s="14" t="s">
        <v>14</v>
      </c>
      <c r="I3" s="18">
        <v>46239</v>
      </c>
      <c r="J3" s="14" t="s">
        <v>125</v>
      </c>
      <c r="K3" s="21">
        <v>40</v>
      </c>
      <c r="L3" s="21"/>
      <c r="M3" s="21"/>
      <c r="N3" s="21"/>
      <c r="O3" s="24"/>
      <c r="P3" s="10">
        <v>-25.63</v>
      </c>
      <c r="Q3" s="10">
        <v>46.7</v>
      </c>
      <c r="R3" s="10">
        <v>71.099999999999994</v>
      </c>
      <c r="S3" s="16">
        <f t="shared" ref="S3:S66" si="0">K3*Q3/1000</f>
        <v>1.8680000000000001</v>
      </c>
      <c r="T3" s="16">
        <f t="shared" ref="T3:T66" si="1">K3*R3/1000</f>
        <v>2.8439999999999999</v>
      </c>
      <c r="AA3" s="17" t="s">
        <v>106</v>
      </c>
      <c r="AB3" s="17" t="s">
        <v>105</v>
      </c>
      <c r="AC3" s="17" t="s">
        <v>112</v>
      </c>
      <c r="AD3" s="17" t="s">
        <v>113</v>
      </c>
      <c r="AE3" t="s">
        <v>239</v>
      </c>
      <c r="AF3" t="s">
        <v>240</v>
      </c>
      <c r="AG3" t="s">
        <v>241</v>
      </c>
      <c r="AH3" t="s">
        <v>242</v>
      </c>
      <c r="AI3" t="s">
        <v>243</v>
      </c>
      <c r="AJ3" t="s">
        <v>244</v>
      </c>
      <c r="AK3" t="s">
        <v>245</v>
      </c>
      <c r="AS3" s="17" t="s">
        <v>106</v>
      </c>
      <c r="AT3" s="17" t="s">
        <v>105</v>
      </c>
      <c r="AU3" s="17" t="s">
        <v>112</v>
      </c>
      <c r="AV3" s="17" t="s">
        <v>113</v>
      </c>
      <c r="AW3" t="s">
        <v>219</v>
      </c>
      <c r="AX3" t="s">
        <v>220</v>
      </c>
      <c r="AY3" t="s">
        <v>221</v>
      </c>
      <c r="AZ3" t="s">
        <v>222</v>
      </c>
      <c r="BA3" t="s">
        <v>223</v>
      </c>
      <c r="BB3" t="s">
        <v>224</v>
      </c>
      <c r="BC3" t="s">
        <v>225</v>
      </c>
    </row>
    <row r="4" spans="1:55" x14ac:dyDescent="0.25">
      <c r="A4" s="14">
        <v>2014</v>
      </c>
      <c r="B4" s="14" t="s">
        <v>123</v>
      </c>
      <c r="C4" s="14" t="s">
        <v>124</v>
      </c>
      <c r="D4" s="14">
        <v>1</v>
      </c>
      <c r="E4" s="14">
        <v>3</v>
      </c>
      <c r="F4" s="14">
        <v>3</v>
      </c>
      <c r="G4" s="14">
        <v>1</v>
      </c>
      <c r="H4" s="14" t="s">
        <v>9</v>
      </c>
      <c r="I4" s="18">
        <v>46239</v>
      </c>
      <c r="J4" s="14" t="s">
        <v>125</v>
      </c>
      <c r="K4" s="21">
        <v>84</v>
      </c>
      <c r="L4" s="21"/>
      <c r="M4" s="21"/>
      <c r="N4" s="21"/>
      <c r="O4" s="24"/>
      <c r="P4" s="10">
        <v>-25.72</v>
      </c>
      <c r="Q4" s="10">
        <v>46.6</v>
      </c>
      <c r="R4" s="10">
        <v>68</v>
      </c>
      <c r="S4" s="16">
        <f t="shared" si="0"/>
        <v>3.9144000000000001</v>
      </c>
      <c r="T4" s="16">
        <f t="shared" si="1"/>
        <v>5.7119999999999997</v>
      </c>
      <c r="AA4" t="s">
        <v>137</v>
      </c>
      <c r="AB4">
        <v>2014</v>
      </c>
      <c r="AC4" t="s">
        <v>13</v>
      </c>
      <c r="AD4" s="3">
        <v>41834</v>
      </c>
      <c r="AE4" s="16">
        <v>150.5</v>
      </c>
      <c r="AF4">
        <v>64.75</v>
      </c>
      <c r="AG4">
        <v>85.5</v>
      </c>
      <c r="AI4">
        <v>0</v>
      </c>
      <c r="AJ4">
        <v>6.3381249999999998</v>
      </c>
      <c r="AK4">
        <v>7.3314000000000004</v>
      </c>
      <c r="AN4" t="s">
        <v>143</v>
      </c>
      <c r="AO4">
        <f>IF(AB4&lt;&gt;"",AB4,AO3)</f>
        <v>2014</v>
      </c>
      <c r="AP4" t="str">
        <f>IF(AC4&lt;&gt;"",AC4,AP3)</f>
        <v>29B</v>
      </c>
      <c r="AQ4" t="str">
        <f>AN4&amp;AO4&amp;"Cv"&amp;AP4</f>
        <v>Gatton2014Cv29B</v>
      </c>
      <c r="AS4" t="s">
        <v>137</v>
      </c>
      <c r="AT4">
        <v>2014</v>
      </c>
      <c r="AU4" t="s">
        <v>13</v>
      </c>
      <c r="AV4" s="3">
        <v>41834</v>
      </c>
      <c r="AW4" s="16">
        <v>7.9372539331937721</v>
      </c>
      <c r="AX4">
        <v>4.349329450233296</v>
      </c>
      <c r="AY4">
        <v>3.872983346207417</v>
      </c>
      <c r="BA4">
        <v>0</v>
      </c>
      <c r="BB4">
        <v>0.46749363899417434</v>
      </c>
      <c r="BC4">
        <v>1.7094151280481835</v>
      </c>
    </row>
    <row r="5" spans="1:55" x14ac:dyDescent="0.25">
      <c r="A5" s="14">
        <v>2014</v>
      </c>
      <c r="B5" s="14" t="s">
        <v>123</v>
      </c>
      <c r="C5" s="14" t="s">
        <v>124</v>
      </c>
      <c r="D5" s="14">
        <v>1</v>
      </c>
      <c r="E5" s="14">
        <v>4</v>
      </c>
      <c r="F5" s="14">
        <v>4</v>
      </c>
      <c r="G5" s="14">
        <v>1</v>
      </c>
      <c r="H5" s="14" t="s">
        <v>10</v>
      </c>
      <c r="I5" s="18">
        <v>46239</v>
      </c>
      <c r="J5" s="14" t="s">
        <v>125</v>
      </c>
      <c r="K5" s="21">
        <v>40</v>
      </c>
      <c r="L5" s="21"/>
      <c r="M5" s="21"/>
      <c r="N5" s="21"/>
      <c r="O5" s="24"/>
      <c r="P5" s="10">
        <v>-25.58</v>
      </c>
      <c r="Q5" s="10">
        <v>44.3</v>
      </c>
      <c r="R5" s="10">
        <v>78.599999999999994</v>
      </c>
      <c r="S5" s="16">
        <f t="shared" si="0"/>
        <v>1.772</v>
      </c>
      <c r="T5" s="16">
        <f t="shared" si="1"/>
        <v>3.1440000000000001</v>
      </c>
      <c r="AD5" s="3">
        <v>41842</v>
      </c>
      <c r="AE5" s="16">
        <v>224</v>
      </c>
      <c r="AF5">
        <v>94.5</v>
      </c>
      <c r="AG5">
        <v>125.75</v>
      </c>
      <c r="AI5">
        <v>3.5</v>
      </c>
      <c r="AN5" t="s">
        <v>143</v>
      </c>
      <c r="AO5">
        <f t="shared" ref="AO5:AO68" si="2">IF(AB5&lt;&gt;"",AB5,AO4)</f>
        <v>2014</v>
      </c>
      <c r="AP5" t="str">
        <f t="shared" ref="AP5:AP68" si="3">IF(AC5&lt;&gt;"",AC5,AP4)</f>
        <v>29B</v>
      </c>
      <c r="AQ5" t="str">
        <f t="shared" ref="AQ5:AQ68" si="4">AN5&amp;AO5&amp;"Cv"&amp;AP5</f>
        <v>Gatton2014Cv29B</v>
      </c>
      <c r="AV5" s="3">
        <v>41842</v>
      </c>
      <c r="AW5" s="16">
        <v>22.375581929117882</v>
      </c>
      <c r="AX5">
        <v>11.67618659209133</v>
      </c>
      <c r="AY5">
        <v>11.026483271348727</v>
      </c>
      <c r="BA5">
        <v>1</v>
      </c>
    </row>
    <row r="6" spans="1:55" x14ac:dyDescent="0.25">
      <c r="A6" s="14">
        <v>2014</v>
      </c>
      <c r="B6" s="14" t="s">
        <v>123</v>
      </c>
      <c r="C6" s="14" t="s">
        <v>124</v>
      </c>
      <c r="D6" s="14">
        <v>1</v>
      </c>
      <c r="E6" s="14">
        <v>5</v>
      </c>
      <c r="F6" s="14">
        <v>5</v>
      </c>
      <c r="G6" s="14">
        <v>1</v>
      </c>
      <c r="H6" s="14" t="s">
        <v>6</v>
      </c>
      <c r="I6" s="18">
        <v>46239</v>
      </c>
      <c r="J6" s="14" t="s">
        <v>125</v>
      </c>
      <c r="K6" s="21">
        <v>30</v>
      </c>
      <c r="L6" s="21"/>
      <c r="M6" s="21"/>
      <c r="N6" s="21"/>
      <c r="O6" s="24"/>
      <c r="P6" s="10">
        <v>-25.49</v>
      </c>
      <c r="Q6" s="10">
        <v>47.2</v>
      </c>
      <c r="R6" s="10">
        <v>76.2</v>
      </c>
      <c r="S6" s="16">
        <f t="shared" si="0"/>
        <v>1.4159999999999999</v>
      </c>
      <c r="T6" s="16">
        <f t="shared" si="1"/>
        <v>2.286</v>
      </c>
      <c r="AD6" s="3">
        <v>41863</v>
      </c>
      <c r="AE6" s="16">
        <v>536</v>
      </c>
      <c r="AF6">
        <v>297.5</v>
      </c>
      <c r="AG6">
        <v>216.25</v>
      </c>
      <c r="AI6">
        <v>22.25</v>
      </c>
      <c r="AJ6">
        <v>12.6876</v>
      </c>
      <c r="AK6">
        <v>75.950999999999993</v>
      </c>
      <c r="AN6" t="s">
        <v>143</v>
      </c>
      <c r="AO6">
        <f t="shared" si="2"/>
        <v>2014</v>
      </c>
      <c r="AP6" t="str">
        <f t="shared" si="3"/>
        <v>29B</v>
      </c>
      <c r="AQ6" t="str">
        <f t="shared" si="4"/>
        <v>Gatton2014Cv29B</v>
      </c>
      <c r="AV6" s="3">
        <v>41863</v>
      </c>
      <c r="AW6" s="16">
        <v>67.626424815550706</v>
      </c>
      <c r="AX6">
        <v>77.843860815523968</v>
      </c>
      <c r="AY6">
        <v>16.600702796367788</v>
      </c>
      <c r="BA6">
        <v>4.349329450233296</v>
      </c>
      <c r="BB6" t="e">
        <v>#DIV/0!</v>
      </c>
      <c r="BC6" t="e">
        <v>#DIV/0!</v>
      </c>
    </row>
    <row r="7" spans="1:55" x14ac:dyDescent="0.25">
      <c r="A7" s="14">
        <v>2014</v>
      </c>
      <c r="B7" s="14" t="s">
        <v>123</v>
      </c>
      <c r="C7" s="14" t="s">
        <v>124</v>
      </c>
      <c r="D7" s="14">
        <v>1</v>
      </c>
      <c r="E7" s="14">
        <v>6</v>
      </c>
      <c r="F7" s="14">
        <v>6</v>
      </c>
      <c r="G7" s="14">
        <v>1</v>
      </c>
      <c r="H7" s="14" t="s">
        <v>13</v>
      </c>
      <c r="I7" s="18">
        <v>46239</v>
      </c>
      <c r="J7" s="14" t="s">
        <v>125</v>
      </c>
      <c r="K7" s="21">
        <v>47</v>
      </c>
      <c r="L7" s="21"/>
      <c r="M7" s="21"/>
      <c r="N7" s="21"/>
      <c r="O7" s="24"/>
      <c r="P7" s="10">
        <v>-25.74</v>
      </c>
      <c r="Q7" s="10">
        <v>45.9</v>
      </c>
      <c r="R7" s="10">
        <v>71.5</v>
      </c>
      <c r="S7" s="16">
        <f t="shared" si="0"/>
        <v>2.1572999999999998</v>
      </c>
      <c r="T7" s="16">
        <f t="shared" si="1"/>
        <v>3.3605</v>
      </c>
      <c r="AD7" s="3">
        <v>41883</v>
      </c>
      <c r="AE7" s="16">
        <v>812</v>
      </c>
      <c r="AF7">
        <v>430.25</v>
      </c>
      <c r="AG7">
        <v>153.75</v>
      </c>
      <c r="AH7">
        <v>199.75</v>
      </c>
      <c r="AI7">
        <v>28.25</v>
      </c>
      <c r="AJ7">
        <v>12.714433333333332</v>
      </c>
      <c r="AK7">
        <v>98.388266666666667</v>
      </c>
      <c r="AN7" t="s">
        <v>143</v>
      </c>
      <c r="AO7">
        <f t="shared" si="2"/>
        <v>2014</v>
      </c>
      <c r="AP7" t="str">
        <f t="shared" si="3"/>
        <v>29B</v>
      </c>
      <c r="AQ7" t="str">
        <f t="shared" si="4"/>
        <v>Gatton2014Cv29B</v>
      </c>
      <c r="AV7" s="3">
        <v>41883</v>
      </c>
      <c r="AW7" s="16">
        <v>15.684387141358123</v>
      </c>
      <c r="AX7">
        <v>18.607794065928395</v>
      </c>
      <c r="AY7">
        <v>9.4295634398770911</v>
      </c>
      <c r="AZ7">
        <v>8.2209083034256825</v>
      </c>
      <c r="BA7">
        <v>13.647344063956181</v>
      </c>
      <c r="BB7">
        <v>0.16448757805182646</v>
      </c>
      <c r="BC7">
        <v>21.861572427740214</v>
      </c>
    </row>
    <row r="8" spans="1:55" x14ac:dyDescent="0.25">
      <c r="A8" s="14">
        <v>2014</v>
      </c>
      <c r="B8" s="14" t="s">
        <v>123</v>
      </c>
      <c r="C8" s="14" t="s">
        <v>124</v>
      </c>
      <c r="D8" s="14">
        <v>2</v>
      </c>
      <c r="E8" s="14">
        <v>6</v>
      </c>
      <c r="F8" s="14">
        <v>7</v>
      </c>
      <c r="G8" s="14">
        <v>1</v>
      </c>
      <c r="H8" s="14" t="s">
        <v>2</v>
      </c>
      <c r="I8" s="18">
        <v>46239</v>
      </c>
      <c r="J8" s="14" t="s">
        <v>125</v>
      </c>
      <c r="K8" s="21">
        <v>56</v>
      </c>
      <c r="L8" s="21"/>
      <c r="M8" s="21"/>
      <c r="N8" s="21"/>
      <c r="O8" s="24"/>
      <c r="P8" s="10">
        <v>-25.21</v>
      </c>
      <c r="Q8" s="10">
        <v>45.1</v>
      </c>
      <c r="R8" s="10">
        <v>101.9</v>
      </c>
      <c r="S8" s="16">
        <f t="shared" si="0"/>
        <v>2.5255999999999998</v>
      </c>
      <c r="T8" s="16">
        <f t="shared" si="1"/>
        <v>5.7064000000000004</v>
      </c>
      <c r="AD8" s="3">
        <v>41940</v>
      </c>
      <c r="AE8" s="16">
        <v>1275.75</v>
      </c>
      <c r="AF8">
        <v>388.75</v>
      </c>
      <c r="AG8">
        <v>0</v>
      </c>
      <c r="AH8">
        <v>713.75</v>
      </c>
      <c r="AI8">
        <v>173.25</v>
      </c>
      <c r="AN8" t="s">
        <v>143</v>
      </c>
      <c r="AO8">
        <f t="shared" si="2"/>
        <v>2014</v>
      </c>
      <c r="AP8" t="str">
        <f t="shared" si="3"/>
        <v>29B</v>
      </c>
      <c r="AQ8" t="str">
        <f t="shared" si="4"/>
        <v>Gatton2014Cv29B</v>
      </c>
      <c r="AV8" s="3">
        <v>41940</v>
      </c>
      <c r="AW8" s="16">
        <v>190.21807660332038</v>
      </c>
      <c r="AX8">
        <v>38.335144884731207</v>
      </c>
      <c r="AY8">
        <v>0</v>
      </c>
      <c r="AZ8">
        <v>182.65701008538747</v>
      </c>
      <c r="BA8">
        <v>199.26427175989176</v>
      </c>
    </row>
    <row r="9" spans="1:55" x14ac:dyDescent="0.25">
      <c r="A9" s="14">
        <v>2014</v>
      </c>
      <c r="B9" s="14" t="s">
        <v>123</v>
      </c>
      <c r="C9" s="14" t="s">
        <v>124</v>
      </c>
      <c r="D9" s="14">
        <v>2</v>
      </c>
      <c r="E9" s="14">
        <v>5</v>
      </c>
      <c r="F9" s="14">
        <v>8</v>
      </c>
      <c r="G9" s="14">
        <v>1</v>
      </c>
      <c r="H9" s="14" t="s">
        <v>12</v>
      </c>
      <c r="I9" s="18">
        <v>46239</v>
      </c>
      <c r="J9" s="14" t="s">
        <v>125</v>
      </c>
      <c r="K9" s="21">
        <v>51</v>
      </c>
      <c r="L9" s="21"/>
      <c r="M9" s="21"/>
      <c r="N9" s="21"/>
      <c r="O9" s="24"/>
      <c r="P9" s="10">
        <v>-25.66</v>
      </c>
      <c r="Q9" s="10">
        <v>41.9</v>
      </c>
      <c r="R9" s="10">
        <v>72</v>
      </c>
      <c r="S9" s="16">
        <f t="shared" si="0"/>
        <v>2.1369000000000002</v>
      </c>
      <c r="T9" s="16">
        <f t="shared" si="1"/>
        <v>3.6720000000000002</v>
      </c>
      <c r="AC9" t="s">
        <v>14</v>
      </c>
      <c r="AD9" s="3">
        <v>41834</v>
      </c>
      <c r="AE9" s="16">
        <v>132.25</v>
      </c>
      <c r="AF9">
        <v>44.5</v>
      </c>
      <c r="AG9">
        <v>87.5</v>
      </c>
      <c r="AI9">
        <v>0</v>
      </c>
      <c r="AJ9">
        <v>6.2735000000000003</v>
      </c>
      <c r="AK9">
        <v>4.358625</v>
      </c>
      <c r="AN9" t="s">
        <v>143</v>
      </c>
      <c r="AO9">
        <f t="shared" si="2"/>
        <v>2014</v>
      </c>
      <c r="AP9" t="str">
        <f t="shared" si="3"/>
        <v>5A</v>
      </c>
      <c r="AQ9" t="str">
        <f t="shared" si="4"/>
        <v>Gatton2014Cv5A</v>
      </c>
      <c r="AU9" t="s">
        <v>14</v>
      </c>
      <c r="AV9" s="3">
        <v>41834</v>
      </c>
      <c r="AW9" s="16">
        <v>8.0983537421708949</v>
      </c>
      <c r="AX9">
        <v>1.7320508075688772</v>
      </c>
      <c r="AY9">
        <v>5.9160797830996161</v>
      </c>
      <c r="BA9">
        <v>0</v>
      </c>
      <c r="BB9">
        <v>0.35526161252427613</v>
      </c>
      <c r="BC9">
        <v>1.4731878187002054</v>
      </c>
    </row>
    <row r="10" spans="1:55" x14ac:dyDescent="0.25">
      <c r="A10" s="14">
        <v>2014</v>
      </c>
      <c r="B10" s="14" t="s">
        <v>123</v>
      </c>
      <c r="C10" s="14" t="s">
        <v>124</v>
      </c>
      <c r="D10" s="14">
        <v>2</v>
      </c>
      <c r="E10" s="14">
        <v>4</v>
      </c>
      <c r="F10" s="14">
        <v>9</v>
      </c>
      <c r="G10" s="14">
        <v>1</v>
      </c>
      <c r="H10" s="14" t="s">
        <v>7</v>
      </c>
      <c r="I10" s="18">
        <v>46239</v>
      </c>
      <c r="J10" s="14" t="s">
        <v>125</v>
      </c>
      <c r="K10" s="21">
        <v>43</v>
      </c>
      <c r="L10" s="21"/>
      <c r="M10" s="21"/>
      <c r="N10" s="21"/>
      <c r="O10" s="24"/>
      <c r="P10" s="10">
        <v>-25.54</v>
      </c>
      <c r="Q10" s="10">
        <v>44.1</v>
      </c>
      <c r="R10" s="10">
        <v>87.7</v>
      </c>
      <c r="S10" s="16">
        <f t="shared" si="0"/>
        <v>1.8962999999999999</v>
      </c>
      <c r="T10" s="16">
        <f t="shared" si="1"/>
        <v>3.7711000000000001</v>
      </c>
      <c r="AD10" s="3">
        <v>41863</v>
      </c>
      <c r="AE10" s="16">
        <v>434.25</v>
      </c>
      <c r="AF10">
        <v>175.25</v>
      </c>
      <c r="AG10">
        <v>220.75</v>
      </c>
      <c r="AI10">
        <v>38.5</v>
      </c>
      <c r="AN10" t="s">
        <v>143</v>
      </c>
      <c r="AO10">
        <f t="shared" si="2"/>
        <v>2014</v>
      </c>
      <c r="AP10" t="str">
        <f t="shared" si="3"/>
        <v>5A</v>
      </c>
      <c r="AQ10" t="str">
        <f t="shared" si="4"/>
        <v>Gatton2014Cv5A</v>
      </c>
      <c r="AV10" s="3">
        <v>41863</v>
      </c>
      <c r="AW10" s="16">
        <v>41.120757126622401</v>
      </c>
      <c r="AX10">
        <v>13.937359864766353</v>
      </c>
      <c r="AY10">
        <v>26.487418396916929</v>
      </c>
      <c r="BA10">
        <v>1.7320508075688772</v>
      </c>
    </row>
    <row r="11" spans="1:55" x14ac:dyDescent="0.25">
      <c r="A11" s="14">
        <v>2014</v>
      </c>
      <c r="B11" s="14" t="s">
        <v>123</v>
      </c>
      <c r="C11" s="14" t="s">
        <v>124</v>
      </c>
      <c r="D11" s="14">
        <v>2</v>
      </c>
      <c r="E11" s="14">
        <v>3</v>
      </c>
      <c r="F11" s="14">
        <v>10</v>
      </c>
      <c r="G11" s="14">
        <v>1</v>
      </c>
      <c r="H11" s="14" t="s">
        <v>8</v>
      </c>
      <c r="I11" s="18">
        <v>46239</v>
      </c>
      <c r="J11" s="14" t="s">
        <v>125</v>
      </c>
      <c r="K11" s="21">
        <v>62</v>
      </c>
      <c r="L11" s="21"/>
      <c r="M11" s="21"/>
      <c r="N11" s="21"/>
      <c r="O11" s="24"/>
      <c r="P11" s="10">
        <v>-25.53</v>
      </c>
      <c r="Q11" s="10">
        <v>44.3</v>
      </c>
      <c r="R11" s="10">
        <v>85.5</v>
      </c>
      <c r="S11" s="16">
        <f t="shared" si="0"/>
        <v>2.7465999999999999</v>
      </c>
      <c r="T11" s="16">
        <f t="shared" si="1"/>
        <v>5.3010000000000002</v>
      </c>
      <c r="AD11" s="3">
        <v>41871</v>
      </c>
      <c r="AE11" s="16">
        <v>595</v>
      </c>
      <c r="AF11">
        <v>318.75</v>
      </c>
      <c r="AG11">
        <v>222.5</v>
      </c>
      <c r="AH11">
        <v>3</v>
      </c>
      <c r="AI11">
        <v>52.5</v>
      </c>
      <c r="AJ11">
        <v>15.185750000000001</v>
      </c>
      <c r="AK11">
        <v>55.966349999999998</v>
      </c>
      <c r="AN11" t="s">
        <v>143</v>
      </c>
      <c r="AO11">
        <f t="shared" si="2"/>
        <v>2014</v>
      </c>
      <c r="AP11" t="str">
        <f t="shared" si="3"/>
        <v>5A</v>
      </c>
      <c r="AQ11" t="str">
        <f t="shared" si="4"/>
        <v>Gatton2014Cv5A</v>
      </c>
      <c r="AV11" s="3">
        <v>41871</v>
      </c>
      <c r="AW11" s="16">
        <v>45.94924736416619</v>
      </c>
      <c r="AX11">
        <v>12.038133853162901</v>
      </c>
      <c r="AY11">
        <v>34.394767043839678</v>
      </c>
      <c r="AZ11" t="e">
        <v>#DIV/0!</v>
      </c>
      <c r="BA11">
        <v>14.708274315273473</v>
      </c>
      <c r="BB11">
        <v>1.7287047415141035</v>
      </c>
      <c r="BC11">
        <v>3.7154679934025885</v>
      </c>
    </row>
    <row r="12" spans="1:55" x14ac:dyDescent="0.25">
      <c r="A12" s="14">
        <v>2014</v>
      </c>
      <c r="B12" s="14" t="s">
        <v>123</v>
      </c>
      <c r="C12" s="14" t="s">
        <v>124</v>
      </c>
      <c r="D12" s="14">
        <v>2</v>
      </c>
      <c r="E12" s="14">
        <v>2</v>
      </c>
      <c r="F12" s="14">
        <v>11</v>
      </c>
      <c r="G12" s="14">
        <v>1</v>
      </c>
      <c r="H12" s="14" t="s">
        <v>5</v>
      </c>
      <c r="I12" s="18">
        <v>46239</v>
      </c>
      <c r="J12" s="14" t="s">
        <v>125</v>
      </c>
      <c r="K12" s="21">
        <v>42</v>
      </c>
      <c r="L12" s="21"/>
      <c r="M12" s="21"/>
      <c r="N12" s="21"/>
      <c r="O12" s="24"/>
      <c r="P12" s="10">
        <v>-25.73</v>
      </c>
      <c r="Q12" s="10">
        <v>46.8</v>
      </c>
      <c r="R12" s="10">
        <v>71.599999999999994</v>
      </c>
      <c r="S12" s="16">
        <f t="shared" si="0"/>
        <v>1.9656</v>
      </c>
      <c r="T12" s="16">
        <f t="shared" si="1"/>
        <v>3.0071999999999997</v>
      </c>
      <c r="AD12" s="3">
        <v>41891</v>
      </c>
      <c r="AE12" s="16">
        <v>976.5</v>
      </c>
      <c r="AF12">
        <v>470.75</v>
      </c>
      <c r="AG12">
        <v>185</v>
      </c>
      <c r="AH12">
        <v>205.25</v>
      </c>
      <c r="AI12">
        <v>115.5</v>
      </c>
      <c r="AJ12">
        <v>15.222066666666668</v>
      </c>
      <c r="AK12">
        <v>116.73516666666667</v>
      </c>
      <c r="AN12" t="s">
        <v>143</v>
      </c>
      <c r="AO12">
        <f t="shared" si="2"/>
        <v>2014</v>
      </c>
      <c r="AP12" t="str">
        <f t="shared" si="3"/>
        <v>5A</v>
      </c>
      <c r="AQ12" t="str">
        <f t="shared" si="4"/>
        <v>Gatton2014Cv5A</v>
      </c>
      <c r="AV12" s="3">
        <v>41891</v>
      </c>
      <c r="AW12" s="16">
        <v>70.420167565833012</v>
      </c>
      <c r="AX12">
        <v>36.362755671153415</v>
      </c>
      <c r="AY12">
        <v>45.394566488365832</v>
      </c>
      <c r="AZ12">
        <v>28.217902119044926</v>
      </c>
      <c r="BA12">
        <v>31.522478751942504</v>
      </c>
      <c r="BB12">
        <v>3.7009141051006931</v>
      </c>
      <c r="BC12">
        <v>16.007661192170996</v>
      </c>
    </row>
    <row r="13" spans="1:55" x14ac:dyDescent="0.25">
      <c r="A13" s="14">
        <v>2014</v>
      </c>
      <c r="B13" s="14" t="s">
        <v>123</v>
      </c>
      <c r="C13" s="14" t="s">
        <v>124</v>
      </c>
      <c r="D13" s="14">
        <v>2</v>
      </c>
      <c r="E13" s="14">
        <v>1</v>
      </c>
      <c r="F13" s="14">
        <v>12</v>
      </c>
      <c r="G13" s="14">
        <v>1</v>
      </c>
      <c r="H13" s="14" t="s">
        <v>4</v>
      </c>
      <c r="I13" s="18">
        <v>46239</v>
      </c>
      <c r="J13" s="14" t="s">
        <v>125</v>
      </c>
      <c r="K13" s="21">
        <v>26</v>
      </c>
      <c r="L13" s="21"/>
      <c r="M13" s="21"/>
      <c r="N13" s="21"/>
      <c r="O13" s="24"/>
      <c r="P13" s="10">
        <v>-25.37</v>
      </c>
      <c r="Q13" s="10">
        <v>48.1</v>
      </c>
      <c r="R13" s="10">
        <v>77.2</v>
      </c>
      <c r="S13" s="16">
        <f t="shared" si="0"/>
        <v>1.2506000000000002</v>
      </c>
      <c r="T13" s="16">
        <f t="shared" si="1"/>
        <v>2.0072000000000001</v>
      </c>
      <c r="AD13" s="3">
        <v>41940</v>
      </c>
      <c r="AE13" s="16">
        <v>1433</v>
      </c>
      <c r="AF13">
        <v>380.5</v>
      </c>
      <c r="AG13">
        <v>0</v>
      </c>
      <c r="AH13">
        <v>814.75</v>
      </c>
      <c r="AI13">
        <v>238</v>
      </c>
      <c r="AN13" t="s">
        <v>143</v>
      </c>
      <c r="AO13">
        <f t="shared" si="2"/>
        <v>2014</v>
      </c>
      <c r="AP13" t="str">
        <f t="shared" si="3"/>
        <v>5A</v>
      </c>
      <c r="AQ13" t="str">
        <f t="shared" si="4"/>
        <v>Gatton2014Cv5A</v>
      </c>
      <c r="AV13" s="3">
        <v>41940</v>
      </c>
      <c r="AW13" s="16">
        <v>227.9678339883356</v>
      </c>
      <c r="AX13">
        <v>66.480573603622489</v>
      </c>
      <c r="AY13">
        <v>0</v>
      </c>
      <c r="AZ13">
        <v>173.12110404761941</v>
      </c>
      <c r="BA13">
        <v>199.06782763671282</v>
      </c>
    </row>
    <row r="14" spans="1:55" x14ac:dyDescent="0.25">
      <c r="A14" s="14">
        <v>2014</v>
      </c>
      <c r="B14" s="14" t="s">
        <v>123</v>
      </c>
      <c r="C14" s="14" t="s">
        <v>124</v>
      </c>
      <c r="D14" s="14">
        <v>3</v>
      </c>
      <c r="E14" s="14">
        <v>1</v>
      </c>
      <c r="F14" s="14">
        <v>13</v>
      </c>
      <c r="G14" s="14">
        <v>2</v>
      </c>
      <c r="H14" s="14" t="s">
        <v>8</v>
      </c>
      <c r="I14" s="18">
        <v>46239</v>
      </c>
      <c r="J14" s="14" t="s">
        <v>125</v>
      </c>
      <c r="K14" s="21">
        <v>29</v>
      </c>
      <c r="L14" s="21"/>
      <c r="M14" s="21"/>
      <c r="N14" s="21"/>
      <c r="O14" s="24"/>
      <c r="P14" s="10">
        <v>-25.29</v>
      </c>
      <c r="Q14" s="10">
        <v>49</v>
      </c>
      <c r="R14" s="10">
        <v>89.2</v>
      </c>
      <c r="S14" s="16">
        <f t="shared" si="0"/>
        <v>1.421</v>
      </c>
      <c r="T14" s="16">
        <f t="shared" si="1"/>
        <v>2.5868000000000002</v>
      </c>
      <c r="AC14" t="s">
        <v>12</v>
      </c>
      <c r="AD14" s="3">
        <v>41834</v>
      </c>
      <c r="AE14" s="16">
        <v>144.5</v>
      </c>
      <c r="AF14">
        <v>55.25</v>
      </c>
      <c r="AG14">
        <v>89.5</v>
      </c>
      <c r="AI14">
        <v>0</v>
      </c>
      <c r="AJ14">
        <v>6.5401999999999996</v>
      </c>
      <c r="AK14">
        <v>6.1306750000000001</v>
      </c>
      <c r="AN14" t="s">
        <v>143</v>
      </c>
      <c r="AO14">
        <f t="shared" si="2"/>
        <v>2014</v>
      </c>
      <c r="AP14" t="str">
        <f t="shared" si="3"/>
        <v>60A</v>
      </c>
      <c r="AQ14" t="str">
        <f t="shared" si="4"/>
        <v>Gatton2014Cv60A</v>
      </c>
      <c r="AU14" t="s">
        <v>12</v>
      </c>
      <c r="AV14" s="3">
        <v>41834</v>
      </c>
      <c r="AW14" s="16">
        <v>18.064698539785638</v>
      </c>
      <c r="AX14">
        <v>5.619905100029122</v>
      </c>
      <c r="AY14">
        <v>12.013880860626733</v>
      </c>
      <c r="BA14">
        <v>0</v>
      </c>
      <c r="BB14">
        <v>0.80959996294467507</v>
      </c>
      <c r="BC14">
        <v>1.546550004310671</v>
      </c>
    </row>
    <row r="15" spans="1:55" x14ac:dyDescent="0.25">
      <c r="A15" s="14">
        <v>2014</v>
      </c>
      <c r="B15" s="14" t="s">
        <v>123</v>
      </c>
      <c r="C15" s="14" t="s">
        <v>124</v>
      </c>
      <c r="D15" s="14">
        <v>3</v>
      </c>
      <c r="E15" s="14">
        <v>2</v>
      </c>
      <c r="F15" s="14">
        <v>14</v>
      </c>
      <c r="G15" s="14">
        <v>2</v>
      </c>
      <c r="H15" s="14" t="s">
        <v>4</v>
      </c>
      <c r="I15" s="18">
        <v>46245</v>
      </c>
      <c r="J15" s="14" t="s">
        <v>125</v>
      </c>
      <c r="K15" s="21">
        <v>60</v>
      </c>
      <c r="L15" s="21"/>
      <c r="M15" s="21"/>
      <c r="N15" s="21"/>
      <c r="O15" s="24"/>
      <c r="P15" s="10">
        <v>-24.67</v>
      </c>
      <c r="Q15" s="10">
        <v>45.9</v>
      </c>
      <c r="R15" s="10">
        <v>130.19999999999999</v>
      </c>
      <c r="S15" s="16">
        <f t="shared" si="0"/>
        <v>2.754</v>
      </c>
      <c r="T15" s="16">
        <f t="shared" si="1"/>
        <v>7.8119999999999994</v>
      </c>
      <c r="AD15" s="3">
        <v>41842</v>
      </c>
      <c r="AE15" s="16">
        <v>219.25</v>
      </c>
      <c r="AF15">
        <v>78.75</v>
      </c>
      <c r="AG15">
        <v>137</v>
      </c>
      <c r="AI15">
        <v>3</v>
      </c>
      <c r="AN15" t="s">
        <v>143</v>
      </c>
      <c r="AO15">
        <f t="shared" si="2"/>
        <v>2014</v>
      </c>
      <c r="AP15" t="str">
        <f t="shared" si="3"/>
        <v>60A</v>
      </c>
      <c r="AQ15" t="str">
        <f t="shared" si="4"/>
        <v>Gatton2014Cv60A</v>
      </c>
      <c r="AV15" s="3">
        <v>41842</v>
      </c>
      <c r="AW15" s="16">
        <v>22.632940595512551</v>
      </c>
      <c r="AX15">
        <v>9.535023160258536</v>
      </c>
      <c r="AY15">
        <v>12.489995996796797</v>
      </c>
      <c r="BA15">
        <v>0.81649658092772603</v>
      </c>
    </row>
    <row r="16" spans="1:55" x14ac:dyDescent="0.25">
      <c r="A16" s="14">
        <v>2014</v>
      </c>
      <c r="B16" s="14" t="s">
        <v>123</v>
      </c>
      <c r="C16" s="14" t="s">
        <v>124</v>
      </c>
      <c r="D16" s="14">
        <v>3</v>
      </c>
      <c r="E16" s="14">
        <v>3</v>
      </c>
      <c r="F16" s="14">
        <v>15</v>
      </c>
      <c r="G16" s="14">
        <v>2</v>
      </c>
      <c r="H16" s="14" t="s">
        <v>12</v>
      </c>
      <c r="I16" s="18">
        <v>46239</v>
      </c>
      <c r="J16" s="14" t="s">
        <v>125</v>
      </c>
      <c r="K16" s="21">
        <v>80</v>
      </c>
      <c r="L16" s="21"/>
      <c r="M16" s="21"/>
      <c r="N16" s="21"/>
      <c r="O16" s="24"/>
      <c r="P16" s="10">
        <v>-25.59</v>
      </c>
      <c r="Q16" s="10">
        <v>46.1</v>
      </c>
      <c r="R16" s="10">
        <v>66.599999999999994</v>
      </c>
      <c r="S16" s="16">
        <f t="shared" si="0"/>
        <v>3.6880000000000002</v>
      </c>
      <c r="T16" s="16">
        <f t="shared" si="1"/>
        <v>5.3280000000000003</v>
      </c>
      <c r="AD16" s="3">
        <v>41863</v>
      </c>
      <c r="AE16" s="16">
        <v>481.5</v>
      </c>
      <c r="AF16">
        <v>239.75</v>
      </c>
      <c r="AG16">
        <v>216.5</v>
      </c>
      <c r="AI16">
        <v>25</v>
      </c>
      <c r="AJ16">
        <v>12.9679</v>
      </c>
      <c r="AK16">
        <v>47.9754</v>
      </c>
      <c r="AN16" t="s">
        <v>143</v>
      </c>
      <c r="AO16">
        <f t="shared" si="2"/>
        <v>2014</v>
      </c>
      <c r="AP16" t="str">
        <f t="shared" si="3"/>
        <v>60A</v>
      </c>
      <c r="AQ16" t="str">
        <f t="shared" si="4"/>
        <v>Gatton2014Cv60A</v>
      </c>
      <c r="AV16" s="3">
        <v>41863</v>
      </c>
      <c r="AW16" s="16">
        <v>54.421196850736997</v>
      </c>
      <c r="AX16">
        <v>36.609425015970956</v>
      </c>
      <c r="AY16">
        <v>13.868429375143148</v>
      </c>
      <c r="BA16">
        <v>6.0553007081949835</v>
      </c>
      <c r="BB16">
        <v>0.51816784925351722</v>
      </c>
      <c r="BC16">
        <v>3.5689093460048</v>
      </c>
    </row>
    <row r="17" spans="1:55" x14ac:dyDescent="0.25">
      <c r="A17" s="14">
        <v>2014</v>
      </c>
      <c r="B17" s="14" t="s">
        <v>123</v>
      </c>
      <c r="C17" s="14" t="s">
        <v>124</v>
      </c>
      <c r="D17" s="14">
        <v>3</v>
      </c>
      <c r="E17" s="14">
        <v>4</v>
      </c>
      <c r="F17" s="14">
        <v>16</v>
      </c>
      <c r="G17" s="14">
        <v>2</v>
      </c>
      <c r="H17" s="14" t="s">
        <v>5</v>
      </c>
      <c r="I17" s="18">
        <v>46239</v>
      </c>
      <c r="J17" s="14" t="s">
        <v>125</v>
      </c>
      <c r="K17" s="21">
        <v>41</v>
      </c>
      <c r="L17" s="21"/>
      <c r="M17" s="21"/>
      <c r="N17" s="21"/>
      <c r="O17" s="24"/>
      <c r="P17" s="10">
        <v>-25.25</v>
      </c>
      <c r="Q17" s="10">
        <v>41.8</v>
      </c>
      <c r="R17" s="10">
        <v>97.3</v>
      </c>
      <c r="S17" s="16">
        <f t="shared" si="0"/>
        <v>1.7138</v>
      </c>
      <c r="T17" s="16">
        <f t="shared" si="1"/>
        <v>3.9892999999999996</v>
      </c>
      <c r="AD17" s="3">
        <v>41883</v>
      </c>
      <c r="AE17" s="16">
        <v>822</v>
      </c>
      <c r="AF17">
        <v>427.75</v>
      </c>
      <c r="AG17">
        <v>203</v>
      </c>
      <c r="AH17">
        <v>153</v>
      </c>
      <c r="AI17">
        <v>38.25</v>
      </c>
      <c r="AJ17">
        <v>15.463200000000001</v>
      </c>
      <c r="AK17">
        <v>75.621724999999998</v>
      </c>
      <c r="AN17" t="s">
        <v>143</v>
      </c>
      <c r="AO17">
        <f t="shared" si="2"/>
        <v>2014</v>
      </c>
      <c r="AP17" t="str">
        <f t="shared" si="3"/>
        <v>60A</v>
      </c>
      <c r="AQ17" t="str">
        <f t="shared" si="4"/>
        <v>Gatton2014Cv60A</v>
      </c>
      <c r="AV17" s="3">
        <v>41883</v>
      </c>
      <c r="AW17" s="16">
        <v>59.626615980896766</v>
      </c>
      <c r="AX17">
        <v>16.997548842896929</v>
      </c>
      <c r="AY17">
        <v>10.360180178613369</v>
      </c>
      <c r="AZ17">
        <v>38.952963087977444</v>
      </c>
      <c r="BA17">
        <v>9.5</v>
      </c>
      <c r="BB17">
        <v>0.83115213208331762</v>
      </c>
      <c r="BC17">
        <v>15.264986377846267</v>
      </c>
    </row>
    <row r="18" spans="1:55" x14ac:dyDescent="0.25">
      <c r="A18" s="14">
        <v>2014</v>
      </c>
      <c r="B18" s="14" t="s">
        <v>123</v>
      </c>
      <c r="C18" s="14" t="s">
        <v>124</v>
      </c>
      <c r="D18" s="14">
        <v>3</v>
      </c>
      <c r="E18" s="14">
        <v>5</v>
      </c>
      <c r="F18" s="14">
        <v>17</v>
      </c>
      <c r="G18" s="14">
        <v>2</v>
      </c>
      <c r="H18" s="14" t="s">
        <v>14</v>
      </c>
      <c r="I18" s="18">
        <v>46239</v>
      </c>
      <c r="J18" s="14" t="s">
        <v>125</v>
      </c>
      <c r="K18" s="21">
        <v>39</v>
      </c>
      <c r="L18" s="21"/>
      <c r="M18" s="21"/>
      <c r="N18" s="21"/>
      <c r="O18" s="24"/>
      <c r="P18" s="10">
        <v>-25.08</v>
      </c>
      <c r="Q18" s="10">
        <v>41.9</v>
      </c>
      <c r="R18" s="10">
        <v>97.4</v>
      </c>
      <c r="S18" s="16">
        <f t="shared" si="0"/>
        <v>1.6340999999999999</v>
      </c>
      <c r="T18" s="16">
        <f t="shared" si="1"/>
        <v>3.7986000000000004</v>
      </c>
      <c r="AD18" s="3">
        <v>41940</v>
      </c>
      <c r="AE18" s="16">
        <v>1406.25</v>
      </c>
      <c r="AF18">
        <v>375.75</v>
      </c>
      <c r="AG18">
        <v>0</v>
      </c>
      <c r="AH18">
        <v>736.75</v>
      </c>
      <c r="AI18">
        <v>293.75</v>
      </c>
      <c r="AN18" t="s">
        <v>143</v>
      </c>
      <c r="AO18">
        <f t="shared" si="2"/>
        <v>2014</v>
      </c>
      <c r="AP18" t="str">
        <f t="shared" si="3"/>
        <v>60A</v>
      </c>
      <c r="AQ18" t="str">
        <f t="shared" si="4"/>
        <v>Gatton2014Cv60A</v>
      </c>
      <c r="AV18" s="3">
        <v>41940</v>
      </c>
      <c r="AW18" s="16">
        <v>85.386864719737005</v>
      </c>
      <c r="AX18">
        <v>55.065869647178005</v>
      </c>
      <c r="AY18">
        <v>0</v>
      </c>
      <c r="AZ18">
        <v>177.9950842017835</v>
      </c>
      <c r="BA18">
        <v>249.6522581512132</v>
      </c>
    </row>
    <row r="19" spans="1:55" x14ac:dyDescent="0.25">
      <c r="A19" s="14">
        <v>2014</v>
      </c>
      <c r="B19" s="14" t="s">
        <v>123</v>
      </c>
      <c r="C19" s="14" t="s">
        <v>124</v>
      </c>
      <c r="D19" s="14">
        <v>3</v>
      </c>
      <c r="E19" s="14">
        <v>6</v>
      </c>
      <c r="F19" s="14">
        <v>18</v>
      </c>
      <c r="G19" s="14">
        <v>2</v>
      </c>
      <c r="H19" s="14" t="s">
        <v>7</v>
      </c>
      <c r="I19" s="18">
        <v>46239</v>
      </c>
      <c r="J19" s="14" t="s">
        <v>125</v>
      </c>
      <c r="K19" s="21">
        <v>37</v>
      </c>
      <c r="L19" s="21"/>
      <c r="M19" s="21"/>
      <c r="N19" s="21"/>
      <c r="O19" s="24"/>
      <c r="P19" s="10">
        <v>-25.28</v>
      </c>
      <c r="Q19" s="10">
        <v>42.8</v>
      </c>
      <c r="R19" s="10">
        <v>81.400000000000006</v>
      </c>
      <c r="S19" s="16">
        <f t="shared" si="0"/>
        <v>1.5835999999999999</v>
      </c>
      <c r="T19" s="16">
        <f t="shared" si="1"/>
        <v>3.0118</v>
      </c>
      <c r="AC19" t="s">
        <v>10</v>
      </c>
      <c r="AD19" s="3">
        <v>41834</v>
      </c>
      <c r="AE19" s="16">
        <v>158</v>
      </c>
      <c r="AF19">
        <v>53.75</v>
      </c>
      <c r="AG19">
        <v>104.25</v>
      </c>
      <c r="AI19">
        <v>0</v>
      </c>
      <c r="AJ19">
        <v>7.5081999999999987</v>
      </c>
      <c r="AK19">
        <v>6.5418000000000003</v>
      </c>
      <c r="AN19" t="s">
        <v>143</v>
      </c>
      <c r="AO19">
        <f t="shared" si="2"/>
        <v>2014</v>
      </c>
      <c r="AP19" t="str">
        <f t="shared" si="3"/>
        <v>Corack</v>
      </c>
      <c r="AQ19" t="str">
        <f t="shared" si="4"/>
        <v>Gatton2014CvCorack</v>
      </c>
      <c r="AU19" t="s">
        <v>10</v>
      </c>
      <c r="AV19" s="3">
        <v>41834</v>
      </c>
      <c r="AW19" s="16">
        <v>14.212670403551895</v>
      </c>
      <c r="AX19">
        <v>5.315072906367325</v>
      </c>
      <c r="AY19">
        <v>8.9209491273817569</v>
      </c>
      <c r="BA19">
        <v>0</v>
      </c>
      <c r="BB19">
        <v>1.1778806306243519</v>
      </c>
      <c r="BC19">
        <v>2.2301237409614734</v>
      </c>
    </row>
    <row r="20" spans="1:55" x14ac:dyDescent="0.25">
      <c r="A20" s="14">
        <v>2014</v>
      </c>
      <c r="B20" s="14" t="s">
        <v>123</v>
      </c>
      <c r="C20" s="14" t="s">
        <v>124</v>
      </c>
      <c r="D20" s="14">
        <v>4</v>
      </c>
      <c r="E20" s="14">
        <v>6</v>
      </c>
      <c r="F20" s="14">
        <v>19</v>
      </c>
      <c r="G20" s="14">
        <v>2</v>
      </c>
      <c r="H20" s="14" t="s">
        <v>6</v>
      </c>
      <c r="I20" s="18">
        <v>46239</v>
      </c>
      <c r="J20" s="14" t="s">
        <v>125</v>
      </c>
      <c r="K20" s="21">
        <v>39</v>
      </c>
      <c r="L20" s="21"/>
      <c r="M20" s="21"/>
      <c r="N20" s="21"/>
      <c r="O20" s="24"/>
      <c r="P20" s="10">
        <v>-25.26</v>
      </c>
      <c r="Q20" s="10">
        <v>45.7</v>
      </c>
      <c r="R20" s="10">
        <v>88</v>
      </c>
      <c r="S20" s="16">
        <f t="shared" si="0"/>
        <v>1.7823000000000002</v>
      </c>
      <c r="T20" s="16">
        <f t="shared" si="1"/>
        <v>3.4319999999999999</v>
      </c>
      <c r="AD20" s="3">
        <v>41856</v>
      </c>
      <c r="AE20" s="16">
        <v>425</v>
      </c>
      <c r="AF20">
        <v>190</v>
      </c>
      <c r="AG20">
        <v>215.75</v>
      </c>
      <c r="AI20">
        <v>19.25</v>
      </c>
      <c r="AN20" t="s">
        <v>143</v>
      </c>
      <c r="AO20">
        <f t="shared" si="2"/>
        <v>2014</v>
      </c>
      <c r="AP20" t="str">
        <f t="shared" si="3"/>
        <v>Corack</v>
      </c>
      <c r="AQ20" t="str">
        <f t="shared" si="4"/>
        <v>Gatton2014CvCorack</v>
      </c>
      <c r="AV20" s="3">
        <v>41856</v>
      </c>
      <c r="AW20" s="16">
        <v>30.386400466875529</v>
      </c>
      <c r="AX20">
        <v>21.494185260204677</v>
      </c>
      <c r="AY20">
        <v>9.742518497116988</v>
      </c>
      <c r="BA20">
        <v>3.3040379335998349</v>
      </c>
    </row>
    <row r="21" spans="1:55" x14ac:dyDescent="0.25">
      <c r="A21" s="14">
        <v>2014</v>
      </c>
      <c r="B21" s="14" t="s">
        <v>123</v>
      </c>
      <c r="C21" s="14" t="s">
        <v>124</v>
      </c>
      <c r="D21" s="14">
        <v>4</v>
      </c>
      <c r="E21" s="14">
        <v>5</v>
      </c>
      <c r="F21" s="14">
        <v>20</v>
      </c>
      <c r="G21" s="14">
        <v>2</v>
      </c>
      <c r="H21" s="14" t="s">
        <v>3</v>
      </c>
      <c r="I21" s="18">
        <v>46239</v>
      </c>
      <c r="J21" s="14" t="s">
        <v>125</v>
      </c>
      <c r="K21" s="21">
        <v>43</v>
      </c>
      <c r="L21" s="21"/>
      <c r="M21" s="21"/>
      <c r="N21" s="21"/>
      <c r="O21" s="24"/>
      <c r="P21" s="10">
        <v>-25.26</v>
      </c>
      <c r="Q21" s="10">
        <v>43.4</v>
      </c>
      <c r="R21" s="10">
        <v>95.4</v>
      </c>
      <c r="S21" s="16">
        <f t="shared" si="0"/>
        <v>1.8662000000000001</v>
      </c>
      <c r="T21" s="16">
        <f t="shared" si="1"/>
        <v>4.1021999999999998</v>
      </c>
      <c r="AD21" s="3">
        <v>41871</v>
      </c>
      <c r="AE21" s="16">
        <v>664.75</v>
      </c>
      <c r="AF21">
        <v>311.5</v>
      </c>
      <c r="AG21">
        <v>185.75</v>
      </c>
      <c r="AH21">
        <v>109.25</v>
      </c>
      <c r="AI21">
        <v>57.75</v>
      </c>
      <c r="AJ21">
        <v>14.539724999999999</v>
      </c>
      <c r="AK21">
        <v>68.353325000000012</v>
      </c>
      <c r="AN21" t="s">
        <v>143</v>
      </c>
      <c r="AO21">
        <f t="shared" si="2"/>
        <v>2014</v>
      </c>
      <c r="AP21" t="str">
        <f t="shared" si="3"/>
        <v>Corack</v>
      </c>
      <c r="AQ21" t="str">
        <f t="shared" si="4"/>
        <v>Gatton2014CvCorack</v>
      </c>
      <c r="AV21" s="3">
        <v>41871</v>
      </c>
      <c r="AW21" s="16">
        <v>36.563871056914458</v>
      </c>
      <c r="AX21">
        <v>55.380501984001555</v>
      </c>
      <c r="AY21">
        <v>21.654483754332883</v>
      </c>
      <c r="AZ21">
        <v>59.840760913165759</v>
      </c>
      <c r="BA21">
        <v>19.517086531208154</v>
      </c>
      <c r="BB21">
        <v>1.9321523048576419</v>
      </c>
      <c r="BC21">
        <v>16.015197113445044</v>
      </c>
    </row>
    <row r="22" spans="1:55" x14ac:dyDescent="0.25">
      <c r="A22" s="14">
        <v>2014</v>
      </c>
      <c r="B22" s="14" t="s">
        <v>123</v>
      </c>
      <c r="C22" s="14" t="s">
        <v>124</v>
      </c>
      <c r="D22" s="14">
        <v>4</v>
      </c>
      <c r="E22" s="14">
        <v>4</v>
      </c>
      <c r="F22" s="14">
        <v>21</v>
      </c>
      <c r="G22" s="14">
        <v>2</v>
      </c>
      <c r="H22" s="14" t="s">
        <v>9</v>
      </c>
      <c r="I22" s="18">
        <v>46239</v>
      </c>
      <c r="J22" s="14" t="s">
        <v>125</v>
      </c>
      <c r="K22" s="21">
        <v>58</v>
      </c>
      <c r="L22" s="21"/>
      <c r="M22" s="21"/>
      <c r="N22" s="21"/>
      <c r="O22" s="24"/>
      <c r="P22" s="10">
        <v>-25.41</v>
      </c>
      <c r="Q22" s="10">
        <v>45.7</v>
      </c>
      <c r="R22" s="10">
        <v>77</v>
      </c>
      <c r="S22" s="16">
        <f t="shared" si="0"/>
        <v>2.6506000000000003</v>
      </c>
      <c r="T22" s="16">
        <f t="shared" si="1"/>
        <v>4.4660000000000002</v>
      </c>
      <c r="AD22" s="3">
        <v>41883</v>
      </c>
      <c r="AE22" s="16">
        <v>886</v>
      </c>
      <c r="AF22">
        <v>413.5</v>
      </c>
      <c r="AG22">
        <v>188</v>
      </c>
      <c r="AH22">
        <v>231.25</v>
      </c>
      <c r="AI22">
        <v>53.25</v>
      </c>
      <c r="AJ22">
        <v>14.391024999999999</v>
      </c>
      <c r="AK22">
        <v>104.2251</v>
      </c>
      <c r="AN22" t="s">
        <v>143</v>
      </c>
      <c r="AO22">
        <f t="shared" si="2"/>
        <v>2014</v>
      </c>
      <c r="AP22" t="str">
        <f t="shared" si="3"/>
        <v>Corack</v>
      </c>
      <c r="AQ22" t="str">
        <f t="shared" si="4"/>
        <v>Gatton2014CvCorack</v>
      </c>
      <c r="AV22" s="3">
        <v>41883</v>
      </c>
      <c r="AW22" s="16">
        <v>27.141603981096377</v>
      </c>
      <c r="AX22">
        <v>30.62134331910778</v>
      </c>
      <c r="AY22">
        <v>9.5916630466254382</v>
      </c>
      <c r="AZ22">
        <v>21.853680086734439</v>
      </c>
      <c r="BA22">
        <v>12.5</v>
      </c>
      <c r="BB22">
        <v>0.88230418932475652</v>
      </c>
      <c r="BC22">
        <v>12.185165987653429</v>
      </c>
    </row>
    <row r="23" spans="1:55" x14ac:dyDescent="0.25">
      <c r="A23" s="14">
        <v>2014</v>
      </c>
      <c r="B23" s="14" t="s">
        <v>123</v>
      </c>
      <c r="C23" s="14" t="s">
        <v>124</v>
      </c>
      <c r="D23" s="14">
        <v>4</v>
      </c>
      <c r="E23" s="14">
        <v>3</v>
      </c>
      <c r="F23" s="14">
        <v>22</v>
      </c>
      <c r="G23" s="14">
        <v>2</v>
      </c>
      <c r="H23" s="14" t="s">
        <v>2</v>
      </c>
      <c r="I23" s="18">
        <v>46239</v>
      </c>
      <c r="J23" s="14" t="s">
        <v>125</v>
      </c>
      <c r="K23" s="21">
        <v>66</v>
      </c>
      <c r="L23" s="21"/>
      <c r="M23" s="21"/>
      <c r="N23" s="21"/>
      <c r="O23" s="24"/>
      <c r="P23" s="10">
        <v>-24.86</v>
      </c>
      <c r="Q23" s="10">
        <v>42.6</v>
      </c>
      <c r="R23" s="10">
        <v>113.1</v>
      </c>
      <c r="S23" s="16">
        <f t="shared" si="0"/>
        <v>2.8115999999999999</v>
      </c>
      <c r="T23" s="16">
        <f t="shared" si="1"/>
        <v>7.464599999999999</v>
      </c>
      <c r="AD23" s="3">
        <v>41940</v>
      </c>
      <c r="AE23" s="16">
        <v>1453</v>
      </c>
      <c r="AF23">
        <v>360</v>
      </c>
      <c r="AG23">
        <v>0</v>
      </c>
      <c r="AH23">
        <v>890.25</v>
      </c>
      <c r="AI23">
        <v>202.75</v>
      </c>
      <c r="AN23" t="s">
        <v>143</v>
      </c>
      <c r="AO23">
        <f t="shared" si="2"/>
        <v>2014</v>
      </c>
      <c r="AP23" t="str">
        <f t="shared" si="3"/>
        <v>Corack</v>
      </c>
      <c r="AQ23" t="str">
        <f t="shared" si="4"/>
        <v>Gatton2014CvCorack</v>
      </c>
      <c r="AV23" s="3">
        <v>41940</v>
      </c>
      <c r="AW23" s="16">
        <v>111.16054455905956</v>
      </c>
      <c r="AX23">
        <v>92.940841399247077</v>
      </c>
      <c r="AY23">
        <v>0</v>
      </c>
      <c r="AZ23">
        <v>149.31259156548052</v>
      </c>
      <c r="BA23">
        <v>160.7531751889627</v>
      </c>
    </row>
    <row r="24" spans="1:55" x14ac:dyDescent="0.25">
      <c r="A24" s="14">
        <v>2014</v>
      </c>
      <c r="B24" s="14" t="s">
        <v>123</v>
      </c>
      <c r="C24" s="14" t="s">
        <v>124</v>
      </c>
      <c r="D24" s="14">
        <v>4</v>
      </c>
      <c r="E24" s="14">
        <v>2</v>
      </c>
      <c r="F24" s="14">
        <v>23</v>
      </c>
      <c r="G24" s="14">
        <v>2</v>
      </c>
      <c r="H24" s="14" t="s">
        <v>13</v>
      </c>
      <c r="I24" s="18">
        <v>46239</v>
      </c>
      <c r="J24" s="14" t="s">
        <v>125</v>
      </c>
      <c r="K24" s="21">
        <v>55</v>
      </c>
      <c r="L24" s="21"/>
      <c r="M24" s="21"/>
      <c r="N24" s="21"/>
      <c r="O24" s="24"/>
      <c r="P24" s="10">
        <v>-25.46</v>
      </c>
      <c r="Q24" s="10">
        <v>44.1</v>
      </c>
      <c r="R24" s="10">
        <v>75.8</v>
      </c>
      <c r="S24" s="16">
        <f t="shared" si="0"/>
        <v>2.4255</v>
      </c>
      <c r="T24" s="16">
        <f t="shared" si="1"/>
        <v>4.1689999999999996</v>
      </c>
      <c r="AC24" t="s">
        <v>8</v>
      </c>
      <c r="AD24" s="3">
        <v>41834</v>
      </c>
      <c r="AE24" s="16">
        <v>159.75</v>
      </c>
      <c r="AF24">
        <v>62</v>
      </c>
      <c r="AG24">
        <v>97.5</v>
      </c>
      <c r="AI24">
        <v>0</v>
      </c>
      <c r="AJ24">
        <v>6.9332749999999992</v>
      </c>
      <c r="AK24">
        <v>10.140775</v>
      </c>
      <c r="AN24" t="s">
        <v>143</v>
      </c>
      <c r="AO24">
        <f t="shared" si="2"/>
        <v>2014</v>
      </c>
      <c r="AP24" t="str">
        <f t="shared" si="3"/>
        <v>Espada</v>
      </c>
      <c r="AQ24" t="str">
        <f t="shared" si="4"/>
        <v>Gatton2014CvEspada</v>
      </c>
      <c r="AU24" t="s">
        <v>8</v>
      </c>
      <c r="AV24" s="3">
        <v>41834</v>
      </c>
      <c r="AW24" s="16">
        <v>15.456929406148772</v>
      </c>
      <c r="AX24">
        <v>6.6833125519211407</v>
      </c>
      <c r="AY24">
        <v>9.3985814532477896</v>
      </c>
      <c r="BA24">
        <v>0</v>
      </c>
      <c r="BB24">
        <v>0.72657836179819213</v>
      </c>
      <c r="BC24">
        <v>1.4331520514237064</v>
      </c>
    </row>
    <row r="25" spans="1:55" x14ac:dyDescent="0.25">
      <c r="A25" s="14">
        <v>2014</v>
      </c>
      <c r="B25" s="14" t="s">
        <v>123</v>
      </c>
      <c r="C25" s="14" t="s">
        <v>124</v>
      </c>
      <c r="D25" s="14">
        <v>4</v>
      </c>
      <c r="E25" s="14">
        <v>1</v>
      </c>
      <c r="F25" s="14">
        <v>24</v>
      </c>
      <c r="G25" s="14">
        <v>2</v>
      </c>
      <c r="H25" s="14" t="s">
        <v>10</v>
      </c>
      <c r="I25" s="18">
        <v>46239</v>
      </c>
      <c r="J25" s="14" t="s">
        <v>125</v>
      </c>
      <c r="K25" s="21">
        <v>49</v>
      </c>
      <c r="L25" s="21"/>
      <c r="M25" s="21"/>
      <c r="N25" s="21"/>
      <c r="O25" s="24"/>
      <c r="P25" s="10">
        <v>-25.17</v>
      </c>
      <c r="Q25" s="10">
        <v>45.3</v>
      </c>
      <c r="R25" s="10">
        <v>114.2</v>
      </c>
      <c r="S25" s="16">
        <f t="shared" si="0"/>
        <v>2.2197</v>
      </c>
      <c r="T25" s="16">
        <f t="shared" si="1"/>
        <v>5.5958000000000006</v>
      </c>
      <c r="AD25" s="3">
        <v>41856</v>
      </c>
      <c r="AE25" s="16">
        <v>452.5</v>
      </c>
      <c r="AF25">
        <v>199</v>
      </c>
      <c r="AG25">
        <v>238</v>
      </c>
      <c r="AI25">
        <v>15.25</v>
      </c>
      <c r="AN25" t="s">
        <v>143</v>
      </c>
      <c r="AO25">
        <f t="shared" si="2"/>
        <v>2014</v>
      </c>
      <c r="AP25" t="str">
        <f t="shared" si="3"/>
        <v>Espada</v>
      </c>
      <c r="AQ25" t="str">
        <f t="shared" si="4"/>
        <v>Gatton2014CvEspada</v>
      </c>
      <c r="AV25" s="3">
        <v>41856</v>
      </c>
      <c r="AW25" s="16">
        <v>68.119992170678742</v>
      </c>
      <c r="AX25">
        <v>29.143323992525858</v>
      </c>
      <c r="AY25">
        <v>34.418987008142274</v>
      </c>
      <c r="BA25">
        <v>6.6520673478250352</v>
      </c>
    </row>
    <row r="26" spans="1:55" x14ac:dyDescent="0.25">
      <c r="A26" s="14">
        <v>2014</v>
      </c>
      <c r="B26" s="14" t="s">
        <v>123</v>
      </c>
      <c r="C26" s="14" t="s">
        <v>124</v>
      </c>
      <c r="D26" s="14">
        <v>5</v>
      </c>
      <c r="E26" s="14">
        <v>1</v>
      </c>
      <c r="F26" s="14">
        <v>25</v>
      </c>
      <c r="G26" s="14">
        <v>3</v>
      </c>
      <c r="H26" s="14" t="s">
        <v>9</v>
      </c>
      <c r="I26" s="18">
        <v>46239</v>
      </c>
      <c r="J26" s="14" t="s">
        <v>125</v>
      </c>
      <c r="K26" s="21">
        <v>45</v>
      </c>
      <c r="L26" s="21"/>
      <c r="M26" s="21"/>
      <c r="N26" s="21"/>
      <c r="O26" s="24"/>
      <c r="P26" s="10">
        <v>-25.43</v>
      </c>
      <c r="Q26" s="10">
        <v>48.7</v>
      </c>
      <c r="R26" s="10">
        <v>97.7</v>
      </c>
      <c r="S26" s="16">
        <f t="shared" si="0"/>
        <v>2.1915</v>
      </c>
      <c r="T26" s="16">
        <f t="shared" si="1"/>
        <v>4.3964999999999996</v>
      </c>
      <c r="AD26" s="3">
        <v>41871</v>
      </c>
      <c r="AE26" s="16">
        <v>689.75</v>
      </c>
      <c r="AF26">
        <v>395.25</v>
      </c>
      <c r="AG26">
        <v>218.25</v>
      </c>
      <c r="AH26">
        <v>34.5</v>
      </c>
      <c r="AI26">
        <v>41.5</v>
      </c>
      <c r="AJ26">
        <v>13.771775</v>
      </c>
      <c r="AK26">
        <v>66.283900000000003</v>
      </c>
      <c r="AN26" t="s">
        <v>143</v>
      </c>
      <c r="AO26">
        <f t="shared" si="2"/>
        <v>2014</v>
      </c>
      <c r="AP26" t="str">
        <f t="shared" si="3"/>
        <v>Espada</v>
      </c>
      <c r="AQ26" t="str">
        <f t="shared" si="4"/>
        <v>Gatton2014CvEspada</v>
      </c>
      <c r="AV26" s="3">
        <v>41871</v>
      </c>
      <c r="AW26" s="16">
        <v>36.463452021624796</v>
      </c>
      <c r="AX26">
        <v>23.128265535198842</v>
      </c>
      <c r="AY26">
        <v>19.687136240025701</v>
      </c>
      <c r="AZ26">
        <v>12.396235987858034</v>
      </c>
      <c r="BA26">
        <v>13.379088160259652</v>
      </c>
      <c r="BB26">
        <v>2.4143432238395577</v>
      </c>
      <c r="BC26">
        <v>4.7194892393138419</v>
      </c>
    </row>
    <row r="27" spans="1:55" x14ac:dyDescent="0.25">
      <c r="A27" s="14">
        <v>2014</v>
      </c>
      <c r="B27" s="14" t="s">
        <v>123</v>
      </c>
      <c r="C27" s="14" t="s">
        <v>124</v>
      </c>
      <c r="D27" s="14">
        <v>5</v>
      </c>
      <c r="E27" s="14">
        <v>2</v>
      </c>
      <c r="F27" s="14">
        <v>26</v>
      </c>
      <c r="G27" s="14">
        <v>3</v>
      </c>
      <c r="H27" s="14" t="s">
        <v>6</v>
      </c>
      <c r="I27" s="18">
        <v>46239</v>
      </c>
      <c r="J27" s="14" t="s">
        <v>125</v>
      </c>
      <c r="K27" s="21">
        <v>31</v>
      </c>
      <c r="L27" s="21"/>
      <c r="M27" s="21"/>
      <c r="N27" s="21"/>
      <c r="O27" s="24"/>
      <c r="P27" s="10">
        <v>-25.28</v>
      </c>
      <c r="Q27" s="10">
        <v>50.8</v>
      </c>
      <c r="R27" s="10">
        <v>86.2</v>
      </c>
      <c r="S27" s="16">
        <f t="shared" si="0"/>
        <v>1.5748</v>
      </c>
      <c r="T27" s="16">
        <f t="shared" si="1"/>
        <v>2.6722000000000001</v>
      </c>
      <c r="AD27" s="3">
        <v>41883</v>
      </c>
      <c r="AE27" s="16">
        <v>926.25</v>
      </c>
      <c r="AF27">
        <v>459.75</v>
      </c>
      <c r="AG27">
        <v>222.5</v>
      </c>
      <c r="AH27">
        <v>194</v>
      </c>
      <c r="AI27">
        <v>50</v>
      </c>
      <c r="AJ27">
        <v>14.759124999999999</v>
      </c>
      <c r="AK27">
        <v>95.544225000000012</v>
      </c>
      <c r="AN27" t="s">
        <v>143</v>
      </c>
      <c r="AO27">
        <f t="shared" si="2"/>
        <v>2014</v>
      </c>
      <c r="AP27" t="str">
        <f t="shared" si="3"/>
        <v>Espada</v>
      </c>
      <c r="AQ27" t="str">
        <f t="shared" si="4"/>
        <v>Gatton2014CvEspada</v>
      </c>
      <c r="AV27" s="3">
        <v>41883</v>
      </c>
      <c r="AW27" s="16">
        <v>18.20942979154848</v>
      </c>
      <c r="AX27">
        <v>29.341381471680343</v>
      </c>
      <c r="AY27">
        <v>15.154757228892407</v>
      </c>
      <c r="AZ27">
        <v>4.9665548085837798</v>
      </c>
      <c r="BA27">
        <v>13.73559851869101</v>
      </c>
      <c r="BB27">
        <v>0.96784768558902012</v>
      </c>
      <c r="BC27">
        <v>21.127960731752992</v>
      </c>
    </row>
    <row r="28" spans="1:55" x14ac:dyDescent="0.25">
      <c r="A28" s="14">
        <v>2014</v>
      </c>
      <c r="B28" s="14" t="s">
        <v>123</v>
      </c>
      <c r="C28" s="14" t="s">
        <v>124</v>
      </c>
      <c r="D28" s="14">
        <v>5</v>
      </c>
      <c r="E28" s="14">
        <v>3</v>
      </c>
      <c r="F28" s="14">
        <v>27</v>
      </c>
      <c r="G28" s="14">
        <v>3</v>
      </c>
      <c r="H28" s="14" t="s">
        <v>2</v>
      </c>
      <c r="I28" s="18">
        <v>46239</v>
      </c>
      <c r="J28" s="14" t="s">
        <v>125</v>
      </c>
      <c r="K28" s="21">
        <v>76</v>
      </c>
      <c r="L28" s="21"/>
      <c r="M28" s="21"/>
      <c r="N28" s="21"/>
      <c r="O28" s="24"/>
      <c r="P28" s="10">
        <v>-25.03</v>
      </c>
      <c r="Q28" s="10">
        <v>43.7</v>
      </c>
      <c r="R28" s="10">
        <v>102.6</v>
      </c>
      <c r="S28" s="16">
        <f t="shared" si="0"/>
        <v>3.3212000000000002</v>
      </c>
      <c r="T28" s="16">
        <f t="shared" si="1"/>
        <v>7.7975999999999992</v>
      </c>
      <c r="AD28" s="3">
        <v>41940</v>
      </c>
      <c r="AE28" s="16">
        <v>1601</v>
      </c>
      <c r="AF28">
        <v>426.25</v>
      </c>
      <c r="AG28">
        <v>0</v>
      </c>
      <c r="AH28">
        <v>952.25</v>
      </c>
      <c r="AI28">
        <v>222.5</v>
      </c>
      <c r="AN28" t="s">
        <v>143</v>
      </c>
      <c r="AO28">
        <f t="shared" si="2"/>
        <v>2014</v>
      </c>
      <c r="AP28" t="str">
        <f t="shared" si="3"/>
        <v>Espada</v>
      </c>
      <c r="AQ28" t="str">
        <f t="shared" si="4"/>
        <v>Gatton2014CvEspada</v>
      </c>
      <c r="AV28" s="3">
        <v>41940</v>
      </c>
      <c r="AW28" s="16">
        <v>182.35313725479654</v>
      </c>
      <c r="AX28">
        <v>101.47043904507362</v>
      </c>
      <c r="AY28">
        <v>0</v>
      </c>
      <c r="AZ28">
        <v>315.55810347171672</v>
      </c>
      <c r="BA28">
        <v>272.31905307316759</v>
      </c>
    </row>
    <row r="29" spans="1:55" x14ac:dyDescent="0.25">
      <c r="A29" s="14">
        <v>2014</v>
      </c>
      <c r="B29" s="14" t="s">
        <v>123</v>
      </c>
      <c r="C29" s="14" t="s">
        <v>124</v>
      </c>
      <c r="D29" s="14">
        <v>5</v>
      </c>
      <c r="E29" s="14">
        <v>4</v>
      </c>
      <c r="F29" s="14">
        <v>28</v>
      </c>
      <c r="G29" s="14">
        <v>3</v>
      </c>
      <c r="H29" s="14" t="s">
        <v>14</v>
      </c>
      <c r="I29" s="18">
        <v>46239</v>
      </c>
      <c r="J29" s="14" t="s">
        <v>125</v>
      </c>
      <c r="K29" s="21">
        <v>43</v>
      </c>
      <c r="L29" s="21"/>
      <c r="M29" s="21"/>
      <c r="N29" s="21"/>
      <c r="O29" s="24"/>
      <c r="P29" s="10">
        <v>-25.16</v>
      </c>
      <c r="Q29" s="10">
        <v>46</v>
      </c>
      <c r="R29" s="10">
        <v>96.7</v>
      </c>
      <c r="S29" s="16">
        <f t="shared" si="0"/>
        <v>1.978</v>
      </c>
      <c r="T29" s="16">
        <f t="shared" si="1"/>
        <v>4.1581000000000001</v>
      </c>
      <c r="AC29" t="s">
        <v>4</v>
      </c>
      <c r="AD29" s="3">
        <v>41834</v>
      </c>
      <c r="AE29" s="16">
        <v>105</v>
      </c>
      <c r="AF29">
        <v>37.25</v>
      </c>
      <c r="AG29">
        <v>68.25</v>
      </c>
      <c r="AI29">
        <v>0</v>
      </c>
      <c r="AJ29">
        <v>4.7210999999999999</v>
      </c>
      <c r="AK29">
        <v>4.8786750000000003</v>
      </c>
      <c r="AN29" t="s">
        <v>143</v>
      </c>
      <c r="AO29">
        <f t="shared" si="2"/>
        <v>2014</v>
      </c>
      <c r="AP29" t="str">
        <f t="shared" si="3"/>
        <v>Gauntlet</v>
      </c>
      <c r="AQ29" t="str">
        <f t="shared" si="4"/>
        <v>Gatton2014CvGauntlet</v>
      </c>
      <c r="AU29" t="s">
        <v>4</v>
      </c>
      <c r="AV29" s="3">
        <v>41834</v>
      </c>
      <c r="AW29" s="16">
        <v>11.661903789690601</v>
      </c>
      <c r="AX29">
        <v>4.1129875597510219</v>
      </c>
      <c r="AY29">
        <v>7.847504911329036</v>
      </c>
      <c r="BA29">
        <v>0</v>
      </c>
      <c r="BB29">
        <v>0.73577081123585564</v>
      </c>
      <c r="BC29">
        <v>1.5913065834401623</v>
      </c>
    </row>
    <row r="30" spans="1:55" x14ac:dyDescent="0.25">
      <c r="A30" s="14">
        <v>2014</v>
      </c>
      <c r="B30" s="14" t="s">
        <v>123</v>
      </c>
      <c r="C30" s="14" t="s">
        <v>124</v>
      </c>
      <c r="D30" s="14">
        <v>5</v>
      </c>
      <c r="E30" s="14">
        <v>5</v>
      </c>
      <c r="F30" s="14">
        <v>29</v>
      </c>
      <c r="G30" s="14">
        <v>3</v>
      </c>
      <c r="H30" s="14" t="s">
        <v>8</v>
      </c>
      <c r="I30" s="18">
        <v>46239</v>
      </c>
      <c r="J30" s="14" t="s">
        <v>125</v>
      </c>
      <c r="K30" s="21">
        <v>48</v>
      </c>
      <c r="L30" s="21"/>
      <c r="M30" s="21"/>
      <c r="N30" s="21"/>
      <c r="O30" s="24"/>
      <c r="P30" s="10">
        <v>-24.97</v>
      </c>
      <c r="Q30" s="10">
        <v>42.8</v>
      </c>
      <c r="R30" s="10">
        <v>122</v>
      </c>
      <c r="S30" s="16">
        <f t="shared" si="0"/>
        <v>2.0543999999999998</v>
      </c>
      <c r="T30" s="16">
        <f t="shared" si="1"/>
        <v>5.8559999999999999</v>
      </c>
      <c r="AD30" s="3">
        <v>41856</v>
      </c>
      <c r="AE30" s="16">
        <v>326</v>
      </c>
      <c r="AF30">
        <v>128.75</v>
      </c>
      <c r="AG30">
        <v>188.5</v>
      </c>
      <c r="AI30">
        <v>9</v>
      </c>
      <c r="AN30" t="s">
        <v>143</v>
      </c>
      <c r="AO30">
        <f t="shared" si="2"/>
        <v>2014</v>
      </c>
      <c r="AP30" t="str">
        <f t="shared" si="3"/>
        <v>Gauntlet</v>
      </c>
      <c r="AQ30" t="str">
        <f t="shared" si="4"/>
        <v>Gatton2014CvGauntlet</v>
      </c>
      <c r="AV30" s="3">
        <v>41856</v>
      </c>
      <c r="AW30" s="16">
        <v>23.151673805580451</v>
      </c>
      <c r="AX30">
        <v>17.269916039170543</v>
      </c>
      <c r="AY30">
        <v>4.7958315233127191</v>
      </c>
      <c r="BA30">
        <v>1.8257418583505538</v>
      </c>
    </row>
    <row r="31" spans="1:55" x14ac:dyDescent="0.25">
      <c r="A31" s="14">
        <v>2014</v>
      </c>
      <c r="B31" s="14" t="s">
        <v>123</v>
      </c>
      <c r="C31" s="14" t="s">
        <v>124</v>
      </c>
      <c r="D31" s="14">
        <v>5</v>
      </c>
      <c r="E31" s="14">
        <v>6</v>
      </c>
      <c r="F31" s="14">
        <v>30</v>
      </c>
      <c r="G31" s="14">
        <v>3</v>
      </c>
      <c r="H31" s="14" t="s">
        <v>12</v>
      </c>
      <c r="I31" s="18">
        <v>46239</v>
      </c>
      <c r="J31" s="14" t="s">
        <v>125</v>
      </c>
      <c r="K31" s="21">
        <v>34</v>
      </c>
      <c r="L31" s="21"/>
      <c r="M31" s="21"/>
      <c r="N31" s="21"/>
      <c r="O31" s="24"/>
      <c r="P31" s="10">
        <v>-25.17</v>
      </c>
      <c r="Q31" s="10">
        <v>46.3</v>
      </c>
      <c r="R31" s="10">
        <v>78</v>
      </c>
      <c r="S31" s="16">
        <f t="shared" si="0"/>
        <v>1.5741999999999998</v>
      </c>
      <c r="T31" s="16">
        <f t="shared" si="1"/>
        <v>2.6520000000000001</v>
      </c>
      <c r="AD31" s="3">
        <v>41871</v>
      </c>
      <c r="AE31" s="16">
        <v>529</v>
      </c>
      <c r="AF31">
        <v>272.5</v>
      </c>
      <c r="AG31">
        <v>230</v>
      </c>
      <c r="AH31">
        <v>5</v>
      </c>
      <c r="AI31">
        <v>25.5</v>
      </c>
      <c r="AJ31">
        <v>14.12265</v>
      </c>
      <c r="AK31">
        <v>55.306024999999998</v>
      </c>
      <c r="AN31" t="s">
        <v>143</v>
      </c>
      <c r="AO31">
        <f t="shared" si="2"/>
        <v>2014</v>
      </c>
      <c r="AP31" t="str">
        <f t="shared" si="3"/>
        <v>Gauntlet</v>
      </c>
      <c r="AQ31" t="str">
        <f t="shared" si="4"/>
        <v>Gatton2014CvGauntlet</v>
      </c>
      <c r="AV31" s="3">
        <v>41871</v>
      </c>
      <c r="AW31" s="16">
        <v>41.214884042863289</v>
      </c>
      <c r="AX31">
        <v>26.888659319497503</v>
      </c>
      <c r="AY31">
        <v>9.4868329805051381</v>
      </c>
      <c r="AZ31" t="e">
        <v>#DIV/0!</v>
      </c>
      <c r="BA31">
        <v>8.5049005481153817</v>
      </c>
      <c r="BB31">
        <v>1.453796089553141</v>
      </c>
      <c r="BC31">
        <v>3.0281961928678767</v>
      </c>
    </row>
    <row r="32" spans="1:55" x14ac:dyDescent="0.25">
      <c r="A32" s="14">
        <v>2014</v>
      </c>
      <c r="B32" s="14" t="s">
        <v>123</v>
      </c>
      <c r="C32" s="14" t="s">
        <v>124</v>
      </c>
      <c r="D32" s="14">
        <v>6</v>
      </c>
      <c r="E32" s="14">
        <v>6</v>
      </c>
      <c r="F32" s="14">
        <v>31</v>
      </c>
      <c r="G32" s="14">
        <v>3</v>
      </c>
      <c r="H32" s="14" t="s">
        <v>5</v>
      </c>
      <c r="I32" s="18">
        <v>46239</v>
      </c>
      <c r="J32" s="14" t="s">
        <v>125</v>
      </c>
      <c r="K32" s="21">
        <v>39</v>
      </c>
      <c r="L32" s="21"/>
      <c r="M32" s="21"/>
      <c r="N32" s="21"/>
      <c r="O32" s="24"/>
      <c r="P32" s="10">
        <v>-25.1</v>
      </c>
      <c r="Q32" s="10">
        <v>46.2</v>
      </c>
      <c r="R32" s="10">
        <v>103.7</v>
      </c>
      <c r="S32" s="16">
        <f t="shared" si="0"/>
        <v>1.8018000000000003</v>
      </c>
      <c r="T32" s="16">
        <f t="shared" si="1"/>
        <v>4.0442999999999998</v>
      </c>
      <c r="AD32" s="3">
        <v>41891</v>
      </c>
      <c r="AE32" s="16">
        <v>954</v>
      </c>
      <c r="AF32">
        <v>455.25</v>
      </c>
      <c r="AG32">
        <v>205.25</v>
      </c>
      <c r="AH32">
        <v>219</v>
      </c>
      <c r="AI32">
        <v>75</v>
      </c>
      <c r="AJ32">
        <v>16.296600000000002</v>
      </c>
      <c r="AK32">
        <v>113.25597500000001</v>
      </c>
      <c r="AN32" t="s">
        <v>143</v>
      </c>
      <c r="AO32">
        <f t="shared" si="2"/>
        <v>2014</v>
      </c>
      <c r="AP32" t="str">
        <f t="shared" si="3"/>
        <v>Gauntlet</v>
      </c>
      <c r="AQ32" t="str">
        <f t="shared" si="4"/>
        <v>Gatton2014CvGauntlet</v>
      </c>
      <c r="AV32" s="3">
        <v>41891</v>
      </c>
      <c r="AW32" s="16">
        <v>74.031524816571675</v>
      </c>
      <c r="AX32">
        <v>32.57171574643661</v>
      </c>
      <c r="AY32">
        <v>17.969882210706523</v>
      </c>
      <c r="AZ32">
        <v>23.930454794396756</v>
      </c>
      <c r="BA32">
        <v>28.751811537130433</v>
      </c>
      <c r="BB32">
        <v>1.507363276276352</v>
      </c>
      <c r="BC32">
        <v>8.2871512959821079</v>
      </c>
    </row>
    <row r="33" spans="1:55" x14ac:dyDescent="0.25">
      <c r="A33" s="14">
        <v>2014</v>
      </c>
      <c r="B33" s="14" t="s">
        <v>123</v>
      </c>
      <c r="C33" s="14" t="s">
        <v>124</v>
      </c>
      <c r="D33" s="14">
        <v>6</v>
      </c>
      <c r="E33" s="14">
        <v>5</v>
      </c>
      <c r="F33" s="14">
        <v>32</v>
      </c>
      <c r="G33" s="14">
        <v>3</v>
      </c>
      <c r="H33" s="14" t="s">
        <v>7</v>
      </c>
      <c r="I33" s="18">
        <v>46239</v>
      </c>
      <c r="J33" s="14" t="s">
        <v>125</v>
      </c>
      <c r="K33" s="21">
        <v>30</v>
      </c>
      <c r="L33" s="21"/>
      <c r="M33" s="21"/>
      <c r="N33" s="21"/>
      <c r="O33" s="24"/>
      <c r="P33" s="10">
        <v>-25.13</v>
      </c>
      <c r="Q33" s="10">
        <v>47.5</v>
      </c>
      <c r="R33" s="10">
        <v>100.2</v>
      </c>
      <c r="S33" s="16">
        <f t="shared" si="0"/>
        <v>1.425</v>
      </c>
      <c r="T33" s="16">
        <f t="shared" si="1"/>
        <v>3.0059999999999998</v>
      </c>
      <c r="AD33" s="3">
        <v>41940</v>
      </c>
      <c r="AE33" s="16">
        <v>1388.75</v>
      </c>
      <c r="AF33">
        <v>357</v>
      </c>
      <c r="AG33">
        <v>0</v>
      </c>
      <c r="AH33">
        <v>717.25</v>
      </c>
      <c r="AI33">
        <v>314.5</v>
      </c>
      <c r="AN33" t="s">
        <v>143</v>
      </c>
      <c r="AO33">
        <f t="shared" si="2"/>
        <v>2014</v>
      </c>
      <c r="AP33" t="str">
        <f t="shared" si="3"/>
        <v>Gauntlet</v>
      </c>
      <c r="AQ33" t="str">
        <f t="shared" si="4"/>
        <v>Gatton2014CvGauntlet</v>
      </c>
      <c r="AV33" s="3">
        <v>41940</v>
      </c>
      <c r="AW33" s="16">
        <v>71.462694230393154</v>
      </c>
      <c r="AX33">
        <v>52.719382899777322</v>
      </c>
      <c r="AY33">
        <v>0</v>
      </c>
      <c r="AZ33">
        <v>204.59777613649666</v>
      </c>
      <c r="BA33">
        <v>233.59295080688258</v>
      </c>
    </row>
    <row r="34" spans="1:55" x14ac:dyDescent="0.25">
      <c r="A34" s="14">
        <v>2014</v>
      </c>
      <c r="B34" s="14" t="s">
        <v>123</v>
      </c>
      <c r="C34" s="14" t="s">
        <v>124</v>
      </c>
      <c r="D34" s="14">
        <v>6</v>
      </c>
      <c r="E34" s="14">
        <v>4</v>
      </c>
      <c r="F34" s="14">
        <v>33</v>
      </c>
      <c r="G34" s="14">
        <v>3</v>
      </c>
      <c r="H34" s="14" t="s">
        <v>13</v>
      </c>
      <c r="I34" s="18">
        <v>46239</v>
      </c>
      <c r="J34" s="14" t="s">
        <v>125</v>
      </c>
      <c r="K34" s="21">
        <v>33</v>
      </c>
      <c r="L34" s="21"/>
      <c r="M34" s="21"/>
      <c r="N34" s="21"/>
      <c r="O34" s="24"/>
      <c r="P34" s="10">
        <v>-25.41</v>
      </c>
      <c r="Q34" s="10">
        <v>44.5</v>
      </c>
      <c r="R34" s="10">
        <v>83.7</v>
      </c>
      <c r="S34" s="16">
        <f t="shared" si="0"/>
        <v>1.4684999999999999</v>
      </c>
      <c r="T34" s="16">
        <f t="shared" si="1"/>
        <v>2.7620999999999998</v>
      </c>
      <c r="AC34" t="s">
        <v>7</v>
      </c>
      <c r="AD34" s="3">
        <v>41834</v>
      </c>
      <c r="AE34" s="16">
        <v>157.25</v>
      </c>
      <c r="AF34">
        <v>58.25</v>
      </c>
      <c r="AG34">
        <v>99.25</v>
      </c>
      <c r="AI34">
        <v>0</v>
      </c>
      <c r="AJ34">
        <v>7.1265749999999999</v>
      </c>
      <c r="AK34">
        <v>8.7355999999999998</v>
      </c>
      <c r="AN34" t="s">
        <v>143</v>
      </c>
      <c r="AO34">
        <f t="shared" si="2"/>
        <v>2014</v>
      </c>
      <c r="AP34" t="str">
        <f t="shared" si="3"/>
        <v>Hartog</v>
      </c>
      <c r="AQ34" t="str">
        <f t="shared" si="4"/>
        <v>Gatton2014CvHartog</v>
      </c>
      <c r="AU34" t="s">
        <v>7</v>
      </c>
      <c r="AV34" s="3">
        <v>41834</v>
      </c>
      <c r="AW34" s="16">
        <v>24.308777564218786</v>
      </c>
      <c r="AX34">
        <v>8.6554414483991895</v>
      </c>
      <c r="AY34">
        <v>15.521490478258416</v>
      </c>
      <c r="BA34">
        <v>0</v>
      </c>
      <c r="BB34">
        <v>1.1094006621445069</v>
      </c>
      <c r="BC34">
        <v>3.3969618788951257</v>
      </c>
    </row>
    <row r="35" spans="1:55" x14ac:dyDescent="0.25">
      <c r="A35" s="14">
        <v>2014</v>
      </c>
      <c r="B35" s="14" t="s">
        <v>123</v>
      </c>
      <c r="C35" s="14" t="s">
        <v>124</v>
      </c>
      <c r="D35" s="14">
        <v>6</v>
      </c>
      <c r="E35" s="14">
        <v>3</v>
      </c>
      <c r="F35" s="14">
        <v>34</v>
      </c>
      <c r="G35" s="14">
        <v>3</v>
      </c>
      <c r="H35" s="14" t="s">
        <v>4</v>
      </c>
      <c r="I35" s="18">
        <v>46245</v>
      </c>
      <c r="J35" s="14" t="s">
        <v>125</v>
      </c>
      <c r="K35" s="21">
        <v>41</v>
      </c>
      <c r="L35" s="21"/>
      <c r="M35" s="21"/>
      <c r="N35" s="21"/>
      <c r="O35" s="24"/>
      <c r="P35" s="10">
        <v>-24.64</v>
      </c>
      <c r="Q35" s="10">
        <v>46.1</v>
      </c>
      <c r="R35" s="10">
        <v>138.69999999999999</v>
      </c>
      <c r="S35" s="16">
        <f t="shared" si="0"/>
        <v>1.8901000000000001</v>
      </c>
      <c r="T35" s="16">
        <f t="shared" si="1"/>
        <v>5.6867000000000001</v>
      </c>
      <c r="AD35" s="3">
        <v>41856</v>
      </c>
      <c r="AE35" s="16">
        <v>413.25</v>
      </c>
      <c r="AF35">
        <v>180</v>
      </c>
      <c r="AG35">
        <v>202.75</v>
      </c>
      <c r="AI35">
        <v>30.25</v>
      </c>
      <c r="AN35" t="s">
        <v>143</v>
      </c>
      <c r="AO35">
        <f t="shared" si="2"/>
        <v>2014</v>
      </c>
      <c r="AP35" t="str">
        <f t="shared" si="3"/>
        <v>Hartog</v>
      </c>
      <c r="AQ35" t="str">
        <f t="shared" si="4"/>
        <v>Gatton2014CvHartog</v>
      </c>
      <c r="AV35" s="3">
        <v>41856</v>
      </c>
      <c r="AW35" s="16">
        <v>26.399179280172074</v>
      </c>
      <c r="AX35">
        <v>10.984838035522721</v>
      </c>
      <c r="AY35">
        <v>13.889444433333777</v>
      </c>
      <c r="BA35">
        <v>4.5734742446707477</v>
      </c>
    </row>
    <row r="36" spans="1:55" x14ac:dyDescent="0.25">
      <c r="A36" s="14">
        <v>2014</v>
      </c>
      <c r="B36" s="14" t="s">
        <v>123</v>
      </c>
      <c r="C36" s="14" t="s">
        <v>124</v>
      </c>
      <c r="D36" s="14">
        <v>6</v>
      </c>
      <c r="E36" s="14">
        <v>2</v>
      </c>
      <c r="F36" s="14">
        <v>35</v>
      </c>
      <c r="G36" s="14">
        <v>3</v>
      </c>
      <c r="H36" s="14" t="s">
        <v>10</v>
      </c>
      <c r="I36" s="18">
        <v>46239</v>
      </c>
      <c r="J36" s="14" t="s">
        <v>125</v>
      </c>
      <c r="K36" s="21">
        <v>59</v>
      </c>
      <c r="L36" s="21"/>
      <c r="M36" s="21"/>
      <c r="N36" s="21"/>
      <c r="O36" s="24"/>
      <c r="P36" s="10">
        <v>-25.05</v>
      </c>
      <c r="Q36" s="10">
        <v>42.9</v>
      </c>
      <c r="R36" s="10">
        <v>107.7</v>
      </c>
      <c r="S36" s="16">
        <f t="shared" si="0"/>
        <v>2.5310999999999999</v>
      </c>
      <c r="T36" s="16">
        <f t="shared" si="1"/>
        <v>6.3543000000000003</v>
      </c>
      <c r="AD36" s="3">
        <v>41871</v>
      </c>
      <c r="AE36" s="16">
        <v>652.5</v>
      </c>
      <c r="AF36">
        <v>363.25</v>
      </c>
      <c r="AG36">
        <v>220.5</v>
      </c>
      <c r="AH36">
        <v>21</v>
      </c>
      <c r="AI36">
        <v>57.5</v>
      </c>
      <c r="AJ36">
        <v>14.70815</v>
      </c>
      <c r="AK36">
        <v>66.794700000000006</v>
      </c>
      <c r="AN36" t="s">
        <v>143</v>
      </c>
      <c r="AO36">
        <f t="shared" si="2"/>
        <v>2014</v>
      </c>
      <c r="AP36" t="str">
        <f t="shared" si="3"/>
        <v>Hartog</v>
      </c>
      <c r="AQ36" t="str">
        <f t="shared" si="4"/>
        <v>Gatton2014CvHartog</v>
      </c>
      <c r="AV36" s="3">
        <v>41871</v>
      </c>
      <c r="AW36" s="16">
        <v>51.655912859355546</v>
      </c>
      <c r="AX36">
        <v>17.211914478058507</v>
      </c>
      <c r="AY36">
        <v>28.641461787648574</v>
      </c>
      <c r="AZ36">
        <v>11.313708498984761</v>
      </c>
      <c r="BA36">
        <v>18.520259177452136</v>
      </c>
      <c r="BB36">
        <v>1.8193577447366689</v>
      </c>
      <c r="BC36">
        <v>10.527906607361844</v>
      </c>
    </row>
    <row r="37" spans="1:55" x14ac:dyDescent="0.25">
      <c r="A37" s="14">
        <v>2014</v>
      </c>
      <c r="B37" s="14" t="s">
        <v>123</v>
      </c>
      <c r="C37" s="14" t="s">
        <v>124</v>
      </c>
      <c r="D37" s="14">
        <v>6</v>
      </c>
      <c r="E37" s="14">
        <v>1</v>
      </c>
      <c r="F37" s="14">
        <v>36</v>
      </c>
      <c r="G37" s="14">
        <v>3</v>
      </c>
      <c r="H37" s="14" t="s">
        <v>3</v>
      </c>
      <c r="I37" s="18">
        <v>46239</v>
      </c>
      <c r="J37" s="14" t="s">
        <v>125</v>
      </c>
      <c r="K37" s="21">
        <v>35</v>
      </c>
      <c r="L37" s="21"/>
      <c r="M37" s="21"/>
      <c r="N37" s="21"/>
      <c r="O37" s="24"/>
      <c r="P37" s="10">
        <v>-25.25</v>
      </c>
      <c r="Q37" s="10">
        <v>47.4</v>
      </c>
      <c r="R37" s="10">
        <v>91.8</v>
      </c>
      <c r="S37" s="16">
        <f t="shared" si="0"/>
        <v>1.659</v>
      </c>
      <c r="T37" s="16">
        <f t="shared" si="1"/>
        <v>3.2130000000000001</v>
      </c>
      <c r="AD37" s="3">
        <v>41883</v>
      </c>
      <c r="AE37" s="16">
        <v>896</v>
      </c>
      <c r="AF37">
        <v>434.25</v>
      </c>
      <c r="AG37">
        <v>204.5</v>
      </c>
      <c r="AH37">
        <v>183</v>
      </c>
      <c r="AI37">
        <v>74.75</v>
      </c>
      <c r="AJ37">
        <v>16.9923</v>
      </c>
      <c r="AK37">
        <v>91.371500000000012</v>
      </c>
      <c r="AN37" t="s">
        <v>143</v>
      </c>
      <c r="AO37">
        <f t="shared" si="2"/>
        <v>2014</v>
      </c>
      <c r="AP37" t="str">
        <f t="shared" si="3"/>
        <v>Hartog</v>
      </c>
      <c r="AQ37" t="str">
        <f t="shared" si="4"/>
        <v>Gatton2014CvHartog</v>
      </c>
      <c r="AV37" s="3">
        <v>41883</v>
      </c>
      <c r="AW37" s="16">
        <v>104.72821969268837</v>
      </c>
      <c r="AX37">
        <v>39.911360120480317</v>
      </c>
      <c r="AY37">
        <v>32.67516896156264</v>
      </c>
      <c r="AZ37">
        <v>14.98888477061141</v>
      </c>
      <c r="BA37">
        <v>28.546745290254485</v>
      </c>
      <c r="BB37">
        <v>2.7487904224707007</v>
      </c>
      <c r="BC37">
        <v>11.132512669354194</v>
      </c>
    </row>
    <row r="38" spans="1:55" x14ac:dyDescent="0.25">
      <c r="A38" s="14">
        <v>2014</v>
      </c>
      <c r="B38" s="14" t="s">
        <v>123</v>
      </c>
      <c r="C38" s="14" t="s">
        <v>124</v>
      </c>
      <c r="D38" s="14">
        <v>7</v>
      </c>
      <c r="E38" s="14">
        <v>1</v>
      </c>
      <c r="F38" s="14">
        <v>37</v>
      </c>
      <c r="G38" s="14">
        <v>4</v>
      </c>
      <c r="H38" s="14" t="s">
        <v>13</v>
      </c>
      <c r="I38" s="18">
        <v>46239</v>
      </c>
      <c r="J38" s="14" t="s">
        <v>125</v>
      </c>
      <c r="K38" s="21">
        <v>34</v>
      </c>
      <c r="L38" s="21"/>
      <c r="M38" s="21"/>
      <c r="N38" s="21"/>
      <c r="O38" s="24"/>
      <c r="P38" s="10">
        <v>-25.17</v>
      </c>
      <c r="Q38" s="10">
        <v>46.8</v>
      </c>
      <c r="R38" s="10">
        <v>114.2</v>
      </c>
      <c r="S38" s="16">
        <f t="shared" si="0"/>
        <v>1.5911999999999997</v>
      </c>
      <c r="T38" s="16">
        <f t="shared" si="1"/>
        <v>3.8828</v>
      </c>
      <c r="AD38" s="3">
        <v>41940</v>
      </c>
      <c r="AE38" s="16">
        <v>1403.5</v>
      </c>
      <c r="AF38">
        <v>435.25</v>
      </c>
      <c r="AG38">
        <v>0</v>
      </c>
      <c r="AH38">
        <v>656.25</v>
      </c>
      <c r="AI38">
        <v>311.25</v>
      </c>
      <c r="AN38" t="s">
        <v>143</v>
      </c>
      <c r="AO38">
        <f t="shared" si="2"/>
        <v>2014</v>
      </c>
      <c r="AP38" t="str">
        <f t="shared" si="3"/>
        <v>Hartog</v>
      </c>
      <c r="AQ38" t="str">
        <f t="shared" si="4"/>
        <v>Gatton2014CvHartog</v>
      </c>
      <c r="AV38" s="3">
        <v>41940</v>
      </c>
      <c r="AW38" s="16">
        <v>132.92228305793327</v>
      </c>
      <c r="AX38">
        <v>159.2155247874193</v>
      </c>
      <c r="AY38">
        <v>0</v>
      </c>
      <c r="AZ38">
        <v>50.447167082668443</v>
      </c>
      <c r="BA38">
        <v>158.52943995779879</v>
      </c>
    </row>
    <row r="39" spans="1:55" x14ac:dyDescent="0.25">
      <c r="A39" s="14">
        <v>2014</v>
      </c>
      <c r="B39" s="14" t="s">
        <v>123</v>
      </c>
      <c r="C39" s="14" t="s">
        <v>124</v>
      </c>
      <c r="D39" s="14">
        <v>7</v>
      </c>
      <c r="E39" s="14">
        <v>2</v>
      </c>
      <c r="F39" s="14">
        <v>38</v>
      </c>
      <c r="G39" s="14">
        <v>4</v>
      </c>
      <c r="H39" s="14" t="s">
        <v>5</v>
      </c>
      <c r="I39" s="18">
        <v>46239</v>
      </c>
      <c r="J39" s="14" t="s">
        <v>125</v>
      </c>
      <c r="K39" s="21">
        <v>70</v>
      </c>
      <c r="L39" s="21"/>
      <c r="M39" s="21"/>
      <c r="N39" s="21"/>
      <c r="O39" s="24"/>
      <c r="P39" s="10">
        <v>-25.13</v>
      </c>
      <c r="Q39" s="10">
        <v>40.299999999999997</v>
      </c>
      <c r="R39" s="10">
        <v>125.2</v>
      </c>
      <c r="S39" s="16">
        <f t="shared" si="0"/>
        <v>2.8210000000000002</v>
      </c>
      <c r="T39" s="16">
        <f t="shared" si="1"/>
        <v>8.7639999999999993</v>
      </c>
      <c r="AC39" t="s">
        <v>2</v>
      </c>
      <c r="AD39" s="3">
        <v>41834</v>
      </c>
      <c r="AE39" s="16">
        <v>186.5</v>
      </c>
      <c r="AF39">
        <v>66.25</v>
      </c>
      <c r="AG39">
        <v>119.75</v>
      </c>
      <c r="AI39">
        <v>0</v>
      </c>
      <c r="AJ39">
        <v>8.0322249999999986</v>
      </c>
      <c r="AK39">
        <v>10.248875000000002</v>
      </c>
      <c r="AN39" t="s">
        <v>143</v>
      </c>
      <c r="AO39">
        <f t="shared" si="2"/>
        <v>2014</v>
      </c>
      <c r="AP39" t="str">
        <f t="shared" si="3"/>
        <v>Mace</v>
      </c>
      <c r="AQ39" t="str">
        <f t="shared" si="4"/>
        <v>Gatton2014CvMace</v>
      </c>
      <c r="AU39" t="s">
        <v>2</v>
      </c>
      <c r="AV39" s="3">
        <v>41834</v>
      </c>
      <c r="AW39" s="16">
        <v>25.013329779672809</v>
      </c>
      <c r="AX39">
        <v>9.1423921012683174</v>
      </c>
      <c r="AY39">
        <v>15.945218719101975</v>
      </c>
      <c r="BA39">
        <v>0</v>
      </c>
      <c r="BB39">
        <v>1.3813309870676711</v>
      </c>
      <c r="BC39">
        <v>5.1927637621180738</v>
      </c>
    </row>
    <row r="40" spans="1:55" x14ac:dyDescent="0.25">
      <c r="A40" s="14">
        <v>2014</v>
      </c>
      <c r="B40" s="14" t="s">
        <v>123</v>
      </c>
      <c r="C40" s="14" t="s">
        <v>124</v>
      </c>
      <c r="D40" s="14">
        <v>7</v>
      </c>
      <c r="E40" s="14">
        <v>3</v>
      </c>
      <c r="F40" s="14">
        <v>39</v>
      </c>
      <c r="G40" s="14">
        <v>4</v>
      </c>
      <c r="H40" s="14" t="s">
        <v>3</v>
      </c>
      <c r="I40" s="18">
        <v>46239</v>
      </c>
      <c r="J40" s="14" t="s">
        <v>125</v>
      </c>
      <c r="K40" s="21">
        <v>50</v>
      </c>
      <c r="L40" s="21"/>
      <c r="M40" s="21"/>
      <c r="N40" s="21"/>
      <c r="O40" s="24"/>
      <c r="P40" s="10">
        <v>-25.1</v>
      </c>
      <c r="Q40" s="10">
        <v>45.3</v>
      </c>
      <c r="R40" s="10">
        <v>108.1</v>
      </c>
      <c r="S40" s="16">
        <f t="shared" si="0"/>
        <v>2.2650000000000001</v>
      </c>
      <c r="T40" s="16">
        <f t="shared" si="1"/>
        <v>5.4050000000000002</v>
      </c>
      <c r="AD40" s="3">
        <v>41856</v>
      </c>
      <c r="AE40" s="16">
        <v>489.5</v>
      </c>
      <c r="AF40">
        <v>211.5</v>
      </c>
      <c r="AG40">
        <v>246.75</v>
      </c>
      <c r="AI40">
        <v>31.25</v>
      </c>
      <c r="AN40" t="s">
        <v>143</v>
      </c>
      <c r="AO40">
        <f t="shared" si="2"/>
        <v>2014</v>
      </c>
      <c r="AP40" t="str">
        <f t="shared" si="3"/>
        <v>Mace</v>
      </c>
      <c r="AQ40" t="str">
        <f t="shared" si="4"/>
        <v>Gatton2014CvMace</v>
      </c>
      <c r="AV40" s="3">
        <v>41856</v>
      </c>
      <c r="AW40" s="16">
        <v>36.207733980463345</v>
      </c>
      <c r="AX40">
        <v>18.064698539785638</v>
      </c>
      <c r="AY40">
        <v>12.5</v>
      </c>
      <c r="BA40">
        <v>11.236102527122116</v>
      </c>
    </row>
    <row r="41" spans="1:55" x14ac:dyDescent="0.25">
      <c r="A41" s="14">
        <v>2014</v>
      </c>
      <c r="B41" s="14" t="s">
        <v>123</v>
      </c>
      <c r="C41" s="14" t="s">
        <v>124</v>
      </c>
      <c r="D41" s="14">
        <v>7</v>
      </c>
      <c r="E41" s="14">
        <v>4</v>
      </c>
      <c r="F41" s="14">
        <v>40</v>
      </c>
      <c r="G41" s="14">
        <v>4</v>
      </c>
      <c r="H41" s="14" t="s">
        <v>7</v>
      </c>
      <c r="I41" s="18">
        <v>46239</v>
      </c>
      <c r="J41" s="14" t="s">
        <v>125</v>
      </c>
      <c r="K41" s="21">
        <v>35</v>
      </c>
      <c r="L41" s="21"/>
      <c r="M41" s="21"/>
      <c r="N41" s="21"/>
      <c r="O41" s="24"/>
      <c r="P41" s="10">
        <v>-24.94</v>
      </c>
      <c r="Q41" s="10">
        <v>46.8</v>
      </c>
      <c r="R41" s="10">
        <v>114.4</v>
      </c>
      <c r="S41" s="16">
        <f t="shared" si="0"/>
        <v>1.6379999999999999</v>
      </c>
      <c r="T41" s="16">
        <f t="shared" si="1"/>
        <v>4.0039999999999996</v>
      </c>
      <c r="AD41" s="3">
        <v>41871</v>
      </c>
      <c r="AE41" s="16">
        <v>693</v>
      </c>
      <c r="AF41">
        <v>379.5</v>
      </c>
      <c r="AG41">
        <v>232.5</v>
      </c>
      <c r="AH41">
        <v>20</v>
      </c>
      <c r="AI41">
        <v>70.75</v>
      </c>
      <c r="AJ41">
        <v>14.9314</v>
      </c>
      <c r="AK41">
        <v>67.519824999999997</v>
      </c>
      <c r="AN41" t="s">
        <v>143</v>
      </c>
      <c r="AO41">
        <f t="shared" si="2"/>
        <v>2014</v>
      </c>
      <c r="AP41" t="str">
        <f t="shared" si="3"/>
        <v>Mace</v>
      </c>
      <c r="AQ41" t="str">
        <f t="shared" si="4"/>
        <v>Gatton2014CvMace</v>
      </c>
      <c r="AV41" s="3">
        <v>41871</v>
      </c>
      <c r="AW41" s="16">
        <v>50.990195135927848</v>
      </c>
      <c r="AX41">
        <v>15.154757228892407</v>
      </c>
      <c r="AY41">
        <v>25.093159758521178</v>
      </c>
      <c r="AZ41">
        <v>19.798989873223331</v>
      </c>
      <c r="BA41">
        <v>22.647663602823727</v>
      </c>
      <c r="BB41">
        <v>2.6687417846868065</v>
      </c>
      <c r="BC41">
        <v>8.1330365720621423</v>
      </c>
    </row>
    <row r="42" spans="1:55" x14ac:dyDescent="0.25">
      <c r="A42" s="14">
        <v>2014</v>
      </c>
      <c r="B42" s="14" t="s">
        <v>123</v>
      </c>
      <c r="C42" s="14" t="s">
        <v>124</v>
      </c>
      <c r="D42" s="14">
        <v>7</v>
      </c>
      <c r="E42" s="14">
        <v>5</v>
      </c>
      <c r="F42" s="14">
        <v>41</v>
      </c>
      <c r="G42" s="14">
        <v>4</v>
      </c>
      <c r="H42" s="14" t="s">
        <v>9</v>
      </c>
      <c r="I42" s="18">
        <v>46239</v>
      </c>
      <c r="J42" s="14" t="s">
        <v>125</v>
      </c>
      <c r="K42" s="21">
        <v>51</v>
      </c>
      <c r="L42" s="21"/>
      <c r="M42" s="21"/>
      <c r="N42" s="21"/>
      <c r="O42" s="24"/>
      <c r="P42" s="10">
        <v>-25.15</v>
      </c>
      <c r="Q42" s="10">
        <v>45.9</v>
      </c>
      <c r="R42" s="10">
        <v>116.4</v>
      </c>
      <c r="S42" s="16">
        <f t="shared" si="0"/>
        <v>2.3409</v>
      </c>
      <c r="T42" s="16">
        <f t="shared" si="1"/>
        <v>5.9364000000000008</v>
      </c>
      <c r="AD42" s="3">
        <v>41891</v>
      </c>
      <c r="AE42" s="16">
        <v>1079.5</v>
      </c>
      <c r="AF42">
        <v>506</v>
      </c>
      <c r="AG42">
        <v>167.75</v>
      </c>
      <c r="AH42">
        <v>276.5</v>
      </c>
      <c r="AI42">
        <v>128.75</v>
      </c>
      <c r="AJ42">
        <v>14.626025</v>
      </c>
      <c r="AK42">
        <v>145.31289999999998</v>
      </c>
      <c r="AN42" t="s">
        <v>143</v>
      </c>
      <c r="AO42">
        <f t="shared" si="2"/>
        <v>2014</v>
      </c>
      <c r="AP42" t="str">
        <f t="shared" si="3"/>
        <v>Mace</v>
      </c>
      <c r="AQ42" t="str">
        <f t="shared" si="4"/>
        <v>Gatton2014CvMace</v>
      </c>
      <c r="AV42" s="3">
        <v>41891</v>
      </c>
      <c r="AW42" s="16">
        <v>69.043464571239468</v>
      </c>
      <c r="AX42">
        <v>27.784887978899608</v>
      </c>
      <c r="AY42">
        <v>12.446552400832395</v>
      </c>
      <c r="AZ42">
        <v>32.109188716004645</v>
      </c>
      <c r="BA42">
        <v>12.867918764638411</v>
      </c>
      <c r="BB42">
        <v>1.002844070215648</v>
      </c>
      <c r="BC42">
        <v>10.706678783824689</v>
      </c>
    </row>
    <row r="43" spans="1:55" x14ac:dyDescent="0.25">
      <c r="A43" s="14">
        <v>2014</v>
      </c>
      <c r="B43" s="14" t="s">
        <v>123</v>
      </c>
      <c r="C43" s="14" t="s">
        <v>124</v>
      </c>
      <c r="D43" s="14">
        <v>7</v>
      </c>
      <c r="E43" s="14">
        <v>6</v>
      </c>
      <c r="F43" s="14">
        <v>42</v>
      </c>
      <c r="G43" s="14">
        <v>4</v>
      </c>
      <c r="H43" s="14" t="s">
        <v>8</v>
      </c>
      <c r="I43" s="18">
        <v>46239</v>
      </c>
      <c r="J43" s="14" t="s">
        <v>125</v>
      </c>
      <c r="K43" s="21">
        <v>57</v>
      </c>
      <c r="L43" s="21"/>
      <c r="M43" s="21"/>
      <c r="N43" s="21"/>
      <c r="O43" s="24"/>
      <c r="P43" s="10">
        <v>-24.71</v>
      </c>
      <c r="Q43" s="10">
        <v>42.7</v>
      </c>
      <c r="R43" s="10">
        <v>162.5</v>
      </c>
      <c r="S43" s="16">
        <f t="shared" si="0"/>
        <v>2.4339</v>
      </c>
      <c r="T43" s="16">
        <f t="shared" si="1"/>
        <v>9.2624999999999993</v>
      </c>
      <c r="AD43" s="3">
        <v>41940</v>
      </c>
      <c r="AE43" s="16">
        <v>1398.25</v>
      </c>
      <c r="AF43">
        <v>309</v>
      </c>
      <c r="AG43">
        <v>0</v>
      </c>
      <c r="AH43">
        <v>888</v>
      </c>
      <c r="AI43">
        <v>201.5</v>
      </c>
      <c r="AN43" t="s">
        <v>143</v>
      </c>
      <c r="AO43">
        <f t="shared" si="2"/>
        <v>2014</v>
      </c>
      <c r="AP43" t="str">
        <f t="shared" si="3"/>
        <v>Mace</v>
      </c>
      <c r="AQ43" t="str">
        <f t="shared" si="4"/>
        <v>Gatton2014CvMace</v>
      </c>
      <c r="AV43" s="3">
        <v>41940</v>
      </c>
      <c r="AW43" s="16">
        <v>66.77012805139735</v>
      </c>
      <c r="AX43">
        <v>106.41428475538423</v>
      </c>
      <c r="AY43">
        <v>0</v>
      </c>
      <c r="AZ43">
        <v>125.40600729895944</v>
      </c>
      <c r="BA43">
        <v>237.05062750391528</v>
      </c>
    </row>
    <row r="44" spans="1:55" x14ac:dyDescent="0.25">
      <c r="A44" s="14">
        <v>2014</v>
      </c>
      <c r="B44" s="14" t="s">
        <v>123</v>
      </c>
      <c r="C44" s="14" t="s">
        <v>124</v>
      </c>
      <c r="D44" s="14">
        <v>8</v>
      </c>
      <c r="E44" s="14">
        <v>6</v>
      </c>
      <c r="F44" s="14">
        <v>43</v>
      </c>
      <c r="G44" s="14">
        <v>4</v>
      </c>
      <c r="H44" s="14" t="s">
        <v>12</v>
      </c>
      <c r="I44" s="18">
        <v>46239</v>
      </c>
      <c r="J44" s="14" t="s">
        <v>125</v>
      </c>
      <c r="K44" s="21">
        <v>54</v>
      </c>
      <c r="L44" s="21"/>
      <c r="M44" s="21"/>
      <c r="N44" s="21"/>
      <c r="O44" s="24"/>
      <c r="P44" s="10">
        <v>-25.36</v>
      </c>
      <c r="Q44" s="10">
        <v>46.8</v>
      </c>
      <c r="R44" s="10">
        <v>104.6</v>
      </c>
      <c r="S44" s="16">
        <f t="shared" si="0"/>
        <v>2.5271999999999997</v>
      </c>
      <c r="T44" s="16">
        <f t="shared" si="1"/>
        <v>5.6483999999999996</v>
      </c>
      <c r="AC44" t="s">
        <v>3</v>
      </c>
      <c r="AD44" s="3">
        <v>41834</v>
      </c>
      <c r="AE44" s="16">
        <v>173.5</v>
      </c>
      <c r="AF44">
        <v>54.75</v>
      </c>
      <c r="AG44">
        <v>118.5</v>
      </c>
      <c r="AI44">
        <v>0</v>
      </c>
      <c r="AJ44">
        <v>7.7769999999999992</v>
      </c>
      <c r="AK44">
        <v>8.5557999999999996</v>
      </c>
      <c r="AN44" t="s">
        <v>143</v>
      </c>
      <c r="AO44">
        <f t="shared" si="2"/>
        <v>2014</v>
      </c>
      <c r="AP44" t="str">
        <f t="shared" si="3"/>
        <v>Scout</v>
      </c>
      <c r="AQ44" t="str">
        <f t="shared" si="4"/>
        <v>Gatton2014CvScout</v>
      </c>
      <c r="AU44" t="s">
        <v>3</v>
      </c>
      <c r="AV44" s="3">
        <v>41834</v>
      </c>
      <c r="AW44" s="16">
        <v>15.609825965290794</v>
      </c>
      <c r="AX44">
        <v>4.349329450233296</v>
      </c>
      <c r="AY44">
        <v>11.733143937865361</v>
      </c>
      <c r="BA44">
        <v>0</v>
      </c>
      <c r="BB44">
        <v>1.0467795852040662</v>
      </c>
      <c r="BC44">
        <v>0.89850570764279303</v>
      </c>
    </row>
    <row r="45" spans="1:55" x14ac:dyDescent="0.25">
      <c r="A45" s="14">
        <v>2014</v>
      </c>
      <c r="B45" s="14" t="s">
        <v>123</v>
      </c>
      <c r="C45" s="14" t="s">
        <v>124</v>
      </c>
      <c r="D45" s="14">
        <v>8</v>
      </c>
      <c r="E45" s="14">
        <v>5</v>
      </c>
      <c r="F45" s="14">
        <v>44</v>
      </c>
      <c r="G45" s="14">
        <v>4</v>
      </c>
      <c r="H45" s="14" t="s">
        <v>10</v>
      </c>
      <c r="I45" s="18">
        <v>46239</v>
      </c>
      <c r="J45" s="14" t="s">
        <v>125</v>
      </c>
      <c r="K45" s="21">
        <v>38</v>
      </c>
      <c r="L45" s="21"/>
      <c r="M45" s="21"/>
      <c r="N45" s="21"/>
      <c r="O45" s="24"/>
      <c r="P45" s="10">
        <v>-24.98</v>
      </c>
      <c r="Q45" s="10">
        <v>43</v>
      </c>
      <c r="R45" s="10">
        <v>126</v>
      </c>
      <c r="S45" s="16">
        <f t="shared" si="0"/>
        <v>1.6339999999999999</v>
      </c>
      <c r="T45" s="16">
        <f t="shared" si="1"/>
        <v>4.7880000000000003</v>
      </c>
      <c r="AD45" s="3">
        <v>41863</v>
      </c>
      <c r="AE45" s="16">
        <v>545.5</v>
      </c>
      <c r="AF45">
        <v>228.5</v>
      </c>
      <c r="AG45">
        <v>275.5</v>
      </c>
      <c r="AI45">
        <v>42</v>
      </c>
      <c r="AN45" t="s">
        <v>143</v>
      </c>
      <c r="AO45">
        <f t="shared" si="2"/>
        <v>2014</v>
      </c>
      <c r="AP45" t="str">
        <f t="shared" si="3"/>
        <v>Scout</v>
      </c>
      <c r="AQ45" t="str">
        <f t="shared" si="4"/>
        <v>Gatton2014CvScout</v>
      </c>
      <c r="AV45" s="3">
        <v>41863</v>
      </c>
      <c r="AW45" s="16">
        <v>57.186828320281357</v>
      </c>
      <c r="AX45">
        <v>59.298679018451445</v>
      </c>
      <c r="AY45">
        <v>46.636895265444075</v>
      </c>
      <c r="BA45">
        <v>14.30617582258329</v>
      </c>
    </row>
    <row r="46" spans="1:55" x14ac:dyDescent="0.25">
      <c r="A46" s="14">
        <v>2014</v>
      </c>
      <c r="B46" s="14" t="s">
        <v>123</v>
      </c>
      <c r="C46" s="14" t="s">
        <v>124</v>
      </c>
      <c r="D46" s="14">
        <v>8</v>
      </c>
      <c r="E46" s="14">
        <v>4</v>
      </c>
      <c r="F46" s="14">
        <v>45</v>
      </c>
      <c r="G46" s="14">
        <v>4</v>
      </c>
      <c r="H46" s="14" t="s">
        <v>14</v>
      </c>
      <c r="I46" s="18">
        <v>46239</v>
      </c>
      <c r="J46" s="14" t="s">
        <v>125</v>
      </c>
      <c r="K46" s="21">
        <v>52</v>
      </c>
      <c r="L46" s="21"/>
      <c r="M46" s="21"/>
      <c r="N46" s="21"/>
      <c r="O46" s="24"/>
      <c r="P46" s="10">
        <v>-25.32</v>
      </c>
      <c r="Q46" s="10">
        <v>45.3</v>
      </c>
      <c r="R46" s="10">
        <v>100.2</v>
      </c>
      <c r="S46" s="16">
        <f t="shared" si="0"/>
        <v>2.3555999999999999</v>
      </c>
      <c r="T46" s="16">
        <f t="shared" si="1"/>
        <v>5.2104000000000008</v>
      </c>
      <c r="AD46" s="3">
        <v>41871</v>
      </c>
      <c r="AE46" s="16">
        <v>653.5</v>
      </c>
      <c r="AF46">
        <v>335.25</v>
      </c>
      <c r="AG46">
        <v>262.5</v>
      </c>
      <c r="AI46">
        <v>55.5</v>
      </c>
      <c r="AJ46">
        <v>16.863050000000001</v>
      </c>
      <c r="AK46">
        <v>64.700600000000009</v>
      </c>
      <c r="AN46" t="s">
        <v>143</v>
      </c>
      <c r="AO46">
        <f t="shared" si="2"/>
        <v>2014</v>
      </c>
      <c r="AP46" t="str">
        <f t="shared" si="3"/>
        <v>Scout</v>
      </c>
      <c r="AQ46" t="str">
        <f t="shared" si="4"/>
        <v>Gatton2014CvScout</v>
      </c>
      <c r="AV46" s="3">
        <v>41871</v>
      </c>
      <c r="AW46" s="16">
        <v>7.047458170621991</v>
      </c>
      <c r="AX46">
        <v>26.196373794859472</v>
      </c>
      <c r="AY46">
        <v>15.609825965290794</v>
      </c>
      <c r="BA46">
        <v>10.246950765959598</v>
      </c>
      <c r="BB46">
        <v>1.5727223562981159</v>
      </c>
      <c r="BC46">
        <v>12.689823149805195</v>
      </c>
    </row>
    <row r="47" spans="1:55" x14ac:dyDescent="0.25">
      <c r="A47" s="14">
        <v>2014</v>
      </c>
      <c r="B47" s="14" t="s">
        <v>123</v>
      </c>
      <c r="C47" s="14" t="s">
        <v>124</v>
      </c>
      <c r="D47" s="14">
        <v>8</v>
      </c>
      <c r="E47" s="14">
        <v>3</v>
      </c>
      <c r="F47" s="14">
        <v>46</v>
      </c>
      <c r="G47" s="14">
        <v>4</v>
      </c>
      <c r="H47" s="14" t="s">
        <v>6</v>
      </c>
      <c r="I47" s="18">
        <v>46239</v>
      </c>
      <c r="J47" s="14" t="s">
        <v>125</v>
      </c>
      <c r="K47" s="21">
        <v>37</v>
      </c>
      <c r="L47" s="21"/>
      <c r="M47" s="21"/>
      <c r="N47" s="21"/>
      <c r="O47" s="24"/>
      <c r="P47" s="10">
        <v>-24.6</v>
      </c>
      <c r="Q47" s="10">
        <v>46.5</v>
      </c>
      <c r="R47" s="10">
        <v>138.69999999999999</v>
      </c>
      <c r="S47" s="16">
        <f t="shared" si="0"/>
        <v>1.7204999999999999</v>
      </c>
      <c r="T47" s="16">
        <f t="shared" si="1"/>
        <v>5.1318999999999999</v>
      </c>
      <c r="AD47" s="3">
        <v>41891</v>
      </c>
      <c r="AE47" s="16">
        <v>1112.5</v>
      </c>
      <c r="AF47">
        <v>512</v>
      </c>
      <c r="AG47">
        <v>199.75</v>
      </c>
      <c r="AH47">
        <v>249.75</v>
      </c>
      <c r="AI47">
        <v>151</v>
      </c>
      <c r="AJ47">
        <v>17.970200000000002</v>
      </c>
      <c r="AK47">
        <v>130.925825</v>
      </c>
      <c r="AN47" t="s">
        <v>143</v>
      </c>
      <c r="AO47">
        <f t="shared" si="2"/>
        <v>2014</v>
      </c>
      <c r="AP47" t="str">
        <f t="shared" si="3"/>
        <v>Scout</v>
      </c>
      <c r="AQ47" t="str">
        <f t="shared" si="4"/>
        <v>Gatton2014CvScout</v>
      </c>
      <c r="AV47" s="3">
        <v>41891</v>
      </c>
      <c r="AW47" s="16">
        <v>53.916602266834282</v>
      </c>
      <c r="AX47">
        <v>15.340577998671801</v>
      </c>
      <c r="AY47">
        <v>19.379972480200617</v>
      </c>
      <c r="AZ47">
        <v>13.5</v>
      </c>
      <c r="BA47">
        <v>33.684813591092748</v>
      </c>
      <c r="BB47">
        <v>1.3800339053805641</v>
      </c>
      <c r="BC47">
        <v>10.267348427052626</v>
      </c>
    </row>
    <row r="48" spans="1:55" x14ac:dyDescent="0.25">
      <c r="A48" s="14">
        <v>2014</v>
      </c>
      <c r="B48" s="14" t="s">
        <v>123</v>
      </c>
      <c r="C48" s="14" t="s">
        <v>124</v>
      </c>
      <c r="D48" s="14">
        <v>8</v>
      </c>
      <c r="E48" s="14">
        <v>2</v>
      </c>
      <c r="F48" s="14">
        <v>47</v>
      </c>
      <c r="G48" s="14">
        <v>4</v>
      </c>
      <c r="H48" s="14" t="s">
        <v>4</v>
      </c>
      <c r="I48" s="18">
        <v>46239</v>
      </c>
      <c r="J48" s="14" t="s">
        <v>125</v>
      </c>
      <c r="K48" s="21">
        <v>46</v>
      </c>
      <c r="L48" s="21"/>
      <c r="M48" s="21"/>
      <c r="N48" s="21"/>
      <c r="O48" s="24"/>
      <c r="P48" s="10">
        <v>-25.07</v>
      </c>
      <c r="Q48" s="10">
        <v>42.6</v>
      </c>
      <c r="R48" s="10">
        <v>129.69999999999999</v>
      </c>
      <c r="S48" s="16">
        <f t="shared" si="0"/>
        <v>1.9596000000000002</v>
      </c>
      <c r="T48" s="16">
        <f t="shared" si="1"/>
        <v>5.9661999999999997</v>
      </c>
      <c r="AD48" s="3">
        <v>41940</v>
      </c>
      <c r="AE48" s="16">
        <v>1432.25</v>
      </c>
      <c r="AF48">
        <v>385</v>
      </c>
      <c r="AG48">
        <v>0</v>
      </c>
      <c r="AH48">
        <v>779</v>
      </c>
      <c r="AI48">
        <v>268.25</v>
      </c>
      <c r="AN48" t="s">
        <v>143</v>
      </c>
      <c r="AO48">
        <f t="shared" si="2"/>
        <v>2014</v>
      </c>
      <c r="AP48" t="str">
        <f t="shared" si="3"/>
        <v>Scout</v>
      </c>
      <c r="AQ48" t="str">
        <f t="shared" si="4"/>
        <v>Gatton2014CvScout</v>
      </c>
      <c r="AV48" s="3">
        <v>41940</v>
      </c>
      <c r="AW48" s="16">
        <v>131.37319615000112</v>
      </c>
      <c r="AX48">
        <v>97.461103352397288</v>
      </c>
      <c r="AY48">
        <v>0</v>
      </c>
      <c r="AZ48">
        <v>176.02461949019138</v>
      </c>
      <c r="BA48">
        <v>164.62558529382162</v>
      </c>
    </row>
    <row r="49" spans="1:55" x14ac:dyDescent="0.25">
      <c r="A49" s="14">
        <v>2014</v>
      </c>
      <c r="B49" s="14" t="s">
        <v>123</v>
      </c>
      <c r="C49" s="14" t="s">
        <v>124</v>
      </c>
      <c r="D49" s="14">
        <v>8</v>
      </c>
      <c r="E49" s="14">
        <v>1</v>
      </c>
      <c r="F49" s="14">
        <v>48</v>
      </c>
      <c r="G49" s="14">
        <v>4</v>
      </c>
      <c r="H49" s="14" t="s">
        <v>2</v>
      </c>
      <c r="I49" s="18">
        <v>46239</v>
      </c>
      <c r="J49" s="14" t="s">
        <v>125</v>
      </c>
      <c r="K49" s="21">
        <v>47</v>
      </c>
      <c r="L49" s="21"/>
      <c r="M49" s="21"/>
      <c r="N49" s="21"/>
      <c r="O49" s="24"/>
      <c r="P49" s="10">
        <v>-24.73</v>
      </c>
      <c r="Q49" s="10">
        <v>42.3</v>
      </c>
      <c r="R49" s="10">
        <v>140</v>
      </c>
      <c r="S49" s="16">
        <f t="shared" si="0"/>
        <v>1.9881</v>
      </c>
      <c r="T49" s="16">
        <f t="shared" si="1"/>
        <v>6.58</v>
      </c>
      <c r="AC49" t="s">
        <v>5</v>
      </c>
      <c r="AD49" s="3">
        <v>41834</v>
      </c>
      <c r="AE49" s="16">
        <v>165.25</v>
      </c>
      <c r="AF49">
        <v>56.5</v>
      </c>
      <c r="AG49">
        <v>108.75</v>
      </c>
      <c r="AI49">
        <v>0</v>
      </c>
      <c r="AJ49">
        <v>8.0046750000000007</v>
      </c>
      <c r="AK49">
        <v>7.7267750000000008</v>
      </c>
      <c r="AN49" t="s">
        <v>143</v>
      </c>
      <c r="AO49">
        <f t="shared" si="2"/>
        <v>2014</v>
      </c>
      <c r="AP49" t="str">
        <f t="shared" si="3"/>
        <v>Spitfire</v>
      </c>
      <c r="AQ49" t="str">
        <f t="shared" si="4"/>
        <v>Gatton2014CvSpitfire</v>
      </c>
      <c r="AU49" t="s">
        <v>5</v>
      </c>
      <c r="AV49" s="3">
        <v>41834</v>
      </c>
      <c r="AW49" s="16">
        <v>13.149778198382917</v>
      </c>
      <c r="AX49">
        <v>3.1091263510296048</v>
      </c>
      <c r="AY49">
        <v>10.781929326423912</v>
      </c>
      <c r="BA49">
        <v>0</v>
      </c>
      <c r="BB49">
        <v>1.2379116537540142</v>
      </c>
      <c r="BC49">
        <v>1.6815062580416751</v>
      </c>
    </row>
    <row r="50" spans="1:55" x14ac:dyDescent="0.25">
      <c r="A50" s="14">
        <v>2014</v>
      </c>
      <c r="B50" s="14" t="s">
        <v>123</v>
      </c>
      <c r="C50" s="14" t="s">
        <v>124</v>
      </c>
      <c r="D50" s="14">
        <v>1</v>
      </c>
      <c r="E50" s="14">
        <v>1</v>
      </c>
      <c r="F50" s="14">
        <v>1</v>
      </c>
      <c r="G50" s="14">
        <v>1</v>
      </c>
      <c r="H50" s="14" t="s">
        <v>3</v>
      </c>
      <c r="I50" s="18">
        <v>46254</v>
      </c>
      <c r="J50" s="14" t="s">
        <v>126</v>
      </c>
      <c r="K50" s="21">
        <v>112</v>
      </c>
      <c r="L50" s="25"/>
      <c r="M50" s="21"/>
      <c r="N50" s="21"/>
      <c r="O50" s="24"/>
      <c r="P50" s="10">
        <v>-25.83</v>
      </c>
      <c r="Q50" s="10">
        <v>37.5</v>
      </c>
      <c r="R50" s="10">
        <v>92.4</v>
      </c>
      <c r="S50" s="16">
        <f t="shared" si="0"/>
        <v>4.2</v>
      </c>
      <c r="T50" s="16">
        <f t="shared" si="1"/>
        <v>10.348800000000001</v>
      </c>
      <c r="AD50" s="3">
        <v>41856</v>
      </c>
      <c r="AE50" s="16">
        <v>391</v>
      </c>
      <c r="AF50">
        <v>162</v>
      </c>
      <c r="AG50">
        <v>203.25</v>
      </c>
      <c r="AI50">
        <v>26</v>
      </c>
      <c r="AN50" t="s">
        <v>143</v>
      </c>
      <c r="AO50">
        <f t="shared" si="2"/>
        <v>2014</v>
      </c>
      <c r="AP50" t="str">
        <f t="shared" si="3"/>
        <v>Spitfire</v>
      </c>
      <c r="AQ50" t="str">
        <f t="shared" si="4"/>
        <v>Gatton2014CvSpitfire</v>
      </c>
      <c r="AV50" s="3">
        <v>41856</v>
      </c>
      <c r="AW50" s="16">
        <v>30.800432897390689</v>
      </c>
      <c r="AX50">
        <v>19.476481543988722</v>
      </c>
      <c r="AY50">
        <v>15.456929406148772</v>
      </c>
      <c r="BA50">
        <v>4.2426406871192848</v>
      </c>
    </row>
    <row r="51" spans="1:55" x14ac:dyDescent="0.25">
      <c r="A51" s="14">
        <v>2014</v>
      </c>
      <c r="B51" s="14" t="s">
        <v>123</v>
      </c>
      <c r="C51" s="14" t="s">
        <v>124</v>
      </c>
      <c r="D51" s="14">
        <v>1</v>
      </c>
      <c r="E51" s="14">
        <v>2</v>
      </c>
      <c r="F51" s="14">
        <v>2</v>
      </c>
      <c r="G51" s="14">
        <v>1</v>
      </c>
      <c r="H51" s="14" t="s">
        <v>14</v>
      </c>
      <c r="I51" s="18">
        <v>46256</v>
      </c>
      <c r="J51" s="14" t="s">
        <v>126</v>
      </c>
      <c r="K51" s="21">
        <v>124</v>
      </c>
      <c r="L51" s="25"/>
      <c r="M51" s="21"/>
      <c r="N51" s="21"/>
      <c r="O51" s="24"/>
      <c r="P51" s="10">
        <v>-25.34</v>
      </c>
      <c r="Q51" s="10">
        <v>32.799999999999997</v>
      </c>
      <c r="R51" s="10">
        <v>143.5</v>
      </c>
      <c r="S51" s="16">
        <f t="shared" si="0"/>
        <v>4.0671999999999997</v>
      </c>
      <c r="T51" s="16">
        <f t="shared" si="1"/>
        <v>17.794</v>
      </c>
      <c r="AD51" s="3">
        <v>41871</v>
      </c>
      <c r="AE51" s="16">
        <v>633.25</v>
      </c>
      <c r="AF51">
        <v>323.25</v>
      </c>
      <c r="AG51">
        <v>207.75</v>
      </c>
      <c r="AH51">
        <v>48.25</v>
      </c>
      <c r="AI51">
        <v>54.25</v>
      </c>
      <c r="AJ51">
        <v>15.289199999999999</v>
      </c>
      <c r="AK51">
        <v>59.343299999999999</v>
      </c>
      <c r="AN51" t="s">
        <v>143</v>
      </c>
      <c r="AO51">
        <f t="shared" si="2"/>
        <v>2014</v>
      </c>
      <c r="AP51" t="str">
        <f t="shared" si="3"/>
        <v>Spitfire</v>
      </c>
      <c r="AQ51" t="str">
        <f t="shared" si="4"/>
        <v>Gatton2014CvSpitfire</v>
      </c>
      <c r="AV51" s="3">
        <v>41871</v>
      </c>
      <c r="AW51" s="16">
        <v>21.792582836062977</v>
      </c>
      <c r="AX51">
        <v>19.619293225462194</v>
      </c>
      <c r="AY51">
        <v>31.41522985220173</v>
      </c>
      <c r="AZ51">
        <v>22.425803590209799</v>
      </c>
      <c r="BA51">
        <v>7.0887234393789127</v>
      </c>
      <c r="BB51">
        <v>1.6108906170190569</v>
      </c>
      <c r="BC51">
        <v>10.900318038785231</v>
      </c>
    </row>
    <row r="52" spans="1:55" x14ac:dyDescent="0.25">
      <c r="A52" s="14">
        <v>2014</v>
      </c>
      <c r="B52" s="14" t="s">
        <v>123</v>
      </c>
      <c r="C52" s="14" t="s">
        <v>124</v>
      </c>
      <c r="D52" s="14">
        <v>1</v>
      </c>
      <c r="E52" s="14">
        <v>3</v>
      </c>
      <c r="F52" s="14">
        <v>3</v>
      </c>
      <c r="G52" s="14">
        <v>1</v>
      </c>
      <c r="H52" s="14" t="s">
        <v>9</v>
      </c>
      <c r="I52" s="18">
        <v>46254</v>
      </c>
      <c r="J52" s="14" t="s">
        <v>126</v>
      </c>
      <c r="K52" s="21">
        <v>184</v>
      </c>
      <c r="L52" s="25"/>
      <c r="M52" s="21"/>
      <c r="N52" s="21"/>
      <c r="O52" s="24"/>
      <c r="P52" s="10">
        <v>-25.77</v>
      </c>
      <c r="Q52" s="10">
        <v>30.1</v>
      </c>
      <c r="R52" s="10">
        <v>98.5</v>
      </c>
      <c r="S52" s="16">
        <f t="shared" si="0"/>
        <v>5.5384000000000002</v>
      </c>
      <c r="T52" s="16">
        <f t="shared" si="1"/>
        <v>18.123999999999999</v>
      </c>
      <c r="AD52" s="3">
        <v>41883</v>
      </c>
      <c r="AE52" s="16">
        <v>884.5</v>
      </c>
      <c r="AF52">
        <v>403.5</v>
      </c>
      <c r="AG52">
        <v>216.25</v>
      </c>
      <c r="AH52">
        <v>199.75</v>
      </c>
      <c r="AI52">
        <v>64.75</v>
      </c>
      <c r="AJ52">
        <v>16.929225000000002</v>
      </c>
      <c r="AK52">
        <v>92.085425000000015</v>
      </c>
      <c r="AN52" t="s">
        <v>143</v>
      </c>
      <c r="AO52">
        <f t="shared" si="2"/>
        <v>2014</v>
      </c>
      <c r="AP52" t="str">
        <f t="shared" si="3"/>
        <v>Spitfire</v>
      </c>
      <c r="AQ52" t="str">
        <f t="shared" si="4"/>
        <v>Gatton2014CvSpitfire</v>
      </c>
      <c r="AV52" s="3">
        <v>41883</v>
      </c>
      <c r="AW52" s="16">
        <v>51.707510737480554</v>
      </c>
      <c r="AX52">
        <v>11.733143937865361</v>
      </c>
      <c r="AY52">
        <v>15.819292019556375</v>
      </c>
      <c r="AZ52">
        <v>40.210902335892271</v>
      </c>
      <c r="BA52">
        <v>8.7321245982864895</v>
      </c>
      <c r="BB52">
        <v>1.8145734675583125</v>
      </c>
      <c r="BC52">
        <v>15.155247950105114</v>
      </c>
    </row>
    <row r="53" spans="1:55" x14ac:dyDescent="0.25">
      <c r="A53" s="14">
        <v>2014</v>
      </c>
      <c r="B53" s="14" t="s">
        <v>123</v>
      </c>
      <c r="C53" s="14" t="s">
        <v>124</v>
      </c>
      <c r="D53" s="14">
        <v>1</v>
      </c>
      <c r="E53" s="14">
        <v>4</v>
      </c>
      <c r="F53" s="14">
        <v>4</v>
      </c>
      <c r="G53" s="14">
        <v>1</v>
      </c>
      <c r="H53" s="14" t="s">
        <v>10</v>
      </c>
      <c r="I53" s="18">
        <v>46254</v>
      </c>
      <c r="J53" s="14" t="s">
        <v>126</v>
      </c>
      <c r="K53" s="21">
        <v>113</v>
      </c>
      <c r="L53" s="25"/>
      <c r="M53" s="21"/>
      <c r="N53" s="21"/>
      <c r="O53" s="24"/>
      <c r="P53" s="10">
        <v>-25.85</v>
      </c>
      <c r="Q53" s="10">
        <v>26.3</v>
      </c>
      <c r="R53" s="10">
        <v>117.4</v>
      </c>
      <c r="S53" s="16">
        <f t="shared" si="0"/>
        <v>2.9719000000000002</v>
      </c>
      <c r="T53" s="16">
        <f t="shared" si="1"/>
        <v>13.266200000000001</v>
      </c>
      <c r="AD53" s="3">
        <v>41940</v>
      </c>
      <c r="AE53" s="16">
        <v>1484.75</v>
      </c>
      <c r="AF53">
        <v>399.25</v>
      </c>
      <c r="AG53">
        <v>0</v>
      </c>
      <c r="AH53">
        <v>818.75</v>
      </c>
      <c r="AI53">
        <v>266</v>
      </c>
      <c r="AN53" t="s">
        <v>143</v>
      </c>
      <c r="AO53">
        <f t="shared" si="2"/>
        <v>2014</v>
      </c>
      <c r="AP53" t="str">
        <f t="shared" si="3"/>
        <v>Spitfire</v>
      </c>
      <c r="AQ53" t="str">
        <f t="shared" si="4"/>
        <v>Gatton2014CvSpitfire</v>
      </c>
      <c r="AV53" s="3">
        <v>41940</v>
      </c>
      <c r="AW53" s="16">
        <v>112.59181438571218</v>
      </c>
      <c r="AX53">
        <v>32.877297131404625</v>
      </c>
      <c r="AY53">
        <v>0</v>
      </c>
      <c r="AZ53">
        <v>116.70011425301462</v>
      </c>
      <c r="BA53">
        <v>177.4673678924288</v>
      </c>
    </row>
    <row r="54" spans="1:55" x14ac:dyDescent="0.25">
      <c r="A54" s="14">
        <v>2014</v>
      </c>
      <c r="B54" s="14" t="s">
        <v>123</v>
      </c>
      <c r="C54" s="14" t="s">
        <v>124</v>
      </c>
      <c r="D54" s="14">
        <v>1</v>
      </c>
      <c r="E54" s="14">
        <v>5</v>
      </c>
      <c r="F54" s="14">
        <v>5</v>
      </c>
      <c r="G54" s="14">
        <v>1</v>
      </c>
      <c r="H54" s="14" t="s">
        <v>6</v>
      </c>
      <c r="I54" s="18">
        <v>46254</v>
      </c>
      <c r="J54" s="14" t="s">
        <v>126</v>
      </c>
      <c r="K54" s="21">
        <v>102</v>
      </c>
      <c r="L54" s="25"/>
      <c r="M54" s="21"/>
      <c r="N54" s="21"/>
      <c r="O54" s="24"/>
      <c r="P54" s="10">
        <v>-25.97</v>
      </c>
      <c r="Q54" s="10">
        <v>33.9</v>
      </c>
      <c r="R54" s="10">
        <v>91</v>
      </c>
      <c r="S54" s="16">
        <f t="shared" si="0"/>
        <v>3.4577999999999998</v>
      </c>
      <c r="T54" s="16">
        <f t="shared" si="1"/>
        <v>9.282</v>
      </c>
      <c r="AC54" t="s">
        <v>9</v>
      </c>
      <c r="AD54" s="3">
        <v>41834</v>
      </c>
      <c r="AE54" s="16">
        <v>168</v>
      </c>
      <c r="AF54">
        <v>59.75</v>
      </c>
      <c r="AG54">
        <v>108.25</v>
      </c>
      <c r="AI54">
        <v>0</v>
      </c>
      <c r="AJ54">
        <v>7.6494750000000007</v>
      </c>
      <c r="AK54">
        <v>7.6281999999999996</v>
      </c>
      <c r="AN54" t="s">
        <v>143</v>
      </c>
      <c r="AO54">
        <f t="shared" si="2"/>
        <v>2014</v>
      </c>
      <c r="AP54" t="str">
        <f t="shared" si="3"/>
        <v>Sunbee</v>
      </c>
      <c r="AQ54" t="str">
        <f t="shared" si="4"/>
        <v>Gatton2014CvSunbee</v>
      </c>
      <c r="AU54" t="s">
        <v>9</v>
      </c>
      <c r="AV54" s="3">
        <v>41834</v>
      </c>
      <c r="AW54" s="16">
        <v>14.30617582258329</v>
      </c>
      <c r="AX54">
        <v>4.2720018726587652</v>
      </c>
      <c r="AY54">
        <v>10.275375094532235</v>
      </c>
      <c r="BA54">
        <v>0</v>
      </c>
      <c r="BB54">
        <v>0.54230930519399057</v>
      </c>
      <c r="BC54">
        <v>1.4503595944914269</v>
      </c>
    </row>
    <row r="55" spans="1:55" x14ac:dyDescent="0.25">
      <c r="A55" s="14">
        <v>2014</v>
      </c>
      <c r="B55" s="14" t="s">
        <v>123</v>
      </c>
      <c r="C55" s="14" t="s">
        <v>124</v>
      </c>
      <c r="D55" s="14">
        <v>1</v>
      </c>
      <c r="E55" s="14">
        <v>6</v>
      </c>
      <c r="F55" s="14">
        <v>6</v>
      </c>
      <c r="G55" s="14">
        <v>1</v>
      </c>
      <c r="H55" s="14" t="s">
        <v>13</v>
      </c>
      <c r="I55" s="18">
        <v>46249</v>
      </c>
      <c r="J55" s="14" t="s">
        <v>126</v>
      </c>
      <c r="K55" s="21">
        <v>75</v>
      </c>
      <c r="L55" s="25"/>
      <c r="M55" s="21"/>
      <c r="N55" s="21"/>
      <c r="O55" s="24"/>
      <c r="P55" s="10">
        <v>-25.66</v>
      </c>
      <c r="Q55" s="10">
        <v>31.9</v>
      </c>
      <c r="R55" s="10">
        <v>108.4</v>
      </c>
      <c r="S55" s="16">
        <f t="shared" si="0"/>
        <v>2.3925000000000001</v>
      </c>
      <c r="T55" s="16">
        <f t="shared" si="1"/>
        <v>8.1300000000000008</v>
      </c>
      <c r="AD55" s="3">
        <v>41856</v>
      </c>
      <c r="AE55" s="16">
        <v>455.5</v>
      </c>
      <c r="AF55">
        <v>196.75</v>
      </c>
      <c r="AG55">
        <v>227.5</v>
      </c>
      <c r="AI55">
        <v>31</v>
      </c>
      <c r="AN55" t="s">
        <v>143</v>
      </c>
      <c r="AO55">
        <f t="shared" si="2"/>
        <v>2014</v>
      </c>
      <c r="AP55" t="str">
        <f t="shared" si="3"/>
        <v>Sunbee</v>
      </c>
      <c r="AQ55" t="str">
        <f t="shared" si="4"/>
        <v>Gatton2014CvSunbee</v>
      </c>
      <c r="AV55" s="3">
        <v>41856</v>
      </c>
      <c r="AW55" s="16">
        <v>53.80520420925842</v>
      </c>
      <c r="AX55">
        <v>21.234798484249072</v>
      </c>
      <c r="AY55">
        <v>29.422213830143146</v>
      </c>
      <c r="BA55">
        <v>9.3808315196468595</v>
      </c>
    </row>
    <row r="56" spans="1:55" x14ac:dyDescent="0.25">
      <c r="A56" s="14">
        <v>2014</v>
      </c>
      <c r="B56" s="14" t="s">
        <v>123</v>
      </c>
      <c r="C56" s="14" t="s">
        <v>124</v>
      </c>
      <c r="D56" s="14">
        <v>2</v>
      </c>
      <c r="E56" s="14">
        <v>6</v>
      </c>
      <c r="F56" s="14">
        <v>7</v>
      </c>
      <c r="G56" s="14">
        <v>1</v>
      </c>
      <c r="H56" s="14" t="s">
        <v>2</v>
      </c>
      <c r="I56" s="18">
        <v>46256</v>
      </c>
      <c r="J56" s="14" t="s">
        <v>126</v>
      </c>
      <c r="K56" s="21">
        <v>198</v>
      </c>
      <c r="L56" s="25"/>
      <c r="M56" s="21"/>
      <c r="N56" s="21"/>
      <c r="O56" s="24"/>
      <c r="P56" s="10">
        <v>-25.21</v>
      </c>
      <c r="Q56" s="10">
        <v>29.7</v>
      </c>
      <c r="R56" s="10">
        <v>157.1</v>
      </c>
      <c r="S56" s="16">
        <f t="shared" si="0"/>
        <v>5.8805999999999994</v>
      </c>
      <c r="T56" s="16">
        <f t="shared" si="1"/>
        <v>31.105799999999999</v>
      </c>
      <c r="AD56" s="3">
        <v>41871</v>
      </c>
      <c r="AE56" s="16">
        <v>701.25</v>
      </c>
      <c r="AF56">
        <v>411.75</v>
      </c>
      <c r="AG56">
        <v>221.5</v>
      </c>
      <c r="AH56">
        <v>10</v>
      </c>
      <c r="AI56">
        <v>58.25</v>
      </c>
      <c r="AJ56">
        <v>14.453225</v>
      </c>
      <c r="AK56">
        <v>74.320174999999992</v>
      </c>
      <c r="AN56" t="s">
        <v>143</v>
      </c>
      <c r="AO56">
        <f t="shared" si="2"/>
        <v>2014</v>
      </c>
      <c r="AP56" t="str">
        <f t="shared" si="3"/>
        <v>Sunbee</v>
      </c>
      <c r="AQ56" t="str">
        <f t="shared" si="4"/>
        <v>Gatton2014CvSunbee</v>
      </c>
      <c r="AV56" s="3">
        <v>41871</v>
      </c>
      <c r="AW56" s="16">
        <v>40.111303477531948</v>
      </c>
      <c r="AX56">
        <v>42.397916615481627</v>
      </c>
      <c r="AY56">
        <v>10.082988974836116</v>
      </c>
      <c r="AZ56">
        <v>3.5590260840104371</v>
      </c>
      <c r="BA56">
        <v>10.372238588334406</v>
      </c>
      <c r="BB56">
        <v>2.0437645271654938</v>
      </c>
      <c r="BC56">
        <v>4.9036929718835953</v>
      </c>
    </row>
    <row r="57" spans="1:55" x14ac:dyDescent="0.25">
      <c r="A57" s="14">
        <v>2014</v>
      </c>
      <c r="B57" s="14" t="s">
        <v>123</v>
      </c>
      <c r="C57" s="14" t="s">
        <v>124</v>
      </c>
      <c r="D57" s="14">
        <v>2</v>
      </c>
      <c r="E57" s="14">
        <v>5</v>
      </c>
      <c r="F57" s="14">
        <v>8</v>
      </c>
      <c r="G57" s="14">
        <v>1</v>
      </c>
      <c r="H57" s="14" t="s">
        <v>12</v>
      </c>
      <c r="I57" s="18">
        <v>46249</v>
      </c>
      <c r="J57" s="14" t="s">
        <v>126</v>
      </c>
      <c r="K57" s="21">
        <v>88</v>
      </c>
      <c r="L57" s="25"/>
      <c r="M57" s="21"/>
      <c r="N57" s="21"/>
      <c r="O57" s="24"/>
      <c r="P57" s="10">
        <v>-25.43</v>
      </c>
      <c r="Q57" s="10">
        <v>33</v>
      </c>
      <c r="R57" s="10">
        <v>127.4</v>
      </c>
      <c r="S57" s="16">
        <f t="shared" si="0"/>
        <v>2.9039999999999999</v>
      </c>
      <c r="T57" s="16">
        <f t="shared" si="1"/>
        <v>11.211200000000002</v>
      </c>
      <c r="AD57" s="3">
        <v>41883</v>
      </c>
      <c r="AE57" s="16">
        <v>946.75</v>
      </c>
      <c r="AF57">
        <v>451</v>
      </c>
      <c r="AG57">
        <v>223.25</v>
      </c>
      <c r="AH57">
        <v>181</v>
      </c>
      <c r="AI57">
        <v>91</v>
      </c>
      <c r="AJ57">
        <v>16.6282</v>
      </c>
      <c r="AK57">
        <v>91.698724999999996</v>
      </c>
      <c r="AN57" t="s">
        <v>143</v>
      </c>
      <c r="AO57">
        <f t="shared" si="2"/>
        <v>2014</v>
      </c>
      <c r="AP57" t="str">
        <f t="shared" si="3"/>
        <v>Sunbee</v>
      </c>
      <c r="AQ57" t="str">
        <f t="shared" si="4"/>
        <v>Gatton2014CvSunbee</v>
      </c>
      <c r="AV57" s="3">
        <v>41883</v>
      </c>
      <c r="AW57" s="16">
        <v>83.806821520287556</v>
      </c>
      <c r="AX57">
        <v>68.512772531842558</v>
      </c>
      <c r="AY57">
        <v>18.83923211457056</v>
      </c>
      <c r="AZ57">
        <v>26.993826454703797</v>
      </c>
      <c r="BA57">
        <v>22.405356502408079</v>
      </c>
      <c r="BB57">
        <v>1.0564963227574327</v>
      </c>
      <c r="BC57">
        <v>11.450225228461692</v>
      </c>
    </row>
    <row r="58" spans="1:55" x14ac:dyDescent="0.25">
      <c r="A58" s="14">
        <v>2014</v>
      </c>
      <c r="B58" s="14" t="s">
        <v>123</v>
      </c>
      <c r="C58" s="14" t="s">
        <v>124</v>
      </c>
      <c r="D58" s="14">
        <v>2</v>
      </c>
      <c r="E58" s="14">
        <v>4</v>
      </c>
      <c r="F58" s="14">
        <v>9</v>
      </c>
      <c r="G58" s="14">
        <v>1</v>
      </c>
      <c r="H58" s="14" t="s">
        <v>7</v>
      </c>
      <c r="I58" s="18">
        <v>46254</v>
      </c>
      <c r="J58" s="14" t="s">
        <v>126</v>
      </c>
      <c r="K58" s="21">
        <v>109</v>
      </c>
      <c r="L58" s="25"/>
      <c r="M58" s="21"/>
      <c r="N58" s="21"/>
      <c r="O58" s="24"/>
      <c r="P58" s="10">
        <v>-25.98</v>
      </c>
      <c r="Q58" s="10">
        <v>30.3</v>
      </c>
      <c r="R58" s="10">
        <v>104</v>
      </c>
      <c r="S58" s="16">
        <f t="shared" si="0"/>
        <v>3.3027000000000002</v>
      </c>
      <c r="T58" s="16">
        <f t="shared" si="1"/>
        <v>11.336</v>
      </c>
      <c r="AD58" s="3">
        <v>41940</v>
      </c>
      <c r="AE58" s="16">
        <v>1410</v>
      </c>
      <c r="AF58">
        <v>516</v>
      </c>
      <c r="AG58">
        <v>0</v>
      </c>
      <c r="AH58">
        <v>813.75</v>
      </c>
      <c r="AI58">
        <v>80.5</v>
      </c>
      <c r="AN58" t="s">
        <v>143</v>
      </c>
      <c r="AO58">
        <f t="shared" si="2"/>
        <v>2014</v>
      </c>
      <c r="AP58" t="str">
        <f t="shared" si="3"/>
        <v>Sunbee</v>
      </c>
      <c r="AQ58" t="str">
        <f t="shared" si="4"/>
        <v>Gatton2014CvSunbee</v>
      </c>
      <c r="AV58" s="3">
        <v>41940</v>
      </c>
      <c r="AW58" s="16">
        <v>124.95599225327291</v>
      </c>
      <c r="AX58">
        <v>124.57661631836584</v>
      </c>
      <c r="AY58">
        <v>0</v>
      </c>
      <c r="AZ58">
        <v>96.472362190767697</v>
      </c>
      <c r="BA58">
        <v>17.8232058470598</v>
      </c>
    </row>
    <row r="59" spans="1:55" x14ac:dyDescent="0.25">
      <c r="A59" s="14">
        <v>2014</v>
      </c>
      <c r="B59" s="14" t="s">
        <v>123</v>
      </c>
      <c r="C59" s="14" t="s">
        <v>124</v>
      </c>
      <c r="D59" s="14">
        <v>2</v>
      </c>
      <c r="E59" s="14">
        <v>3</v>
      </c>
      <c r="F59" s="14">
        <v>10</v>
      </c>
      <c r="G59" s="14">
        <v>1</v>
      </c>
      <c r="H59" s="14" t="s">
        <v>8</v>
      </c>
      <c r="I59" s="18">
        <v>46256</v>
      </c>
      <c r="J59" s="14" t="s">
        <v>126</v>
      </c>
      <c r="K59" s="21">
        <v>165</v>
      </c>
      <c r="L59" s="25"/>
      <c r="M59" s="21"/>
      <c r="N59" s="21"/>
      <c r="O59" s="24"/>
      <c r="P59" s="10">
        <v>-25.12</v>
      </c>
      <c r="Q59" s="10">
        <v>30.7</v>
      </c>
      <c r="R59" s="10">
        <v>174.6</v>
      </c>
      <c r="S59" s="16">
        <f t="shared" si="0"/>
        <v>5.0655000000000001</v>
      </c>
      <c r="T59" s="16">
        <f t="shared" si="1"/>
        <v>28.809000000000001</v>
      </c>
      <c r="AC59" t="s">
        <v>6</v>
      </c>
      <c r="AD59" s="3">
        <v>41834</v>
      </c>
      <c r="AE59" s="16">
        <v>146.75</v>
      </c>
      <c r="AF59">
        <v>54</v>
      </c>
      <c r="AG59">
        <v>93</v>
      </c>
      <c r="AI59">
        <v>0</v>
      </c>
      <c r="AJ59">
        <v>6.9863999999999997</v>
      </c>
      <c r="AK59">
        <v>5.9858000000000002</v>
      </c>
      <c r="AN59" t="s">
        <v>143</v>
      </c>
      <c r="AO59">
        <f t="shared" si="2"/>
        <v>2014</v>
      </c>
      <c r="AP59" t="str">
        <f t="shared" si="3"/>
        <v>Sunstate</v>
      </c>
      <c r="AQ59" t="str">
        <f t="shared" si="4"/>
        <v>Gatton2014CvSunstate</v>
      </c>
      <c r="AU59" t="s">
        <v>6</v>
      </c>
      <c r="AV59" s="3">
        <v>41834</v>
      </c>
      <c r="AW59" s="16">
        <v>30.987900864692335</v>
      </c>
      <c r="AX59">
        <v>11.51810169544733</v>
      </c>
      <c r="AY59">
        <v>20.066555924389881</v>
      </c>
      <c r="BA59">
        <v>0</v>
      </c>
      <c r="BB59">
        <v>1.7235852111224479</v>
      </c>
      <c r="BC59">
        <v>1.7907789422483202</v>
      </c>
    </row>
    <row r="60" spans="1:55" x14ac:dyDescent="0.25">
      <c r="A60" s="14">
        <v>2014</v>
      </c>
      <c r="B60" s="14" t="s">
        <v>123</v>
      </c>
      <c r="C60" s="14" t="s">
        <v>124</v>
      </c>
      <c r="D60" s="14">
        <v>2</v>
      </c>
      <c r="E60" s="14">
        <v>2</v>
      </c>
      <c r="F60" s="14">
        <v>11</v>
      </c>
      <c r="G60" s="14">
        <v>1</v>
      </c>
      <c r="H60" s="14" t="s">
        <v>5</v>
      </c>
      <c r="I60" s="18">
        <v>46254</v>
      </c>
      <c r="J60" s="14" t="s">
        <v>126</v>
      </c>
      <c r="K60" s="21">
        <v>115</v>
      </c>
      <c r="L60" s="25"/>
      <c r="M60" s="21"/>
      <c r="N60" s="21"/>
      <c r="O60" s="24"/>
      <c r="P60" s="10">
        <v>-25.76</v>
      </c>
      <c r="Q60" s="10">
        <v>33.6</v>
      </c>
      <c r="R60" s="10">
        <v>109.8</v>
      </c>
      <c r="S60" s="16">
        <f t="shared" si="0"/>
        <v>3.8639999999999999</v>
      </c>
      <c r="T60" s="16">
        <f t="shared" si="1"/>
        <v>12.627000000000001</v>
      </c>
      <c r="AD60" s="3">
        <v>41856</v>
      </c>
      <c r="AE60" s="16">
        <v>467.25</v>
      </c>
      <c r="AF60">
        <v>203.75</v>
      </c>
      <c r="AG60">
        <v>235.5</v>
      </c>
      <c r="AI60">
        <v>28.5</v>
      </c>
      <c r="AN60" t="s">
        <v>143</v>
      </c>
      <c r="AO60">
        <f t="shared" si="2"/>
        <v>2014</v>
      </c>
      <c r="AP60" t="str">
        <f t="shared" si="3"/>
        <v>Sunstate</v>
      </c>
      <c r="AQ60" t="str">
        <f t="shared" si="4"/>
        <v>Gatton2014CvSunstate</v>
      </c>
      <c r="AV60" s="3">
        <v>41856</v>
      </c>
      <c r="AW60" s="16">
        <v>23.556669260883776</v>
      </c>
      <c r="AX60">
        <v>15.5</v>
      </c>
      <c r="AY60">
        <v>19.017535767461215</v>
      </c>
      <c r="BA60">
        <v>4.4347115652166904</v>
      </c>
    </row>
    <row r="61" spans="1:55" x14ac:dyDescent="0.25">
      <c r="A61" s="14">
        <v>2014</v>
      </c>
      <c r="B61" s="14" t="s">
        <v>123</v>
      </c>
      <c r="C61" s="14" t="s">
        <v>124</v>
      </c>
      <c r="D61" s="14">
        <v>2</v>
      </c>
      <c r="E61" s="14">
        <v>1</v>
      </c>
      <c r="F61" s="14">
        <v>12</v>
      </c>
      <c r="G61" s="14">
        <v>1</v>
      </c>
      <c r="H61" s="14" t="s">
        <v>4</v>
      </c>
      <c r="I61" s="18">
        <v>46256</v>
      </c>
      <c r="J61" s="14" t="s">
        <v>126</v>
      </c>
      <c r="K61" s="21">
        <v>107</v>
      </c>
      <c r="L61" s="25"/>
      <c r="M61" s="21"/>
      <c r="N61" s="21"/>
      <c r="O61" s="24"/>
      <c r="P61" s="10">
        <v>-25.19</v>
      </c>
      <c r="Q61" s="10">
        <v>31.3</v>
      </c>
      <c r="R61" s="10">
        <v>161.1</v>
      </c>
      <c r="S61" s="16">
        <f t="shared" si="0"/>
        <v>3.3491</v>
      </c>
      <c r="T61" s="16">
        <f t="shared" si="1"/>
        <v>17.2377</v>
      </c>
      <c r="AD61" s="3">
        <v>41871</v>
      </c>
      <c r="AE61" s="16">
        <v>641</v>
      </c>
      <c r="AF61">
        <v>359.25</v>
      </c>
      <c r="AG61">
        <v>214.25</v>
      </c>
      <c r="AH61">
        <v>27</v>
      </c>
      <c r="AI61">
        <v>40.5</v>
      </c>
      <c r="AJ61">
        <v>15.847750000000001</v>
      </c>
      <c r="AK61">
        <v>66.986699999999999</v>
      </c>
      <c r="AN61" t="s">
        <v>143</v>
      </c>
      <c r="AO61">
        <f t="shared" si="2"/>
        <v>2014</v>
      </c>
      <c r="AP61" t="str">
        <f t="shared" si="3"/>
        <v>Sunstate</v>
      </c>
      <c r="AQ61" t="str">
        <f t="shared" si="4"/>
        <v>Gatton2014CvSunstate</v>
      </c>
      <c r="AV61" s="3">
        <v>41871</v>
      </c>
      <c r="AW61" s="16">
        <v>70.814311171306798</v>
      </c>
      <c r="AX61">
        <v>49.92243984422236</v>
      </c>
      <c r="AY61">
        <v>20.1059692628831</v>
      </c>
      <c r="AZ61">
        <v>22.3308456325923</v>
      </c>
      <c r="BA61">
        <v>15.416441439796236</v>
      </c>
      <c r="BB61">
        <v>1.8737029104600893</v>
      </c>
      <c r="BC61">
        <v>3.938797855522298</v>
      </c>
    </row>
    <row r="62" spans="1:55" x14ac:dyDescent="0.25">
      <c r="A62" s="14">
        <v>2014</v>
      </c>
      <c r="B62" s="14" t="s">
        <v>123</v>
      </c>
      <c r="C62" s="14" t="s">
        <v>124</v>
      </c>
      <c r="D62" s="14">
        <v>3</v>
      </c>
      <c r="E62" s="14">
        <v>1</v>
      </c>
      <c r="F62" s="14">
        <v>13</v>
      </c>
      <c r="G62" s="14">
        <v>2</v>
      </c>
      <c r="H62" s="14" t="s">
        <v>8</v>
      </c>
      <c r="I62" s="18">
        <v>46256</v>
      </c>
      <c r="J62" s="14" t="s">
        <v>126</v>
      </c>
      <c r="K62" s="21">
        <v>101</v>
      </c>
      <c r="L62" s="25"/>
      <c r="M62" s="21"/>
      <c r="N62" s="21"/>
      <c r="O62" s="24"/>
      <c r="P62" s="10">
        <v>-25.42</v>
      </c>
      <c r="Q62" s="10">
        <v>30.8</v>
      </c>
      <c r="R62" s="10">
        <v>156.9</v>
      </c>
      <c r="S62" s="16">
        <f t="shared" si="0"/>
        <v>3.1108000000000002</v>
      </c>
      <c r="T62" s="16">
        <f t="shared" si="1"/>
        <v>15.846900000000002</v>
      </c>
      <c r="AD62" s="3">
        <v>41883</v>
      </c>
      <c r="AE62" s="16">
        <v>867.75</v>
      </c>
      <c r="AF62">
        <v>424.5</v>
      </c>
      <c r="AG62">
        <v>195.5</v>
      </c>
      <c r="AH62">
        <v>188</v>
      </c>
      <c r="AI62">
        <v>59.75</v>
      </c>
      <c r="AJ62">
        <v>17.070766666666668</v>
      </c>
      <c r="AK62">
        <v>87.461866666666666</v>
      </c>
      <c r="AN62" t="s">
        <v>143</v>
      </c>
      <c r="AO62">
        <f t="shared" si="2"/>
        <v>2014</v>
      </c>
      <c r="AP62" t="str">
        <f t="shared" si="3"/>
        <v>Sunstate</v>
      </c>
      <c r="AQ62" t="str">
        <f t="shared" si="4"/>
        <v>Gatton2014CvSunstate</v>
      </c>
      <c r="AV62" s="3">
        <v>41883</v>
      </c>
      <c r="AW62" s="16">
        <v>6.6520673478250352</v>
      </c>
      <c r="AX62">
        <v>7.5938571665963446</v>
      </c>
      <c r="AY62">
        <v>3.415650255319866</v>
      </c>
      <c r="AZ62">
        <v>4.9665548085837798</v>
      </c>
      <c r="BA62">
        <v>6.2383224240709669</v>
      </c>
      <c r="BB62">
        <v>1.0840141158367809</v>
      </c>
      <c r="BC62">
        <v>15.685723172787867</v>
      </c>
    </row>
    <row r="63" spans="1:55" x14ac:dyDescent="0.25">
      <c r="A63" s="14">
        <v>2014</v>
      </c>
      <c r="B63" s="14" t="s">
        <v>123</v>
      </c>
      <c r="C63" s="14" t="s">
        <v>124</v>
      </c>
      <c r="D63" s="14">
        <v>3</v>
      </c>
      <c r="E63" s="14">
        <v>2</v>
      </c>
      <c r="F63" s="14">
        <v>14</v>
      </c>
      <c r="G63" s="14">
        <v>2</v>
      </c>
      <c r="H63" s="14" t="s">
        <v>4</v>
      </c>
      <c r="I63" s="18">
        <v>46256</v>
      </c>
      <c r="J63" s="14" t="s">
        <v>126</v>
      </c>
      <c r="K63" s="21">
        <v>89</v>
      </c>
      <c r="L63" s="25"/>
      <c r="M63" s="21"/>
      <c r="N63" s="21"/>
      <c r="O63" s="24"/>
      <c r="P63" s="10">
        <v>-25.39</v>
      </c>
      <c r="Q63" s="10">
        <v>33.799999999999997</v>
      </c>
      <c r="R63" s="10">
        <v>143.80000000000001</v>
      </c>
      <c r="S63" s="16">
        <f t="shared" si="0"/>
        <v>3.0082</v>
      </c>
      <c r="T63" s="16">
        <f t="shared" si="1"/>
        <v>12.798200000000001</v>
      </c>
      <c r="AD63" s="3">
        <v>41940</v>
      </c>
      <c r="AE63" s="16">
        <v>1436</v>
      </c>
      <c r="AF63">
        <v>447.75</v>
      </c>
      <c r="AG63">
        <v>0</v>
      </c>
      <c r="AH63">
        <v>894</v>
      </c>
      <c r="AI63">
        <v>94</v>
      </c>
      <c r="AN63" t="s">
        <v>143</v>
      </c>
      <c r="AO63">
        <f t="shared" si="2"/>
        <v>2014</v>
      </c>
      <c r="AP63" t="str">
        <f t="shared" si="3"/>
        <v>Sunstate</v>
      </c>
      <c r="AQ63" t="str">
        <f t="shared" si="4"/>
        <v>Gatton2014CvSunstate</v>
      </c>
      <c r="AV63" s="3">
        <v>41940</v>
      </c>
      <c r="AW63" s="16">
        <v>57.602083295658673</v>
      </c>
      <c r="AX63">
        <v>69.705929924696264</v>
      </c>
      <c r="AY63">
        <v>0</v>
      </c>
      <c r="AZ63">
        <v>48.873987628048795</v>
      </c>
      <c r="BA63">
        <v>36.615115275889366</v>
      </c>
    </row>
    <row r="64" spans="1:55" x14ac:dyDescent="0.25">
      <c r="A64" s="14">
        <v>2014</v>
      </c>
      <c r="B64" s="14" t="s">
        <v>123</v>
      </c>
      <c r="C64" s="14" t="s">
        <v>124</v>
      </c>
      <c r="D64" s="14">
        <v>3</v>
      </c>
      <c r="E64" s="14">
        <v>3</v>
      </c>
      <c r="F64" s="14">
        <v>15</v>
      </c>
      <c r="G64" s="14">
        <v>2</v>
      </c>
      <c r="H64" s="14" t="s">
        <v>12</v>
      </c>
      <c r="I64" s="18">
        <v>46249</v>
      </c>
      <c r="J64" s="14" t="s">
        <v>126</v>
      </c>
      <c r="K64" s="21">
        <v>103</v>
      </c>
      <c r="L64" s="25"/>
      <c r="M64" s="21"/>
      <c r="N64" s="21"/>
      <c r="O64" s="24"/>
      <c r="P64" s="10">
        <v>-25.48</v>
      </c>
      <c r="Q64" s="10">
        <v>36</v>
      </c>
      <c r="R64" s="10">
        <v>119</v>
      </c>
      <c r="S64" s="16">
        <f t="shared" si="0"/>
        <v>3.7080000000000002</v>
      </c>
      <c r="T64" s="16">
        <f t="shared" si="1"/>
        <v>12.257</v>
      </c>
      <c r="AB64">
        <v>2015</v>
      </c>
      <c r="AC64" t="s">
        <v>13</v>
      </c>
      <c r="AD64" s="3">
        <v>42188</v>
      </c>
      <c r="AE64" s="16">
        <v>134.5</v>
      </c>
      <c r="AF64">
        <v>53</v>
      </c>
      <c r="AG64">
        <v>79.75</v>
      </c>
      <c r="AI64">
        <v>1.5</v>
      </c>
      <c r="AN64" t="s">
        <v>143</v>
      </c>
      <c r="AO64">
        <f t="shared" si="2"/>
        <v>2015</v>
      </c>
      <c r="AP64" t="str">
        <f t="shared" si="3"/>
        <v>29B</v>
      </c>
      <c r="AQ64" t="str">
        <f t="shared" si="4"/>
        <v>Gatton2015Cv29B</v>
      </c>
      <c r="AT64">
        <v>2015</v>
      </c>
      <c r="AU64" t="s">
        <v>13</v>
      </c>
      <c r="AV64" s="3">
        <v>42188</v>
      </c>
      <c r="AW64" s="16">
        <v>14.433756729740644</v>
      </c>
      <c r="AX64">
        <v>6.97614984548545</v>
      </c>
      <c r="AY64">
        <v>7.6321687612368736</v>
      </c>
      <c r="BA64">
        <v>1.2909944487358056</v>
      </c>
    </row>
    <row r="65" spans="1:53" x14ac:dyDescent="0.25">
      <c r="A65" s="14">
        <v>2014</v>
      </c>
      <c r="B65" s="14" t="s">
        <v>123</v>
      </c>
      <c r="C65" s="14" t="s">
        <v>124</v>
      </c>
      <c r="D65" s="14">
        <v>3</v>
      </c>
      <c r="E65" s="14">
        <v>4</v>
      </c>
      <c r="F65" s="14">
        <v>16</v>
      </c>
      <c r="G65" s="14">
        <v>2</v>
      </c>
      <c r="H65" s="14" t="s">
        <v>5</v>
      </c>
      <c r="I65" s="18">
        <v>46254</v>
      </c>
      <c r="J65" s="14" t="s">
        <v>126</v>
      </c>
      <c r="K65" s="21">
        <v>123</v>
      </c>
      <c r="L65" s="25"/>
      <c r="M65" s="21"/>
      <c r="N65" s="21"/>
      <c r="O65" s="24"/>
      <c r="P65" s="10">
        <v>-25.93</v>
      </c>
      <c r="Q65" s="10">
        <v>31.7</v>
      </c>
      <c r="R65" s="10">
        <v>107.9</v>
      </c>
      <c r="S65" s="16">
        <f t="shared" si="0"/>
        <v>3.8990999999999998</v>
      </c>
      <c r="T65" s="16">
        <f t="shared" si="1"/>
        <v>13.271700000000001</v>
      </c>
      <c r="AD65" s="3">
        <v>42194</v>
      </c>
      <c r="AE65" s="16">
        <v>182.75</v>
      </c>
      <c r="AF65">
        <v>82.75</v>
      </c>
      <c r="AG65">
        <v>98.5</v>
      </c>
      <c r="AI65">
        <v>1.25</v>
      </c>
      <c r="AN65" t="s">
        <v>143</v>
      </c>
      <c r="AO65">
        <f t="shared" si="2"/>
        <v>2015</v>
      </c>
      <c r="AP65" t="str">
        <f t="shared" si="3"/>
        <v>29B</v>
      </c>
      <c r="AQ65" t="str">
        <f t="shared" si="4"/>
        <v>Gatton2015Cv29B</v>
      </c>
      <c r="AV65" s="3">
        <v>42194</v>
      </c>
      <c r="AW65" s="16">
        <v>29.250356123188197</v>
      </c>
      <c r="AX65">
        <v>14.997221964972935</v>
      </c>
      <c r="AY65">
        <v>15.088627063675034</v>
      </c>
      <c r="BA65">
        <v>0.5</v>
      </c>
    </row>
    <row r="66" spans="1:53" x14ac:dyDescent="0.25">
      <c r="A66" s="14">
        <v>2014</v>
      </c>
      <c r="B66" s="14" t="s">
        <v>123</v>
      </c>
      <c r="C66" s="14" t="s">
        <v>124</v>
      </c>
      <c r="D66" s="14">
        <v>3</v>
      </c>
      <c r="E66" s="14">
        <v>5</v>
      </c>
      <c r="F66" s="14">
        <v>17</v>
      </c>
      <c r="G66" s="14">
        <v>2</v>
      </c>
      <c r="H66" s="14" t="s">
        <v>14</v>
      </c>
      <c r="I66" s="18">
        <v>46256</v>
      </c>
      <c r="J66" s="14" t="s">
        <v>126</v>
      </c>
      <c r="K66" s="21">
        <v>131</v>
      </c>
      <c r="L66" s="25"/>
      <c r="M66" s="21"/>
      <c r="N66" s="21"/>
      <c r="O66" s="24"/>
      <c r="P66" s="10">
        <v>-25.39</v>
      </c>
      <c r="Q66" s="10">
        <v>23</v>
      </c>
      <c r="R66" s="10">
        <v>158.5</v>
      </c>
      <c r="S66" s="16">
        <f t="shared" si="0"/>
        <v>3.0129999999999999</v>
      </c>
      <c r="T66" s="16">
        <f t="shared" si="1"/>
        <v>20.763500000000001</v>
      </c>
      <c r="AD66" s="3">
        <v>42201</v>
      </c>
      <c r="AE66" s="16">
        <v>228.75</v>
      </c>
      <c r="AF66">
        <v>118</v>
      </c>
      <c r="AG66">
        <v>105.5</v>
      </c>
      <c r="AI66">
        <v>5.75</v>
      </c>
      <c r="AN66" t="s">
        <v>143</v>
      </c>
      <c r="AO66">
        <f t="shared" si="2"/>
        <v>2015</v>
      </c>
      <c r="AP66" t="str">
        <f t="shared" si="3"/>
        <v>29B</v>
      </c>
      <c r="AQ66" t="str">
        <f t="shared" si="4"/>
        <v>Gatton2015Cv29B</v>
      </c>
      <c r="AV66" s="3">
        <v>42201</v>
      </c>
      <c r="AW66" s="16">
        <v>15.840349322747484</v>
      </c>
      <c r="AX66">
        <v>13.784048752090222</v>
      </c>
      <c r="AY66">
        <v>5.4467115461227307</v>
      </c>
      <c r="BA66">
        <v>1.5</v>
      </c>
    </row>
    <row r="67" spans="1:53" x14ac:dyDescent="0.25">
      <c r="A67" s="14">
        <v>2014</v>
      </c>
      <c r="B67" s="14" t="s">
        <v>123</v>
      </c>
      <c r="C67" s="14" t="s">
        <v>124</v>
      </c>
      <c r="D67" s="14">
        <v>3</v>
      </c>
      <c r="E67" s="14">
        <v>6</v>
      </c>
      <c r="F67" s="14">
        <v>18</v>
      </c>
      <c r="G67" s="14">
        <v>2</v>
      </c>
      <c r="H67" s="14" t="s">
        <v>7</v>
      </c>
      <c r="I67" s="18">
        <v>46254</v>
      </c>
      <c r="J67" s="14" t="s">
        <v>126</v>
      </c>
      <c r="K67" s="21">
        <v>119</v>
      </c>
      <c r="L67" s="25"/>
      <c r="M67" s="21"/>
      <c r="N67" s="21"/>
      <c r="O67" s="24"/>
      <c r="P67" s="10">
        <v>-25.82</v>
      </c>
      <c r="Q67" s="10">
        <v>30.3</v>
      </c>
      <c r="R67" s="10">
        <v>114.4</v>
      </c>
      <c r="S67" s="16">
        <f t="shared" ref="S67:S130" si="5">K67*Q67/1000</f>
        <v>3.6057000000000001</v>
      </c>
      <c r="T67" s="16">
        <f t="shared" ref="T67:T130" si="6">K67*R67/1000</f>
        <v>13.6136</v>
      </c>
      <c r="AD67" s="3">
        <v>42227</v>
      </c>
      <c r="AE67" s="16">
        <v>679</v>
      </c>
      <c r="AF67">
        <v>403.75</v>
      </c>
      <c r="AG67">
        <v>139.25</v>
      </c>
      <c r="AH67">
        <v>114.5</v>
      </c>
      <c r="AI67">
        <v>21.5</v>
      </c>
      <c r="AN67" t="s">
        <v>143</v>
      </c>
      <c r="AO67">
        <f t="shared" si="2"/>
        <v>2015</v>
      </c>
      <c r="AP67" t="str">
        <f t="shared" si="3"/>
        <v>29B</v>
      </c>
      <c r="AQ67" t="str">
        <f t="shared" si="4"/>
        <v>Gatton2015Cv29B</v>
      </c>
      <c r="AV67" s="3">
        <v>42227</v>
      </c>
      <c r="AW67" s="16">
        <v>73.72471317905098</v>
      </c>
      <c r="AX67">
        <v>42.350718215082651</v>
      </c>
      <c r="AY67">
        <v>18.463928798245153</v>
      </c>
      <c r="AZ67">
        <v>15.110702608857515</v>
      </c>
      <c r="BA67">
        <v>1.7320508075688772</v>
      </c>
    </row>
    <row r="68" spans="1:53" x14ac:dyDescent="0.25">
      <c r="A68" s="14">
        <v>2014</v>
      </c>
      <c r="B68" s="14" t="s">
        <v>123</v>
      </c>
      <c r="C68" s="14" t="s">
        <v>124</v>
      </c>
      <c r="D68" s="14">
        <v>4</v>
      </c>
      <c r="E68" s="14">
        <v>6</v>
      </c>
      <c r="F68" s="14">
        <v>19</v>
      </c>
      <c r="G68" s="14">
        <v>2</v>
      </c>
      <c r="H68" s="14" t="s">
        <v>6</v>
      </c>
      <c r="I68" s="18">
        <v>46254</v>
      </c>
      <c r="J68" s="14" t="s">
        <v>126</v>
      </c>
      <c r="K68" s="21">
        <v>79</v>
      </c>
      <c r="L68" s="25"/>
      <c r="M68" s="21"/>
      <c r="N68" s="21"/>
      <c r="O68" s="24"/>
      <c r="P68" s="10">
        <v>-25.98</v>
      </c>
      <c r="Q68" s="10">
        <v>35.1</v>
      </c>
      <c r="R68" s="10">
        <v>109.7</v>
      </c>
      <c r="S68" s="16">
        <f t="shared" si="5"/>
        <v>2.7728999999999999</v>
      </c>
      <c r="T68" s="16">
        <f t="shared" si="6"/>
        <v>8.6663000000000014</v>
      </c>
      <c r="AD68" s="3">
        <v>42284</v>
      </c>
      <c r="AE68" s="16">
        <v>1254.25</v>
      </c>
      <c r="AF68">
        <v>461.5</v>
      </c>
      <c r="AG68">
        <v>14.333333333333334</v>
      </c>
      <c r="AH68">
        <v>662.25</v>
      </c>
      <c r="AI68">
        <v>119.75</v>
      </c>
      <c r="AN68" t="s">
        <v>143</v>
      </c>
      <c r="AO68">
        <f t="shared" si="2"/>
        <v>2015</v>
      </c>
      <c r="AP68" t="str">
        <f t="shared" si="3"/>
        <v>29B</v>
      </c>
      <c r="AQ68" t="str">
        <f t="shared" si="4"/>
        <v>Gatton2015Cv29B</v>
      </c>
      <c r="AV68" s="3">
        <v>42284</v>
      </c>
      <c r="AW68" s="16">
        <v>285.91301124642791</v>
      </c>
      <c r="AX68">
        <v>112.37289115559263</v>
      </c>
      <c r="AY68">
        <v>6.1101009266077853</v>
      </c>
      <c r="AZ68">
        <v>133.06232875360828</v>
      </c>
      <c r="BA68">
        <v>44.783739608627293</v>
      </c>
    </row>
    <row r="69" spans="1:53" x14ac:dyDescent="0.25">
      <c r="A69" s="14">
        <v>2014</v>
      </c>
      <c r="B69" s="14" t="s">
        <v>123</v>
      </c>
      <c r="C69" s="14" t="s">
        <v>124</v>
      </c>
      <c r="D69" s="14">
        <v>4</v>
      </c>
      <c r="E69" s="14">
        <v>5</v>
      </c>
      <c r="F69" s="14">
        <v>20</v>
      </c>
      <c r="G69" s="14">
        <v>2</v>
      </c>
      <c r="H69" s="14" t="s">
        <v>3</v>
      </c>
      <c r="I69" s="18">
        <v>46254</v>
      </c>
      <c r="J69" s="14" t="s">
        <v>126</v>
      </c>
      <c r="K69" s="21">
        <v>131</v>
      </c>
      <c r="L69" s="25"/>
      <c r="M69" s="21"/>
      <c r="N69" s="21"/>
      <c r="O69" s="24"/>
      <c r="P69" s="10">
        <v>-25.99</v>
      </c>
      <c r="Q69" s="10">
        <v>34.4</v>
      </c>
      <c r="R69" s="10">
        <v>92</v>
      </c>
      <c r="S69" s="16">
        <f t="shared" si="5"/>
        <v>4.5063999999999993</v>
      </c>
      <c r="T69" s="16">
        <f t="shared" si="6"/>
        <v>12.052</v>
      </c>
      <c r="AC69" t="s">
        <v>14</v>
      </c>
      <c r="AD69" s="3">
        <v>42188</v>
      </c>
      <c r="AE69" s="16">
        <v>139.25</v>
      </c>
      <c r="AF69">
        <v>43.25</v>
      </c>
      <c r="AG69">
        <v>93.25</v>
      </c>
      <c r="AI69">
        <v>2.75</v>
      </c>
      <c r="AN69" t="s">
        <v>143</v>
      </c>
      <c r="AO69">
        <f t="shared" ref="AO69:AO132" si="7">IF(AB69&lt;&gt;"",AB69,AO68)</f>
        <v>2015</v>
      </c>
      <c r="AP69" t="str">
        <f t="shared" ref="AP69:AP132" si="8">IF(AC69&lt;&gt;"",AC69,AP68)</f>
        <v>5A</v>
      </c>
      <c r="AQ69" t="str">
        <f t="shared" ref="AQ69:AQ123" si="9">AN69&amp;AO69&amp;"Cv"&amp;AP69</f>
        <v>Gatton2015Cv5A</v>
      </c>
      <c r="AU69" t="s">
        <v>14</v>
      </c>
      <c r="AV69" s="3">
        <v>42188</v>
      </c>
      <c r="AW69" s="16">
        <v>5.3774219349672263</v>
      </c>
      <c r="AX69">
        <v>3.7749172176353749</v>
      </c>
      <c r="AY69">
        <v>3.8622100754188224</v>
      </c>
      <c r="BA69">
        <v>1.707825127659933</v>
      </c>
    </row>
    <row r="70" spans="1:53" x14ac:dyDescent="0.25">
      <c r="A70" s="14">
        <v>2014</v>
      </c>
      <c r="B70" s="14" t="s">
        <v>123</v>
      </c>
      <c r="C70" s="14" t="s">
        <v>124</v>
      </c>
      <c r="D70" s="14">
        <v>4</v>
      </c>
      <c r="E70" s="14">
        <v>4</v>
      </c>
      <c r="F70" s="14">
        <v>21</v>
      </c>
      <c r="G70" s="14">
        <v>2</v>
      </c>
      <c r="H70" s="14" t="s">
        <v>9</v>
      </c>
      <c r="I70" s="18">
        <v>46254</v>
      </c>
      <c r="J70" s="14" t="s">
        <v>126</v>
      </c>
      <c r="K70" s="21">
        <v>154</v>
      </c>
      <c r="L70" s="25"/>
      <c r="M70" s="21"/>
      <c r="N70" s="21"/>
      <c r="O70" s="24"/>
      <c r="P70" s="10">
        <v>-26.21</v>
      </c>
      <c r="Q70" s="10">
        <v>31</v>
      </c>
      <c r="R70" s="10">
        <v>90.8</v>
      </c>
      <c r="S70" s="16">
        <f t="shared" si="5"/>
        <v>4.774</v>
      </c>
      <c r="T70" s="16">
        <f t="shared" si="6"/>
        <v>13.983199999999998</v>
      </c>
      <c r="AD70" s="3">
        <v>42194</v>
      </c>
      <c r="AE70" s="16">
        <v>144.5</v>
      </c>
      <c r="AF70">
        <v>50</v>
      </c>
      <c r="AG70">
        <v>91.5</v>
      </c>
      <c r="AI70">
        <v>3</v>
      </c>
      <c r="AN70" t="s">
        <v>143</v>
      </c>
      <c r="AO70">
        <f t="shared" si="7"/>
        <v>2015</v>
      </c>
      <c r="AP70" t="str">
        <f t="shared" si="8"/>
        <v>5A</v>
      </c>
      <c r="AQ70" t="str">
        <f t="shared" si="9"/>
        <v>Gatton2015Cv5A</v>
      </c>
      <c r="AV70" s="3">
        <v>42194</v>
      </c>
      <c r="AW70" s="16">
        <v>20.273134932713294</v>
      </c>
      <c r="AX70">
        <v>8.1649658092772608</v>
      </c>
      <c r="AY70">
        <v>11.150485789118488</v>
      </c>
      <c r="BA70">
        <v>1.1547005383792515</v>
      </c>
    </row>
    <row r="71" spans="1:53" x14ac:dyDescent="0.25">
      <c r="A71" s="14">
        <v>2014</v>
      </c>
      <c r="B71" s="14" t="s">
        <v>123</v>
      </c>
      <c r="C71" s="14" t="s">
        <v>124</v>
      </c>
      <c r="D71" s="14">
        <v>4</v>
      </c>
      <c r="E71" s="14">
        <v>3</v>
      </c>
      <c r="F71" s="14">
        <v>22</v>
      </c>
      <c r="G71" s="14">
        <v>2</v>
      </c>
      <c r="H71" s="14" t="s">
        <v>2</v>
      </c>
      <c r="I71" s="18">
        <v>46256</v>
      </c>
      <c r="J71" s="14" t="s">
        <v>126</v>
      </c>
      <c r="K71" s="21">
        <v>228</v>
      </c>
      <c r="L71" s="25"/>
      <c r="M71" s="21"/>
      <c r="N71" s="21"/>
      <c r="O71" s="24"/>
      <c r="P71" s="10">
        <v>-25.25</v>
      </c>
      <c r="Q71" s="10">
        <v>27.5</v>
      </c>
      <c r="R71" s="10">
        <v>172.7</v>
      </c>
      <c r="S71" s="16">
        <f t="shared" si="5"/>
        <v>6.27</v>
      </c>
      <c r="T71" s="16">
        <f t="shared" si="6"/>
        <v>39.375599999999999</v>
      </c>
      <c r="AD71" s="3">
        <v>42213</v>
      </c>
      <c r="AE71" s="16">
        <v>393.75</v>
      </c>
      <c r="AF71">
        <v>207.5</v>
      </c>
      <c r="AG71">
        <v>158.5</v>
      </c>
      <c r="AI71">
        <v>28</v>
      </c>
      <c r="AN71" t="s">
        <v>143</v>
      </c>
      <c r="AO71">
        <f t="shared" si="7"/>
        <v>2015</v>
      </c>
      <c r="AP71" t="str">
        <f t="shared" si="8"/>
        <v>5A</v>
      </c>
      <c r="AQ71" t="str">
        <f t="shared" si="9"/>
        <v>Gatton2015Cv5A</v>
      </c>
      <c r="AV71" s="3">
        <v>42213</v>
      </c>
      <c r="AW71" s="16">
        <v>91.609224426364406</v>
      </c>
      <c r="AX71">
        <v>42.43819034784589</v>
      </c>
      <c r="AY71">
        <v>34.073450074801642</v>
      </c>
      <c r="BA71">
        <v>18.761663039293719</v>
      </c>
    </row>
    <row r="72" spans="1:53" x14ac:dyDescent="0.25">
      <c r="A72" s="14">
        <v>2014</v>
      </c>
      <c r="B72" s="14" t="s">
        <v>123</v>
      </c>
      <c r="C72" s="14" t="s">
        <v>124</v>
      </c>
      <c r="D72" s="14">
        <v>4</v>
      </c>
      <c r="E72" s="14">
        <v>2</v>
      </c>
      <c r="F72" s="14">
        <v>23</v>
      </c>
      <c r="G72" s="14">
        <v>2</v>
      </c>
      <c r="H72" s="14" t="s">
        <v>13</v>
      </c>
      <c r="I72" s="18">
        <v>46249</v>
      </c>
      <c r="J72" s="14" t="s">
        <v>126</v>
      </c>
      <c r="K72" s="21">
        <v>97</v>
      </c>
      <c r="L72" s="25"/>
      <c r="M72" s="21"/>
      <c r="N72" s="21"/>
      <c r="O72" s="24"/>
      <c r="P72" s="10">
        <v>-25.67</v>
      </c>
      <c r="Q72" s="10">
        <v>30.7</v>
      </c>
      <c r="R72" s="10">
        <v>116.4</v>
      </c>
      <c r="S72" s="16">
        <f t="shared" si="5"/>
        <v>2.9779</v>
      </c>
      <c r="T72" s="16">
        <f t="shared" si="6"/>
        <v>11.290800000000001</v>
      </c>
      <c r="AD72" s="3">
        <v>42241</v>
      </c>
      <c r="AE72" s="16">
        <v>760</v>
      </c>
      <c r="AF72">
        <v>405.75</v>
      </c>
      <c r="AG72">
        <v>145.75</v>
      </c>
      <c r="AH72">
        <v>151.5</v>
      </c>
      <c r="AI72">
        <v>56.75</v>
      </c>
      <c r="AN72" t="s">
        <v>143</v>
      </c>
      <c r="AO72">
        <f t="shared" si="7"/>
        <v>2015</v>
      </c>
      <c r="AP72" t="str">
        <f t="shared" si="8"/>
        <v>5A</v>
      </c>
      <c r="AQ72" t="str">
        <f t="shared" si="9"/>
        <v>Gatton2015Cv5A</v>
      </c>
      <c r="AV72" s="3">
        <v>42241</v>
      </c>
      <c r="AW72" s="16">
        <v>112.18140071628035</v>
      </c>
      <c r="AX72">
        <v>77.783352974785032</v>
      </c>
      <c r="AY72">
        <v>26.107150999933587</v>
      </c>
      <c r="AZ72">
        <v>13.527749258468683</v>
      </c>
      <c r="BA72">
        <v>11.146748404803978</v>
      </c>
    </row>
    <row r="73" spans="1:53" x14ac:dyDescent="0.25">
      <c r="A73" s="14">
        <v>2014</v>
      </c>
      <c r="B73" s="14" t="s">
        <v>123</v>
      </c>
      <c r="C73" s="14" t="s">
        <v>124</v>
      </c>
      <c r="D73" s="14">
        <v>4</v>
      </c>
      <c r="E73" s="14">
        <v>1</v>
      </c>
      <c r="F73" s="14">
        <v>24</v>
      </c>
      <c r="G73" s="14">
        <v>2</v>
      </c>
      <c r="H73" s="14" t="s">
        <v>10</v>
      </c>
      <c r="I73" s="18">
        <v>46254</v>
      </c>
      <c r="J73" s="14" t="s">
        <v>126</v>
      </c>
      <c r="K73" s="21">
        <v>128</v>
      </c>
      <c r="L73" s="25"/>
      <c r="M73" s="21"/>
      <c r="N73" s="21"/>
      <c r="O73" s="24"/>
      <c r="P73" s="10">
        <v>-26.12</v>
      </c>
      <c r="Q73" s="10">
        <v>30.5</v>
      </c>
      <c r="R73" s="10">
        <v>89.5</v>
      </c>
      <c r="S73" s="16">
        <f t="shared" si="5"/>
        <v>3.9039999999999999</v>
      </c>
      <c r="T73" s="16">
        <f t="shared" si="6"/>
        <v>11.456</v>
      </c>
      <c r="AD73" s="3">
        <v>42290</v>
      </c>
      <c r="AE73" s="16">
        <v>1309.75</v>
      </c>
      <c r="AF73">
        <v>391.75</v>
      </c>
      <c r="AH73">
        <v>773</v>
      </c>
      <c r="AI73">
        <v>144.75</v>
      </c>
      <c r="AN73" t="s">
        <v>143</v>
      </c>
      <c r="AO73">
        <f t="shared" si="7"/>
        <v>2015</v>
      </c>
      <c r="AP73" t="str">
        <f t="shared" si="8"/>
        <v>5A</v>
      </c>
      <c r="AQ73" t="str">
        <f t="shared" si="9"/>
        <v>Gatton2015Cv5A</v>
      </c>
      <c r="AV73" s="3">
        <v>42290</v>
      </c>
      <c r="AW73" s="16">
        <v>167.44227861166567</v>
      </c>
      <c r="AX73">
        <v>45.5878273226527</v>
      </c>
      <c r="AZ73">
        <v>79.728706666210684</v>
      </c>
      <c r="BA73">
        <v>48.078928163316341</v>
      </c>
    </row>
    <row r="74" spans="1:53" x14ac:dyDescent="0.25">
      <c r="A74" s="14">
        <v>2014</v>
      </c>
      <c r="B74" s="14" t="s">
        <v>123</v>
      </c>
      <c r="C74" s="14" t="s">
        <v>124</v>
      </c>
      <c r="D74" s="14">
        <v>5</v>
      </c>
      <c r="E74" s="14">
        <v>1</v>
      </c>
      <c r="F74" s="14">
        <v>25</v>
      </c>
      <c r="G74" s="14">
        <v>3</v>
      </c>
      <c r="H74" s="14" t="s">
        <v>9</v>
      </c>
      <c r="I74" s="18">
        <v>46254</v>
      </c>
      <c r="J74" s="14" t="s">
        <v>126</v>
      </c>
      <c r="K74" s="21">
        <v>158</v>
      </c>
      <c r="L74" s="25"/>
      <c r="M74" s="21"/>
      <c r="N74" s="21"/>
      <c r="O74" s="24"/>
      <c r="P74" s="10">
        <v>-25.94</v>
      </c>
      <c r="Q74" s="10">
        <v>28</v>
      </c>
      <c r="R74" s="10">
        <v>102</v>
      </c>
      <c r="S74" s="16">
        <f t="shared" si="5"/>
        <v>4.4240000000000004</v>
      </c>
      <c r="T74" s="16">
        <f t="shared" si="6"/>
        <v>16.116</v>
      </c>
      <c r="AC74" t="s">
        <v>12</v>
      </c>
      <c r="AD74" s="3">
        <v>42188</v>
      </c>
      <c r="AE74" s="16">
        <v>112.5</v>
      </c>
      <c r="AF74">
        <v>39.75</v>
      </c>
      <c r="AG74">
        <v>71.5</v>
      </c>
      <c r="AI74">
        <v>1</v>
      </c>
      <c r="AN74" t="s">
        <v>143</v>
      </c>
      <c r="AO74">
        <f t="shared" si="7"/>
        <v>2015</v>
      </c>
      <c r="AP74" t="str">
        <f t="shared" si="8"/>
        <v>60A</v>
      </c>
      <c r="AQ74" t="str">
        <f t="shared" si="9"/>
        <v>Gatton2015Cv60A</v>
      </c>
      <c r="AU74" t="s">
        <v>12</v>
      </c>
      <c r="AV74" s="3">
        <v>42188</v>
      </c>
      <c r="AW74" s="16">
        <v>25.225648323350054</v>
      </c>
      <c r="AX74">
        <v>9.742518497116988</v>
      </c>
      <c r="AY74">
        <v>15.286159317064135</v>
      </c>
      <c r="BA74">
        <v>0.81649658092772603</v>
      </c>
    </row>
    <row r="75" spans="1:53" x14ac:dyDescent="0.25">
      <c r="A75" s="14">
        <v>2014</v>
      </c>
      <c r="B75" s="14" t="s">
        <v>123</v>
      </c>
      <c r="C75" s="14" t="s">
        <v>124</v>
      </c>
      <c r="D75" s="14">
        <v>5</v>
      </c>
      <c r="E75" s="14">
        <v>2</v>
      </c>
      <c r="F75" s="14">
        <v>26</v>
      </c>
      <c r="G75" s="14">
        <v>3</v>
      </c>
      <c r="H75" s="14" t="s">
        <v>6</v>
      </c>
      <c r="I75" s="18">
        <v>46254</v>
      </c>
      <c r="J75" s="14" t="s">
        <v>126</v>
      </c>
      <c r="K75" s="21">
        <v>85</v>
      </c>
      <c r="L75" s="25"/>
      <c r="M75" s="21"/>
      <c r="N75" s="21"/>
      <c r="O75" s="24"/>
      <c r="P75" s="10">
        <v>-25.68</v>
      </c>
      <c r="Q75" s="10">
        <v>33.700000000000003</v>
      </c>
      <c r="R75" s="10">
        <v>118.9</v>
      </c>
      <c r="S75" s="16">
        <f t="shared" si="5"/>
        <v>2.8645000000000005</v>
      </c>
      <c r="T75" s="16">
        <f t="shared" si="6"/>
        <v>10.1065</v>
      </c>
      <c r="AD75" s="3">
        <v>42194</v>
      </c>
      <c r="AE75" s="16">
        <v>145.75</v>
      </c>
      <c r="AF75">
        <v>60.5</v>
      </c>
      <c r="AG75">
        <v>84.25</v>
      </c>
      <c r="AI75">
        <v>1</v>
      </c>
      <c r="AN75" t="s">
        <v>143</v>
      </c>
      <c r="AO75">
        <f t="shared" si="7"/>
        <v>2015</v>
      </c>
      <c r="AP75" t="str">
        <f t="shared" si="8"/>
        <v>60A</v>
      </c>
      <c r="AQ75" t="str">
        <f t="shared" si="9"/>
        <v>Gatton2015Cv60A</v>
      </c>
      <c r="AV75" s="3">
        <v>42194</v>
      </c>
      <c r="AW75" s="16">
        <v>21.792582836062977</v>
      </c>
      <c r="AX75">
        <v>11.387127235025815</v>
      </c>
      <c r="AY75">
        <v>10.531698185319719</v>
      </c>
      <c r="BA75">
        <v>0</v>
      </c>
    </row>
    <row r="76" spans="1:53" x14ac:dyDescent="0.25">
      <c r="A76" s="14">
        <v>2014</v>
      </c>
      <c r="B76" s="14" t="s">
        <v>123</v>
      </c>
      <c r="C76" s="14" t="s">
        <v>124</v>
      </c>
      <c r="D76" s="14">
        <v>5</v>
      </c>
      <c r="E76" s="14">
        <v>3</v>
      </c>
      <c r="F76" s="14">
        <v>27</v>
      </c>
      <c r="G76" s="14">
        <v>3</v>
      </c>
      <c r="H76" s="14" t="s">
        <v>2</v>
      </c>
      <c r="I76" s="18">
        <v>46256</v>
      </c>
      <c r="J76" s="14" t="s">
        <v>126</v>
      </c>
      <c r="K76" s="21">
        <v>216</v>
      </c>
      <c r="L76" s="25"/>
      <c r="M76" s="21"/>
      <c r="N76" s="21"/>
      <c r="O76" s="24"/>
      <c r="P76" s="10">
        <v>-25.24</v>
      </c>
      <c r="Q76" s="10">
        <v>27.9</v>
      </c>
      <c r="R76" s="10">
        <v>165.7</v>
      </c>
      <c r="S76" s="16">
        <f t="shared" si="5"/>
        <v>6.0263999999999998</v>
      </c>
      <c r="T76" s="16">
        <f t="shared" si="6"/>
        <v>35.791199999999996</v>
      </c>
      <c r="AD76" s="3">
        <v>42209</v>
      </c>
      <c r="AE76" s="16">
        <v>283</v>
      </c>
      <c r="AF76">
        <v>149</v>
      </c>
      <c r="AG76">
        <v>127</v>
      </c>
      <c r="AI76">
        <v>6.5</v>
      </c>
      <c r="AN76" t="s">
        <v>143</v>
      </c>
      <c r="AO76">
        <f t="shared" si="7"/>
        <v>2015</v>
      </c>
      <c r="AP76" t="str">
        <f t="shared" si="8"/>
        <v>60A</v>
      </c>
      <c r="AQ76" t="str">
        <f t="shared" si="9"/>
        <v>Gatton2015Cv60A</v>
      </c>
      <c r="AV76" s="3">
        <v>42209</v>
      </c>
      <c r="AW76" s="16">
        <v>42.996123856304379</v>
      </c>
      <c r="AX76">
        <v>25.166114784235834</v>
      </c>
      <c r="AY76">
        <v>19.235384061671343</v>
      </c>
      <c r="BA76">
        <v>1</v>
      </c>
    </row>
    <row r="77" spans="1:53" x14ac:dyDescent="0.25">
      <c r="A77" s="14">
        <v>2014</v>
      </c>
      <c r="B77" s="14" t="s">
        <v>123</v>
      </c>
      <c r="C77" s="14" t="s">
        <v>124</v>
      </c>
      <c r="D77" s="14">
        <v>5</v>
      </c>
      <c r="E77" s="14">
        <v>4</v>
      </c>
      <c r="F77" s="14">
        <v>28</v>
      </c>
      <c r="G77" s="14">
        <v>3</v>
      </c>
      <c r="H77" s="14" t="s">
        <v>14</v>
      </c>
      <c r="I77" s="18">
        <v>46256</v>
      </c>
      <c r="J77" s="14" t="s">
        <v>126</v>
      </c>
      <c r="K77" s="21">
        <v>165</v>
      </c>
      <c r="L77" s="25"/>
      <c r="M77" s="21"/>
      <c r="N77" s="21"/>
      <c r="O77" s="24"/>
      <c r="P77" s="10">
        <v>-25.69</v>
      </c>
      <c r="Q77" s="10">
        <v>26</v>
      </c>
      <c r="R77" s="10">
        <v>135.19999999999999</v>
      </c>
      <c r="S77" s="16">
        <f t="shared" si="5"/>
        <v>4.29</v>
      </c>
      <c r="T77" s="16">
        <f t="shared" si="6"/>
        <v>22.307999999999996</v>
      </c>
      <c r="AD77" s="3">
        <v>42241</v>
      </c>
      <c r="AE77" s="16">
        <v>831.5</v>
      </c>
      <c r="AF77">
        <v>466.75</v>
      </c>
      <c r="AG77">
        <v>151.25</v>
      </c>
      <c r="AH77">
        <v>172.75</v>
      </c>
      <c r="AI77">
        <v>40.75</v>
      </c>
      <c r="AN77" t="s">
        <v>143</v>
      </c>
      <c r="AO77">
        <f t="shared" si="7"/>
        <v>2015</v>
      </c>
      <c r="AP77" t="str">
        <f t="shared" si="8"/>
        <v>60A</v>
      </c>
      <c r="AQ77" t="str">
        <f t="shared" si="9"/>
        <v>Gatton2015Cv60A</v>
      </c>
      <c r="AV77" s="3">
        <v>42241</v>
      </c>
      <c r="AW77" s="16">
        <v>23.302360395462088</v>
      </c>
      <c r="AX77">
        <v>11.644025649805712</v>
      </c>
      <c r="AY77">
        <v>17.969882210706523</v>
      </c>
      <c r="AZ77">
        <v>11.926860441876563</v>
      </c>
      <c r="BA77">
        <v>10.935416468216166</v>
      </c>
    </row>
    <row r="78" spans="1:53" x14ac:dyDescent="0.25">
      <c r="A78" s="14">
        <v>2014</v>
      </c>
      <c r="B78" s="14" t="s">
        <v>123</v>
      </c>
      <c r="C78" s="14" t="s">
        <v>124</v>
      </c>
      <c r="D78" s="14">
        <v>5</v>
      </c>
      <c r="E78" s="14">
        <v>5</v>
      </c>
      <c r="F78" s="14">
        <v>29</v>
      </c>
      <c r="G78" s="14">
        <v>3</v>
      </c>
      <c r="H78" s="14" t="s">
        <v>8</v>
      </c>
      <c r="I78" s="18">
        <v>46256</v>
      </c>
      <c r="J78" s="14" t="s">
        <v>126</v>
      </c>
      <c r="K78" s="21">
        <v>148</v>
      </c>
      <c r="L78" s="25"/>
      <c r="M78" s="21"/>
      <c r="N78" s="21"/>
      <c r="O78" s="24"/>
      <c r="P78" s="10">
        <v>-24.98</v>
      </c>
      <c r="Q78" s="10">
        <v>24.1</v>
      </c>
      <c r="R78" s="10">
        <v>201.2</v>
      </c>
      <c r="S78" s="16">
        <f t="shared" si="5"/>
        <v>3.5668000000000002</v>
      </c>
      <c r="T78" s="16">
        <f t="shared" si="6"/>
        <v>29.7776</v>
      </c>
      <c r="AD78" s="3">
        <v>42290</v>
      </c>
      <c r="AE78" s="16">
        <v>1225</v>
      </c>
      <c r="AF78">
        <v>402</v>
      </c>
      <c r="AH78">
        <v>687.5</v>
      </c>
      <c r="AI78">
        <v>135.5</v>
      </c>
      <c r="AN78" t="s">
        <v>143</v>
      </c>
      <c r="AO78">
        <f t="shared" si="7"/>
        <v>2015</v>
      </c>
      <c r="AP78" t="str">
        <f t="shared" si="8"/>
        <v>60A</v>
      </c>
      <c r="AQ78" t="str">
        <f t="shared" si="9"/>
        <v>Gatton2015Cv60A</v>
      </c>
      <c r="AV78" s="3">
        <v>42290</v>
      </c>
      <c r="AW78" s="16">
        <v>151.84641363342544</v>
      </c>
      <c r="AX78">
        <v>56.750917760567241</v>
      </c>
      <c r="AZ78">
        <v>80.954719854167038</v>
      </c>
      <c r="BA78">
        <v>19.364916731037084</v>
      </c>
    </row>
    <row r="79" spans="1:53" x14ac:dyDescent="0.25">
      <c r="A79" s="14">
        <v>2014</v>
      </c>
      <c r="B79" s="14" t="s">
        <v>123</v>
      </c>
      <c r="C79" s="14" t="s">
        <v>124</v>
      </c>
      <c r="D79" s="14">
        <v>5</v>
      </c>
      <c r="E79" s="14">
        <v>6</v>
      </c>
      <c r="F79" s="14">
        <v>30</v>
      </c>
      <c r="G79" s="14">
        <v>3</v>
      </c>
      <c r="H79" s="14" t="s">
        <v>12</v>
      </c>
      <c r="I79" s="18">
        <v>46249</v>
      </c>
      <c r="J79" s="14" t="s">
        <v>126</v>
      </c>
      <c r="K79" s="21">
        <v>92</v>
      </c>
      <c r="L79" s="25"/>
      <c r="M79" s="21"/>
      <c r="N79" s="21"/>
      <c r="O79" s="24"/>
      <c r="P79" s="10">
        <v>-25.47</v>
      </c>
      <c r="Q79" s="10">
        <v>37.4</v>
      </c>
      <c r="R79" s="10">
        <v>118</v>
      </c>
      <c r="S79" s="16">
        <f t="shared" si="5"/>
        <v>3.4407999999999999</v>
      </c>
      <c r="T79" s="16">
        <f t="shared" si="6"/>
        <v>10.856</v>
      </c>
      <c r="AC79" t="s">
        <v>10</v>
      </c>
      <c r="AD79" s="3">
        <v>42188</v>
      </c>
      <c r="AE79" s="16">
        <v>121.25</v>
      </c>
      <c r="AF79">
        <v>36</v>
      </c>
      <c r="AG79">
        <v>84</v>
      </c>
      <c r="AI79">
        <v>1.25</v>
      </c>
      <c r="AN79" t="s">
        <v>143</v>
      </c>
      <c r="AO79">
        <f t="shared" si="7"/>
        <v>2015</v>
      </c>
      <c r="AP79" t="str">
        <f t="shared" si="8"/>
        <v>Corack</v>
      </c>
      <c r="AQ79" t="str">
        <f t="shared" si="9"/>
        <v>Gatton2015CvCorack</v>
      </c>
      <c r="AU79" t="s">
        <v>10</v>
      </c>
      <c r="AV79" s="3">
        <v>42188</v>
      </c>
      <c r="AW79" s="16">
        <v>31.052375110448477</v>
      </c>
      <c r="AX79">
        <v>9.6609178307929593</v>
      </c>
      <c r="AY79">
        <v>21.602468994692867</v>
      </c>
      <c r="BA79">
        <v>0.5</v>
      </c>
    </row>
    <row r="80" spans="1:53" x14ac:dyDescent="0.25">
      <c r="A80" s="14">
        <v>2014</v>
      </c>
      <c r="B80" s="14" t="s">
        <v>123</v>
      </c>
      <c r="C80" s="14" t="s">
        <v>124</v>
      </c>
      <c r="D80" s="14">
        <v>6</v>
      </c>
      <c r="E80" s="14">
        <v>6</v>
      </c>
      <c r="F80" s="14">
        <v>31</v>
      </c>
      <c r="G80" s="14">
        <v>3</v>
      </c>
      <c r="H80" s="14" t="s">
        <v>5</v>
      </c>
      <c r="I80" s="18">
        <v>46254</v>
      </c>
      <c r="J80" s="14" t="s">
        <v>126</v>
      </c>
      <c r="K80" s="21">
        <v>105</v>
      </c>
      <c r="L80" s="25"/>
      <c r="M80" s="21"/>
      <c r="N80" s="21"/>
      <c r="O80" s="24"/>
      <c r="P80" s="10">
        <v>-25.9</v>
      </c>
      <c r="Q80" s="10">
        <v>29.7</v>
      </c>
      <c r="R80" s="10">
        <v>111.8</v>
      </c>
      <c r="S80" s="16">
        <f t="shared" si="5"/>
        <v>3.1185</v>
      </c>
      <c r="T80" s="16">
        <f t="shared" si="6"/>
        <v>11.739000000000001</v>
      </c>
      <c r="AD80" s="3">
        <v>42194</v>
      </c>
      <c r="AE80" s="16">
        <v>158.75</v>
      </c>
      <c r="AF80">
        <v>58.75</v>
      </c>
      <c r="AG80">
        <v>98.25</v>
      </c>
      <c r="AI80">
        <v>1.25</v>
      </c>
      <c r="AN80" t="s">
        <v>143</v>
      </c>
      <c r="AO80">
        <f t="shared" si="7"/>
        <v>2015</v>
      </c>
      <c r="AP80" t="str">
        <f t="shared" si="8"/>
        <v>Corack</v>
      </c>
      <c r="AQ80" t="str">
        <f t="shared" si="9"/>
        <v>Gatton2015CvCorack</v>
      </c>
      <c r="AV80" s="3">
        <v>42194</v>
      </c>
      <c r="AW80" s="16">
        <v>25.13132175858113</v>
      </c>
      <c r="AX80">
        <v>10.965856099730654</v>
      </c>
      <c r="AY80">
        <v>15.085865349171501</v>
      </c>
      <c r="BA80">
        <v>0.5</v>
      </c>
    </row>
    <row r="81" spans="1:53" x14ac:dyDescent="0.25">
      <c r="A81" s="14">
        <v>2014</v>
      </c>
      <c r="B81" s="14" t="s">
        <v>123</v>
      </c>
      <c r="C81" s="14" t="s">
        <v>124</v>
      </c>
      <c r="D81" s="14">
        <v>6</v>
      </c>
      <c r="E81" s="14">
        <v>5</v>
      </c>
      <c r="F81" s="14">
        <v>32</v>
      </c>
      <c r="G81" s="14">
        <v>3</v>
      </c>
      <c r="H81" s="14" t="s">
        <v>7</v>
      </c>
      <c r="I81" s="18">
        <v>46256</v>
      </c>
      <c r="J81" s="14" t="s">
        <v>126</v>
      </c>
      <c r="K81" s="21">
        <v>106</v>
      </c>
      <c r="L81" s="25"/>
      <c r="M81" s="21"/>
      <c r="N81" s="21"/>
      <c r="O81" s="24"/>
      <c r="P81" s="10">
        <v>-25.97</v>
      </c>
      <c r="Q81" s="10">
        <v>31</v>
      </c>
      <c r="R81" s="10">
        <v>106.7</v>
      </c>
      <c r="S81" s="16">
        <f t="shared" si="5"/>
        <v>3.286</v>
      </c>
      <c r="T81" s="16">
        <f t="shared" si="6"/>
        <v>11.3102</v>
      </c>
      <c r="AD81" s="3">
        <v>42209</v>
      </c>
      <c r="AE81" s="16">
        <v>310.5</v>
      </c>
      <c r="AF81">
        <v>161</v>
      </c>
      <c r="AG81">
        <v>143.5</v>
      </c>
      <c r="AI81">
        <v>6</v>
      </c>
      <c r="AN81" t="s">
        <v>143</v>
      </c>
      <c r="AO81">
        <f t="shared" si="7"/>
        <v>2015</v>
      </c>
      <c r="AP81" t="str">
        <f t="shared" si="8"/>
        <v>Corack</v>
      </c>
      <c r="AQ81" t="str">
        <f t="shared" si="9"/>
        <v>Gatton2015CvCorack</v>
      </c>
      <c r="AV81" s="3">
        <v>42209</v>
      </c>
      <c r="AW81" s="16">
        <v>17.8232058470598</v>
      </c>
      <c r="AX81">
        <v>11.16542281629615</v>
      </c>
      <c r="AY81">
        <v>14.753530650887152</v>
      </c>
      <c r="BA81">
        <v>2.70801280154532</v>
      </c>
    </row>
    <row r="82" spans="1:53" x14ac:dyDescent="0.25">
      <c r="A82" s="14">
        <v>2014</v>
      </c>
      <c r="B82" s="14" t="s">
        <v>123</v>
      </c>
      <c r="C82" s="14" t="s">
        <v>124</v>
      </c>
      <c r="D82" s="14">
        <v>6</v>
      </c>
      <c r="E82" s="14">
        <v>4</v>
      </c>
      <c r="F82" s="14">
        <v>33</v>
      </c>
      <c r="G82" s="14">
        <v>3</v>
      </c>
      <c r="H82" s="14" t="s">
        <v>13</v>
      </c>
      <c r="I82" s="18">
        <v>46249</v>
      </c>
      <c r="J82" s="14" t="s">
        <v>126</v>
      </c>
      <c r="K82" s="21">
        <v>105</v>
      </c>
      <c r="L82" s="25"/>
      <c r="M82" s="21"/>
      <c r="N82" s="21"/>
      <c r="O82" s="24"/>
      <c r="P82" s="10">
        <v>-25.72</v>
      </c>
      <c r="Q82" s="10">
        <v>31.9</v>
      </c>
      <c r="R82" s="10">
        <v>104.5</v>
      </c>
      <c r="S82" s="16">
        <f t="shared" si="5"/>
        <v>3.3494999999999999</v>
      </c>
      <c r="T82" s="16">
        <f t="shared" si="6"/>
        <v>10.9725</v>
      </c>
      <c r="AD82" s="3">
        <v>42234</v>
      </c>
      <c r="AE82" s="16">
        <v>817.75</v>
      </c>
      <c r="AF82">
        <v>424.25</v>
      </c>
      <c r="AG82">
        <v>160.75</v>
      </c>
      <c r="AH82">
        <v>189.5</v>
      </c>
      <c r="AI82">
        <v>43.25</v>
      </c>
      <c r="AN82" t="s">
        <v>143</v>
      </c>
      <c r="AO82">
        <f t="shared" si="7"/>
        <v>2015</v>
      </c>
      <c r="AP82" t="str">
        <f t="shared" si="8"/>
        <v>Corack</v>
      </c>
      <c r="AQ82" t="str">
        <f t="shared" si="9"/>
        <v>Gatton2015CvCorack</v>
      </c>
      <c r="AV82" s="3">
        <v>42234</v>
      </c>
      <c r="AW82" s="16">
        <v>66.062470435187336</v>
      </c>
      <c r="AX82">
        <v>54.658790082962263</v>
      </c>
      <c r="AY82">
        <v>17.442763542512409</v>
      </c>
      <c r="AZ82">
        <v>17.464249196572979</v>
      </c>
      <c r="BA82">
        <v>8.421203397773187</v>
      </c>
    </row>
    <row r="83" spans="1:53" x14ac:dyDescent="0.25">
      <c r="A83" s="14">
        <v>2014</v>
      </c>
      <c r="B83" s="14" t="s">
        <v>123</v>
      </c>
      <c r="C83" s="14" t="s">
        <v>124</v>
      </c>
      <c r="D83" s="14">
        <v>6</v>
      </c>
      <c r="E83" s="14">
        <v>3</v>
      </c>
      <c r="F83" s="14">
        <v>34</v>
      </c>
      <c r="G83" s="14">
        <v>3</v>
      </c>
      <c r="H83" s="14" t="s">
        <v>4</v>
      </c>
      <c r="I83" s="18">
        <v>46256</v>
      </c>
      <c r="J83" s="14" t="s">
        <v>126</v>
      </c>
      <c r="K83" s="21">
        <v>67</v>
      </c>
      <c r="L83" s="25"/>
      <c r="M83" s="21"/>
      <c r="N83" s="21"/>
      <c r="O83" s="24"/>
      <c r="P83" s="10">
        <v>-25.3</v>
      </c>
      <c r="Q83" s="10">
        <v>36.799999999999997</v>
      </c>
      <c r="R83" s="10">
        <v>139</v>
      </c>
      <c r="S83" s="16">
        <f t="shared" si="5"/>
        <v>2.4655999999999998</v>
      </c>
      <c r="T83" s="16">
        <f t="shared" si="6"/>
        <v>9.3130000000000006</v>
      </c>
      <c r="AD83" s="3">
        <v>42290</v>
      </c>
      <c r="AE83" s="16">
        <v>1241.5</v>
      </c>
      <c r="AF83">
        <v>315.5</v>
      </c>
      <c r="AH83">
        <v>774.25</v>
      </c>
      <c r="AI83">
        <v>151.75</v>
      </c>
      <c r="AN83" t="s">
        <v>143</v>
      </c>
      <c r="AO83">
        <f t="shared" si="7"/>
        <v>2015</v>
      </c>
      <c r="AP83" t="str">
        <f t="shared" si="8"/>
        <v>Corack</v>
      </c>
      <c r="AQ83" t="str">
        <f t="shared" si="9"/>
        <v>Gatton2015CvCorack</v>
      </c>
      <c r="AV83" s="3">
        <v>42290</v>
      </c>
      <c r="AW83" s="16">
        <v>63.929648833698437</v>
      </c>
      <c r="AX83">
        <v>9.9498743710661994</v>
      </c>
      <c r="AZ83">
        <v>39.271490931717885</v>
      </c>
      <c r="BA83">
        <v>25.773047937719745</v>
      </c>
    </row>
    <row r="84" spans="1:53" x14ac:dyDescent="0.25">
      <c r="A84" s="14">
        <v>2014</v>
      </c>
      <c r="B84" s="14" t="s">
        <v>123</v>
      </c>
      <c r="C84" s="14" t="s">
        <v>124</v>
      </c>
      <c r="D84" s="14">
        <v>6</v>
      </c>
      <c r="E84" s="14">
        <v>2</v>
      </c>
      <c r="F84" s="14">
        <v>35</v>
      </c>
      <c r="G84" s="14">
        <v>3</v>
      </c>
      <c r="H84" s="14" t="s">
        <v>10</v>
      </c>
      <c r="I84" s="18">
        <v>46254</v>
      </c>
      <c r="J84" s="14" t="s">
        <v>126</v>
      </c>
      <c r="K84" s="21">
        <v>114</v>
      </c>
      <c r="L84" s="25"/>
      <c r="M84" s="21"/>
      <c r="N84" s="21"/>
      <c r="O84" s="24"/>
      <c r="P84" s="10">
        <v>-25.55</v>
      </c>
      <c r="Q84" s="10">
        <v>23.4</v>
      </c>
      <c r="R84" s="10">
        <v>160</v>
      </c>
      <c r="S84" s="16">
        <f t="shared" si="5"/>
        <v>2.6675999999999997</v>
      </c>
      <c r="T84" s="16">
        <f t="shared" si="6"/>
        <v>18.239999999999998</v>
      </c>
      <c r="AC84" t="s">
        <v>8</v>
      </c>
      <c r="AD84" s="3">
        <v>42188</v>
      </c>
      <c r="AE84" s="16">
        <v>145.5</v>
      </c>
      <c r="AF84">
        <v>49.75</v>
      </c>
      <c r="AG84">
        <v>94.25</v>
      </c>
      <c r="AI84">
        <v>0.75</v>
      </c>
      <c r="AN84" t="s">
        <v>143</v>
      </c>
      <c r="AO84">
        <f t="shared" si="7"/>
        <v>2015</v>
      </c>
      <c r="AP84" t="str">
        <f t="shared" si="8"/>
        <v>Espada</v>
      </c>
      <c r="AQ84" t="str">
        <f t="shared" si="9"/>
        <v>Gatton2015CvEspada</v>
      </c>
      <c r="AU84" t="s">
        <v>8</v>
      </c>
      <c r="AV84" s="3">
        <v>42188</v>
      </c>
      <c r="AW84" s="16">
        <v>33.191364338735262</v>
      </c>
      <c r="AX84">
        <v>10.5</v>
      </c>
      <c r="AY84">
        <v>22.081289213570237</v>
      </c>
      <c r="BA84">
        <v>0.9574271077563381</v>
      </c>
    </row>
    <row r="85" spans="1:53" x14ac:dyDescent="0.25">
      <c r="A85" s="14">
        <v>2014</v>
      </c>
      <c r="B85" s="14" t="s">
        <v>123</v>
      </c>
      <c r="C85" s="14" t="s">
        <v>124</v>
      </c>
      <c r="D85" s="14">
        <v>6</v>
      </c>
      <c r="E85" s="14">
        <v>1</v>
      </c>
      <c r="F85" s="14">
        <v>36</v>
      </c>
      <c r="G85" s="14">
        <v>3</v>
      </c>
      <c r="H85" s="14" t="s">
        <v>3</v>
      </c>
      <c r="I85" s="18">
        <v>46254</v>
      </c>
      <c r="J85" s="14" t="s">
        <v>126</v>
      </c>
      <c r="K85" s="21">
        <v>78</v>
      </c>
      <c r="L85" s="25"/>
      <c r="M85" s="21"/>
      <c r="N85" s="21"/>
      <c r="O85" s="24"/>
      <c r="P85" s="10">
        <v>-26.14</v>
      </c>
      <c r="Q85" s="10">
        <v>32</v>
      </c>
      <c r="R85" s="10">
        <v>87</v>
      </c>
      <c r="S85" s="16">
        <f t="shared" si="5"/>
        <v>2.496</v>
      </c>
      <c r="T85" s="16">
        <f t="shared" si="6"/>
        <v>6.7859999999999996</v>
      </c>
      <c r="AD85" s="3">
        <v>42194</v>
      </c>
      <c r="AE85" s="16">
        <v>193.25</v>
      </c>
      <c r="AF85">
        <v>73</v>
      </c>
      <c r="AG85">
        <v>118.75</v>
      </c>
      <c r="AI85">
        <v>1.25</v>
      </c>
      <c r="AN85" t="s">
        <v>143</v>
      </c>
      <c r="AO85">
        <f t="shared" si="7"/>
        <v>2015</v>
      </c>
      <c r="AP85" t="str">
        <f t="shared" si="8"/>
        <v>Espada</v>
      </c>
      <c r="AQ85" t="str">
        <f t="shared" si="9"/>
        <v>Gatton2015CvEspada</v>
      </c>
      <c r="AV85" s="3">
        <v>42194</v>
      </c>
      <c r="AW85" s="16">
        <v>24.998333277774073</v>
      </c>
      <c r="AX85">
        <v>9.8994949366116654</v>
      </c>
      <c r="AY85">
        <v>14.997221964972935</v>
      </c>
      <c r="BA85">
        <v>0.5</v>
      </c>
    </row>
    <row r="86" spans="1:53" x14ac:dyDescent="0.25">
      <c r="A86" s="14">
        <v>2014</v>
      </c>
      <c r="B86" s="14" t="s">
        <v>123</v>
      </c>
      <c r="C86" s="14" t="s">
        <v>124</v>
      </c>
      <c r="D86" s="14">
        <v>7</v>
      </c>
      <c r="E86" s="14">
        <v>1</v>
      </c>
      <c r="F86" s="14">
        <v>37</v>
      </c>
      <c r="G86" s="14">
        <v>4</v>
      </c>
      <c r="H86" s="14" t="s">
        <v>13</v>
      </c>
      <c r="I86" s="18">
        <v>46249</v>
      </c>
      <c r="J86" s="14" t="s">
        <v>126</v>
      </c>
      <c r="K86" s="21">
        <v>71</v>
      </c>
      <c r="L86" s="25"/>
      <c r="M86" s="21"/>
      <c r="N86" s="21"/>
      <c r="O86" s="24"/>
      <c r="P86" s="10">
        <v>-25.74</v>
      </c>
      <c r="Q86" s="10">
        <v>33.799999999999997</v>
      </c>
      <c r="R86" s="10">
        <v>103.1</v>
      </c>
      <c r="S86" s="16">
        <f t="shared" si="5"/>
        <v>2.3997999999999999</v>
      </c>
      <c r="T86" s="16">
        <f t="shared" si="6"/>
        <v>7.3200999999999992</v>
      </c>
      <c r="AD86" s="3">
        <v>42213</v>
      </c>
      <c r="AE86" s="16">
        <v>399.25</v>
      </c>
      <c r="AF86">
        <v>205.5</v>
      </c>
      <c r="AG86">
        <v>186.75</v>
      </c>
      <c r="AI86">
        <v>7</v>
      </c>
      <c r="AN86" t="s">
        <v>143</v>
      </c>
      <c r="AO86">
        <f t="shared" si="7"/>
        <v>2015</v>
      </c>
      <c r="AP86" t="str">
        <f t="shared" si="8"/>
        <v>Espada</v>
      </c>
      <c r="AQ86" t="str">
        <f t="shared" si="9"/>
        <v>Gatton2015CvEspada</v>
      </c>
      <c r="AV86" s="3">
        <v>42213</v>
      </c>
      <c r="AW86" s="16">
        <v>50.400892849234324</v>
      </c>
      <c r="AX86">
        <v>25.409971795865232</v>
      </c>
      <c r="AY86">
        <v>38.595120589698034</v>
      </c>
      <c r="BA86">
        <v>2.1602468994692869</v>
      </c>
    </row>
    <row r="87" spans="1:53" x14ac:dyDescent="0.25">
      <c r="A87" s="14">
        <v>2014</v>
      </c>
      <c r="B87" s="14" t="s">
        <v>123</v>
      </c>
      <c r="C87" s="14" t="s">
        <v>124</v>
      </c>
      <c r="D87" s="14">
        <v>7</v>
      </c>
      <c r="E87" s="14">
        <v>2</v>
      </c>
      <c r="F87" s="14">
        <v>38</v>
      </c>
      <c r="G87" s="14">
        <v>4</v>
      </c>
      <c r="H87" s="14" t="s">
        <v>5</v>
      </c>
      <c r="I87" s="18">
        <v>46254</v>
      </c>
      <c r="J87" s="14" t="s">
        <v>126</v>
      </c>
      <c r="K87" s="21">
        <v>112</v>
      </c>
      <c r="L87" s="25"/>
      <c r="M87" s="21"/>
      <c r="N87" s="21"/>
      <c r="O87" s="24"/>
      <c r="P87" s="10">
        <v>-25.43</v>
      </c>
      <c r="Q87" s="10">
        <v>26.9</v>
      </c>
      <c r="R87" s="10">
        <v>149.19999999999999</v>
      </c>
      <c r="S87" s="16">
        <f t="shared" si="5"/>
        <v>3.0127999999999999</v>
      </c>
      <c r="T87" s="16">
        <f t="shared" si="6"/>
        <v>16.710399999999996</v>
      </c>
      <c r="AD87" s="3">
        <v>42241</v>
      </c>
      <c r="AE87" s="16">
        <v>858.25</v>
      </c>
      <c r="AF87">
        <v>461</v>
      </c>
      <c r="AG87">
        <v>172</v>
      </c>
      <c r="AH87">
        <v>165.75</v>
      </c>
      <c r="AI87">
        <v>59.25</v>
      </c>
      <c r="AN87" t="s">
        <v>143</v>
      </c>
      <c r="AO87">
        <f t="shared" si="7"/>
        <v>2015</v>
      </c>
      <c r="AP87" t="str">
        <f t="shared" si="8"/>
        <v>Espada</v>
      </c>
      <c r="AQ87" t="str">
        <f t="shared" si="9"/>
        <v>Gatton2015CvEspada</v>
      </c>
      <c r="AV87" s="3">
        <v>42241</v>
      </c>
      <c r="AW87" s="16">
        <v>46.571629418205525</v>
      </c>
      <c r="AX87">
        <v>26.394443859772206</v>
      </c>
      <c r="AY87">
        <v>39.072582032246942</v>
      </c>
      <c r="AZ87">
        <v>8.05708797684788</v>
      </c>
      <c r="BA87">
        <v>12.284814474246922</v>
      </c>
    </row>
    <row r="88" spans="1:53" x14ac:dyDescent="0.25">
      <c r="A88" s="14">
        <v>2014</v>
      </c>
      <c r="B88" s="14" t="s">
        <v>123</v>
      </c>
      <c r="C88" s="14" t="s">
        <v>124</v>
      </c>
      <c r="D88" s="14">
        <v>7</v>
      </c>
      <c r="E88" s="14">
        <v>3</v>
      </c>
      <c r="F88" s="14">
        <v>39</v>
      </c>
      <c r="G88" s="14">
        <v>4</v>
      </c>
      <c r="H88" s="14" t="s">
        <v>3</v>
      </c>
      <c r="I88" s="18">
        <v>46254</v>
      </c>
      <c r="J88" s="14" t="s">
        <v>126</v>
      </c>
      <c r="K88" s="21">
        <v>123</v>
      </c>
      <c r="L88" s="25"/>
      <c r="M88" s="21"/>
      <c r="N88" s="21"/>
      <c r="O88" s="24"/>
      <c r="P88" s="10">
        <v>-25.79</v>
      </c>
      <c r="Q88" s="10">
        <v>27.7</v>
      </c>
      <c r="R88" s="10">
        <v>110.3</v>
      </c>
      <c r="S88" s="16">
        <f t="shared" si="5"/>
        <v>3.4070999999999998</v>
      </c>
      <c r="T88" s="16">
        <f t="shared" si="6"/>
        <v>13.5669</v>
      </c>
      <c r="AD88" s="3">
        <v>42290</v>
      </c>
      <c r="AE88" s="16">
        <v>1265.25</v>
      </c>
      <c r="AF88">
        <v>391.25</v>
      </c>
      <c r="AH88">
        <v>712.75</v>
      </c>
      <c r="AI88">
        <v>161.25</v>
      </c>
      <c r="AN88" t="s">
        <v>143</v>
      </c>
      <c r="AO88">
        <f t="shared" si="7"/>
        <v>2015</v>
      </c>
      <c r="AP88" t="str">
        <f t="shared" si="8"/>
        <v>Espada</v>
      </c>
      <c r="AQ88" t="str">
        <f t="shared" si="9"/>
        <v>Gatton2015CvEspada</v>
      </c>
      <c r="AV88" s="3">
        <v>42290</v>
      </c>
      <c r="AW88" s="16">
        <v>113.3089434540216</v>
      </c>
      <c r="AX88">
        <v>44.46253104206582</v>
      </c>
      <c r="AZ88">
        <v>66.183457147538007</v>
      </c>
      <c r="BA88">
        <v>17.689450716929191</v>
      </c>
    </row>
    <row r="89" spans="1:53" x14ac:dyDescent="0.25">
      <c r="A89" s="14">
        <v>2014</v>
      </c>
      <c r="B89" s="14" t="s">
        <v>123</v>
      </c>
      <c r="C89" s="14" t="s">
        <v>124</v>
      </c>
      <c r="D89" s="14">
        <v>7</v>
      </c>
      <c r="E89" s="14">
        <v>4</v>
      </c>
      <c r="F89" s="14">
        <v>40</v>
      </c>
      <c r="G89" s="14">
        <v>4</v>
      </c>
      <c r="H89" s="14" t="s">
        <v>7</v>
      </c>
      <c r="I89" s="18">
        <v>46254</v>
      </c>
      <c r="J89" s="14" t="s">
        <v>126</v>
      </c>
      <c r="K89" s="21">
        <v>108</v>
      </c>
      <c r="L89" s="25"/>
      <c r="M89" s="21"/>
      <c r="N89" s="21"/>
      <c r="O89" s="24"/>
      <c r="P89" s="10">
        <v>-26.03</v>
      </c>
      <c r="Q89" s="10">
        <v>33.4</v>
      </c>
      <c r="R89" s="10">
        <v>97.6</v>
      </c>
      <c r="S89" s="16">
        <f t="shared" si="5"/>
        <v>3.6071999999999997</v>
      </c>
      <c r="T89" s="16">
        <f t="shared" si="6"/>
        <v>10.540799999999999</v>
      </c>
      <c r="AC89" t="s">
        <v>4</v>
      </c>
      <c r="AD89" s="3">
        <v>42188</v>
      </c>
      <c r="AE89" s="16">
        <v>93.25</v>
      </c>
      <c r="AF89">
        <v>26</v>
      </c>
      <c r="AG89">
        <v>65.5</v>
      </c>
      <c r="AI89">
        <v>1.25</v>
      </c>
      <c r="AN89" t="s">
        <v>143</v>
      </c>
      <c r="AO89">
        <f t="shared" si="7"/>
        <v>2015</v>
      </c>
      <c r="AP89" t="str">
        <f t="shared" si="8"/>
        <v>Gauntlet</v>
      </c>
      <c r="AQ89" t="str">
        <f t="shared" si="9"/>
        <v>Gatton2015CvGauntlet</v>
      </c>
      <c r="AU89" t="s">
        <v>4</v>
      </c>
      <c r="AV89" s="3">
        <v>42188</v>
      </c>
      <c r="AW89" s="16">
        <v>24.689741459426696</v>
      </c>
      <c r="AX89">
        <v>16.370705543744901</v>
      </c>
      <c r="AY89">
        <v>12.069244660154448</v>
      </c>
      <c r="BA89">
        <v>0.5</v>
      </c>
    </row>
    <row r="90" spans="1:53" x14ac:dyDescent="0.25">
      <c r="A90" s="14">
        <v>2014</v>
      </c>
      <c r="B90" s="14" t="s">
        <v>123</v>
      </c>
      <c r="C90" s="14" t="s">
        <v>124</v>
      </c>
      <c r="D90" s="14">
        <v>7</v>
      </c>
      <c r="E90" s="14">
        <v>5</v>
      </c>
      <c r="F90" s="14">
        <v>41</v>
      </c>
      <c r="G90" s="14">
        <v>4</v>
      </c>
      <c r="H90" s="14" t="s">
        <v>9</v>
      </c>
      <c r="I90" s="18">
        <v>46254</v>
      </c>
      <c r="J90" s="14" t="s">
        <v>126</v>
      </c>
      <c r="K90" s="21">
        <v>113</v>
      </c>
      <c r="L90" s="25"/>
      <c r="M90" s="21"/>
      <c r="N90" s="21"/>
      <c r="O90" s="24"/>
      <c r="P90" s="10">
        <v>-26.01</v>
      </c>
      <c r="Q90" s="10">
        <v>28.8</v>
      </c>
      <c r="R90" s="10">
        <v>106.9</v>
      </c>
      <c r="S90" s="16">
        <f t="shared" si="5"/>
        <v>3.2544</v>
      </c>
      <c r="T90" s="16">
        <f t="shared" si="6"/>
        <v>12.079700000000001</v>
      </c>
      <c r="AD90" s="3">
        <v>42194</v>
      </c>
      <c r="AE90" s="16">
        <v>112.75</v>
      </c>
      <c r="AF90">
        <v>39</v>
      </c>
      <c r="AG90">
        <v>72.75</v>
      </c>
      <c r="AI90">
        <v>1.25</v>
      </c>
      <c r="AN90" t="s">
        <v>143</v>
      </c>
      <c r="AO90">
        <f t="shared" si="7"/>
        <v>2015</v>
      </c>
      <c r="AP90" t="str">
        <f t="shared" si="8"/>
        <v>Gauntlet</v>
      </c>
      <c r="AQ90" t="str">
        <f t="shared" si="9"/>
        <v>Gatton2015CvGauntlet</v>
      </c>
      <c r="AV90" s="3">
        <v>42194</v>
      </c>
      <c r="AW90" s="16">
        <v>16.78044496827582</v>
      </c>
      <c r="AX90">
        <v>4.2426406871192848</v>
      </c>
      <c r="AY90">
        <v>12.789970028633114</v>
      </c>
      <c r="BA90">
        <v>0.5</v>
      </c>
    </row>
    <row r="91" spans="1:53" x14ac:dyDescent="0.25">
      <c r="A91" s="14">
        <v>2014</v>
      </c>
      <c r="B91" s="14" t="s">
        <v>123</v>
      </c>
      <c r="C91" s="14" t="s">
        <v>124</v>
      </c>
      <c r="D91" s="14">
        <v>7</v>
      </c>
      <c r="E91" s="14">
        <v>6</v>
      </c>
      <c r="F91" s="14">
        <v>42</v>
      </c>
      <c r="G91" s="14">
        <v>4</v>
      </c>
      <c r="H91" s="14" t="s">
        <v>8</v>
      </c>
      <c r="I91" s="18">
        <v>46256</v>
      </c>
      <c r="J91" s="14" t="s">
        <v>126</v>
      </c>
      <c r="K91" s="21">
        <v>145</v>
      </c>
      <c r="L91" s="25"/>
      <c r="M91" s="21"/>
      <c r="N91" s="21"/>
      <c r="O91" s="24"/>
      <c r="P91" s="10">
        <v>-25.01</v>
      </c>
      <c r="Q91" s="10">
        <v>26.6</v>
      </c>
      <c r="R91" s="10">
        <v>206.4</v>
      </c>
      <c r="S91" s="16">
        <f t="shared" si="5"/>
        <v>3.8570000000000002</v>
      </c>
      <c r="T91" s="16">
        <f t="shared" si="6"/>
        <v>29.928000000000001</v>
      </c>
      <c r="AD91" s="3">
        <v>42220</v>
      </c>
      <c r="AE91" s="16">
        <v>364</v>
      </c>
      <c r="AF91">
        <v>203</v>
      </c>
      <c r="AG91">
        <v>148.75</v>
      </c>
      <c r="AI91">
        <v>12</v>
      </c>
      <c r="AN91" t="s">
        <v>143</v>
      </c>
      <c r="AO91">
        <f t="shared" si="7"/>
        <v>2015</v>
      </c>
      <c r="AP91" t="str">
        <f t="shared" si="8"/>
        <v>Gauntlet</v>
      </c>
      <c r="AQ91" t="str">
        <f t="shared" si="9"/>
        <v>Gatton2015CvGauntlet</v>
      </c>
      <c r="AV91" s="3">
        <v>42220</v>
      </c>
      <c r="AW91" s="16">
        <v>71.114930452988091</v>
      </c>
      <c r="AX91">
        <v>39.816244591037631</v>
      </c>
      <c r="AY91">
        <v>30.543684562715523</v>
      </c>
      <c r="BA91">
        <v>3.9157800414902435</v>
      </c>
    </row>
    <row r="92" spans="1:53" x14ac:dyDescent="0.25">
      <c r="A92" s="14">
        <v>2014</v>
      </c>
      <c r="B92" s="14" t="s">
        <v>123</v>
      </c>
      <c r="C92" s="14" t="s">
        <v>124</v>
      </c>
      <c r="D92" s="14">
        <v>8</v>
      </c>
      <c r="E92" s="14">
        <v>6</v>
      </c>
      <c r="F92" s="14">
        <v>43</v>
      </c>
      <c r="G92" s="14">
        <v>4</v>
      </c>
      <c r="H92" s="14" t="s">
        <v>12</v>
      </c>
      <c r="I92" s="18">
        <v>46249</v>
      </c>
      <c r="J92" s="14" t="s">
        <v>126</v>
      </c>
      <c r="K92" s="21">
        <v>106</v>
      </c>
      <c r="L92" s="25"/>
      <c r="M92" s="21"/>
      <c r="N92" s="21"/>
      <c r="O92" s="24"/>
      <c r="P92" s="10">
        <v>-25.61</v>
      </c>
      <c r="Q92" s="10">
        <v>32.799999999999997</v>
      </c>
      <c r="R92" s="10">
        <v>135.69999999999999</v>
      </c>
      <c r="S92" s="16">
        <f t="shared" si="5"/>
        <v>3.4767999999999999</v>
      </c>
      <c r="T92" s="16">
        <f t="shared" si="6"/>
        <v>14.384199999999998</v>
      </c>
      <c r="AD92" s="3">
        <v>42241</v>
      </c>
      <c r="AE92" s="16">
        <v>706</v>
      </c>
      <c r="AF92">
        <v>356.5</v>
      </c>
      <c r="AG92">
        <v>154.25</v>
      </c>
      <c r="AH92">
        <v>151.5</v>
      </c>
      <c r="AI92">
        <v>43.5</v>
      </c>
      <c r="AN92" t="s">
        <v>143</v>
      </c>
      <c r="AO92">
        <f t="shared" si="7"/>
        <v>2015</v>
      </c>
      <c r="AP92" t="str">
        <f t="shared" si="8"/>
        <v>Gauntlet</v>
      </c>
      <c r="AQ92" t="str">
        <f t="shared" si="9"/>
        <v>Gatton2015CvGauntlet</v>
      </c>
      <c r="AV92" s="3">
        <v>42241</v>
      </c>
      <c r="AW92" s="16">
        <v>78.153694730319685</v>
      </c>
      <c r="AX92">
        <v>40.877866871939389</v>
      </c>
      <c r="AY92">
        <v>13.250786140200638</v>
      </c>
      <c r="AZ92">
        <v>24.117766618546309</v>
      </c>
      <c r="BA92">
        <v>4.358898943540674</v>
      </c>
    </row>
    <row r="93" spans="1:53" x14ac:dyDescent="0.25">
      <c r="A93" s="14">
        <v>2014</v>
      </c>
      <c r="B93" s="14" t="s">
        <v>123</v>
      </c>
      <c r="C93" s="14" t="s">
        <v>124</v>
      </c>
      <c r="D93" s="14">
        <v>8</v>
      </c>
      <c r="E93" s="14">
        <v>5</v>
      </c>
      <c r="F93" s="14">
        <v>44</v>
      </c>
      <c r="G93" s="14">
        <v>4</v>
      </c>
      <c r="H93" s="14" t="s">
        <v>10</v>
      </c>
      <c r="I93" s="18">
        <v>46254</v>
      </c>
      <c r="J93" s="14" t="s">
        <v>126</v>
      </c>
      <c r="K93" s="21">
        <v>88</v>
      </c>
      <c r="L93" s="25"/>
      <c r="M93" s="21"/>
      <c r="N93" s="21"/>
      <c r="O93" s="24"/>
      <c r="P93" s="10">
        <v>-26.06</v>
      </c>
      <c r="Q93" s="10">
        <v>31</v>
      </c>
      <c r="R93" s="10">
        <v>100.1</v>
      </c>
      <c r="S93" s="16">
        <f t="shared" si="5"/>
        <v>2.7280000000000002</v>
      </c>
      <c r="T93" s="16">
        <f t="shared" si="6"/>
        <v>8.8087999999999997</v>
      </c>
      <c r="AD93" s="3">
        <v>42290</v>
      </c>
      <c r="AE93" s="16">
        <v>1259.5</v>
      </c>
      <c r="AF93">
        <v>354.25</v>
      </c>
      <c r="AG93">
        <v>2</v>
      </c>
      <c r="AH93">
        <v>737.25</v>
      </c>
      <c r="AI93">
        <v>167.25</v>
      </c>
      <c r="AN93" t="s">
        <v>143</v>
      </c>
      <c r="AO93">
        <f t="shared" si="7"/>
        <v>2015</v>
      </c>
      <c r="AP93" t="str">
        <f t="shared" si="8"/>
        <v>Gauntlet</v>
      </c>
      <c r="AQ93" t="str">
        <f t="shared" si="9"/>
        <v>Gatton2015CvGauntlet</v>
      </c>
      <c r="AV93" s="3">
        <v>42290</v>
      </c>
      <c r="AW93" s="16">
        <v>204.52954146854518</v>
      </c>
      <c r="AX93">
        <v>63.882052774364304</v>
      </c>
      <c r="AY93" t="e">
        <v>#DIV/0!</v>
      </c>
      <c r="AZ93">
        <v>99.637258760632989</v>
      </c>
      <c r="BA93">
        <v>43.797830996523103</v>
      </c>
    </row>
    <row r="94" spans="1:53" x14ac:dyDescent="0.25">
      <c r="A94" s="14">
        <v>2014</v>
      </c>
      <c r="B94" s="14" t="s">
        <v>123</v>
      </c>
      <c r="C94" s="14" t="s">
        <v>124</v>
      </c>
      <c r="D94" s="14">
        <v>8</v>
      </c>
      <c r="E94" s="14">
        <v>4</v>
      </c>
      <c r="F94" s="14">
        <v>45</v>
      </c>
      <c r="G94" s="14">
        <v>4</v>
      </c>
      <c r="H94" s="14" t="s">
        <v>14</v>
      </c>
      <c r="I94" s="18">
        <v>46256</v>
      </c>
      <c r="J94" s="14" t="s">
        <v>126</v>
      </c>
      <c r="K94" s="21">
        <v>202</v>
      </c>
      <c r="L94" s="25"/>
      <c r="M94" s="21"/>
      <c r="N94" s="21"/>
      <c r="O94" s="24"/>
      <c r="P94" s="10">
        <v>-25.6</v>
      </c>
      <c r="Q94" s="10">
        <v>30</v>
      </c>
      <c r="R94" s="10">
        <v>126.7</v>
      </c>
      <c r="S94" s="16">
        <f t="shared" si="5"/>
        <v>6.06</v>
      </c>
      <c r="T94" s="16">
        <f t="shared" si="6"/>
        <v>25.593400000000003</v>
      </c>
      <c r="AC94" t="s">
        <v>7</v>
      </c>
      <c r="AD94" s="3">
        <v>42188</v>
      </c>
      <c r="AE94" s="16">
        <v>159</v>
      </c>
      <c r="AF94">
        <v>55</v>
      </c>
      <c r="AG94">
        <v>102.75</v>
      </c>
      <c r="AI94">
        <v>1</v>
      </c>
      <c r="AN94" t="s">
        <v>143</v>
      </c>
      <c r="AO94">
        <f t="shared" si="7"/>
        <v>2015</v>
      </c>
      <c r="AP94" t="str">
        <f t="shared" si="8"/>
        <v>Hartog</v>
      </c>
      <c r="AQ94" t="str">
        <f t="shared" si="9"/>
        <v>Gatton2015CvHartog</v>
      </c>
      <c r="AU94" t="s">
        <v>7</v>
      </c>
      <c r="AV94" s="3">
        <v>42188</v>
      </c>
      <c r="AW94" s="16">
        <v>9.4868329805051381</v>
      </c>
      <c r="AX94">
        <v>5.4772255750516612</v>
      </c>
      <c r="AY94">
        <v>5.5602757725374259</v>
      </c>
      <c r="BA94">
        <v>0.81649658092772603</v>
      </c>
    </row>
    <row r="95" spans="1:53" x14ac:dyDescent="0.25">
      <c r="A95" s="14">
        <v>2014</v>
      </c>
      <c r="B95" s="14" t="s">
        <v>123</v>
      </c>
      <c r="C95" s="14" t="s">
        <v>124</v>
      </c>
      <c r="D95" s="14">
        <v>8</v>
      </c>
      <c r="E95" s="14">
        <v>3</v>
      </c>
      <c r="F95" s="14">
        <v>46</v>
      </c>
      <c r="G95" s="14">
        <v>4</v>
      </c>
      <c r="H95" s="14" t="s">
        <v>6</v>
      </c>
      <c r="I95" s="18">
        <v>46254</v>
      </c>
      <c r="J95" s="14" t="s">
        <v>126</v>
      </c>
      <c r="K95" s="21">
        <v>76</v>
      </c>
      <c r="L95" s="25"/>
      <c r="M95" s="21"/>
      <c r="N95" s="21"/>
      <c r="O95" s="24"/>
      <c r="P95" s="10">
        <v>-26.19</v>
      </c>
      <c r="Q95" s="10">
        <v>32.200000000000003</v>
      </c>
      <c r="R95" s="10">
        <v>91.9</v>
      </c>
      <c r="S95" s="16">
        <f t="shared" si="5"/>
        <v>2.4472000000000005</v>
      </c>
      <c r="T95" s="16">
        <f t="shared" si="6"/>
        <v>6.9844000000000008</v>
      </c>
      <c r="AD95" s="3">
        <v>42194</v>
      </c>
      <c r="AE95" s="16">
        <v>172.5</v>
      </c>
      <c r="AF95">
        <v>72.333333333333329</v>
      </c>
      <c r="AG95">
        <v>107.33333333333333</v>
      </c>
      <c r="AI95">
        <v>2</v>
      </c>
      <c r="AN95" t="s">
        <v>143</v>
      </c>
      <c r="AO95">
        <f t="shared" si="7"/>
        <v>2015</v>
      </c>
      <c r="AP95" t="str">
        <f t="shared" si="8"/>
        <v>Hartog</v>
      </c>
      <c r="AQ95" t="str">
        <f t="shared" si="9"/>
        <v>Gatton2015CvHartog</v>
      </c>
      <c r="AV95" s="3">
        <v>42194</v>
      </c>
      <c r="AW95" s="16">
        <v>20.024984394500787</v>
      </c>
      <c r="AX95">
        <v>8.5049005481153639</v>
      </c>
      <c r="AY95">
        <v>1.5275252316515497</v>
      </c>
      <c r="BA95">
        <v>0</v>
      </c>
    </row>
    <row r="96" spans="1:53" x14ac:dyDescent="0.25">
      <c r="A96" s="14">
        <v>2014</v>
      </c>
      <c r="B96" s="14" t="s">
        <v>123</v>
      </c>
      <c r="C96" s="14" t="s">
        <v>124</v>
      </c>
      <c r="D96" s="14">
        <v>8</v>
      </c>
      <c r="E96" s="14">
        <v>2</v>
      </c>
      <c r="F96" s="14">
        <v>47</v>
      </c>
      <c r="G96" s="14">
        <v>4</v>
      </c>
      <c r="H96" s="14" t="s">
        <v>4</v>
      </c>
      <c r="I96" s="18">
        <v>46256</v>
      </c>
      <c r="J96" s="14" t="s">
        <v>126</v>
      </c>
      <c r="K96" s="21">
        <v>94</v>
      </c>
      <c r="L96" s="25"/>
      <c r="M96" s="21"/>
      <c r="N96" s="21"/>
      <c r="O96" s="24"/>
      <c r="P96" s="10">
        <v>-25.14</v>
      </c>
      <c r="Q96" s="10">
        <v>29.9</v>
      </c>
      <c r="R96" s="10">
        <v>175.5</v>
      </c>
      <c r="S96" s="16">
        <f t="shared" si="5"/>
        <v>2.8106</v>
      </c>
      <c r="T96" s="16">
        <f t="shared" si="6"/>
        <v>16.497</v>
      </c>
      <c r="AD96" s="3">
        <v>42209</v>
      </c>
      <c r="AE96" s="16">
        <v>356.5</v>
      </c>
      <c r="AF96">
        <v>197</v>
      </c>
      <c r="AG96">
        <v>150</v>
      </c>
      <c r="AI96">
        <v>9.75</v>
      </c>
      <c r="AN96" t="s">
        <v>143</v>
      </c>
      <c r="AO96">
        <f t="shared" si="7"/>
        <v>2015</v>
      </c>
      <c r="AP96" t="str">
        <f t="shared" si="8"/>
        <v>Hartog</v>
      </c>
      <c r="AQ96" t="str">
        <f t="shared" si="9"/>
        <v>Gatton2015CvHartog</v>
      </c>
      <c r="AV96" s="3">
        <v>42209</v>
      </c>
      <c r="AW96" s="16">
        <v>49.08835571361773</v>
      </c>
      <c r="AX96">
        <v>18.055470085267789</v>
      </c>
      <c r="AY96">
        <v>44.698993277254019</v>
      </c>
      <c r="BA96">
        <v>2.753785273643051</v>
      </c>
    </row>
    <row r="97" spans="1:53" x14ac:dyDescent="0.25">
      <c r="A97" s="14">
        <v>2014</v>
      </c>
      <c r="B97" s="14" t="s">
        <v>123</v>
      </c>
      <c r="C97" s="14" t="s">
        <v>124</v>
      </c>
      <c r="D97" s="14">
        <v>8</v>
      </c>
      <c r="E97" s="14">
        <v>1</v>
      </c>
      <c r="F97" s="14">
        <v>48</v>
      </c>
      <c r="G97" s="14">
        <v>4</v>
      </c>
      <c r="H97" s="14" t="s">
        <v>2</v>
      </c>
      <c r="I97" s="18">
        <v>46256</v>
      </c>
      <c r="J97" s="14" t="s">
        <v>126</v>
      </c>
      <c r="K97" s="21">
        <v>129</v>
      </c>
      <c r="L97" s="25"/>
      <c r="M97" s="21"/>
      <c r="N97" s="21"/>
      <c r="O97" s="24"/>
      <c r="P97" s="10">
        <v>-25.77</v>
      </c>
      <c r="Q97" s="10">
        <v>24.3</v>
      </c>
      <c r="R97" s="10">
        <v>135.19999999999999</v>
      </c>
      <c r="S97" s="16">
        <f t="shared" si="5"/>
        <v>3.1347000000000005</v>
      </c>
      <c r="T97" s="16">
        <f t="shared" si="6"/>
        <v>17.440799999999999</v>
      </c>
      <c r="AD97" s="3">
        <v>42234</v>
      </c>
      <c r="AE97" s="16">
        <v>778.5</v>
      </c>
      <c r="AF97">
        <v>440.5</v>
      </c>
      <c r="AG97">
        <v>152.5</v>
      </c>
      <c r="AH97">
        <v>153.25</v>
      </c>
      <c r="AI97">
        <v>32.75</v>
      </c>
      <c r="AN97" t="s">
        <v>143</v>
      </c>
      <c r="AO97">
        <f t="shared" si="7"/>
        <v>2015</v>
      </c>
      <c r="AP97" t="str">
        <f t="shared" si="8"/>
        <v>Hartog</v>
      </c>
      <c r="AQ97" t="str">
        <f t="shared" si="9"/>
        <v>Gatton2015CvHartog</v>
      </c>
      <c r="AV97" s="3">
        <v>42234</v>
      </c>
      <c r="AW97" s="16">
        <v>111.27293771023872</v>
      </c>
      <c r="AX97">
        <v>85.37954477898478</v>
      </c>
      <c r="AY97">
        <v>8.5049005481153817</v>
      </c>
      <c r="AZ97">
        <v>33.797189232242374</v>
      </c>
      <c r="BA97">
        <v>3.7749172176353749</v>
      </c>
    </row>
    <row r="98" spans="1:53" x14ac:dyDescent="0.25">
      <c r="A98" s="14">
        <v>2014</v>
      </c>
      <c r="B98" s="14" t="s">
        <v>123</v>
      </c>
      <c r="C98" s="14" t="s">
        <v>124</v>
      </c>
      <c r="D98" s="14">
        <v>1</v>
      </c>
      <c r="E98" s="14">
        <v>1</v>
      </c>
      <c r="F98" s="14">
        <v>1</v>
      </c>
      <c r="G98" s="14">
        <v>1</v>
      </c>
      <c r="H98" s="14" t="s">
        <v>3</v>
      </c>
      <c r="I98" s="15">
        <v>41883</v>
      </c>
      <c r="J98" s="14" t="s">
        <v>127</v>
      </c>
      <c r="K98" s="21">
        <v>194</v>
      </c>
      <c r="L98" s="21"/>
      <c r="M98" s="21"/>
      <c r="N98" s="21"/>
      <c r="O98" s="24"/>
      <c r="P98" s="10">
        <v>-26.16</v>
      </c>
      <c r="Q98" s="10">
        <v>31</v>
      </c>
      <c r="R98" s="10">
        <v>92.6</v>
      </c>
      <c r="S98" s="16">
        <f t="shared" si="5"/>
        <v>6.0140000000000002</v>
      </c>
      <c r="T98" s="16">
        <f t="shared" si="6"/>
        <v>17.964399999999998</v>
      </c>
      <c r="AD98" s="3">
        <v>42284</v>
      </c>
      <c r="AE98" s="16">
        <v>1493.25</v>
      </c>
      <c r="AF98">
        <v>481.75</v>
      </c>
      <c r="AG98">
        <v>7.5</v>
      </c>
      <c r="AH98">
        <v>842.75</v>
      </c>
      <c r="AI98">
        <v>161</v>
      </c>
      <c r="AN98" t="s">
        <v>143</v>
      </c>
      <c r="AO98">
        <f t="shared" si="7"/>
        <v>2015</v>
      </c>
      <c r="AP98" t="str">
        <f t="shared" si="8"/>
        <v>Hartog</v>
      </c>
      <c r="AQ98" t="str">
        <f t="shared" si="9"/>
        <v>Gatton2015CvHartog</v>
      </c>
      <c r="AV98" s="3">
        <v>42284</v>
      </c>
      <c r="AW98" s="16">
        <v>113.42361600066657</v>
      </c>
      <c r="AX98">
        <v>17.969882210706523</v>
      </c>
      <c r="AY98">
        <v>5.6862407030773268</v>
      </c>
      <c r="AZ98">
        <v>106.23990148087802</v>
      </c>
      <c r="BA98">
        <v>32.280024783137947</v>
      </c>
    </row>
    <row r="99" spans="1:53" x14ac:dyDescent="0.25">
      <c r="A99" s="14">
        <v>2014</v>
      </c>
      <c r="B99" s="14" t="s">
        <v>123</v>
      </c>
      <c r="C99" s="14" t="s">
        <v>124</v>
      </c>
      <c r="D99" s="14">
        <v>1</v>
      </c>
      <c r="E99" s="14">
        <v>2</v>
      </c>
      <c r="F99" s="14">
        <v>2</v>
      </c>
      <c r="G99" s="14">
        <v>1</v>
      </c>
      <c r="H99" s="14" t="s">
        <v>14</v>
      </c>
      <c r="I99" s="15">
        <v>41883</v>
      </c>
      <c r="J99" s="14" t="s">
        <v>127</v>
      </c>
      <c r="K99" s="21">
        <v>242</v>
      </c>
      <c r="L99" s="21"/>
      <c r="M99" s="21"/>
      <c r="N99" s="21"/>
      <c r="O99" s="24"/>
      <c r="P99" s="10"/>
      <c r="Q99" s="10"/>
      <c r="R99" s="10"/>
      <c r="T99" s="16"/>
      <c r="AC99" t="s">
        <v>2</v>
      </c>
      <c r="AD99" s="3">
        <v>42188</v>
      </c>
      <c r="AE99" s="16">
        <v>111</v>
      </c>
      <c r="AF99">
        <v>35.25</v>
      </c>
      <c r="AG99">
        <v>75.5</v>
      </c>
      <c r="AI99">
        <v>0.75</v>
      </c>
      <c r="AN99" t="s">
        <v>143</v>
      </c>
      <c r="AO99">
        <f t="shared" si="7"/>
        <v>2015</v>
      </c>
      <c r="AP99" t="str">
        <f t="shared" si="8"/>
        <v>Mace</v>
      </c>
      <c r="AQ99" t="str">
        <f t="shared" si="9"/>
        <v>Gatton2015CvMace</v>
      </c>
      <c r="AU99" t="s">
        <v>2</v>
      </c>
      <c r="AV99" s="3">
        <v>42188</v>
      </c>
      <c r="AW99" s="16">
        <v>48.421758194706918</v>
      </c>
      <c r="AX99">
        <v>14.908051515875574</v>
      </c>
      <c r="AY99">
        <v>32.634337744161442</v>
      </c>
      <c r="BA99">
        <v>0.9574271077563381</v>
      </c>
    </row>
    <row r="100" spans="1:53" x14ac:dyDescent="0.25">
      <c r="A100" s="14">
        <v>2014</v>
      </c>
      <c r="B100" s="14" t="s">
        <v>123</v>
      </c>
      <c r="C100" s="14" t="s">
        <v>124</v>
      </c>
      <c r="D100" s="14">
        <v>1</v>
      </c>
      <c r="E100" s="14">
        <v>3</v>
      </c>
      <c r="F100" s="14">
        <v>3</v>
      </c>
      <c r="G100" s="14">
        <v>1</v>
      </c>
      <c r="H100" s="14" t="s">
        <v>9</v>
      </c>
      <c r="I100" s="15">
        <v>41883</v>
      </c>
      <c r="J100" s="14" t="s">
        <v>127</v>
      </c>
      <c r="K100" s="21">
        <v>329</v>
      </c>
      <c r="L100" s="21"/>
      <c r="M100" s="21"/>
      <c r="N100" s="21"/>
      <c r="O100" s="24"/>
      <c r="P100" s="10">
        <v>-25.64</v>
      </c>
      <c r="Q100" s="10">
        <v>23.6</v>
      </c>
      <c r="R100" s="10">
        <v>148.1</v>
      </c>
      <c r="S100" s="16">
        <f t="shared" si="5"/>
        <v>7.7644000000000002</v>
      </c>
      <c r="T100" s="16">
        <f t="shared" si="6"/>
        <v>48.724899999999998</v>
      </c>
      <c r="AD100" s="3">
        <v>42194</v>
      </c>
      <c r="AE100" s="16">
        <v>136.5</v>
      </c>
      <c r="AF100">
        <v>48.25</v>
      </c>
      <c r="AG100">
        <v>86</v>
      </c>
      <c r="AI100">
        <v>1.5</v>
      </c>
      <c r="AN100" t="s">
        <v>143</v>
      </c>
      <c r="AO100">
        <f t="shared" si="7"/>
        <v>2015</v>
      </c>
      <c r="AP100" t="str">
        <f t="shared" si="8"/>
        <v>Mace</v>
      </c>
      <c r="AQ100" t="str">
        <f t="shared" si="9"/>
        <v>Gatton2015CvMace</v>
      </c>
      <c r="AV100" s="3">
        <v>42194</v>
      </c>
      <c r="AW100" s="16">
        <v>49.08835571361773</v>
      </c>
      <c r="AX100">
        <v>16.997548842896929</v>
      </c>
      <c r="AY100">
        <v>32.269696827415864</v>
      </c>
      <c r="BA100">
        <v>0.57735026918962573</v>
      </c>
    </row>
    <row r="101" spans="1:53" x14ac:dyDescent="0.25">
      <c r="A101" s="14">
        <v>2014</v>
      </c>
      <c r="B101" s="14" t="s">
        <v>123</v>
      </c>
      <c r="C101" s="14" t="s">
        <v>124</v>
      </c>
      <c r="D101" s="14">
        <v>1</v>
      </c>
      <c r="E101" s="14">
        <v>4</v>
      </c>
      <c r="F101" s="14">
        <v>4</v>
      </c>
      <c r="G101" s="14">
        <v>1</v>
      </c>
      <c r="H101" s="14" t="s">
        <v>10</v>
      </c>
      <c r="I101" s="15">
        <v>41883</v>
      </c>
      <c r="J101" s="14" t="s">
        <v>127</v>
      </c>
      <c r="K101" s="21">
        <v>174</v>
      </c>
      <c r="L101" s="21"/>
      <c r="M101" s="21"/>
      <c r="N101" s="21"/>
      <c r="O101" s="24"/>
      <c r="P101" s="10"/>
      <c r="Q101" s="10"/>
      <c r="R101" s="10"/>
      <c r="T101" s="16"/>
      <c r="AD101" s="3">
        <v>42213</v>
      </c>
      <c r="AE101" s="16">
        <v>334.25</v>
      </c>
      <c r="AF101">
        <v>179.5</v>
      </c>
      <c r="AG101">
        <v>141.5</v>
      </c>
      <c r="AI101">
        <v>13.25</v>
      </c>
      <c r="AN101" t="s">
        <v>143</v>
      </c>
      <c r="AO101">
        <f t="shared" si="7"/>
        <v>2015</v>
      </c>
      <c r="AP101" t="str">
        <f t="shared" si="8"/>
        <v>Mace</v>
      </c>
      <c r="AQ101" t="str">
        <f t="shared" si="9"/>
        <v>Gatton2015CvMace</v>
      </c>
      <c r="AV101" s="3">
        <v>42213</v>
      </c>
      <c r="AW101" s="16">
        <v>88.917096218893704</v>
      </c>
      <c r="AX101">
        <v>49.70915408654627</v>
      </c>
      <c r="AY101">
        <v>32.274861218395145</v>
      </c>
      <c r="BA101">
        <v>7.1821538088050811</v>
      </c>
    </row>
    <row r="102" spans="1:53" x14ac:dyDescent="0.25">
      <c r="A102" s="14">
        <v>2014</v>
      </c>
      <c r="B102" s="14" t="s">
        <v>123</v>
      </c>
      <c r="C102" s="14" t="s">
        <v>124</v>
      </c>
      <c r="D102" s="14">
        <v>1</v>
      </c>
      <c r="E102" s="14">
        <v>5</v>
      </c>
      <c r="F102" s="14">
        <v>5</v>
      </c>
      <c r="G102" s="14">
        <v>1</v>
      </c>
      <c r="H102" s="14" t="s">
        <v>6</v>
      </c>
      <c r="I102" s="15">
        <v>41883</v>
      </c>
      <c r="J102" s="14" t="s">
        <v>127</v>
      </c>
      <c r="K102" s="21">
        <v>186</v>
      </c>
      <c r="L102" s="21"/>
      <c r="M102" s="21"/>
      <c r="N102" s="21"/>
      <c r="O102" s="24"/>
      <c r="P102" s="10">
        <v>-26.21</v>
      </c>
      <c r="Q102" s="10">
        <v>24.5</v>
      </c>
      <c r="R102" s="10">
        <v>99.9</v>
      </c>
      <c r="S102" s="16">
        <f t="shared" si="5"/>
        <v>4.5570000000000004</v>
      </c>
      <c r="T102" s="16">
        <f t="shared" si="6"/>
        <v>18.581400000000002</v>
      </c>
      <c r="AD102" s="3">
        <v>42241</v>
      </c>
      <c r="AE102" s="16">
        <v>801</v>
      </c>
      <c r="AF102">
        <v>419.5</v>
      </c>
      <c r="AG102">
        <v>143</v>
      </c>
      <c r="AH102">
        <v>177.25</v>
      </c>
      <c r="AI102">
        <v>61.25</v>
      </c>
      <c r="AN102" t="s">
        <v>143</v>
      </c>
      <c r="AO102">
        <f t="shared" si="7"/>
        <v>2015</v>
      </c>
      <c r="AP102" t="str">
        <f t="shared" si="8"/>
        <v>Mace</v>
      </c>
      <c r="AQ102" t="str">
        <f t="shared" si="9"/>
        <v>Gatton2015CvMace</v>
      </c>
      <c r="AV102" s="3">
        <v>42241</v>
      </c>
      <c r="AW102" s="16">
        <v>96.377729101004789</v>
      </c>
      <c r="AX102">
        <v>57.853262656482912</v>
      </c>
      <c r="AY102">
        <v>11.343133018115703</v>
      </c>
      <c r="AZ102">
        <v>23.471614061812335</v>
      </c>
      <c r="BA102">
        <v>13.022416570411705</v>
      </c>
    </row>
    <row r="103" spans="1:53" x14ac:dyDescent="0.25">
      <c r="A103" s="14">
        <v>2014</v>
      </c>
      <c r="B103" s="14" t="s">
        <v>123</v>
      </c>
      <c r="C103" s="14" t="s">
        <v>124</v>
      </c>
      <c r="D103" s="14">
        <v>1</v>
      </c>
      <c r="E103" s="14">
        <v>6</v>
      </c>
      <c r="F103" s="14">
        <v>6</v>
      </c>
      <c r="G103" s="14">
        <v>1</v>
      </c>
      <c r="H103" s="14" t="s">
        <v>13</v>
      </c>
      <c r="I103" s="15">
        <v>41883</v>
      </c>
      <c r="J103" s="14" t="s">
        <v>127</v>
      </c>
      <c r="K103" s="21">
        <v>241</v>
      </c>
      <c r="L103" s="21"/>
      <c r="M103" s="21"/>
      <c r="N103" s="21"/>
      <c r="O103" s="24"/>
      <c r="P103" s="10">
        <v>-25.95</v>
      </c>
      <c r="Q103" s="10">
        <v>20.9</v>
      </c>
      <c r="R103" s="10">
        <v>133.5</v>
      </c>
      <c r="S103" s="16">
        <f t="shared" si="5"/>
        <v>5.0368999999999993</v>
      </c>
      <c r="T103" s="16">
        <f t="shared" si="6"/>
        <v>32.173499999999997</v>
      </c>
      <c r="AD103" s="3">
        <v>42290</v>
      </c>
      <c r="AE103" s="16">
        <v>1312.5</v>
      </c>
      <c r="AF103">
        <v>380.5</v>
      </c>
      <c r="AH103">
        <v>774.75</v>
      </c>
      <c r="AI103">
        <v>157.5</v>
      </c>
      <c r="AN103" t="s">
        <v>143</v>
      </c>
      <c r="AO103">
        <f t="shared" si="7"/>
        <v>2015</v>
      </c>
      <c r="AP103" t="str">
        <f t="shared" si="8"/>
        <v>Mace</v>
      </c>
      <c r="AQ103" t="str">
        <f t="shared" si="9"/>
        <v>Gatton2015CvMace</v>
      </c>
      <c r="AV103" s="3">
        <v>42290</v>
      </c>
      <c r="AW103" s="16">
        <v>129.13429701929178</v>
      </c>
      <c r="AX103">
        <v>57.587614409118679</v>
      </c>
      <c r="AZ103">
        <v>64.443127381177476</v>
      </c>
      <c r="BA103">
        <v>16.421530582338136</v>
      </c>
    </row>
    <row r="104" spans="1:53" x14ac:dyDescent="0.25">
      <c r="A104" s="14">
        <v>2014</v>
      </c>
      <c r="B104" s="14" t="s">
        <v>123</v>
      </c>
      <c r="C104" s="14" t="s">
        <v>124</v>
      </c>
      <c r="D104" s="14">
        <v>2</v>
      </c>
      <c r="E104" s="14">
        <v>6</v>
      </c>
      <c r="F104" s="14">
        <v>7</v>
      </c>
      <c r="G104" s="14">
        <v>1</v>
      </c>
      <c r="H104" s="14" t="s">
        <v>2</v>
      </c>
      <c r="I104" s="15">
        <v>41883</v>
      </c>
      <c r="J104" s="14" t="s">
        <v>127</v>
      </c>
      <c r="K104" s="21">
        <v>295</v>
      </c>
      <c r="L104" s="21"/>
      <c r="M104" s="21"/>
      <c r="N104" s="21"/>
      <c r="O104" s="24"/>
      <c r="P104" s="10">
        <v>-25.6</v>
      </c>
      <c r="Q104" s="10">
        <v>23.4</v>
      </c>
      <c r="R104" s="10">
        <v>158.9</v>
      </c>
      <c r="S104" s="16">
        <f t="shared" si="5"/>
        <v>6.9029999999999996</v>
      </c>
      <c r="T104" s="16">
        <f t="shared" si="6"/>
        <v>46.875500000000002</v>
      </c>
      <c r="AC104" t="s">
        <v>3</v>
      </c>
      <c r="AD104" s="3">
        <v>42188</v>
      </c>
      <c r="AE104" s="16">
        <v>112.25</v>
      </c>
      <c r="AF104">
        <v>31.25</v>
      </c>
      <c r="AG104">
        <v>79.5</v>
      </c>
      <c r="AI104">
        <v>1</v>
      </c>
      <c r="AN104" t="s">
        <v>143</v>
      </c>
      <c r="AO104">
        <f t="shared" si="7"/>
        <v>2015</v>
      </c>
      <c r="AP104" t="str">
        <f t="shared" si="8"/>
        <v>Scout</v>
      </c>
      <c r="AQ104" t="str">
        <f t="shared" si="9"/>
        <v>Gatton2015CvScout</v>
      </c>
      <c r="AU104" t="s">
        <v>3</v>
      </c>
      <c r="AV104" s="3">
        <v>42188</v>
      </c>
      <c r="AW104" s="16">
        <v>35.093921600945841</v>
      </c>
      <c r="AX104">
        <v>9.1423921012683174</v>
      </c>
      <c r="AY104">
        <v>25.735837529276822</v>
      </c>
      <c r="BA104">
        <v>0.81649658092772603</v>
      </c>
    </row>
    <row r="105" spans="1:53" x14ac:dyDescent="0.25">
      <c r="A105" s="14">
        <v>2014</v>
      </c>
      <c r="B105" s="14" t="s">
        <v>123</v>
      </c>
      <c r="C105" s="14" t="s">
        <v>124</v>
      </c>
      <c r="D105" s="14">
        <v>2</v>
      </c>
      <c r="E105" s="14">
        <v>5</v>
      </c>
      <c r="F105" s="14">
        <v>8</v>
      </c>
      <c r="G105" s="14">
        <v>1</v>
      </c>
      <c r="H105" s="14" t="s">
        <v>12</v>
      </c>
      <c r="I105" s="15">
        <v>41883</v>
      </c>
      <c r="J105" s="14" t="s">
        <v>127</v>
      </c>
      <c r="K105" s="21">
        <v>223</v>
      </c>
      <c r="L105" s="21"/>
      <c r="M105" s="21"/>
      <c r="N105" s="21"/>
      <c r="O105" s="24"/>
      <c r="P105" s="10">
        <v>-26.17</v>
      </c>
      <c r="Q105" s="10">
        <v>18</v>
      </c>
      <c r="R105" s="10">
        <v>105.8</v>
      </c>
      <c r="S105" s="16">
        <f t="shared" si="5"/>
        <v>4.0140000000000002</v>
      </c>
      <c r="T105" s="16">
        <f t="shared" si="6"/>
        <v>23.593399999999999</v>
      </c>
      <c r="AD105" s="3">
        <v>42194</v>
      </c>
      <c r="AE105" s="16">
        <v>159.75</v>
      </c>
      <c r="AF105">
        <v>49</v>
      </c>
      <c r="AG105">
        <v>109.25</v>
      </c>
      <c r="AI105">
        <v>1.5</v>
      </c>
      <c r="AN105" t="s">
        <v>143</v>
      </c>
      <c r="AO105">
        <f t="shared" si="7"/>
        <v>2015</v>
      </c>
      <c r="AP105" t="str">
        <f t="shared" si="8"/>
        <v>Scout</v>
      </c>
      <c r="AQ105" t="str">
        <f t="shared" si="9"/>
        <v>Gatton2015CvScout</v>
      </c>
      <c r="AV105" s="3">
        <v>42194</v>
      </c>
      <c r="AW105" s="16">
        <v>8.3016062702748474</v>
      </c>
      <c r="AX105">
        <v>4.7609522856952333</v>
      </c>
      <c r="AY105">
        <v>5.315072906367325</v>
      </c>
      <c r="BA105">
        <v>1</v>
      </c>
    </row>
    <row r="106" spans="1:53" x14ac:dyDescent="0.25">
      <c r="A106" s="14">
        <v>2014</v>
      </c>
      <c r="B106" s="14" t="s">
        <v>123</v>
      </c>
      <c r="C106" s="14" t="s">
        <v>124</v>
      </c>
      <c r="D106" s="14">
        <v>2</v>
      </c>
      <c r="E106" s="14">
        <v>4</v>
      </c>
      <c r="F106" s="14">
        <v>9</v>
      </c>
      <c r="G106" s="14">
        <v>1</v>
      </c>
      <c r="H106" s="14" t="s">
        <v>7</v>
      </c>
      <c r="I106" s="15">
        <v>41883</v>
      </c>
      <c r="J106" s="14" t="s">
        <v>127</v>
      </c>
      <c r="K106" s="21">
        <v>198</v>
      </c>
      <c r="L106" s="21"/>
      <c r="M106" s="21"/>
      <c r="N106" s="21"/>
      <c r="O106" s="24"/>
      <c r="P106" s="10">
        <v>-25.93</v>
      </c>
      <c r="Q106" s="10">
        <v>23.1</v>
      </c>
      <c r="R106" s="10">
        <v>128.80000000000001</v>
      </c>
      <c r="S106" s="16">
        <f t="shared" si="5"/>
        <v>4.5738000000000003</v>
      </c>
      <c r="T106" s="16">
        <f t="shared" si="6"/>
        <v>25.502400000000002</v>
      </c>
      <c r="AD106" s="3">
        <v>42213</v>
      </c>
      <c r="AE106" s="16">
        <v>363.75</v>
      </c>
      <c r="AF106">
        <v>166.5</v>
      </c>
      <c r="AG106">
        <v>184.5</v>
      </c>
      <c r="AI106">
        <v>13.25</v>
      </c>
      <c r="AN106" t="s">
        <v>143</v>
      </c>
      <c r="AO106">
        <f t="shared" si="7"/>
        <v>2015</v>
      </c>
      <c r="AP106" t="str">
        <f t="shared" si="8"/>
        <v>Scout</v>
      </c>
      <c r="AQ106" t="str">
        <f t="shared" si="9"/>
        <v>Gatton2015CvScout</v>
      </c>
      <c r="AV106" s="3">
        <v>42213</v>
      </c>
      <c r="AW106" s="16">
        <v>19.602295783912659</v>
      </c>
      <c r="AX106">
        <v>15.609825965290794</v>
      </c>
      <c r="AY106">
        <v>9.882644720249063</v>
      </c>
      <c r="BA106">
        <v>2.5</v>
      </c>
    </row>
    <row r="107" spans="1:53" x14ac:dyDescent="0.25">
      <c r="A107" s="14">
        <v>2014</v>
      </c>
      <c r="B107" s="14" t="s">
        <v>123</v>
      </c>
      <c r="C107" s="14" t="s">
        <v>124</v>
      </c>
      <c r="D107" s="14">
        <v>2</v>
      </c>
      <c r="E107" s="14">
        <v>3</v>
      </c>
      <c r="F107" s="14">
        <v>10</v>
      </c>
      <c r="G107" s="14">
        <v>1</v>
      </c>
      <c r="H107" s="14" t="s">
        <v>8</v>
      </c>
      <c r="I107" s="15">
        <v>41883</v>
      </c>
      <c r="J107" s="14" t="s">
        <v>127</v>
      </c>
      <c r="K107" s="21">
        <v>240</v>
      </c>
      <c r="L107" s="21"/>
      <c r="M107" s="21"/>
      <c r="N107" s="21"/>
      <c r="O107" s="24"/>
      <c r="P107" s="10">
        <v>-25.88</v>
      </c>
      <c r="Q107" s="10">
        <v>26</v>
      </c>
      <c r="R107" s="10">
        <v>136.4</v>
      </c>
      <c r="S107" s="16">
        <f t="shared" si="5"/>
        <v>6.24</v>
      </c>
      <c r="T107" s="16">
        <f t="shared" si="6"/>
        <v>32.735999999999997</v>
      </c>
      <c r="AD107" s="3">
        <v>42241</v>
      </c>
      <c r="AE107" s="16">
        <v>823.25</v>
      </c>
      <c r="AF107">
        <v>393.5</v>
      </c>
      <c r="AG107">
        <v>184</v>
      </c>
      <c r="AH107">
        <v>163.5</v>
      </c>
      <c r="AI107">
        <v>82.25</v>
      </c>
      <c r="AN107" t="s">
        <v>143</v>
      </c>
      <c r="AO107">
        <f t="shared" si="7"/>
        <v>2015</v>
      </c>
      <c r="AP107" t="str">
        <f t="shared" si="8"/>
        <v>Scout</v>
      </c>
      <c r="AQ107" t="str">
        <f t="shared" si="9"/>
        <v>Gatton2015CvScout</v>
      </c>
      <c r="AV107" s="3">
        <v>42241</v>
      </c>
      <c r="AW107" s="16">
        <v>125.81037318122858</v>
      </c>
      <c r="AX107">
        <v>60.141499815019579</v>
      </c>
      <c r="AY107">
        <v>35.693136595149497</v>
      </c>
      <c r="AZ107">
        <v>26.839026311200886</v>
      </c>
      <c r="BA107">
        <v>22.954665466232928</v>
      </c>
    </row>
    <row r="108" spans="1:53" x14ac:dyDescent="0.25">
      <c r="A108" s="14">
        <v>2014</v>
      </c>
      <c r="B108" s="14" t="s">
        <v>123</v>
      </c>
      <c r="C108" s="14" t="s">
        <v>124</v>
      </c>
      <c r="D108" s="14">
        <v>2</v>
      </c>
      <c r="E108" s="14">
        <v>2</v>
      </c>
      <c r="F108" s="14">
        <v>11</v>
      </c>
      <c r="G108" s="14">
        <v>1</v>
      </c>
      <c r="H108" s="14" t="s">
        <v>5</v>
      </c>
      <c r="I108" s="15">
        <v>41883</v>
      </c>
      <c r="J108" s="14" t="s">
        <v>127</v>
      </c>
      <c r="K108" s="21">
        <v>252</v>
      </c>
      <c r="L108" s="21"/>
      <c r="M108" s="21"/>
      <c r="N108" s="21"/>
      <c r="O108" s="24"/>
      <c r="P108" s="10">
        <v>-25.72</v>
      </c>
      <c r="Q108" s="10">
        <v>22.2</v>
      </c>
      <c r="R108" s="10">
        <v>150.4</v>
      </c>
      <c r="S108" s="16">
        <f t="shared" si="5"/>
        <v>5.5943999999999994</v>
      </c>
      <c r="T108" s="16">
        <f t="shared" si="6"/>
        <v>37.900800000000004</v>
      </c>
      <c r="AD108" s="3">
        <v>42290</v>
      </c>
      <c r="AE108" s="16">
        <v>1299.75</v>
      </c>
      <c r="AF108">
        <v>341.5</v>
      </c>
      <c r="AG108">
        <v>1</v>
      </c>
      <c r="AH108">
        <v>780.25</v>
      </c>
      <c r="AI108">
        <v>177.5</v>
      </c>
      <c r="AN108" t="s">
        <v>143</v>
      </c>
      <c r="AO108">
        <f t="shared" si="7"/>
        <v>2015</v>
      </c>
      <c r="AP108" t="str">
        <f t="shared" si="8"/>
        <v>Scout</v>
      </c>
      <c r="AQ108" t="str">
        <f t="shared" si="9"/>
        <v>Gatton2015CvScout</v>
      </c>
      <c r="AV108" s="3">
        <v>42290</v>
      </c>
      <c r="AW108" s="16">
        <v>81.295243813317072</v>
      </c>
      <c r="AX108">
        <v>15.92691642053372</v>
      </c>
      <c r="AY108" t="e">
        <v>#DIV/0!</v>
      </c>
      <c r="AZ108">
        <v>49.351629490152945</v>
      </c>
      <c r="BA108">
        <v>39.076847365159843</v>
      </c>
    </row>
    <row r="109" spans="1:53" x14ac:dyDescent="0.25">
      <c r="A109" s="14">
        <v>2014</v>
      </c>
      <c r="B109" s="14" t="s">
        <v>123</v>
      </c>
      <c r="C109" s="14" t="s">
        <v>124</v>
      </c>
      <c r="D109" s="14">
        <v>2</v>
      </c>
      <c r="E109" s="14">
        <v>1</v>
      </c>
      <c r="F109" s="14">
        <v>12</v>
      </c>
      <c r="G109" s="14">
        <v>1</v>
      </c>
      <c r="H109" s="14" t="s">
        <v>4</v>
      </c>
      <c r="I109" s="15">
        <v>41883</v>
      </c>
      <c r="J109" s="14" t="s">
        <v>127</v>
      </c>
      <c r="K109" s="21">
        <v>236</v>
      </c>
      <c r="L109" s="21"/>
      <c r="M109" s="21"/>
      <c r="N109" s="21"/>
      <c r="O109" s="24"/>
      <c r="P109" s="10">
        <v>-25.83</v>
      </c>
      <c r="Q109" s="10">
        <v>29.6</v>
      </c>
      <c r="R109" s="10">
        <v>133.19999999999999</v>
      </c>
      <c r="S109" s="16">
        <f t="shared" si="5"/>
        <v>6.9856000000000007</v>
      </c>
      <c r="T109" s="16">
        <f t="shared" si="6"/>
        <v>31.435199999999998</v>
      </c>
      <c r="AC109" t="s">
        <v>5</v>
      </c>
      <c r="AD109" s="3">
        <v>42188</v>
      </c>
      <c r="AE109" s="16">
        <v>138.25</v>
      </c>
      <c r="AF109">
        <v>43.5</v>
      </c>
      <c r="AG109">
        <v>93.5</v>
      </c>
      <c r="AI109">
        <v>1.25</v>
      </c>
      <c r="AN109" t="s">
        <v>143</v>
      </c>
      <c r="AO109">
        <f t="shared" si="7"/>
        <v>2015</v>
      </c>
      <c r="AP109" t="str">
        <f t="shared" si="8"/>
        <v>Spitfire</v>
      </c>
      <c r="AQ109" t="str">
        <f t="shared" si="9"/>
        <v>Gatton2015CvSpitfire</v>
      </c>
      <c r="AU109" t="s">
        <v>5</v>
      </c>
      <c r="AV109" s="3">
        <v>42188</v>
      </c>
      <c r="AW109" s="16">
        <v>21.093047827819163</v>
      </c>
      <c r="AX109">
        <v>7.7244201508376449</v>
      </c>
      <c r="AY109">
        <v>13.178264933847197</v>
      </c>
      <c r="BA109">
        <v>0.5</v>
      </c>
    </row>
    <row r="110" spans="1:53" x14ac:dyDescent="0.25">
      <c r="A110" s="14">
        <v>2014</v>
      </c>
      <c r="B110" s="14" t="s">
        <v>123</v>
      </c>
      <c r="C110" s="14" t="s">
        <v>124</v>
      </c>
      <c r="D110" s="14">
        <v>3</v>
      </c>
      <c r="E110" s="14">
        <v>1</v>
      </c>
      <c r="F110" s="14">
        <v>13</v>
      </c>
      <c r="G110" s="14">
        <v>2</v>
      </c>
      <c r="H110" s="14" t="s">
        <v>8</v>
      </c>
      <c r="I110" s="15">
        <v>41883</v>
      </c>
      <c r="J110" s="14" t="s">
        <v>127</v>
      </c>
      <c r="K110" s="21">
        <v>250</v>
      </c>
      <c r="L110" s="21"/>
      <c r="M110" s="21"/>
      <c r="N110" s="21"/>
      <c r="O110" s="24"/>
      <c r="P110" s="10">
        <v>-26.05</v>
      </c>
      <c r="Q110" s="10">
        <v>26.5</v>
      </c>
      <c r="R110" s="10">
        <v>118.3</v>
      </c>
      <c r="S110" s="16">
        <f t="shared" si="5"/>
        <v>6.625</v>
      </c>
      <c r="T110" s="16">
        <f t="shared" si="6"/>
        <v>29.574999999999999</v>
      </c>
      <c r="AD110" s="3">
        <v>42194</v>
      </c>
      <c r="AE110" s="16">
        <v>166.75</v>
      </c>
      <c r="AF110">
        <v>60.25</v>
      </c>
      <c r="AG110">
        <v>104.75</v>
      </c>
      <c r="AI110">
        <v>1.75</v>
      </c>
      <c r="AN110" t="s">
        <v>143</v>
      </c>
      <c r="AO110">
        <f t="shared" si="7"/>
        <v>2015</v>
      </c>
      <c r="AP110" t="str">
        <f t="shared" si="8"/>
        <v>Spitfire</v>
      </c>
      <c r="AQ110" t="str">
        <f t="shared" si="9"/>
        <v>Gatton2015CvSpitfire</v>
      </c>
      <c r="AV110" s="3">
        <v>42194</v>
      </c>
      <c r="AW110" s="16">
        <v>36.472592449673769</v>
      </c>
      <c r="AX110">
        <v>11.265729744080792</v>
      </c>
      <c r="AY110">
        <v>25.5</v>
      </c>
      <c r="BA110">
        <v>0.5</v>
      </c>
    </row>
    <row r="111" spans="1:53" x14ac:dyDescent="0.25">
      <c r="A111" s="14">
        <v>2014</v>
      </c>
      <c r="B111" s="14" t="s">
        <v>123</v>
      </c>
      <c r="C111" s="14" t="s">
        <v>124</v>
      </c>
      <c r="D111" s="14">
        <v>3</v>
      </c>
      <c r="E111" s="14">
        <v>2</v>
      </c>
      <c r="F111" s="14">
        <v>14</v>
      </c>
      <c r="G111" s="14">
        <v>2</v>
      </c>
      <c r="H111" s="14" t="s">
        <v>4</v>
      </c>
      <c r="I111" s="15">
        <v>41883</v>
      </c>
      <c r="J111" s="14" t="s">
        <v>127</v>
      </c>
      <c r="K111" s="21">
        <v>189</v>
      </c>
      <c r="L111" s="21"/>
      <c r="M111" s="21"/>
      <c r="N111" s="21"/>
      <c r="O111" s="24"/>
      <c r="P111" s="10">
        <v>-26.33</v>
      </c>
      <c r="Q111" s="10">
        <v>28.8</v>
      </c>
      <c r="R111" s="10">
        <v>82.3</v>
      </c>
      <c r="S111" s="16">
        <f t="shared" si="5"/>
        <v>5.4432</v>
      </c>
      <c r="T111" s="16">
        <f t="shared" si="6"/>
        <v>15.554699999999999</v>
      </c>
      <c r="AD111" s="3">
        <v>42209</v>
      </c>
      <c r="AE111" s="16">
        <v>339</v>
      </c>
      <c r="AF111">
        <v>171.25</v>
      </c>
      <c r="AG111">
        <v>161.25</v>
      </c>
      <c r="AI111">
        <v>6.25</v>
      </c>
      <c r="AN111" t="s">
        <v>143</v>
      </c>
      <c r="AO111">
        <f t="shared" si="7"/>
        <v>2015</v>
      </c>
      <c r="AP111" t="str">
        <f t="shared" si="8"/>
        <v>Spitfire</v>
      </c>
      <c r="AQ111" t="str">
        <f t="shared" si="9"/>
        <v>Gatton2015CvSpitfire</v>
      </c>
      <c r="AV111" s="3">
        <v>42209</v>
      </c>
      <c r="AW111" s="16">
        <v>28.786570943178813</v>
      </c>
      <c r="AX111">
        <v>13.30100246848585</v>
      </c>
      <c r="AY111">
        <v>17.651723239767083</v>
      </c>
      <c r="BA111">
        <v>0.5</v>
      </c>
    </row>
    <row r="112" spans="1:53" x14ac:dyDescent="0.25">
      <c r="A112" s="14">
        <v>2014</v>
      </c>
      <c r="B112" s="14" t="s">
        <v>123</v>
      </c>
      <c r="C112" s="14" t="s">
        <v>124</v>
      </c>
      <c r="D112" s="14">
        <v>3</v>
      </c>
      <c r="E112" s="14">
        <v>3</v>
      </c>
      <c r="F112" s="14">
        <v>15</v>
      </c>
      <c r="G112" s="14">
        <v>2</v>
      </c>
      <c r="H112" s="14" t="s">
        <v>12</v>
      </c>
      <c r="I112" s="15">
        <v>41883</v>
      </c>
      <c r="J112" s="14" t="s">
        <v>127</v>
      </c>
      <c r="K112" s="21">
        <v>295</v>
      </c>
      <c r="L112" s="21"/>
      <c r="M112" s="21"/>
      <c r="N112" s="21"/>
      <c r="O112" s="24"/>
      <c r="P112" s="10">
        <v>-26.27</v>
      </c>
      <c r="Q112" s="10">
        <v>28</v>
      </c>
      <c r="R112" s="10">
        <v>81.400000000000006</v>
      </c>
      <c r="S112" s="16">
        <f t="shared" si="5"/>
        <v>8.26</v>
      </c>
      <c r="T112" s="16">
        <f t="shared" si="6"/>
        <v>24.013000000000002</v>
      </c>
      <c r="AD112" s="3">
        <v>42234</v>
      </c>
      <c r="AE112" s="16">
        <v>762</v>
      </c>
      <c r="AF112">
        <v>382</v>
      </c>
      <c r="AG112">
        <v>168</v>
      </c>
      <c r="AH112">
        <v>177.75</v>
      </c>
      <c r="AI112">
        <v>34</v>
      </c>
      <c r="AN112" t="s">
        <v>143</v>
      </c>
      <c r="AO112">
        <f t="shared" si="7"/>
        <v>2015</v>
      </c>
      <c r="AP112" t="str">
        <f t="shared" si="8"/>
        <v>Spitfire</v>
      </c>
      <c r="AQ112" t="str">
        <f t="shared" si="9"/>
        <v>Gatton2015CvSpitfire</v>
      </c>
      <c r="AV112" s="3">
        <v>42234</v>
      </c>
      <c r="AW112" s="16">
        <v>48.819395052922701</v>
      </c>
      <c r="AX112">
        <v>23.423634787681152</v>
      </c>
      <c r="AY112">
        <v>11.972189997378647</v>
      </c>
      <c r="AZ112">
        <v>24.185050478894325</v>
      </c>
      <c r="BA112">
        <v>8.8694231304333808</v>
      </c>
    </row>
    <row r="113" spans="1:55" x14ac:dyDescent="0.25">
      <c r="A113" s="14">
        <v>2014</v>
      </c>
      <c r="B113" s="14" t="s">
        <v>123</v>
      </c>
      <c r="C113" s="14" t="s">
        <v>124</v>
      </c>
      <c r="D113" s="14">
        <v>3</v>
      </c>
      <c r="E113" s="14">
        <v>4</v>
      </c>
      <c r="F113" s="14">
        <v>16</v>
      </c>
      <c r="G113" s="14">
        <v>2</v>
      </c>
      <c r="H113" s="14" t="s">
        <v>5</v>
      </c>
      <c r="I113" s="15">
        <v>41883</v>
      </c>
      <c r="J113" s="14" t="s">
        <v>127</v>
      </c>
      <c r="K113" s="21">
        <v>209</v>
      </c>
      <c r="L113" s="21"/>
      <c r="M113" s="21"/>
      <c r="N113" s="21"/>
      <c r="O113" s="24"/>
      <c r="P113" s="10">
        <v>-25.77</v>
      </c>
      <c r="Q113" s="10">
        <v>19</v>
      </c>
      <c r="R113" s="10">
        <v>132.6</v>
      </c>
      <c r="S113" s="16">
        <f t="shared" si="5"/>
        <v>3.9710000000000001</v>
      </c>
      <c r="T113" s="16">
        <f t="shared" si="6"/>
        <v>27.713399999999996</v>
      </c>
      <c r="AD113" s="3">
        <v>42284</v>
      </c>
      <c r="AE113" s="16">
        <v>1307.25</v>
      </c>
      <c r="AF113">
        <v>410.75</v>
      </c>
      <c r="AG113">
        <v>13.5</v>
      </c>
      <c r="AH113">
        <v>754.5</v>
      </c>
      <c r="AI113">
        <v>128.25</v>
      </c>
      <c r="AN113" t="s">
        <v>143</v>
      </c>
      <c r="AO113">
        <f t="shared" si="7"/>
        <v>2015</v>
      </c>
      <c r="AP113" t="str">
        <f t="shared" si="8"/>
        <v>Spitfire</v>
      </c>
      <c r="AQ113" t="str">
        <f t="shared" si="9"/>
        <v>Gatton2015CvSpitfire</v>
      </c>
      <c r="AV113" s="3">
        <v>42284</v>
      </c>
      <c r="AW113" s="16">
        <v>172.19828686720433</v>
      </c>
      <c r="AX113">
        <v>56.911480974111598</v>
      </c>
      <c r="AY113">
        <v>10.214368964029708</v>
      </c>
      <c r="AZ113">
        <v>101.48398888494677</v>
      </c>
      <c r="BA113">
        <v>15.392097539538485</v>
      </c>
    </row>
    <row r="114" spans="1:55" x14ac:dyDescent="0.25">
      <c r="A114" s="14">
        <v>2014</v>
      </c>
      <c r="B114" s="14" t="s">
        <v>123</v>
      </c>
      <c r="C114" s="14" t="s">
        <v>124</v>
      </c>
      <c r="D114" s="14">
        <v>3</v>
      </c>
      <c r="E114" s="14">
        <v>5</v>
      </c>
      <c r="F114" s="14">
        <v>17</v>
      </c>
      <c r="G114" s="14">
        <v>2</v>
      </c>
      <c r="H114" s="14" t="s">
        <v>14</v>
      </c>
      <c r="I114" s="15">
        <v>41883</v>
      </c>
      <c r="J114" s="14" t="s">
        <v>127</v>
      </c>
      <c r="K114" s="21">
        <v>214</v>
      </c>
      <c r="L114" s="21"/>
      <c r="M114" s="21"/>
      <c r="N114" s="21"/>
      <c r="O114" s="24"/>
      <c r="P114" s="10">
        <v>-26.18</v>
      </c>
      <c r="Q114" s="10">
        <v>21.6</v>
      </c>
      <c r="R114" s="10">
        <v>94.7</v>
      </c>
      <c r="S114" s="16">
        <f t="shared" si="5"/>
        <v>4.6224000000000007</v>
      </c>
      <c r="T114" s="16">
        <f t="shared" si="6"/>
        <v>20.265799999999999</v>
      </c>
      <c r="AC114" t="s">
        <v>9</v>
      </c>
      <c r="AD114" s="3">
        <v>42188</v>
      </c>
      <c r="AE114" s="16">
        <v>127.75</v>
      </c>
      <c r="AF114">
        <v>41</v>
      </c>
      <c r="AG114">
        <v>85.25</v>
      </c>
      <c r="AI114">
        <v>1.25</v>
      </c>
      <c r="AN114" t="s">
        <v>143</v>
      </c>
      <c r="AO114">
        <f t="shared" si="7"/>
        <v>2015</v>
      </c>
      <c r="AP114" t="str">
        <f t="shared" si="8"/>
        <v>Sunbee</v>
      </c>
      <c r="AQ114" t="str">
        <f t="shared" si="9"/>
        <v>Gatton2015CvSunbee</v>
      </c>
      <c r="AU114" t="s">
        <v>9</v>
      </c>
      <c r="AV114" s="3">
        <v>42188</v>
      </c>
      <c r="AW114" s="16">
        <v>19.224550276491083</v>
      </c>
      <c r="AX114">
        <v>5.41602560309064</v>
      </c>
      <c r="AY114">
        <v>13.598406769422169</v>
      </c>
      <c r="BA114">
        <v>0.5</v>
      </c>
    </row>
    <row r="115" spans="1:55" x14ac:dyDescent="0.25">
      <c r="A115" s="14">
        <v>2014</v>
      </c>
      <c r="B115" s="14" t="s">
        <v>123</v>
      </c>
      <c r="C115" s="14" t="s">
        <v>124</v>
      </c>
      <c r="D115" s="14">
        <v>3</v>
      </c>
      <c r="E115" s="14">
        <v>6</v>
      </c>
      <c r="F115" s="14">
        <v>18</v>
      </c>
      <c r="G115" s="14">
        <v>2</v>
      </c>
      <c r="H115" s="14" t="s">
        <v>7</v>
      </c>
      <c r="I115" s="15">
        <v>41883</v>
      </c>
      <c r="J115" s="14" t="s">
        <v>127</v>
      </c>
      <c r="K115" s="21">
        <v>236</v>
      </c>
      <c r="L115" s="21"/>
      <c r="M115" s="21"/>
      <c r="N115" s="21"/>
      <c r="O115" s="24"/>
      <c r="P115" s="10">
        <v>-25.74</v>
      </c>
      <c r="Q115" s="10">
        <v>16.8</v>
      </c>
      <c r="R115" s="10">
        <v>134.4</v>
      </c>
      <c r="S115" s="16">
        <f t="shared" si="5"/>
        <v>3.9648000000000003</v>
      </c>
      <c r="T115" s="16">
        <f t="shared" si="6"/>
        <v>31.718400000000003</v>
      </c>
      <c r="AD115" s="3">
        <v>42194</v>
      </c>
      <c r="AE115" s="16">
        <v>159</v>
      </c>
      <c r="AF115">
        <v>60.5</v>
      </c>
      <c r="AG115">
        <v>96.5</v>
      </c>
      <c r="AI115">
        <v>2</v>
      </c>
      <c r="AN115" t="s">
        <v>143</v>
      </c>
      <c r="AO115">
        <f t="shared" si="7"/>
        <v>2015</v>
      </c>
      <c r="AP115" t="str">
        <f t="shared" si="8"/>
        <v>Sunbee</v>
      </c>
      <c r="AQ115" t="str">
        <f t="shared" si="9"/>
        <v>Gatton2015CvSunbee</v>
      </c>
      <c r="AV115" s="3">
        <v>42194</v>
      </c>
      <c r="AW115" s="16">
        <v>14.212670403551895</v>
      </c>
      <c r="AX115">
        <v>8.9628864398325021</v>
      </c>
      <c r="AY115">
        <v>5.259911279353167</v>
      </c>
      <c r="BA115">
        <v>0.81649658092772603</v>
      </c>
    </row>
    <row r="116" spans="1:55" x14ac:dyDescent="0.25">
      <c r="A116" s="14">
        <v>2014</v>
      </c>
      <c r="B116" s="14" t="s">
        <v>123</v>
      </c>
      <c r="C116" s="14" t="s">
        <v>124</v>
      </c>
      <c r="D116" s="14">
        <v>4</v>
      </c>
      <c r="E116" s="14">
        <v>6</v>
      </c>
      <c r="F116" s="14">
        <v>19</v>
      </c>
      <c r="G116" s="14">
        <v>2</v>
      </c>
      <c r="H116" s="14" t="s">
        <v>6</v>
      </c>
      <c r="I116" s="15">
        <v>41883</v>
      </c>
      <c r="J116" s="14" t="s">
        <v>127</v>
      </c>
      <c r="K116" s="21">
        <v>173</v>
      </c>
      <c r="L116" s="21"/>
      <c r="M116" s="21"/>
      <c r="N116" s="21"/>
      <c r="O116" s="24"/>
      <c r="P116" s="10">
        <v>-26.03</v>
      </c>
      <c r="Q116" s="10">
        <v>25.1</v>
      </c>
      <c r="R116" s="10">
        <v>104.8</v>
      </c>
      <c r="S116" s="16">
        <f t="shared" si="5"/>
        <v>4.3422999999999998</v>
      </c>
      <c r="T116" s="16">
        <f t="shared" si="6"/>
        <v>18.130399999999998</v>
      </c>
      <c r="AD116" s="3">
        <v>42213</v>
      </c>
      <c r="AE116" s="16">
        <v>391.5</v>
      </c>
      <c r="AF116">
        <v>210.75</v>
      </c>
      <c r="AG116">
        <v>159.5</v>
      </c>
      <c r="AI116">
        <v>21.25</v>
      </c>
      <c r="AN116" t="s">
        <v>143</v>
      </c>
      <c r="AO116">
        <f t="shared" si="7"/>
        <v>2015</v>
      </c>
      <c r="AP116" t="str">
        <f t="shared" si="8"/>
        <v>Sunbee</v>
      </c>
      <c r="AQ116" t="str">
        <f t="shared" si="9"/>
        <v>Gatton2015CvSunbee</v>
      </c>
      <c r="AV116" s="3">
        <v>42213</v>
      </c>
      <c r="AW116" s="16">
        <v>82.180695218930012</v>
      </c>
      <c r="AX116">
        <v>52.848052628896994</v>
      </c>
      <c r="AY116">
        <v>28.965496715920477</v>
      </c>
      <c r="BA116">
        <v>11.056672193747991</v>
      </c>
    </row>
    <row r="117" spans="1:55" x14ac:dyDescent="0.25">
      <c r="A117" s="14">
        <v>2014</v>
      </c>
      <c r="B117" s="14" t="s">
        <v>123</v>
      </c>
      <c r="C117" s="14" t="s">
        <v>124</v>
      </c>
      <c r="D117" s="14">
        <v>4</v>
      </c>
      <c r="E117" s="14">
        <v>5</v>
      </c>
      <c r="F117" s="14">
        <v>20</v>
      </c>
      <c r="G117" s="14">
        <v>2</v>
      </c>
      <c r="H117" s="14" t="s">
        <v>3</v>
      </c>
      <c r="I117" s="15">
        <v>41883</v>
      </c>
      <c r="J117" s="14" t="s">
        <v>127</v>
      </c>
      <c r="K117" s="21">
        <v>279</v>
      </c>
      <c r="L117" s="21"/>
      <c r="M117" s="21"/>
      <c r="N117" s="21"/>
      <c r="O117" s="24"/>
      <c r="P117" s="10">
        <v>-26.3</v>
      </c>
      <c r="Q117" s="10">
        <v>27.4</v>
      </c>
      <c r="R117" s="10">
        <v>88.5</v>
      </c>
      <c r="S117" s="16">
        <f t="shared" si="5"/>
        <v>7.6445999999999996</v>
      </c>
      <c r="T117" s="16">
        <f t="shared" si="6"/>
        <v>24.691500000000001</v>
      </c>
      <c r="AD117" s="3">
        <v>42234</v>
      </c>
      <c r="AE117" s="16">
        <v>827</v>
      </c>
      <c r="AF117">
        <v>461</v>
      </c>
      <c r="AG117">
        <v>177</v>
      </c>
      <c r="AH117">
        <v>141.25</v>
      </c>
      <c r="AI117">
        <v>48</v>
      </c>
      <c r="AN117" t="s">
        <v>143</v>
      </c>
      <c r="AO117">
        <f t="shared" si="7"/>
        <v>2015</v>
      </c>
      <c r="AP117" t="str">
        <f t="shared" si="8"/>
        <v>Sunbee</v>
      </c>
      <c r="AQ117" t="str">
        <f t="shared" si="9"/>
        <v>Gatton2015CvSunbee</v>
      </c>
      <c r="AV117" s="3">
        <v>42234</v>
      </c>
      <c r="AW117" s="16">
        <v>119.5798199251585</v>
      </c>
      <c r="AX117">
        <v>71.474937332373131</v>
      </c>
      <c r="AY117">
        <v>25.019992006393608</v>
      </c>
      <c r="AZ117">
        <v>21.124630174277609</v>
      </c>
      <c r="BA117">
        <v>12.780193008453876</v>
      </c>
    </row>
    <row r="118" spans="1:55" x14ac:dyDescent="0.25">
      <c r="A118" s="14">
        <v>2014</v>
      </c>
      <c r="B118" s="14" t="s">
        <v>123</v>
      </c>
      <c r="C118" s="14" t="s">
        <v>124</v>
      </c>
      <c r="D118" s="14">
        <v>4</v>
      </c>
      <c r="E118" s="14">
        <v>4</v>
      </c>
      <c r="F118" s="14">
        <v>21</v>
      </c>
      <c r="G118" s="14">
        <v>2</v>
      </c>
      <c r="H118" s="14" t="s">
        <v>9</v>
      </c>
      <c r="I118" s="15">
        <v>41883</v>
      </c>
      <c r="J118" s="14" t="s">
        <v>127</v>
      </c>
      <c r="K118" s="21">
        <v>215</v>
      </c>
      <c r="L118" s="21"/>
      <c r="M118" s="21"/>
      <c r="N118" s="21"/>
      <c r="O118" s="24"/>
      <c r="P118" s="10">
        <v>-26.24</v>
      </c>
      <c r="Q118" s="10">
        <v>22.5</v>
      </c>
      <c r="R118" s="10">
        <v>90.9</v>
      </c>
      <c r="S118" s="16">
        <f t="shared" si="5"/>
        <v>4.8375000000000004</v>
      </c>
      <c r="T118" s="16">
        <f t="shared" si="6"/>
        <v>19.543500000000002</v>
      </c>
      <c r="AD118" s="3">
        <v>42284</v>
      </c>
      <c r="AE118" s="16">
        <v>1405.5</v>
      </c>
      <c r="AF118">
        <v>507.25</v>
      </c>
      <c r="AG118">
        <v>10.5</v>
      </c>
      <c r="AH118">
        <v>732.75</v>
      </c>
      <c r="AI118">
        <v>159.75</v>
      </c>
      <c r="AN118" t="s">
        <v>143</v>
      </c>
      <c r="AO118">
        <f t="shared" si="7"/>
        <v>2015</v>
      </c>
      <c r="AP118" t="str">
        <f t="shared" si="8"/>
        <v>Sunbee</v>
      </c>
      <c r="AQ118" t="str">
        <f t="shared" si="9"/>
        <v>Gatton2015CvSunbee</v>
      </c>
      <c r="AV118" s="3">
        <v>42284</v>
      </c>
      <c r="AW118" s="16">
        <v>104.65976622688714</v>
      </c>
      <c r="AX118">
        <v>51.23394057328273</v>
      </c>
      <c r="AY118">
        <v>4.9497474683058327</v>
      </c>
      <c r="AZ118">
        <v>59.86860613042532</v>
      </c>
      <c r="BA118">
        <v>8.8081401744825403</v>
      </c>
    </row>
    <row r="119" spans="1:55" x14ac:dyDescent="0.25">
      <c r="A119" s="14">
        <v>2014</v>
      </c>
      <c r="B119" s="14" t="s">
        <v>123</v>
      </c>
      <c r="C119" s="14" t="s">
        <v>124</v>
      </c>
      <c r="D119" s="14">
        <v>4</v>
      </c>
      <c r="E119" s="14">
        <v>3</v>
      </c>
      <c r="F119" s="14">
        <v>22</v>
      </c>
      <c r="G119" s="14">
        <v>2</v>
      </c>
      <c r="H119" s="14" t="s">
        <v>2</v>
      </c>
      <c r="I119" s="15">
        <v>41883</v>
      </c>
      <c r="J119" s="14" t="s">
        <v>127</v>
      </c>
      <c r="K119" s="21">
        <v>307</v>
      </c>
      <c r="L119" s="21"/>
      <c r="M119" s="21"/>
      <c r="N119" s="21"/>
      <c r="O119" s="24"/>
      <c r="P119" s="10">
        <v>-25.99</v>
      </c>
      <c r="Q119" s="10">
        <v>24.1</v>
      </c>
      <c r="R119" s="10">
        <v>120.6</v>
      </c>
      <c r="S119" s="16">
        <f t="shared" si="5"/>
        <v>7.3987000000000007</v>
      </c>
      <c r="T119" s="16">
        <f t="shared" si="6"/>
        <v>37.0242</v>
      </c>
      <c r="AC119" t="s">
        <v>6</v>
      </c>
      <c r="AD119" s="3">
        <v>42188</v>
      </c>
      <c r="AE119" s="16">
        <v>129.75</v>
      </c>
      <c r="AF119">
        <v>45.25</v>
      </c>
      <c r="AG119">
        <v>83.5</v>
      </c>
      <c r="AI119">
        <v>1.25</v>
      </c>
      <c r="AN119" t="s">
        <v>143</v>
      </c>
      <c r="AO119">
        <f t="shared" si="7"/>
        <v>2015</v>
      </c>
      <c r="AP119" t="str">
        <f t="shared" si="8"/>
        <v>Sunstate</v>
      </c>
      <c r="AQ119" t="str">
        <f t="shared" si="9"/>
        <v>Gatton2015CvSunstate</v>
      </c>
      <c r="AU119" t="s">
        <v>6</v>
      </c>
      <c r="AV119" s="3">
        <v>42188</v>
      </c>
      <c r="AW119" s="16">
        <v>30.663496212923928</v>
      </c>
      <c r="AX119">
        <v>11.236102527122116</v>
      </c>
      <c r="AY119">
        <v>19.364916731037084</v>
      </c>
      <c r="BA119">
        <v>1.2583057392117916</v>
      </c>
    </row>
    <row r="120" spans="1:55" x14ac:dyDescent="0.25">
      <c r="A120" s="14">
        <v>2014</v>
      </c>
      <c r="B120" s="14" t="s">
        <v>123</v>
      </c>
      <c r="C120" s="14" t="s">
        <v>124</v>
      </c>
      <c r="D120" s="14">
        <v>4</v>
      </c>
      <c r="E120" s="14">
        <v>2</v>
      </c>
      <c r="F120" s="14">
        <v>23</v>
      </c>
      <c r="G120" s="14">
        <v>2</v>
      </c>
      <c r="H120" s="14" t="s">
        <v>13</v>
      </c>
      <c r="I120" s="15">
        <v>41883</v>
      </c>
      <c r="J120" s="14" t="s">
        <v>127</v>
      </c>
      <c r="K120" s="21">
        <v>264</v>
      </c>
      <c r="L120" s="21"/>
      <c r="M120" s="21"/>
      <c r="N120" s="21"/>
      <c r="O120" s="24"/>
      <c r="P120" s="10">
        <v>-25.63</v>
      </c>
      <c r="Q120" s="10">
        <v>24.5</v>
      </c>
      <c r="R120" s="10">
        <v>160.5</v>
      </c>
      <c r="S120" s="16">
        <f t="shared" si="5"/>
        <v>6.468</v>
      </c>
      <c r="T120" s="16">
        <f t="shared" si="6"/>
        <v>42.372</v>
      </c>
      <c r="AD120" s="3">
        <v>42194</v>
      </c>
      <c r="AE120" s="16">
        <v>136.5</v>
      </c>
      <c r="AF120">
        <v>52.5</v>
      </c>
      <c r="AG120">
        <v>82.25</v>
      </c>
      <c r="AI120">
        <v>1.5</v>
      </c>
      <c r="AN120" t="s">
        <v>143</v>
      </c>
      <c r="AO120">
        <f t="shared" si="7"/>
        <v>2015</v>
      </c>
      <c r="AP120" t="str">
        <f t="shared" si="8"/>
        <v>Sunstate</v>
      </c>
      <c r="AQ120" t="str">
        <f t="shared" si="9"/>
        <v>Gatton2015CvSunstate</v>
      </c>
      <c r="AV120" s="3">
        <v>42194</v>
      </c>
      <c r="AW120" s="16">
        <v>12.871156384205214</v>
      </c>
      <c r="AX120">
        <v>5.4467115461227307</v>
      </c>
      <c r="AY120">
        <v>7.6757192931129694</v>
      </c>
      <c r="BA120">
        <v>0.57735026918962573</v>
      </c>
    </row>
    <row r="121" spans="1:55" x14ac:dyDescent="0.25">
      <c r="A121" s="14">
        <v>2014</v>
      </c>
      <c r="B121" s="14" t="s">
        <v>123</v>
      </c>
      <c r="C121" s="14" t="s">
        <v>124</v>
      </c>
      <c r="D121" s="14">
        <v>4</v>
      </c>
      <c r="E121" s="14">
        <v>1</v>
      </c>
      <c r="F121" s="14">
        <v>24</v>
      </c>
      <c r="G121" s="14">
        <v>2</v>
      </c>
      <c r="H121" s="14" t="s">
        <v>10</v>
      </c>
      <c r="I121" s="15">
        <v>41883</v>
      </c>
      <c r="J121" s="14" t="s">
        <v>127</v>
      </c>
      <c r="K121" s="21">
        <v>296</v>
      </c>
      <c r="L121" s="21"/>
      <c r="M121" s="21"/>
      <c r="N121" s="21"/>
      <c r="O121" s="24"/>
      <c r="P121" s="10">
        <v>-25.97</v>
      </c>
      <c r="Q121" s="10">
        <v>19.3</v>
      </c>
      <c r="R121" s="10">
        <v>119.9</v>
      </c>
      <c r="S121" s="16">
        <f t="shared" si="5"/>
        <v>5.7128000000000005</v>
      </c>
      <c r="T121" s="16">
        <f t="shared" si="6"/>
        <v>35.490400000000001</v>
      </c>
      <c r="AD121" s="3">
        <v>42209</v>
      </c>
      <c r="AE121" s="16">
        <v>311.75</v>
      </c>
      <c r="AF121">
        <v>166.5</v>
      </c>
      <c r="AG121">
        <v>136</v>
      </c>
      <c r="AI121">
        <v>9</v>
      </c>
      <c r="AN121" t="s">
        <v>143</v>
      </c>
      <c r="AO121">
        <f t="shared" si="7"/>
        <v>2015</v>
      </c>
      <c r="AP121" t="str">
        <f t="shared" si="8"/>
        <v>Sunstate</v>
      </c>
      <c r="AQ121" t="str">
        <f t="shared" si="9"/>
        <v>Gatton2015CvSunstate</v>
      </c>
      <c r="AV121" s="3">
        <v>42209</v>
      </c>
      <c r="AW121" s="16">
        <v>35.490609086536303</v>
      </c>
      <c r="AX121">
        <v>23.96525262402492</v>
      </c>
      <c r="AY121">
        <v>17.4928556845359</v>
      </c>
      <c r="BA121">
        <v>2.1602468994692869</v>
      </c>
    </row>
    <row r="122" spans="1:55" x14ac:dyDescent="0.25">
      <c r="A122" s="14">
        <v>2014</v>
      </c>
      <c r="B122" s="14" t="s">
        <v>123</v>
      </c>
      <c r="C122" s="14" t="s">
        <v>124</v>
      </c>
      <c r="D122" s="14">
        <v>5</v>
      </c>
      <c r="E122" s="14">
        <v>1</v>
      </c>
      <c r="F122" s="14">
        <v>25</v>
      </c>
      <c r="G122" s="14">
        <v>3</v>
      </c>
      <c r="H122" s="14" t="s">
        <v>9</v>
      </c>
      <c r="I122" s="15">
        <v>41883</v>
      </c>
      <c r="J122" s="14" t="s">
        <v>127</v>
      </c>
      <c r="K122" s="21">
        <v>252</v>
      </c>
      <c r="L122" s="21"/>
      <c r="M122" s="21"/>
      <c r="N122" s="21"/>
      <c r="O122" s="24"/>
      <c r="P122" s="10">
        <v>-25.56</v>
      </c>
      <c r="Q122" s="10">
        <v>25.3</v>
      </c>
      <c r="R122" s="10">
        <v>160.80000000000001</v>
      </c>
      <c r="S122" s="16">
        <f t="shared" si="5"/>
        <v>6.3756000000000004</v>
      </c>
      <c r="T122" s="16">
        <f t="shared" si="6"/>
        <v>40.521600000000007</v>
      </c>
      <c r="AD122" s="3">
        <v>42234</v>
      </c>
      <c r="AE122" s="16">
        <v>851</v>
      </c>
      <c r="AF122">
        <v>477.25</v>
      </c>
      <c r="AG122">
        <v>175.75</v>
      </c>
      <c r="AH122">
        <v>157</v>
      </c>
      <c r="AI122">
        <v>40.75</v>
      </c>
      <c r="AN122" t="s">
        <v>143</v>
      </c>
      <c r="AO122">
        <f t="shared" si="7"/>
        <v>2015</v>
      </c>
      <c r="AP122" t="str">
        <f t="shared" si="8"/>
        <v>Sunstate</v>
      </c>
      <c r="AQ122" t="str">
        <f t="shared" si="9"/>
        <v>Gatton2015CvSunstate</v>
      </c>
      <c r="AV122" s="3">
        <v>42234</v>
      </c>
      <c r="AW122" s="16">
        <v>53.597263611742967</v>
      </c>
      <c r="AX122">
        <v>31.889130854676278</v>
      </c>
      <c r="AY122">
        <v>13.225606476327151</v>
      </c>
      <c r="AZ122">
        <v>21.447610589527216</v>
      </c>
      <c r="BA122">
        <v>5.6789083458002736</v>
      </c>
    </row>
    <row r="123" spans="1:55" x14ac:dyDescent="0.25">
      <c r="A123" s="14">
        <v>2014</v>
      </c>
      <c r="B123" s="14" t="s">
        <v>123</v>
      </c>
      <c r="C123" s="14" t="s">
        <v>124</v>
      </c>
      <c r="D123" s="14">
        <v>5</v>
      </c>
      <c r="E123" s="14">
        <v>2</v>
      </c>
      <c r="F123" s="14">
        <v>26</v>
      </c>
      <c r="G123" s="14">
        <v>3</v>
      </c>
      <c r="H123" s="14" t="s">
        <v>6</v>
      </c>
      <c r="I123" s="15">
        <v>41883</v>
      </c>
      <c r="J123" s="14" t="s">
        <v>127</v>
      </c>
      <c r="K123" s="21">
        <v>193</v>
      </c>
      <c r="L123" s="21"/>
      <c r="M123" s="21"/>
      <c r="N123" s="21"/>
      <c r="O123" s="24"/>
      <c r="P123" s="10">
        <v>-26.19</v>
      </c>
      <c r="Q123" s="10">
        <v>27.4</v>
      </c>
      <c r="R123" s="10">
        <v>91.7</v>
      </c>
      <c r="S123" s="16">
        <f t="shared" si="5"/>
        <v>5.2881999999999998</v>
      </c>
      <c r="T123" s="16">
        <f t="shared" si="6"/>
        <v>17.698100000000004</v>
      </c>
      <c r="AD123" s="3">
        <v>42284</v>
      </c>
      <c r="AE123" s="16">
        <v>1350.25</v>
      </c>
      <c r="AF123">
        <v>455.25</v>
      </c>
      <c r="AG123">
        <v>7.25</v>
      </c>
      <c r="AH123">
        <v>742.75</v>
      </c>
      <c r="AI123">
        <v>145.25</v>
      </c>
      <c r="AN123" t="s">
        <v>143</v>
      </c>
      <c r="AO123">
        <f t="shared" si="7"/>
        <v>2015</v>
      </c>
      <c r="AP123" t="str">
        <f t="shared" si="8"/>
        <v>Sunstate</v>
      </c>
      <c r="AQ123" t="str">
        <f t="shared" si="9"/>
        <v>Gatton2015CvSunstate</v>
      </c>
      <c r="AV123" s="3">
        <v>42284</v>
      </c>
      <c r="AW123" s="16">
        <v>139.38286599626704</v>
      </c>
      <c r="AX123">
        <v>41.644327344789708</v>
      </c>
      <c r="AY123">
        <v>2.5</v>
      </c>
      <c r="AZ123">
        <v>83.523948661446795</v>
      </c>
      <c r="BA123">
        <v>38.741665770416567</v>
      </c>
    </row>
    <row r="124" spans="1:55" x14ac:dyDescent="0.25">
      <c r="A124" s="14">
        <v>2014</v>
      </c>
      <c r="B124" s="14" t="s">
        <v>123</v>
      </c>
      <c r="C124" s="14" t="s">
        <v>124</v>
      </c>
      <c r="D124" s="14">
        <v>5</v>
      </c>
      <c r="E124" s="14">
        <v>3</v>
      </c>
      <c r="F124" s="14">
        <v>27</v>
      </c>
      <c r="G124" s="14">
        <v>3</v>
      </c>
      <c r="H124" s="14" t="s">
        <v>2</v>
      </c>
      <c r="I124" s="15">
        <v>41883</v>
      </c>
      <c r="J124" s="14" t="s">
        <v>127</v>
      </c>
      <c r="K124" s="21">
        <v>319</v>
      </c>
      <c r="L124" s="21"/>
      <c r="M124" s="21"/>
      <c r="N124" s="21"/>
      <c r="O124" s="24"/>
      <c r="P124" s="10">
        <v>-25.77</v>
      </c>
      <c r="Q124" s="10">
        <v>22.9</v>
      </c>
      <c r="R124" s="10">
        <v>136.30000000000001</v>
      </c>
      <c r="S124" s="16">
        <f t="shared" si="5"/>
        <v>7.3050999999999995</v>
      </c>
      <c r="T124" s="16">
        <f t="shared" si="6"/>
        <v>43.479700000000001</v>
      </c>
      <c r="AA124" t="s">
        <v>135</v>
      </c>
      <c r="AB124">
        <v>2014</v>
      </c>
      <c r="AC124" t="s">
        <v>13</v>
      </c>
      <c r="AD124" s="3">
        <v>41834</v>
      </c>
      <c r="AE124" s="16">
        <v>139</v>
      </c>
      <c r="AF124">
        <v>55.5</v>
      </c>
      <c r="AG124">
        <v>83.5</v>
      </c>
      <c r="AI124">
        <v>0</v>
      </c>
      <c r="AJ124">
        <v>5.9850500000000002</v>
      </c>
      <c r="AK124">
        <v>3.3732249999999997</v>
      </c>
      <c r="AN124" t="s">
        <v>143</v>
      </c>
      <c r="AO124">
        <f t="shared" si="7"/>
        <v>2014</v>
      </c>
      <c r="AP124" t="str">
        <f t="shared" si="8"/>
        <v>29B</v>
      </c>
      <c r="AQ124" t="str">
        <f>AN124&amp;AO124&amp;"Irrigated"&amp;"Cv"&amp;AP124</f>
        <v>Gatton2014IrrigatedCv29B</v>
      </c>
      <c r="AS124" t="s">
        <v>135</v>
      </c>
      <c r="AT124">
        <v>2014</v>
      </c>
      <c r="AU124" t="s">
        <v>13</v>
      </c>
      <c r="AV124" s="3">
        <v>41834</v>
      </c>
      <c r="AW124" s="16">
        <v>13.589211407093005</v>
      </c>
      <c r="AX124">
        <v>6.1373175465073224</v>
      </c>
      <c r="AY124">
        <v>7.5055534994651349</v>
      </c>
      <c r="BA124">
        <v>0</v>
      </c>
      <c r="BB124">
        <v>0.90673002781055523</v>
      </c>
      <c r="BC124">
        <v>0.56209854637183787</v>
      </c>
    </row>
    <row r="125" spans="1:55" x14ac:dyDescent="0.25">
      <c r="A125" s="14">
        <v>2014</v>
      </c>
      <c r="B125" s="14" t="s">
        <v>123</v>
      </c>
      <c r="C125" s="14" t="s">
        <v>124</v>
      </c>
      <c r="D125" s="14">
        <v>5</v>
      </c>
      <c r="E125" s="14">
        <v>4</v>
      </c>
      <c r="F125" s="14">
        <v>28</v>
      </c>
      <c r="G125" s="14">
        <v>3</v>
      </c>
      <c r="H125" s="14" t="s">
        <v>14</v>
      </c>
      <c r="I125" s="15">
        <v>41883</v>
      </c>
      <c r="J125" s="14" t="s">
        <v>127</v>
      </c>
      <c r="K125" s="21">
        <v>214</v>
      </c>
      <c r="L125" s="21"/>
      <c r="M125" s="21"/>
      <c r="N125" s="21"/>
      <c r="O125" s="24"/>
      <c r="P125" s="10">
        <v>-26.22</v>
      </c>
      <c r="Q125" s="10">
        <v>26.7</v>
      </c>
      <c r="R125" s="10">
        <v>87</v>
      </c>
      <c r="S125" s="16">
        <f t="shared" si="5"/>
        <v>5.7138</v>
      </c>
      <c r="T125" s="16">
        <f t="shared" si="6"/>
        <v>18.617999999999999</v>
      </c>
      <c r="AD125" s="3">
        <v>41842</v>
      </c>
      <c r="AE125" s="16">
        <v>217</v>
      </c>
      <c r="AF125">
        <v>87.75</v>
      </c>
      <c r="AG125">
        <v>127.5</v>
      </c>
      <c r="AI125">
        <v>2</v>
      </c>
      <c r="AN125" t="s">
        <v>143</v>
      </c>
      <c r="AO125">
        <f t="shared" si="7"/>
        <v>2014</v>
      </c>
      <c r="AP125" t="str">
        <f t="shared" si="8"/>
        <v>29B</v>
      </c>
      <c r="AQ125" t="str">
        <f t="shared" ref="AQ125:AQ183" si="10">AN125&amp;AO125&amp;"Irrigated"&amp;"Cv"&amp;AP125</f>
        <v>Gatton2014IrrigatedCv29B</v>
      </c>
      <c r="AV125" s="3">
        <v>41842</v>
      </c>
      <c r="AW125" s="16">
        <v>72.677369242426494</v>
      </c>
      <c r="AX125">
        <v>29.859392715414245</v>
      </c>
      <c r="AY125">
        <v>40.352612472222084</v>
      </c>
      <c r="BA125">
        <v>2.8284271247461903</v>
      </c>
    </row>
    <row r="126" spans="1:55" x14ac:dyDescent="0.25">
      <c r="A126" s="14">
        <v>2014</v>
      </c>
      <c r="B126" s="14" t="s">
        <v>123</v>
      </c>
      <c r="C126" s="14" t="s">
        <v>124</v>
      </c>
      <c r="D126" s="14">
        <v>5</v>
      </c>
      <c r="E126" s="14">
        <v>5</v>
      </c>
      <c r="F126" s="14">
        <v>29</v>
      </c>
      <c r="G126" s="14">
        <v>3</v>
      </c>
      <c r="H126" s="14" t="s">
        <v>8</v>
      </c>
      <c r="I126" s="15">
        <v>41883</v>
      </c>
      <c r="J126" s="14" t="s">
        <v>127</v>
      </c>
      <c r="K126" s="21">
        <v>272</v>
      </c>
      <c r="L126" s="21"/>
      <c r="M126" s="21"/>
      <c r="N126" s="21"/>
      <c r="O126" s="24"/>
      <c r="P126" s="10">
        <v>-25.78</v>
      </c>
      <c r="Q126" s="10">
        <v>24</v>
      </c>
      <c r="R126" s="10">
        <v>126.5</v>
      </c>
      <c r="S126" s="16">
        <f t="shared" si="5"/>
        <v>6.5279999999999996</v>
      </c>
      <c r="T126" s="16">
        <f t="shared" si="6"/>
        <v>34.408000000000001</v>
      </c>
      <c r="AD126" s="3">
        <v>41863</v>
      </c>
      <c r="AE126" s="16">
        <v>580.25</v>
      </c>
      <c r="AF126">
        <v>276</v>
      </c>
      <c r="AG126">
        <v>273</v>
      </c>
      <c r="AI126">
        <v>31</v>
      </c>
      <c r="AJ126">
        <v>0</v>
      </c>
      <c r="AK126">
        <v>0</v>
      </c>
      <c r="AN126" t="s">
        <v>143</v>
      </c>
      <c r="AO126">
        <f t="shared" si="7"/>
        <v>2014</v>
      </c>
      <c r="AP126" t="str">
        <f t="shared" si="8"/>
        <v>29B</v>
      </c>
      <c r="AQ126" t="str">
        <f t="shared" si="10"/>
        <v>Gatton2014IrrigatedCv29B</v>
      </c>
      <c r="AV126" s="3">
        <v>41863</v>
      </c>
      <c r="AW126" s="16">
        <v>85.737486939300169</v>
      </c>
      <c r="AX126">
        <v>68.063695658307211</v>
      </c>
      <c r="AY126">
        <v>19.131126469708992</v>
      </c>
      <c r="BA126">
        <v>11.401754250991379</v>
      </c>
      <c r="BB126" t="e">
        <v>#DIV/0!</v>
      </c>
      <c r="BC126" t="e">
        <v>#DIV/0!</v>
      </c>
    </row>
    <row r="127" spans="1:55" x14ac:dyDescent="0.25">
      <c r="A127" s="14">
        <v>2014</v>
      </c>
      <c r="B127" s="14" t="s">
        <v>123</v>
      </c>
      <c r="C127" s="14" t="s">
        <v>124</v>
      </c>
      <c r="D127" s="14">
        <v>5</v>
      </c>
      <c r="E127" s="14">
        <v>6</v>
      </c>
      <c r="F127" s="14">
        <v>30</v>
      </c>
      <c r="G127" s="14">
        <v>3</v>
      </c>
      <c r="H127" s="14" t="s">
        <v>12</v>
      </c>
      <c r="I127" s="15">
        <v>41883</v>
      </c>
      <c r="J127" s="14" t="s">
        <v>127</v>
      </c>
      <c r="K127" s="21">
        <v>253</v>
      </c>
      <c r="L127" s="21"/>
      <c r="M127" s="21"/>
      <c r="N127" s="21"/>
      <c r="O127" s="24"/>
      <c r="P127" s="10">
        <v>-25.93</v>
      </c>
      <c r="Q127" s="10">
        <v>24.2</v>
      </c>
      <c r="R127" s="10">
        <v>118.6</v>
      </c>
      <c r="S127" s="16">
        <f t="shared" si="5"/>
        <v>6.1225999999999994</v>
      </c>
      <c r="T127" s="16">
        <f t="shared" si="6"/>
        <v>30.005800000000001</v>
      </c>
      <c r="AD127" s="3">
        <v>41883</v>
      </c>
      <c r="AE127" s="16">
        <v>1042.5</v>
      </c>
      <c r="AF127">
        <v>532</v>
      </c>
      <c r="AG127">
        <v>253</v>
      </c>
      <c r="AH127">
        <v>202.25</v>
      </c>
      <c r="AI127">
        <v>55.5</v>
      </c>
      <c r="AJ127">
        <v>15.858700000000001</v>
      </c>
      <c r="AK127">
        <v>83.194874999999996</v>
      </c>
      <c r="AN127" t="s">
        <v>143</v>
      </c>
      <c r="AO127">
        <f t="shared" si="7"/>
        <v>2014</v>
      </c>
      <c r="AP127" t="str">
        <f t="shared" si="8"/>
        <v>29B</v>
      </c>
      <c r="AQ127" t="str">
        <f t="shared" si="10"/>
        <v>Gatton2014IrrigatedCv29B</v>
      </c>
      <c r="AV127" s="3">
        <v>41883</v>
      </c>
      <c r="AW127" s="16">
        <v>57.997126365593893</v>
      </c>
      <c r="AX127">
        <v>32.362529773386584</v>
      </c>
      <c r="AY127">
        <v>15.405626677721791</v>
      </c>
      <c r="AZ127">
        <v>15.456929406148772</v>
      </c>
      <c r="BA127">
        <v>20.615528128088304</v>
      </c>
      <c r="BB127">
        <v>2.951531219553674</v>
      </c>
      <c r="BC127">
        <v>15.452718005230256</v>
      </c>
    </row>
    <row r="128" spans="1:55" x14ac:dyDescent="0.25">
      <c r="A128" s="14">
        <v>2014</v>
      </c>
      <c r="B128" s="14" t="s">
        <v>123</v>
      </c>
      <c r="C128" s="14" t="s">
        <v>124</v>
      </c>
      <c r="D128" s="14">
        <v>6</v>
      </c>
      <c r="E128" s="14">
        <v>6</v>
      </c>
      <c r="F128" s="14">
        <v>31</v>
      </c>
      <c r="G128" s="14">
        <v>3</v>
      </c>
      <c r="H128" s="14" t="s">
        <v>5</v>
      </c>
      <c r="I128" s="15">
        <v>41883</v>
      </c>
      <c r="J128" s="14" t="s">
        <v>127</v>
      </c>
      <c r="K128" s="21">
        <v>246</v>
      </c>
      <c r="L128" s="21"/>
      <c r="M128" s="21"/>
      <c r="N128" s="21"/>
      <c r="O128" s="24"/>
      <c r="P128" s="10">
        <v>-25.66</v>
      </c>
      <c r="Q128" s="10">
        <v>25.7</v>
      </c>
      <c r="R128" s="10">
        <v>142.80000000000001</v>
      </c>
      <c r="S128" s="16">
        <f t="shared" si="5"/>
        <v>6.3221999999999996</v>
      </c>
      <c r="T128" s="16">
        <f t="shared" si="6"/>
        <v>35.128800000000005</v>
      </c>
      <c r="AD128" s="3">
        <v>41947</v>
      </c>
      <c r="AE128" s="16">
        <v>1701.25</v>
      </c>
      <c r="AF128">
        <v>554.5</v>
      </c>
      <c r="AG128">
        <v>0</v>
      </c>
      <c r="AH128">
        <v>1060.25</v>
      </c>
      <c r="AI128">
        <v>86.75</v>
      </c>
      <c r="AN128" t="s">
        <v>143</v>
      </c>
      <c r="AO128">
        <f t="shared" si="7"/>
        <v>2014</v>
      </c>
      <c r="AP128" t="str">
        <f t="shared" si="8"/>
        <v>29B</v>
      </c>
      <c r="AQ128" t="str">
        <f t="shared" si="10"/>
        <v>Gatton2014IrrigatedCv29B</v>
      </c>
      <c r="AV128" s="3">
        <v>41947</v>
      </c>
      <c r="AW128" s="16">
        <v>76.787043177869535</v>
      </c>
      <c r="AX128">
        <v>33.271609519228249</v>
      </c>
      <c r="AY128">
        <v>0</v>
      </c>
      <c r="AZ128">
        <v>54.119466614765031</v>
      </c>
      <c r="BA128">
        <v>18.714967272212903</v>
      </c>
    </row>
    <row r="129" spans="1:55" x14ac:dyDescent="0.25">
      <c r="A129" s="14">
        <v>2014</v>
      </c>
      <c r="B129" s="14" t="s">
        <v>123</v>
      </c>
      <c r="C129" s="14" t="s">
        <v>124</v>
      </c>
      <c r="D129" s="14">
        <v>6</v>
      </c>
      <c r="E129" s="14">
        <v>5</v>
      </c>
      <c r="F129" s="14">
        <v>32</v>
      </c>
      <c r="G129" s="14">
        <v>3</v>
      </c>
      <c r="H129" s="14" t="s">
        <v>7</v>
      </c>
      <c r="I129" s="15">
        <v>41883</v>
      </c>
      <c r="J129" s="14" t="s">
        <v>127</v>
      </c>
      <c r="K129" s="21">
        <v>179</v>
      </c>
      <c r="L129" s="21"/>
      <c r="M129" s="21"/>
      <c r="N129" s="21"/>
      <c r="O129" s="24"/>
      <c r="P129" s="10">
        <v>-26.02</v>
      </c>
      <c r="Q129" s="10">
        <v>26.5</v>
      </c>
      <c r="R129" s="10">
        <v>104.7</v>
      </c>
      <c r="S129" s="16">
        <f t="shared" si="5"/>
        <v>4.7435</v>
      </c>
      <c r="T129" s="16">
        <f t="shared" si="6"/>
        <v>18.741299999999999</v>
      </c>
      <c r="AC129" t="s">
        <v>14</v>
      </c>
      <c r="AD129" s="3">
        <v>41834</v>
      </c>
      <c r="AE129" s="16">
        <v>112.5</v>
      </c>
      <c r="AF129">
        <v>37.75</v>
      </c>
      <c r="AG129">
        <v>75</v>
      </c>
      <c r="AI129">
        <v>0</v>
      </c>
      <c r="AJ129">
        <v>5.0422666666666665</v>
      </c>
      <c r="AK129">
        <v>2.5430666666666668</v>
      </c>
      <c r="AN129" t="s">
        <v>143</v>
      </c>
      <c r="AO129">
        <f t="shared" si="7"/>
        <v>2014</v>
      </c>
      <c r="AP129" t="str">
        <f t="shared" si="8"/>
        <v>5A</v>
      </c>
      <c r="AQ129" t="str">
        <f t="shared" si="10"/>
        <v>Gatton2014IrrigatedCv5A</v>
      </c>
      <c r="AU129" t="s">
        <v>14</v>
      </c>
      <c r="AV129" s="3">
        <v>41834</v>
      </c>
      <c r="AW129" s="16">
        <v>11.150485789118488</v>
      </c>
      <c r="AX129">
        <v>3.3040379335998349</v>
      </c>
      <c r="AY129">
        <v>7.7888809636986149</v>
      </c>
      <c r="BA129">
        <v>0</v>
      </c>
      <c r="BB129">
        <v>0.64938094623521347</v>
      </c>
      <c r="BC129">
        <v>0.80258047156240497</v>
      </c>
    </row>
    <row r="130" spans="1:55" x14ac:dyDescent="0.25">
      <c r="A130" s="14">
        <v>2014</v>
      </c>
      <c r="B130" s="14" t="s">
        <v>123</v>
      </c>
      <c r="C130" s="14" t="s">
        <v>124</v>
      </c>
      <c r="D130" s="14">
        <v>6</v>
      </c>
      <c r="E130" s="14">
        <v>4</v>
      </c>
      <c r="F130" s="14">
        <v>33</v>
      </c>
      <c r="G130" s="14">
        <v>3</v>
      </c>
      <c r="H130" s="14" t="s">
        <v>13</v>
      </c>
      <c r="I130" s="15">
        <v>41883</v>
      </c>
      <c r="J130" s="14" t="s">
        <v>127</v>
      </c>
      <c r="K130" s="21">
        <v>249</v>
      </c>
      <c r="L130" s="21"/>
      <c r="M130" s="21"/>
      <c r="N130" s="21"/>
      <c r="O130" s="24"/>
      <c r="P130" s="10">
        <v>-26.06</v>
      </c>
      <c r="Q130" s="10">
        <v>22.7</v>
      </c>
      <c r="R130" s="10">
        <v>104.6</v>
      </c>
      <c r="S130" s="16">
        <f t="shared" si="5"/>
        <v>5.6523000000000003</v>
      </c>
      <c r="T130" s="16">
        <f t="shared" si="6"/>
        <v>26.045399999999997</v>
      </c>
      <c r="AD130" s="3">
        <v>41863</v>
      </c>
      <c r="AE130" s="16">
        <v>546</v>
      </c>
      <c r="AF130">
        <v>200.5</v>
      </c>
      <c r="AG130">
        <v>287.75</v>
      </c>
      <c r="AI130">
        <v>57.5</v>
      </c>
      <c r="AN130" t="s">
        <v>143</v>
      </c>
      <c r="AO130">
        <f t="shared" si="7"/>
        <v>2014</v>
      </c>
      <c r="AP130" t="str">
        <f t="shared" si="8"/>
        <v>5A</v>
      </c>
      <c r="AQ130" t="str">
        <f t="shared" si="10"/>
        <v>Gatton2014IrrigatedCv5A</v>
      </c>
      <c r="AV130" s="3">
        <v>41863</v>
      </c>
      <c r="AW130" s="16">
        <v>87.449032775287648</v>
      </c>
      <c r="AX130">
        <v>50.202921561731181</v>
      </c>
      <c r="AY130">
        <v>47.274905252857636</v>
      </c>
      <c r="BA130">
        <v>17.368553960150702</v>
      </c>
    </row>
    <row r="131" spans="1:55" x14ac:dyDescent="0.25">
      <c r="A131" s="14">
        <v>2014</v>
      </c>
      <c r="B131" s="14" t="s">
        <v>123</v>
      </c>
      <c r="C131" s="14" t="s">
        <v>124</v>
      </c>
      <c r="D131" s="14">
        <v>6</v>
      </c>
      <c r="E131" s="14">
        <v>3</v>
      </c>
      <c r="F131" s="14">
        <v>34</v>
      </c>
      <c r="G131" s="14">
        <v>3</v>
      </c>
      <c r="H131" s="14" t="s">
        <v>4</v>
      </c>
      <c r="I131" s="15">
        <v>41883</v>
      </c>
      <c r="J131" s="14" t="s">
        <v>127</v>
      </c>
      <c r="K131" s="21">
        <v>186</v>
      </c>
      <c r="L131" s="21"/>
      <c r="M131" s="21"/>
      <c r="N131" s="21"/>
      <c r="O131" s="24"/>
      <c r="P131" s="10">
        <v>-25.81</v>
      </c>
      <c r="Q131" s="10">
        <v>37.4</v>
      </c>
      <c r="R131" s="10">
        <v>111.3</v>
      </c>
      <c r="S131" s="16">
        <f t="shared" ref="S131:S193" si="11">K131*Q131/1000</f>
        <v>6.9563999999999995</v>
      </c>
      <c r="T131" s="16">
        <f t="shared" ref="T131:T193" si="12">K131*R131/1000</f>
        <v>20.701799999999999</v>
      </c>
      <c r="AD131" s="3">
        <v>41871</v>
      </c>
      <c r="AE131" s="16">
        <v>704.25</v>
      </c>
      <c r="AF131">
        <v>310.75</v>
      </c>
      <c r="AG131">
        <v>334.5</v>
      </c>
      <c r="AI131">
        <v>58.75</v>
      </c>
      <c r="AJ131">
        <v>17.790399999999998</v>
      </c>
      <c r="AK131">
        <v>48.7361</v>
      </c>
      <c r="AN131" t="s">
        <v>143</v>
      </c>
      <c r="AO131">
        <f t="shared" si="7"/>
        <v>2014</v>
      </c>
      <c r="AP131" t="str">
        <f t="shared" si="8"/>
        <v>5A</v>
      </c>
      <c r="AQ131" t="str">
        <f t="shared" si="10"/>
        <v>Gatton2014IrrigatedCv5A</v>
      </c>
      <c r="AV131" s="3">
        <v>41871</v>
      </c>
      <c r="AW131" s="16">
        <v>75.0438760548343</v>
      </c>
      <c r="AX131">
        <v>54.273228514004337</v>
      </c>
      <c r="AY131">
        <v>17.935068069752806</v>
      </c>
      <c r="BA131">
        <v>31.878676258590161</v>
      </c>
      <c r="BB131">
        <v>3.2659848009444419</v>
      </c>
      <c r="BC131">
        <v>5.669440750197551</v>
      </c>
    </row>
    <row r="132" spans="1:55" x14ac:dyDescent="0.25">
      <c r="A132" s="14">
        <v>2014</v>
      </c>
      <c r="B132" s="14" t="s">
        <v>123</v>
      </c>
      <c r="C132" s="14" t="s">
        <v>124</v>
      </c>
      <c r="D132" s="14">
        <v>6</v>
      </c>
      <c r="E132" s="14">
        <v>2</v>
      </c>
      <c r="F132" s="14">
        <v>35</v>
      </c>
      <c r="G132" s="14">
        <v>3</v>
      </c>
      <c r="H132" s="14" t="s">
        <v>10</v>
      </c>
      <c r="I132" s="15">
        <v>41883</v>
      </c>
      <c r="J132" s="14" t="s">
        <v>127</v>
      </c>
      <c r="K132" s="21">
        <v>190</v>
      </c>
      <c r="L132" s="21"/>
      <c r="M132" s="21"/>
      <c r="N132" s="21"/>
      <c r="O132" s="24"/>
      <c r="P132" s="10">
        <v>-25.85</v>
      </c>
      <c r="Q132" s="10">
        <v>29.8</v>
      </c>
      <c r="R132" s="10">
        <v>138.4</v>
      </c>
      <c r="S132" s="16">
        <f t="shared" si="11"/>
        <v>5.6619999999999999</v>
      </c>
      <c r="T132" s="16">
        <f t="shared" si="12"/>
        <v>26.295999999999999</v>
      </c>
      <c r="AD132" s="3">
        <v>41898</v>
      </c>
      <c r="AE132" s="16">
        <v>1304.75</v>
      </c>
      <c r="AF132">
        <v>654.5</v>
      </c>
      <c r="AG132">
        <v>249.5</v>
      </c>
      <c r="AH132">
        <v>249.5</v>
      </c>
      <c r="AI132">
        <v>150.75</v>
      </c>
      <c r="AJ132">
        <v>15.179825000000001</v>
      </c>
      <c r="AK132">
        <v>122.08354999999999</v>
      </c>
      <c r="AN132" t="s">
        <v>143</v>
      </c>
      <c r="AO132">
        <f t="shared" si="7"/>
        <v>2014</v>
      </c>
      <c r="AP132" t="str">
        <f t="shared" si="8"/>
        <v>5A</v>
      </c>
      <c r="AQ132" t="str">
        <f t="shared" si="10"/>
        <v>Gatton2014IrrigatedCv5A</v>
      </c>
      <c r="AV132" s="3">
        <v>41898</v>
      </c>
      <c r="AW132" s="16">
        <v>80.76044824045988</v>
      </c>
      <c r="AX132">
        <v>40.812579760003736</v>
      </c>
      <c r="AY132">
        <v>11.733143937865361</v>
      </c>
      <c r="AZ132">
        <v>31.352830813181765</v>
      </c>
      <c r="BA132">
        <v>12.919623317522328</v>
      </c>
      <c r="BB132">
        <v>3.9134624416876629</v>
      </c>
      <c r="BC132">
        <v>23.843381139637138</v>
      </c>
    </row>
    <row r="133" spans="1:55" x14ac:dyDescent="0.25">
      <c r="A133" s="14">
        <v>2014</v>
      </c>
      <c r="B133" s="14" t="s">
        <v>123</v>
      </c>
      <c r="C133" s="14" t="s">
        <v>124</v>
      </c>
      <c r="D133" s="14">
        <v>6</v>
      </c>
      <c r="E133" s="14">
        <v>1</v>
      </c>
      <c r="F133" s="14">
        <v>36</v>
      </c>
      <c r="G133" s="14">
        <v>3</v>
      </c>
      <c r="H133" s="14" t="s">
        <v>3</v>
      </c>
      <c r="I133" s="15">
        <v>41883</v>
      </c>
      <c r="J133" s="14" t="s">
        <v>127</v>
      </c>
      <c r="K133" s="21">
        <v>241</v>
      </c>
      <c r="L133" s="21"/>
      <c r="M133" s="21"/>
      <c r="N133" s="21"/>
      <c r="O133" s="24"/>
      <c r="P133" s="10">
        <v>-25.98</v>
      </c>
      <c r="Q133" s="10">
        <v>27</v>
      </c>
      <c r="R133" s="10">
        <v>114.5</v>
      </c>
      <c r="S133" s="16">
        <f t="shared" si="11"/>
        <v>6.5069999999999997</v>
      </c>
      <c r="T133" s="16">
        <f t="shared" si="12"/>
        <v>27.5945</v>
      </c>
      <c r="AD133" s="3">
        <v>41947</v>
      </c>
      <c r="AE133" s="16">
        <v>1771</v>
      </c>
      <c r="AF133">
        <v>599.75</v>
      </c>
      <c r="AG133">
        <v>0</v>
      </c>
      <c r="AH133">
        <v>1073.5</v>
      </c>
      <c r="AI133">
        <v>97.5</v>
      </c>
      <c r="AN133" t="s">
        <v>143</v>
      </c>
      <c r="AO133">
        <f t="shared" ref="AN133:AO196" si="13">IF(AB133&lt;&gt;"",AB133,AO132)</f>
        <v>2014</v>
      </c>
      <c r="AP133" t="str">
        <f t="shared" ref="AP133:AP196" si="14">IF(AC133&lt;&gt;"",AC133,AP132)</f>
        <v>5A</v>
      </c>
      <c r="AQ133" t="str">
        <f t="shared" si="10"/>
        <v>Gatton2014IrrigatedCv5A</v>
      </c>
      <c r="AV133" s="3">
        <v>41947</v>
      </c>
      <c r="AW133" s="16">
        <v>103.32795684937676</v>
      </c>
      <c r="AX133">
        <v>60.807757180587849</v>
      </c>
      <c r="AY133">
        <v>0</v>
      </c>
      <c r="AZ133">
        <v>41.829017041602434</v>
      </c>
      <c r="BA133">
        <v>9.1469484893414954</v>
      </c>
    </row>
    <row r="134" spans="1:55" x14ac:dyDescent="0.25">
      <c r="A134" s="14">
        <v>2014</v>
      </c>
      <c r="B134" s="14" t="s">
        <v>123</v>
      </c>
      <c r="C134" s="14" t="s">
        <v>124</v>
      </c>
      <c r="D134" s="14">
        <v>7</v>
      </c>
      <c r="E134" s="14">
        <v>1</v>
      </c>
      <c r="F134" s="14">
        <v>37</v>
      </c>
      <c r="G134" s="14">
        <v>4</v>
      </c>
      <c r="H134" s="14" t="s">
        <v>13</v>
      </c>
      <c r="I134" s="15">
        <v>41883</v>
      </c>
      <c r="J134" s="14" t="s">
        <v>127</v>
      </c>
      <c r="K134" s="21">
        <v>209</v>
      </c>
      <c r="L134" s="21"/>
      <c r="M134" s="21"/>
      <c r="N134" s="21"/>
      <c r="O134" s="24"/>
      <c r="P134" s="10">
        <v>-26.32</v>
      </c>
      <c r="Q134" s="10">
        <v>29.2</v>
      </c>
      <c r="R134" s="10">
        <v>78.7</v>
      </c>
      <c r="S134" s="16">
        <f t="shared" si="11"/>
        <v>6.1028000000000002</v>
      </c>
      <c r="T134" s="16">
        <f t="shared" si="12"/>
        <v>16.4483</v>
      </c>
      <c r="AC134" t="s">
        <v>12</v>
      </c>
      <c r="AD134" s="3">
        <v>41834</v>
      </c>
      <c r="AE134" s="16">
        <v>131.25</v>
      </c>
      <c r="AF134">
        <v>50.5</v>
      </c>
      <c r="AG134">
        <v>81</v>
      </c>
      <c r="AI134">
        <v>0</v>
      </c>
      <c r="AJ134">
        <v>5.1619999999999999</v>
      </c>
      <c r="AK134">
        <v>3.1041333333333334</v>
      </c>
      <c r="AN134" t="s">
        <v>143</v>
      </c>
      <c r="AO134">
        <f t="shared" si="13"/>
        <v>2014</v>
      </c>
      <c r="AP134" t="str">
        <f t="shared" si="14"/>
        <v>60A</v>
      </c>
      <c r="AQ134" t="str">
        <f t="shared" si="10"/>
        <v>Gatton2014IrrigatedCv60A</v>
      </c>
      <c r="AU134" t="s">
        <v>12</v>
      </c>
      <c r="AV134" s="3">
        <v>41834</v>
      </c>
      <c r="AW134" s="16">
        <v>17.839562774911272</v>
      </c>
      <c r="AX134">
        <v>6.1373175465073224</v>
      </c>
      <c r="AY134">
        <v>11.575836902790225</v>
      </c>
      <c r="BA134">
        <v>0</v>
      </c>
      <c r="BB134">
        <v>0.42915400499122386</v>
      </c>
      <c r="BC134">
        <v>1.3738537379697058</v>
      </c>
    </row>
    <row r="135" spans="1:55" x14ac:dyDescent="0.25">
      <c r="A135" s="14">
        <v>2014</v>
      </c>
      <c r="B135" s="14" t="s">
        <v>123</v>
      </c>
      <c r="C135" s="14" t="s">
        <v>124</v>
      </c>
      <c r="D135" s="14">
        <v>7</v>
      </c>
      <c r="E135" s="14">
        <v>2</v>
      </c>
      <c r="F135" s="14">
        <v>38</v>
      </c>
      <c r="G135" s="14">
        <v>4</v>
      </c>
      <c r="H135" s="14" t="s">
        <v>5</v>
      </c>
      <c r="I135" s="15">
        <v>41883</v>
      </c>
      <c r="J135" s="14" t="s">
        <v>127</v>
      </c>
      <c r="K135" s="21">
        <v>205</v>
      </c>
      <c r="L135" s="21"/>
      <c r="M135" s="21"/>
      <c r="N135" s="21"/>
      <c r="O135" s="24"/>
      <c r="P135" s="10">
        <v>-25.64</v>
      </c>
      <c r="Q135" s="10">
        <v>22.8</v>
      </c>
      <c r="R135" s="10">
        <v>167</v>
      </c>
      <c r="S135" s="16">
        <f t="shared" si="11"/>
        <v>4.6740000000000004</v>
      </c>
      <c r="T135" s="16">
        <f t="shared" si="12"/>
        <v>34.234999999999999</v>
      </c>
      <c r="AD135" s="3">
        <v>41842</v>
      </c>
      <c r="AE135" s="16">
        <v>222.25</v>
      </c>
      <c r="AF135">
        <v>74.25</v>
      </c>
      <c r="AG135">
        <v>148</v>
      </c>
      <c r="AI135">
        <v>0.25</v>
      </c>
      <c r="AN135" t="s">
        <v>143</v>
      </c>
      <c r="AO135">
        <f t="shared" si="13"/>
        <v>2014</v>
      </c>
      <c r="AP135" t="str">
        <f t="shared" si="14"/>
        <v>60A</v>
      </c>
      <c r="AQ135" t="str">
        <f t="shared" si="10"/>
        <v>Gatton2014IrrigatedCv60A</v>
      </c>
      <c r="AV135" s="3">
        <v>41842</v>
      </c>
      <c r="AW135" s="16">
        <v>26.612966764342527</v>
      </c>
      <c r="AX135">
        <v>8.5780728216385143</v>
      </c>
      <c r="AY135">
        <v>17.568911937472585</v>
      </c>
      <c r="BA135">
        <v>0.5</v>
      </c>
    </row>
    <row r="136" spans="1:55" x14ac:dyDescent="0.25">
      <c r="A136" s="14">
        <v>2014</v>
      </c>
      <c r="B136" s="14" t="s">
        <v>123</v>
      </c>
      <c r="C136" s="14" t="s">
        <v>124</v>
      </c>
      <c r="D136" s="14">
        <v>7</v>
      </c>
      <c r="E136" s="14">
        <v>3</v>
      </c>
      <c r="F136" s="14">
        <v>39</v>
      </c>
      <c r="G136" s="14">
        <v>4</v>
      </c>
      <c r="H136" s="14" t="s">
        <v>3</v>
      </c>
      <c r="I136" s="15">
        <v>41883</v>
      </c>
      <c r="J136" s="14" t="s">
        <v>127</v>
      </c>
      <c r="K136" s="21">
        <v>236</v>
      </c>
      <c r="L136" s="21"/>
      <c r="M136" s="21"/>
      <c r="N136" s="21"/>
      <c r="O136" s="24"/>
      <c r="P136" s="10">
        <v>-25.94</v>
      </c>
      <c r="Q136" s="10">
        <v>26.3</v>
      </c>
      <c r="R136" s="10">
        <v>139.30000000000001</v>
      </c>
      <c r="S136" s="16">
        <f t="shared" si="11"/>
        <v>6.2068000000000003</v>
      </c>
      <c r="T136" s="16">
        <f t="shared" si="12"/>
        <v>32.8748</v>
      </c>
      <c r="AD136" s="3">
        <v>41863</v>
      </c>
      <c r="AE136" s="16">
        <v>563</v>
      </c>
      <c r="AF136">
        <v>260.75</v>
      </c>
      <c r="AG136">
        <v>270</v>
      </c>
      <c r="AI136">
        <v>32.25</v>
      </c>
      <c r="AJ136">
        <v>15.686999999999999</v>
      </c>
      <c r="AK136">
        <v>56.259</v>
      </c>
      <c r="AN136" t="s">
        <v>143</v>
      </c>
      <c r="AO136">
        <f t="shared" si="13"/>
        <v>2014</v>
      </c>
      <c r="AP136" t="str">
        <f t="shared" si="14"/>
        <v>60A</v>
      </c>
      <c r="AQ136" t="str">
        <f t="shared" si="10"/>
        <v>Gatton2014IrrigatedCv60A</v>
      </c>
      <c r="AV136" s="3">
        <v>41863</v>
      </c>
      <c r="AW136" s="16">
        <v>56.320511361314892</v>
      </c>
      <c r="AX136">
        <v>53.506230166838201</v>
      </c>
      <c r="AY136">
        <v>33.015148038438355</v>
      </c>
      <c r="BA136">
        <v>12.893796958227627</v>
      </c>
      <c r="BB136" t="e">
        <v>#DIV/0!</v>
      </c>
      <c r="BC136" t="e">
        <v>#DIV/0!</v>
      </c>
    </row>
    <row r="137" spans="1:55" x14ac:dyDescent="0.25">
      <c r="A137" s="14">
        <v>2014</v>
      </c>
      <c r="B137" s="14" t="s">
        <v>123</v>
      </c>
      <c r="C137" s="14" t="s">
        <v>124</v>
      </c>
      <c r="D137" s="14">
        <v>7</v>
      </c>
      <c r="E137" s="14">
        <v>4</v>
      </c>
      <c r="F137" s="14">
        <v>40</v>
      </c>
      <c r="G137" s="14">
        <v>4</v>
      </c>
      <c r="H137" s="14" t="s">
        <v>7</v>
      </c>
      <c r="I137" s="15">
        <v>41883</v>
      </c>
      <c r="J137" s="14" t="s">
        <v>127</v>
      </c>
      <c r="K137" s="21">
        <v>145</v>
      </c>
      <c r="L137" s="21"/>
      <c r="M137" s="21"/>
      <c r="N137" s="21"/>
      <c r="O137" s="24"/>
      <c r="P137" s="10">
        <v>-26.16</v>
      </c>
      <c r="Q137" s="10">
        <v>31.3</v>
      </c>
      <c r="R137" s="10">
        <v>107.2</v>
      </c>
      <c r="S137" s="16">
        <f t="shared" si="11"/>
        <v>4.5385</v>
      </c>
      <c r="T137" s="16">
        <f t="shared" si="12"/>
        <v>15.544</v>
      </c>
      <c r="AD137" s="3">
        <v>41891</v>
      </c>
      <c r="AE137" s="16">
        <v>1198</v>
      </c>
      <c r="AF137">
        <v>612.25</v>
      </c>
      <c r="AG137">
        <v>289.5</v>
      </c>
      <c r="AH137">
        <v>184.75</v>
      </c>
      <c r="AI137">
        <v>111.75</v>
      </c>
      <c r="AJ137">
        <v>15.468975</v>
      </c>
      <c r="AK137">
        <v>93.668599999999998</v>
      </c>
      <c r="AN137" t="s">
        <v>143</v>
      </c>
      <c r="AO137">
        <f t="shared" si="13"/>
        <v>2014</v>
      </c>
      <c r="AP137" t="str">
        <f t="shared" si="14"/>
        <v>60A</v>
      </c>
      <c r="AQ137" t="str">
        <f t="shared" si="10"/>
        <v>Gatton2014IrrigatedCv60A</v>
      </c>
      <c r="AV137" s="3">
        <v>41891</v>
      </c>
      <c r="AW137" s="16">
        <v>54.313902456001081</v>
      </c>
      <c r="AX137">
        <v>35.302266216207705</v>
      </c>
      <c r="AY137">
        <v>30.094296248071107</v>
      </c>
      <c r="AZ137">
        <v>23.907809045024042</v>
      </c>
      <c r="BA137">
        <v>11.206396982676159</v>
      </c>
      <c r="BB137">
        <v>2.1312471534682826</v>
      </c>
      <c r="BC137">
        <v>31.711889858957754</v>
      </c>
    </row>
    <row r="138" spans="1:55" x14ac:dyDescent="0.25">
      <c r="A138" s="14">
        <v>2014</v>
      </c>
      <c r="B138" s="14" t="s">
        <v>123</v>
      </c>
      <c r="C138" s="14" t="s">
        <v>124</v>
      </c>
      <c r="D138" s="14">
        <v>7</v>
      </c>
      <c r="E138" s="14">
        <v>5</v>
      </c>
      <c r="F138" s="14">
        <v>41</v>
      </c>
      <c r="G138" s="14">
        <v>4</v>
      </c>
      <c r="H138" s="14" t="s">
        <v>9</v>
      </c>
      <c r="I138" s="15">
        <v>41883</v>
      </c>
      <c r="J138" s="14" t="s">
        <v>127</v>
      </c>
      <c r="K138" s="21">
        <v>233</v>
      </c>
      <c r="L138" s="21"/>
      <c r="M138" s="21"/>
      <c r="N138" s="21"/>
      <c r="O138" s="24"/>
      <c r="P138" s="10">
        <v>-26.11</v>
      </c>
      <c r="Q138" s="10">
        <v>27.1</v>
      </c>
      <c r="R138" s="10">
        <v>116.1</v>
      </c>
      <c r="S138" s="16">
        <f t="shared" si="11"/>
        <v>6.3143000000000002</v>
      </c>
      <c r="T138" s="16">
        <f t="shared" si="12"/>
        <v>27.051299999999998</v>
      </c>
      <c r="AD138" s="3">
        <v>41947</v>
      </c>
      <c r="AE138" s="16">
        <v>1762.5</v>
      </c>
      <c r="AF138">
        <v>597.25</v>
      </c>
      <c r="AG138">
        <v>0</v>
      </c>
      <c r="AH138">
        <v>1045</v>
      </c>
      <c r="AI138">
        <v>120.25</v>
      </c>
      <c r="AN138" t="s">
        <v>143</v>
      </c>
      <c r="AO138">
        <f t="shared" si="13"/>
        <v>2014</v>
      </c>
      <c r="AP138" t="str">
        <f t="shared" si="14"/>
        <v>60A</v>
      </c>
      <c r="AQ138" t="str">
        <f t="shared" si="10"/>
        <v>Gatton2014IrrigatedCv60A</v>
      </c>
      <c r="AV138" s="3">
        <v>41947</v>
      </c>
      <c r="AW138" s="16">
        <v>109.84989758757175</v>
      </c>
      <c r="AX138">
        <v>44.798623490757691</v>
      </c>
      <c r="AY138">
        <v>0</v>
      </c>
      <c r="AZ138">
        <v>68.327642039416716</v>
      </c>
      <c r="BA138">
        <v>19.015344680897407</v>
      </c>
    </row>
    <row r="139" spans="1:55" x14ac:dyDescent="0.25">
      <c r="A139" s="14">
        <v>2014</v>
      </c>
      <c r="B139" s="14" t="s">
        <v>123</v>
      </c>
      <c r="C139" s="14" t="s">
        <v>124</v>
      </c>
      <c r="D139" s="14">
        <v>7</v>
      </c>
      <c r="E139" s="14">
        <v>6</v>
      </c>
      <c r="F139" s="14">
        <v>42</v>
      </c>
      <c r="G139" s="14">
        <v>4</v>
      </c>
      <c r="H139" s="14" t="s">
        <v>8</v>
      </c>
      <c r="I139" s="15">
        <v>41883</v>
      </c>
      <c r="J139" s="14" t="s">
        <v>127</v>
      </c>
      <c r="K139" s="21">
        <v>198</v>
      </c>
      <c r="L139" s="21"/>
      <c r="M139" s="21"/>
      <c r="N139" s="21"/>
      <c r="O139" s="24"/>
      <c r="P139" s="10">
        <v>-25.54</v>
      </c>
      <c r="Q139" s="10">
        <v>25.8</v>
      </c>
      <c r="R139" s="10">
        <v>174.1</v>
      </c>
      <c r="S139" s="16">
        <f t="shared" si="11"/>
        <v>5.1084000000000005</v>
      </c>
      <c r="T139" s="16">
        <f t="shared" si="12"/>
        <v>34.471799999999995</v>
      </c>
      <c r="AC139" t="s">
        <v>10</v>
      </c>
      <c r="AD139" s="3">
        <v>41834</v>
      </c>
      <c r="AE139" s="16">
        <v>152.5</v>
      </c>
      <c r="AF139">
        <v>51.25</v>
      </c>
      <c r="AG139">
        <v>101.25</v>
      </c>
      <c r="AI139">
        <v>0</v>
      </c>
      <c r="AJ139">
        <v>6.599025000000001</v>
      </c>
      <c r="AK139">
        <v>3.2759749999999999</v>
      </c>
      <c r="AN139" t="s">
        <v>143</v>
      </c>
      <c r="AO139">
        <f t="shared" si="13"/>
        <v>2014</v>
      </c>
      <c r="AP139" t="str">
        <f t="shared" si="14"/>
        <v>Corack</v>
      </c>
      <c r="AQ139" t="str">
        <f t="shared" si="10"/>
        <v>Gatton2014IrrigatedCvCorack</v>
      </c>
      <c r="AU139" t="s">
        <v>10</v>
      </c>
      <c r="AV139" s="3">
        <v>41834</v>
      </c>
      <c r="AW139" s="16">
        <v>7.1879528842826081</v>
      </c>
      <c r="AX139">
        <v>3.5939764421413041</v>
      </c>
      <c r="AY139">
        <v>4.924428900898052</v>
      </c>
      <c r="BA139">
        <v>0</v>
      </c>
      <c r="BB139">
        <v>0.38319137407652426</v>
      </c>
      <c r="BC139">
        <v>2.8498127615394893</v>
      </c>
    </row>
    <row r="140" spans="1:55" x14ac:dyDescent="0.25">
      <c r="A140" s="14">
        <v>2014</v>
      </c>
      <c r="B140" s="14" t="s">
        <v>123</v>
      </c>
      <c r="C140" s="14" t="s">
        <v>124</v>
      </c>
      <c r="D140" s="14">
        <v>8</v>
      </c>
      <c r="E140" s="14">
        <v>6</v>
      </c>
      <c r="F140" s="14">
        <v>43</v>
      </c>
      <c r="G140" s="14">
        <v>4</v>
      </c>
      <c r="H140" s="14" t="s">
        <v>12</v>
      </c>
      <c r="I140" s="15">
        <v>41883</v>
      </c>
      <c r="J140" s="14" t="s">
        <v>127</v>
      </c>
      <c r="K140" s="21">
        <v>242</v>
      </c>
      <c r="L140" s="21"/>
      <c r="M140" s="21"/>
      <c r="N140" s="21"/>
      <c r="O140" s="24"/>
      <c r="P140" s="10">
        <v>-26</v>
      </c>
      <c r="Q140" s="10">
        <v>24.6</v>
      </c>
      <c r="R140" s="10">
        <v>114.1</v>
      </c>
      <c r="S140" s="16">
        <f t="shared" si="11"/>
        <v>5.9532000000000007</v>
      </c>
      <c r="T140" s="16">
        <f t="shared" si="12"/>
        <v>27.612199999999998</v>
      </c>
      <c r="AD140" s="3">
        <v>41856</v>
      </c>
      <c r="AE140" s="16">
        <v>503.5</v>
      </c>
      <c r="AF140">
        <v>191.25</v>
      </c>
      <c r="AG140">
        <v>270</v>
      </c>
      <c r="AI140">
        <v>42.25</v>
      </c>
      <c r="AN140" t="s">
        <v>143</v>
      </c>
      <c r="AO140">
        <f t="shared" si="13"/>
        <v>2014</v>
      </c>
      <c r="AP140" t="str">
        <f t="shared" si="14"/>
        <v>Corack</v>
      </c>
      <c r="AQ140" t="str">
        <f t="shared" si="10"/>
        <v>Gatton2014IrrigatedCvCorack</v>
      </c>
      <c r="AV140" s="3">
        <v>41856</v>
      </c>
      <c r="AW140" s="16">
        <v>37.46553972207883</v>
      </c>
      <c r="AX140">
        <v>15.75595125658873</v>
      </c>
      <c r="AY140">
        <v>29.154759474226502</v>
      </c>
      <c r="BA140">
        <v>24.998333277774073</v>
      </c>
    </row>
    <row r="141" spans="1:55" x14ac:dyDescent="0.25">
      <c r="A141" s="14">
        <v>2014</v>
      </c>
      <c r="B141" s="14" t="s">
        <v>123</v>
      </c>
      <c r="C141" s="14" t="s">
        <v>124</v>
      </c>
      <c r="D141" s="14">
        <v>8</v>
      </c>
      <c r="E141" s="14">
        <v>5</v>
      </c>
      <c r="F141" s="14">
        <v>44</v>
      </c>
      <c r="G141" s="14">
        <v>4</v>
      </c>
      <c r="H141" s="14" t="s">
        <v>10</v>
      </c>
      <c r="I141" s="15">
        <v>41883</v>
      </c>
      <c r="J141" s="14" t="s">
        <v>127</v>
      </c>
      <c r="K141" s="21">
        <v>211</v>
      </c>
      <c r="L141" s="21"/>
      <c r="M141" s="21"/>
      <c r="N141" s="21"/>
      <c r="O141" s="24"/>
      <c r="P141" s="10">
        <v>-25.99</v>
      </c>
      <c r="Q141" s="10">
        <v>23.7</v>
      </c>
      <c r="R141" s="10">
        <v>126.9</v>
      </c>
      <c r="S141" s="16">
        <f t="shared" si="11"/>
        <v>5.0007000000000001</v>
      </c>
      <c r="T141" s="16">
        <f t="shared" si="12"/>
        <v>26.7759</v>
      </c>
      <c r="AD141" s="3">
        <v>41871</v>
      </c>
      <c r="AE141" s="16">
        <v>785.75</v>
      </c>
      <c r="AF141">
        <v>415.75</v>
      </c>
      <c r="AG141">
        <v>318</v>
      </c>
      <c r="AI141">
        <v>52</v>
      </c>
      <c r="AJ141">
        <v>17.936199999999999</v>
      </c>
      <c r="AK141">
        <v>67.824799999999996</v>
      </c>
      <c r="AN141" t="s">
        <v>143</v>
      </c>
      <c r="AO141">
        <f t="shared" si="13"/>
        <v>2014</v>
      </c>
      <c r="AP141" t="str">
        <f t="shared" si="14"/>
        <v>Corack</v>
      </c>
      <c r="AQ141" t="str">
        <f t="shared" si="10"/>
        <v>Gatton2014IrrigatedCvCorack</v>
      </c>
      <c r="AV141" s="3">
        <v>41871</v>
      </c>
      <c r="AW141" s="16">
        <v>71.420701947451249</v>
      </c>
      <c r="AX141">
        <v>28.335784207723396</v>
      </c>
      <c r="AY141">
        <v>38.557316642456676</v>
      </c>
      <c r="BA141">
        <v>28.717010057919794</v>
      </c>
      <c r="BB141">
        <v>1.0640780234550742</v>
      </c>
      <c r="BC141">
        <v>2.8696866240062637</v>
      </c>
    </row>
    <row r="142" spans="1:55" x14ac:dyDescent="0.25">
      <c r="A142" s="14">
        <v>2014</v>
      </c>
      <c r="B142" s="14" t="s">
        <v>123</v>
      </c>
      <c r="C142" s="14" t="s">
        <v>124</v>
      </c>
      <c r="D142" s="14">
        <v>8</v>
      </c>
      <c r="E142" s="14">
        <v>4</v>
      </c>
      <c r="F142" s="14">
        <v>45</v>
      </c>
      <c r="G142" s="14">
        <v>4</v>
      </c>
      <c r="H142" s="14" t="s">
        <v>14</v>
      </c>
      <c r="I142" s="15">
        <v>41883</v>
      </c>
      <c r="J142" s="14" t="s">
        <v>127</v>
      </c>
      <c r="K142" s="21">
        <v>207</v>
      </c>
      <c r="L142" s="21"/>
      <c r="M142" s="21"/>
      <c r="N142" s="21"/>
      <c r="O142" s="24"/>
      <c r="P142" s="10">
        <v>-26.29</v>
      </c>
      <c r="Q142" s="10">
        <v>28.8</v>
      </c>
      <c r="R142" s="10">
        <v>79.5</v>
      </c>
      <c r="S142" s="16">
        <f t="shared" si="11"/>
        <v>5.9616000000000007</v>
      </c>
      <c r="T142" s="16">
        <f t="shared" si="12"/>
        <v>16.456499999999998</v>
      </c>
      <c r="AD142" s="3">
        <v>41891</v>
      </c>
      <c r="AE142" s="16">
        <v>1214.5</v>
      </c>
      <c r="AF142">
        <v>554.75</v>
      </c>
      <c r="AG142">
        <v>286</v>
      </c>
      <c r="AH142">
        <v>256.75</v>
      </c>
      <c r="AI142">
        <v>117.25</v>
      </c>
      <c r="AJ142">
        <v>17.349775000000001</v>
      </c>
      <c r="AK142">
        <v>91.57050000000001</v>
      </c>
      <c r="AN142" t="s">
        <v>143</v>
      </c>
      <c r="AO142">
        <f t="shared" si="13"/>
        <v>2014</v>
      </c>
      <c r="AP142" t="str">
        <f t="shared" si="14"/>
        <v>Corack</v>
      </c>
      <c r="AQ142" t="str">
        <f t="shared" si="10"/>
        <v>Gatton2014IrrigatedCvCorack</v>
      </c>
      <c r="AV142" s="3">
        <v>41891</v>
      </c>
      <c r="AW142" s="16">
        <v>65.653128892181016</v>
      </c>
      <c r="AX142">
        <v>22.035955466766882</v>
      </c>
      <c r="AY142">
        <v>15.121728296285006</v>
      </c>
      <c r="AZ142">
        <v>23.627314701421319</v>
      </c>
      <c r="BA142">
        <v>31.616187836823929</v>
      </c>
      <c r="BB142">
        <v>4.6680962289245924</v>
      </c>
      <c r="BC142">
        <v>8.5729660433246622</v>
      </c>
    </row>
    <row r="143" spans="1:55" x14ac:dyDescent="0.25">
      <c r="A143" s="14">
        <v>2014</v>
      </c>
      <c r="B143" s="14" t="s">
        <v>123</v>
      </c>
      <c r="C143" s="14" t="s">
        <v>124</v>
      </c>
      <c r="D143" s="14">
        <v>8</v>
      </c>
      <c r="E143" s="14">
        <v>3</v>
      </c>
      <c r="F143" s="14">
        <v>46</v>
      </c>
      <c r="G143" s="14">
        <v>4</v>
      </c>
      <c r="H143" s="14" t="s">
        <v>6</v>
      </c>
      <c r="I143" s="15">
        <v>41883</v>
      </c>
      <c r="J143" s="14" t="s">
        <v>127</v>
      </c>
      <c r="K143" s="21">
        <v>242</v>
      </c>
      <c r="L143" s="21"/>
      <c r="M143" s="21"/>
      <c r="N143" s="21"/>
      <c r="O143" s="24"/>
      <c r="P143" s="10">
        <v>-25.73</v>
      </c>
      <c r="Q143" s="10">
        <v>28.7</v>
      </c>
      <c r="R143" s="10">
        <v>133.4</v>
      </c>
      <c r="S143" s="16">
        <f t="shared" si="11"/>
        <v>6.9453999999999994</v>
      </c>
      <c r="T143" s="16">
        <f t="shared" si="12"/>
        <v>32.282800000000002</v>
      </c>
      <c r="AD143" s="3">
        <v>41947</v>
      </c>
      <c r="AE143" s="16">
        <v>1847.5</v>
      </c>
      <c r="AF143">
        <v>557.25</v>
      </c>
      <c r="AG143">
        <v>0</v>
      </c>
      <c r="AH143">
        <v>1162.5</v>
      </c>
      <c r="AI143">
        <v>127.75</v>
      </c>
      <c r="AN143" t="s">
        <v>143</v>
      </c>
      <c r="AO143">
        <f t="shared" si="13"/>
        <v>2014</v>
      </c>
      <c r="AP143" t="str">
        <f t="shared" si="14"/>
        <v>Corack</v>
      </c>
      <c r="AQ143" t="str">
        <f t="shared" si="10"/>
        <v>Gatton2014IrrigatedCvCorack</v>
      </c>
      <c r="AV143" s="3">
        <v>41947</v>
      </c>
      <c r="AW143" s="16">
        <v>51.208723215223138</v>
      </c>
      <c r="AX143">
        <v>29.713913688147287</v>
      </c>
      <c r="AY143">
        <v>0</v>
      </c>
      <c r="AZ143">
        <v>64.521314307754153</v>
      </c>
      <c r="BA143">
        <v>33.925162736038082</v>
      </c>
    </row>
    <row r="144" spans="1:55" x14ac:dyDescent="0.25">
      <c r="A144" s="14">
        <v>2014</v>
      </c>
      <c r="B144" s="14" t="s">
        <v>123</v>
      </c>
      <c r="C144" s="14" t="s">
        <v>124</v>
      </c>
      <c r="D144" s="14">
        <v>8</v>
      </c>
      <c r="E144" s="14">
        <v>2</v>
      </c>
      <c r="F144" s="14">
        <v>47</v>
      </c>
      <c r="G144" s="14">
        <v>4</v>
      </c>
      <c r="H144" s="14" t="s">
        <v>4</v>
      </c>
      <c r="I144" s="15">
        <v>41883</v>
      </c>
      <c r="J144" s="14" t="s">
        <v>127</v>
      </c>
      <c r="K144" s="21">
        <v>187</v>
      </c>
      <c r="L144" s="21"/>
      <c r="M144" s="21"/>
      <c r="N144" s="21"/>
      <c r="O144" s="24"/>
      <c r="P144" s="10">
        <v>-25.77</v>
      </c>
      <c r="Q144" s="10">
        <v>31.4</v>
      </c>
      <c r="R144" s="10">
        <v>126.6</v>
      </c>
      <c r="S144" s="16">
        <f t="shared" si="11"/>
        <v>5.8718000000000004</v>
      </c>
      <c r="T144" s="16">
        <f t="shared" si="12"/>
        <v>23.674199999999999</v>
      </c>
      <c r="AC144" t="s">
        <v>8</v>
      </c>
      <c r="AD144" s="3">
        <v>41834</v>
      </c>
      <c r="AE144" s="16">
        <v>157</v>
      </c>
      <c r="AF144">
        <v>57.75</v>
      </c>
      <c r="AG144">
        <v>99</v>
      </c>
      <c r="AI144">
        <v>0</v>
      </c>
      <c r="AJ144">
        <v>6.3421749999999992</v>
      </c>
      <c r="AK144">
        <v>6.7777250000000002</v>
      </c>
      <c r="AN144" t="s">
        <v>143</v>
      </c>
      <c r="AO144">
        <f t="shared" si="13"/>
        <v>2014</v>
      </c>
      <c r="AP144" t="str">
        <f t="shared" si="14"/>
        <v>Espada</v>
      </c>
      <c r="AQ144" t="str">
        <f t="shared" si="10"/>
        <v>Gatton2014IrrigatedCvEspada</v>
      </c>
      <c r="AU144" t="s">
        <v>8</v>
      </c>
      <c r="AV144" s="3">
        <v>41834</v>
      </c>
      <c r="AW144" s="16">
        <v>27.239676943752471</v>
      </c>
      <c r="AX144">
        <v>11.5</v>
      </c>
      <c r="AY144">
        <v>15.340577998671801</v>
      </c>
      <c r="BA144">
        <v>0</v>
      </c>
      <c r="BB144">
        <v>0.7890915552076484</v>
      </c>
      <c r="BC144">
        <v>3.3167533737828609</v>
      </c>
    </row>
    <row r="145" spans="1:55" x14ac:dyDescent="0.25">
      <c r="A145" s="14">
        <v>2014</v>
      </c>
      <c r="B145" s="14" t="s">
        <v>123</v>
      </c>
      <c r="C145" s="14" t="s">
        <v>124</v>
      </c>
      <c r="D145" s="14">
        <v>8</v>
      </c>
      <c r="E145" s="14">
        <v>1</v>
      </c>
      <c r="F145" s="14">
        <v>48</v>
      </c>
      <c r="G145" s="14">
        <v>4</v>
      </c>
      <c r="H145" s="14" t="s">
        <v>2</v>
      </c>
      <c r="I145" s="15">
        <v>41883</v>
      </c>
      <c r="J145" s="14" t="s">
        <v>127</v>
      </c>
      <c r="K145" s="21">
        <v>269</v>
      </c>
      <c r="L145" s="21"/>
      <c r="M145" s="21"/>
      <c r="N145" s="21"/>
      <c r="O145" s="24"/>
      <c r="P145" s="10">
        <v>-25.93</v>
      </c>
      <c r="Q145" s="10">
        <v>25.9</v>
      </c>
      <c r="R145" s="10">
        <v>120.6</v>
      </c>
      <c r="S145" s="16">
        <f t="shared" si="11"/>
        <v>6.9670999999999994</v>
      </c>
      <c r="T145" s="16">
        <f t="shared" si="12"/>
        <v>32.441399999999994</v>
      </c>
      <c r="AD145" s="3">
        <v>41856</v>
      </c>
      <c r="AE145" s="16">
        <v>488.5</v>
      </c>
      <c r="AF145">
        <v>194.75</v>
      </c>
      <c r="AG145">
        <v>280.75</v>
      </c>
      <c r="AI145">
        <v>12.75</v>
      </c>
      <c r="AN145" t="s">
        <v>143</v>
      </c>
      <c r="AO145">
        <f t="shared" si="13"/>
        <v>2014</v>
      </c>
      <c r="AP145" t="str">
        <f t="shared" si="14"/>
        <v>Espada</v>
      </c>
      <c r="AQ145" t="str">
        <f t="shared" si="10"/>
        <v>Gatton2014IrrigatedCvEspada</v>
      </c>
      <c r="AV145" s="3">
        <v>41856</v>
      </c>
      <c r="AW145" s="16">
        <v>54.878654016536032</v>
      </c>
      <c r="AX145">
        <v>13.32603967176045</v>
      </c>
      <c r="AY145">
        <v>41.258332491752498</v>
      </c>
      <c r="BA145">
        <v>5.2519837521962431</v>
      </c>
    </row>
    <row r="146" spans="1:55" x14ac:dyDescent="0.25">
      <c r="A146" s="14">
        <v>2014</v>
      </c>
      <c r="B146" s="14" t="s">
        <v>123</v>
      </c>
      <c r="C146" s="14" t="s">
        <v>124</v>
      </c>
      <c r="D146" s="14">
        <v>1</v>
      </c>
      <c r="E146" s="14">
        <v>1</v>
      </c>
      <c r="F146" s="14">
        <v>1</v>
      </c>
      <c r="G146" s="14">
        <v>1</v>
      </c>
      <c r="H146" s="14" t="s">
        <v>3</v>
      </c>
      <c r="I146" s="15">
        <v>41901</v>
      </c>
      <c r="J146" s="14" t="s">
        <v>128</v>
      </c>
      <c r="K146" s="21">
        <v>386</v>
      </c>
      <c r="L146" s="14">
        <v>202</v>
      </c>
      <c r="M146" s="14">
        <v>76.8</v>
      </c>
      <c r="N146" s="14">
        <v>83</v>
      </c>
      <c r="O146" s="14">
        <v>24.2</v>
      </c>
      <c r="P146" s="10">
        <v>-25.9</v>
      </c>
      <c r="Q146" s="10">
        <v>22.8</v>
      </c>
      <c r="R146" s="10">
        <v>106.1</v>
      </c>
      <c r="S146" s="16">
        <f t="shared" si="11"/>
        <v>8.8008000000000006</v>
      </c>
      <c r="T146" s="16">
        <f t="shared" si="12"/>
        <v>40.954599999999999</v>
      </c>
      <c r="AD146" s="3">
        <v>41871</v>
      </c>
      <c r="AE146" s="16">
        <v>759.25</v>
      </c>
      <c r="AF146">
        <v>344.75</v>
      </c>
      <c r="AG146">
        <v>336</v>
      </c>
      <c r="AI146">
        <v>78.5</v>
      </c>
      <c r="AJ146">
        <v>18.127224999999999</v>
      </c>
      <c r="AK146">
        <v>61.748750000000001</v>
      </c>
      <c r="AN146" t="s">
        <v>143</v>
      </c>
      <c r="AO146">
        <f t="shared" si="13"/>
        <v>2014</v>
      </c>
      <c r="AP146" t="str">
        <f t="shared" si="14"/>
        <v>Espada</v>
      </c>
      <c r="AQ146" t="str">
        <f t="shared" si="10"/>
        <v>Gatton2014IrrigatedCvEspada</v>
      </c>
      <c r="AV146" s="3">
        <v>41871</v>
      </c>
      <c r="AW146" s="16">
        <v>40.524683835904263</v>
      </c>
      <c r="AX146">
        <v>19.414341777836988</v>
      </c>
      <c r="AY146">
        <v>22</v>
      </c>
      <c r="BA146">
        <v>23.614967005411348</v>
      </c>
      <c r="BB146">
        <v>2.6085547114254646</v>
      </c>
      <c r="BC146">
        <v>14.602788654568695</v>
      </c>
    </row>
    <row r="147" spans="1:55" x14ac:dyDescent="0.25">
      <c r="A147" s="14">
        <v>2014</v>
      </c>
      <c r="B147" s="14" t="s">
        <v>123</v>
      </c>
      <c r="C147" s="14" t="s">
        <v>124</v>
      </c>
      <c r="D147" s="14">
        <v>1</v>
      </c>
      <c r="E147" s="14">
        <v>2</v>
      </c>
      <c r="F147" s="14">
        <v>2</v>
      </c>
      <c r="G147" s="14">
        <v>1</v>
      </c>
      <c r="H147" s="14" t="s">
        <v>14</v>
      </c>
      <c r="I147" s="15">
        <v>41899</v>
      </c>
      <c r="J147" s="14" t="s">
        <v>128</v>
      </c>
      <c r="K147" s="21">
        <v>293</v>
      </c>
      <c r="L147" s="14">
        <v>163</v>
      </c>
      <c r="M147" s="14">
        <v>58.5</v>
      </c>
      <c r="N147" s="14">
        <v>65</v>
      </c>
      <c r="O147" s="14">
        <v>6.4</v>
      </c>
      <c r="P147" s="10">
        <v>-25.65</v>
      </c>
      <c r="Q147" s="10">
        <v>25.6</v>
      </c>
      <c r="R147" s="10">
        <v>133</v>
      </c>
      <c r="S147" s="16">
        <f t="shared" si="11"/>
        <v>7.5007999999999999</v>
      </c>
      <c r="T147" s="16">
        <f t="shared" si="12"/>
        <v>38.969000000000001</v>
      </c>
      <c r="AD147" s="3">
        <v>41891</v>
      </c>
      <c r="AE147" s="16">
        <v>1150.25</v>
      </c>
      <c r="AF147">
        <v>562</v>
      </c>
      <c r="AG147">
        <v>312.5</v>
      </c>
      <c r="AH147">
        <v>183</v>
      </c>
      <c r="AI147">
        <v>92.5</v>
      </c>
      <c r="AJ147">
        <v>15.897825000000001</v>
      </c>
      <c r="AK147">
        <v>80.256600000000006</v>
      </c>
      <c r="AN147" t="s">
        <v>143</v>
      </c>
      <c r="AO147">
        <f t="shared" si="13"/>
        <v>2014</v>
      </c>
      <c r="AP147" t="str">
        <f t="shared" si="14"/>
        <v>Espada</v>
      </c>
      <c r="AQ147" t="str">
        <f t="shared" si="10"/>
        <v>Gatton2014IrrigatedCvEspada</v>
      </c>
      <c r="AV147" s="3">
        <v>41891</v>
      </c>
      <c r="AW147" s="16">
        <v>50.361195378982018</v>
      </c>
      <c r="AX147">
        <v>15.853495934125487</v>
      </c>
      <c r="AY147">
        <v>42.343830719480259</v>
      </c>
      <c r="AZ147">
        <v>29.359836511806396</v>
      </c>
      <c r="BA147">
        <v>22.052966542697455</v>
      </c>
      <c r="BB147">
        <v>5.1654203819727966</v>
      </c>
      <c r="BC147">
        <v>22.354002684083209</v>
      </c>
    </row>
    <row r="148" spans="1:55" x14ac:dyDescent="0.25">
      <c r="A148" s="14">
        <v>2014</v>
      </c>
      <c r="B148" s="14" t="s">
        <v>123</v>
      </c>
      <c r="C148" s="14" t="s">
        <v>124</v>
      </c>
      <c r="D148" s="14">
        <v>1</v>
      </c>
      <c r="E148" s="14">
        <v>3</v>
      </c>
      <c r="F148" s="14">
        <v>3</v>
      </c>
      <c r="G148" s="14">
        <v>1</v>
      </c>
      <c r="H148" s="14" t="s">
        <v>9</v>
      </c>
      <c r="I148" s="15">
        <v>41899</v>
      </c>
      <c r="J148" s="14" t="s">
        <v>128</v>
      </c>
      <c r="K148" s="21">
        <v>421</v>
      </c>
      <c r="L148" s="14">
        <v>244</v>
      </c>
      <c r="M148" s="14">
        <v>66.2</v>
      </c>
      <c r="N148" s="14">
        <v>81</v>
      </c>
      <c r="O148" s="14">
        <v>29.5</v>
      </c>
      <c r="P148" s="10">
        <v>-26.04</v>
      </c>
      <c r="Q148" s="10">
        <v>20</v>
      </c>
      <c r="R148" s="10">
        <v>118</v>
      </c>
      <c r="S148" s="16">
        <f t="shared" si="11"/>
        <v>8.42</v>
      </c>
      <c r="T148" s="16">
        <f t="shared" si="12"/>
        <v>49.677999999999997</v>
      </c>
      <c r="AD148" s="3">
        <v>41947</v>
      </c>
      <c r="AE148" s="16">
        <v>1958.75</v>
      </c>
      <c r="AF148">
        <v>621.25</v>
      </c>
      <c r="AG148">
        <v>0</v>
      </c>
      <c r="AH148">
        <v>1146.5</v>
      </c>
      <c r="AI148">
        <v>191.5</v>
      </c>
      <c r="AN148" t="s">
        <v>143</v>
      </c>
      <c r="AO148">
        <f t="shared" si="13"/>
        <v>2014</v>
      </c>
      <c r="AP148" t="str">
        <f t="shared" si="14"/>
        <v>Espada</v>
      </c>
      <c r="AQ148" t="str">
        <f t="shared" si="10"/>
        <v>Gatton2014IrrigatedCvEspada</v>
      </c>
      <c r="AV148" s="3">
        <v>41947</v>
      </c>
      <c r="AW148" s="16">
        <v>63.184254367682463</v>
      </c>
      <c r="AX148">
        <v>46.306047121299393</v>
      </c>
      <c r="AY148">
        <v>0</v>
      </c>
      <c r="AZ148">
        <v>67.673234492424456</v>
      </c>
      <c r="BA148">
        <v>66.284739319595033</v>
      </c>
    </row>
    <row r="149" spans="1:55" x14ac:dyDescent="0.25">
      <c r="A149" s="14">
        <v>2014</v>
      </c>
      <c r="B149" s="14" t="s">
        <v>123</v>
      </c>
      <c r="C149" s="14" t="s">
        <v>124</v>
      </c>
      <c r="D149" s="14">
        <v>1</v>
      </c>
      <c r="E149" s="14">
        <v>4</v>
      </c>
      <c r="F149" s="14">
        <v>4</v>
      </c>
      <c r="G149" s="14">
        <v>1</v>
      </c>
      <c r="H149" s="14" t="s">
        <v>10</v>
      </c>
      <c r="I149" s="15">
        <v>41904</v>
      </c>
      <c r="J149" s="14" t="s">
        <v>128</v>
      </c>
      <c r="K149" s="21">
        <v>304</v>
      </c>
      <c r="L149" s="14">
        <v>158</v>
      </c>
      <c r="M149" s="14">
        <v>53.9</v>
      </c>
      <c r="N149" s="14">
        <v>85</v>
      </c>
      <c r="O149" s="14">
        <v>6.8</v>
      </c>
      <c r="P149" s="10">
        <v>-25.57</v>
      </c>
      <c r="Q149" s="10">
        <v>21.4</v>
      </c>
      <c r="R149" s="10">
        <v>146.1</v>
      </c>
      <c r="S149" s="16">
        <f t="shared" si="11"/>
        <v>6.5055999999999994</v>
      </c>
      <c r="T149" s="16">
        <f t="shared" si="12"/>
        <v>44.414400000000001</v>
      </c>
      <c r="AC149" t="s">
        <v>4</v>
      </c>
      <c r="AD149" s="3">
        <v>41834</v>
      </c>
      <c r="AE149" s="16">
        <v>110.5</v>
      </c>
      <c r="AF149">
        <v>38.5</v>
      </c>
      <c r="AG149">
        <v>72</v>
      </c>
      <c r="AI149">
        <v>0</v>
      </c>
      <c r="AJ149">
        <v>5.1693000000000007</v>
      </c>
      <c r="AK149">
        <v>3.3087999999999997</v>
      </c>
      <c r="AN149" t="s">
        <v>143</v>
      </c>
      <c r="AO149">
        <f t="shared" si="13"/>
        <v>2014</v>
      </c>
      <c r="AP149" t="str">
        <f t="shared" si="14"/>
        <v>Gauntlet</v>
      </c>
      <c r="AQ149" t="str">
        <f t="shared" si="10"/>
        <v>Gatton2014IrrigatedCvGauntlet</v>
      </c>
      <c r="AU149" t="s">
        <v>4</v>
      </c>
      <c r="AV149" s="3">
        <v>41834</v>
      </c>
      <c r="AW149" s="16">
        <v>8.1853527718724504</v>
      </c>
      <c r="AX149">
        <v>3.6968455021364721</v>
      </c>
      <c r="AY149">
        <v>4.5460605656619517</v>
      </c>
      <c r="BA149">
        <v>0</v>
      </c>
      <c r="BB149">
        <v>0.19562139453544969</v>
      </c>
      <c r="BC149">
        <v>1.7504558949028097</v>
      </c>
    </row>
    <row r="150" spans="1:55" x14ac:dyDescent="0.25">
      <c r="A150" s="14">
        <v>2014</v>
      </c>
      <c r="B150" s="14" t="s">
        <v>123</v>
      </c>
      <c r="C150" s="14" t="s">
        <v>124</v>
      </c>
      <c r="D150" s="14">
        <v>1</v>
      </c>
      <c r="E150" s="14">
        <v>5</v>
      </c>
      <c r="F150" s="14">
        <v>5</v>
      </c>
      <c r="G150" s="14">
        <v>1</v>
      </c>
      <c r="H150" s="14" t="s">
        <v>6</v>
      </c>
      <c r="I150" s="15">
        <v>41901</v>
      </c>
      <c r="J150" s="14" t="s">
        <v>128</v>
      </c>
      <c r="K150" s="21">
        <v>269</v>
      </c>
      <c r="L150" s="14">
        <v>134</v>
      </c>
      <c r="M150" s="14">
        <v>62.5</v>
      </c>
      <c r="N150" s="14">
        <v>60</v>
      </c>
      <c r="O150" s="14">
        <v>13</v>
      </c>
      <c r="P150" s="10">
        <v>-25.69</v>
      </c>
      <c r="Q150" s="10">
        <v>14.2</v>
      </c>
      <c r="R150" s="10">
        <v>130</v>
      </c>
      <c r="S150" s="16">
        <f t="shared" si="11"/>
        <v>3.8197999999999999</v>
      </c>
      <c r="T150" s="16">
        <f t="shared" si="12"/>
        <v>34.97</v>
      </c>
      <c r="AD150" s="3">
        <v>41856</v>
      </c>
      <c r="AE150" s="16">
        <v>361.25</v>
      </c>
      <c r="AF150">
        <v>123.75</v>
      </c>
      <c r="AG150">
        <v>229</v>
      </c>
      <c r="AI150">
        <v>8.5</v>
      </c>
      <c r="AN150" t="s">
        <v>143</v>
      </c>
      <c r="AO150">
        <f t="shared" si="13"/>
        <v>2014</v>
      </c>
      <c r="AP150" t="str">
        <f t="shared" si="14"/>
        <v>Gauntlet</v>
      </c>
      <c r="AQ150" t="str">
        <f t="shared" si="10"/>
        <v>Gatton2014IrrigatedCvGauntlet</v>
      </c>
      <c r="AV150" s="3">
        <v>41856</v>
      </c>
      <c r="AW150" s="16">
        <v>40.186025763524647</v>
      </c>
      <c r="AX150">
        <v>17.519037264263886</v>
      </c>
      <c r="AY150">
        <v>18.654758106177631</v>
      </c>
      <c r="BA150">
        <v>4.6547466812563139</v>
      </c>
    </row>
    <row r="151" spans="1:55" x14ac:dyDescent="0.25">
      <c r="A151" s="14">
        <v>2014</v>
      </c>
      <c r="B151" s="14" t="s">
        <v>123</v>
      </c>
      <c r="C151" s="14" t="s">
        <v>124</v>
      </c>
      <c r="D151" s="14">
        <v>1</v>
      </c>
      <c r="E151" s="14">
        <v>6</v>
      </c>
      <c r="F151" s="14">
        <v>6</v>
      </c>
      <c r="G151" s="14">
        <v>1</v>
      </c>
      <c r="H151" s="14" t="s">
        <v>13</v>
      </c>
      <c r="I151" s="15">
        <v>41897</v>
      </c>
      <c r="J151" s="14" t="s">
        <v>128</v>
      </c>
      <c r="K151" s="21">
        <v>415</v>
      </c>
      <c r="L151" s="14">
        <v>232</v>
      </c>
      <c r="M151" s="14">
        <v>74.2</v>
      </c>
      <c r="N151" s="14">
        <v>96</v>
      </c>
      <c r="O151" s="14">
        <v>13</v>
      </c>
      <c r="P151" s="10">
        <v>-25.9</v>
      </c>
      <c r="Q151" s="10">
        <v>20.5</v>
      </c>
      <c r="R151" s="10">
        <v>125.3</v>
      </c>
      <c r="S151" s="16">
        <f t="shared" si="11"/>
        <v>8.5075000000000003</v>
      </c>
      <c r="T151" s="16">
        <f t="shared" si="12"/>
        <v>51.999499999999998</v>
      </c>
      <c r="AD151" s="3">
        <v>41871</v>
      </c>
      <c r="AE151" s="16">
        <v>612.25</v>
      </c>
      <c r="AF151">
        <v>241.75</v>
      </c>
      <c r="AG151">
        <v>323.25</v>
      </c>
      <c r="AI151">
        <v>47.75</v>
      </c>
      <c r="AJ151">
        <v>14.099800000000002</v>
      </c>
      <c r="AK151">
        <v>64.1828</v>
      </c>
      <c r="AN151" t="s">
        <v>143</v>
      </c>
      <c r="AO151">
        <f t="shared" si="13"/>
        <v>2014</v>
      </c>
      <c r="AP151" t="str">
        <f t="shared" si="14"/>
        <v>Gauntlet</v>
      </c>
      <c r="AQ151" t="str">
        <f t="shared" si="10"/>
        <v>Gatton2014IrrigatedCvGauntlet</v>
      </c>
      <c r="AV151" s="3">
        <v>41871</v>
      </c>
      <c r="AW151" s="16">
        <v>24.824383174612819</v>
      </c>
      <c r="AX151">
        <v>29.937434759845406</v>
      </c>
      <c r="AY151">
        <v>34.538625720585159</v>
      </c>
      <c r="BA151">
        <v>16.918924315688631</v>
      </c>
      <c r="BB151" t="e">
        <v>#DIV/0!</v>
      </c>
      <c r="BC151" t="e">
        <v>#DIV/0!</v>
      </c>
    </row>
    <row r="152" spans="1:55" x14ac:dyDescent="0.25">
      <c r="A152" s="14">
        <v>2014</v>
      </c>
      <c r="B152" s="14" t="s">
        <v>123</v>
      </c>
      <c r="C152" s="14" t="s">
        <v>124</v>
      </c>
      <c r="D152" s="14">
        <v>2</v>
      </c>
      <c r="E152" s="14">
        <v>6</v>
      </c>
      <c r="F152" s="14">
        <v>7</v>
      </c>
      <c r="G152" s="14">
        <v>1</v>
      </c>
      <c r="H152" s="14" t="s">
        <v>2</v>
      </c>
      <c r="I152" s="15">
        <v>41899</v>
      </c>
      <c r="J152" s="14" t="s">
        <v>128</v>
      </c>
      <c r="K152" s="21">
        <v>462</v>
      </c>
      <c r="L152" s="14">
        <v>279</v>
      </c>
      <c r="M152" s="14">
        <v>73.400000000000006</v>
      </c>
      <c r="N152" s="14">
        <v>89</v>
      </c>
      <c r="O152" s="14">
        <v>20.100000000000001</v>
      </c>
      <c r="P152" s="10">
        <v>-25.8</v>
      </c>
      <c r="Q152" s="10">
        <v>18.399999999999999</v>
      </c>
      <c r="R152" s="10">
        <v>146.80000000000001</v>
      </c>
      <c r="S152" s="16">
        <f t="shared" si="11"/>
        <v>8.5007999999999999</v>
      </c>
      <c r="T152" s="16">
        <f t="shared" si="12"/>
        <v>67.821600000000004</v>
      </c>
      <c r="AD152" s="3">
        <v>41898</v>
      </c>
      <c r="AE152" s="16">
        <v>1247</v>
      </c>
      <c r="AF152">
        <v>589.75</v>
      </c>
      <c r="AG152">
        <v>325</v>
      </c>
      <c r="AH152">
        <v>217.5</v>
      </c>
      <c r="AI152">
        <v>114.5</v>
      </c>
      <c r="AJ152">
        <v>16.22495</v>
      </c>
      <c r="AK152">
        <v>115.82345000000001</v>
      </c>
      <c r="AN152" t="s">
        <v>143</v>
      </c>
      <c r="AO152">
        <f t="shared" si="13"/>
        <v>2014</v>
      </c>
      <c r="AP152" t="str">
        <f t="shared" si="14"/>
        <v>Gauntlet</v>
      </c>
      <c r="AQ152" t="str">
        <f t="shared" si="10"/>
        <v>Gatton2014IrrigatedCvGauntlet</v>
      </c>
      <c r="AV152" s="3">
        <v>41898</v>
      </c>
      <c r="AW152" s="16">
        <v>58.395205282625732</v>
      </c>
      <c r="AX152">
        <v>43.138343346339425</v>
      </c>
      <c r="AY152">
        <v>57.913728942281033</v>
      </c>
      <c r="AZ152">
        <v>11.902380714238083</v>
      </c>
      <c r="BA152">
        <v>30.160680805755472</v>
      </c>
      <c r="BB152">
        <v>4.9789161501274588</v>
      </c>
      <c r="BC152">
        <v>30.333162875473374</v>
      </c>
    </row>
    <row r="153" spans="1:55" x14ac:dyDescent="0.25">
      <c r="A153" s="14">
        <v>2014</v>
      </c>
      <c r="B153" s="14" t="s">
        <v>123</v>
      </c>
      <c r="C153" s="14" t="s">
        <v>124</v>
      </c>
      <c r="D153" s="14">
        <v>2</v>
      </c>
      <c r="E153" s="14">
        <v>5</v>
      </c>
      <c r="F153" s="14">
        <v>8</v>
      </c>
      <c r="G153" s="14">
        <v>1</v>
      </c>
      <c r="H153" s="14" t="s">
        <v>12</v>
      </c>
      <c r="I153" s="15">
        <v>41901</v>
      </c>
      <c r="J153" s="14" t="s">
        <v>128</v>
      </c>
      <c r="K153" s="21">
        <v>398</v>
      </c>
      <c r="L153" s="14">
        <v>218</v>
      </c>
      <c r="M153" s="14">
        <v>77.599999999999994</v>
      </c>
      <c r="N153" s="14">
        <v>81</v>
      </c>
      <c r="O153" s="14">
        <v>20.9</v>
      </c>
      <c r="P153" s="10">
        <v>-25.89</v>
      </c>
      <c r="Q153" s="10">
        <v>20.399999999999999</v>
      </c>
      <c r="R153" s="10">
        <v>117.5</v>
      </c>
      <c r="S153" s="16">
        <f t="shared" si="11"/>
        <v>8.1191999999999993</v>
      </c>
      <c r="T153" s="16">
        <f t="shared" si="12"/>
        <v>46.765000000000001</v>
      </c>
      <c r="AD153" s="3">
        <v>41947</v>
      </c>
      <c r="AE153" s="16">
        <v>1864.25</v>
      </c>
      <c r="AF153">
        <v>586.75</v>
      </c>
      <c r="AG153">
        <v>0</v>
      </c>
      <c r="AH153">
        <v>1079.5</v>
      </c>
      <c r="AI153">
        <v>198</v>
      </c>
      <c r="AN153" t="s">
        <v>143</v>
      </c>
      <c r="AO153">
        <f t="shared" si="13"/>
        <v>2014</v>
      </c>
      <c r="AP153" t="str">
        <f t="shared" si="14"/>
        <v>Gauntlet</v>
      </c>
      <c r="AQ153" t="str">
        <f t="shared" si="10"/>
        <v>Gatton2014IrrigatedCvGauntlet</v>
      </c>
      <c r="AV153" s="3">
        <v>41947</v>
      </c>
      <c r="AW153" s="16">
        <v>22.366269246345041</v>
      </c>
      <c r="AX153">
        <v>27.047797199279156</v>
      </c>
      <c r="AY153">
        <v>0</v>
      </c>
      <c r="AZ153">
        <v>31.649117944528353</v>
      </c>
      <c r="BA153">
        <v>49.322070786481241</v>
      </c>
    </row>
    <row r="154" spans="1:55" x14ac:dyDescent="0.25">
      <c r="A154" s="14">
        <v>2014</v>
      </c>
      <c r="B154" s="14" t="s">
        <v>123</v>
      </c>
      <c r="C154" s="14" t="s">
        <v>124</v>
      </c>
      <c r="D154" s="14">
        <v>2</v>
      </c>
      <c r="E154" s="14">
        <v>4</v>
      </c>
      <c r="F154" s="14">
        <v>9</v>
      </c>
      <c r="G154" s="14">
        <v>1</v>
      </c>
      <c r="H154" s="14" t="s">
        <v>7</v>
      </c>
      <c r="I154" s="15">
        <v>41901</v>
      </c>
      <c r="J154" s="14" t="s">
        <v>128</v>
      </c>
      <c r="K154" s="21">
        <v>380</v>
      </c>
      <c r="L154" s="14">
        <v>208</v>
      </c>
      <c r="M154" s="14">
        <v>64.3</v>
      </c>
      <c r="N154" s="14">
        <v>76</v>
      </c>
      <c r="O154" s="14">
        <v>32.4</v>
      </c>
      <c r="P154" s="10">
        <v>-26.03</v>
      </c>
      <c r="Q154" s="10">
        <v>17.5</v>
      </c>
      <c r="R154" s="10">
        <v>115.9</v>
      </c>
      <c r="S154" s="16">
        <f t="shared" si="11"/>
        <v>6.65</v>
      </c>
      <c r="T154" s="16">
        <f t="shared" si="12"/>
        <v>44.042000000000002</v>
      </c>
      <c r="AC154" t="s">
        <v>7</v>
      </c>
      <c r="AD154" s="3">
        <v>41834</v>
      </c>
      <c r="AE154" s="16">
        <v>157</v>
      </c>
      <c r="AF154">
        <v>50</v>
      </c>
      <c r="AG154">
        <v>106.75</v>
      </c>
      <c r="AI154">
        <v>0</v>
      </c>
      <c r="AJ154">
        <v>6.5094000000000003</v>
      </c>
      <c r="AK154">
        <v>5.3048500000000001</v>
      </c>
      <c r="AN154" t="s">
        <v>143</v>
      </c>
      <c r="AO154">
        <f t="shared" si="13"/>
        <v>2014</v>
      </c>
      <c r="AP154" t="str">
        <f t="shared" si="14"/>
        <v>Hartog</v>
      </c>
      <c r="AQ154" t="str">
        <f t="shared" si="10"/>
        <v>Gatton2014IrrigatedCvHartog</v>
      </c>
      <c r="AU154" t="s">
        <v>7</v>
      </c>
      <c r="AV154" s="3">
        <v>41834</v>
      </c>
      <c r="AW154" s="16">
        <v>12.274635093014645</v>
      </c>
      <c r="AX154">
        <v>16.06237840420901</v>
      </c>
      <c r="AY154">
        <v>8.421203397773187</v>
      </c>
      <c r="BA154">
        <v>0</v>
      </c>
      <c r="BB154">
        <v>0.8331583442939654</v>
      </c>
      <c r="BC154">
        <v>1.2920835305815168</v>
      </c>
    </row>
    <row r="155" spans="1:55" x14ac:dyDescent="0.25">
      <c r="A155" s="14">
        <v>2014</v>
      </c>
      <c r="B155" s="14" t="s">
        <v>123</v>
      </c>
      <c r="C155" s="14" t="s">
        <v>124</v>
      </c>
      <c r="D155" s="14">
        <v>2</v>
      </c>
      <c r="E155" s="14">
        <v>3</v>
      </c>
      <c r="F155" s="14">
        <v>10</v>
      </c>
      <c r="G155" s="14">
        <v>1</v>
      </c>
      <c r="H155" s="14" t="s">
        <v>8</v>
      </c>
      <c r="I155" s="15">
        <v>41901</v>
      </c>
      <c r="J155" s="14" t="s">
        <v>128</v>
      </c>
      <c r="K155" s="21">
        <v>469</v>
      </c>
      <c r="L155" s="14">
        <v>272</v>
      </c>
      <c r="M155" s="14">
        <v>92.2</v>
      </c>
      <c r="N155" s="14">
        <v>83</v>
      </c>
      <c r="O155" s="14">
        <v>20.7</v>
      </c>
      <c r="P155" s="10">
        <v>-25.75</v>
      </c>
      <c r="Q155" s="10">
        <v>19.8</v>
      </c>
      <c r="R155" s="10">
        <v>138.5</v>
      </c>
      <c r="S155" s="16">
        <f t="shared" si="11"/>
        <v>9.2862000000000009</v>
      </c>
      <c r="T155" s="16">
        <f t="shared" si="12"/>
        <v>64.956500000000005</v>
      </c>
      <c r="AD155" s="3">
        <v>41856</v>
      </c>
      <c r="AE155" s="16">
        <v>450.25</v>
      </c>
      <c r="AF155">
        <v>189.5</v>
      </c>
      <c r="AG155">
        <v>228.5</v>
      </c>
      <c r="AI155">
        <v>31.75</v>
      </c>
      <c r="AN155" t="s">
        <v>143</v>
      </c>
      <c r="AO155">
        <f t="shared" si="13"/>
        <v>2014</v>
      </c>
      <c r="AP155" t="str">
        <f t="shared" si="14"/>
        <v>Hartog</v>
      </c>
      <c r="AQ155" t="str">
        <f t="shared" si="10"/>
        <v>Gatton2014IrrigatedCvHartog</v>
      </c>
      <c r="AV155" s="3">
        <v>41856</v>
      </c>
      <c r="AW155" s="16">
        <v>42.547032799009614</v>
      </c>
      <c r="AX155">
        <v>19.502136635080099</v>
      </c>
      <c r="AY155">
        <v>26.714540360385516</v>
      </c>
      <c r="BA155">
        <v>6.6520673478250352</v>
      </c>
    </row>
    <row r="156" spans="1:55" x14ac:dyDescent="0.25">
      <c r="A156" s="14">
        <v>2014</v>
      </c>
      <c r="B156" s="14" t="s">
        <v>123</v>
      </c>
      <c r="C156" s="14" t="s">
        <v>124</v>
      </c>
      <c r="D156" s="14">
        <v>2</v>
      </c>
      <c r="E156" s="14">
        <v>2</v>
      </c>
      <c r="F156" s="14">
        <v>11</v>
      </c>
      <c r="G156" s="14">
        <v>1</v>
      </c>
      <c r="H156" s="14" t="s">
        <v>5</v>
      </c>
      <c r="I156" s="15">
        <v>41904</v>
      </c>
      <c r="J156" s="14" t="s">
        <v>128</v>
      </c>
      <c r="K156" s="21">
        <v>435</v>
      </c>
      <c r="L156" s="14">
        <v>231</v>
      </c>
      <c r="M156" s="14">
        <v>63.4</v>
      </c>
      <c r="N156" s="14">
        <v>120</v>
      </c>
      <c r="O156" s="14">
        <v>20.3</v>
      </c>
      <c r="P156" s="10">
        <v>-25.52</v>
      </c>
      <c r="Q156" s="10">
        <v>19.100000000000001</v>
      </c>
      <c r="R156" s="10">
        <v>162.9</v>
      </c>
      <c r="S156" s="16">
        <f t="shared" si="11"/>
        <v>8.3085000000000004</v>
      </c>
      <c r="T156" s="16">
        <f t="shared" si="12"/>
        <v>70.861500000000007</v>
      </c>
      <c r="AD156" s="3">
        <v>41871</v>
      </c>
      <c r="AE156" s="16">
        <v>709.75</v>
      </c>
      <c r="AF156">
        <v>369</v>
      </c>
      <c r="AG156">
        <v>306.25</v>
      </c>
      <c r="AI156">
        <v>34</v>
      </c>
      <c r="AJ156">
        <v>15.178125000000001</v>
      </c>
      <c r="AK156">
        <v>62.210099999999997</v>
      </c>
      <c r="AN156" t="s">
        <v>143</v>
      </c>
      <c r="AO156">
        <f t="shared" si="13"/>
        <v>2014</v>
      </c>
      <c r="AP156" t="str">
        <f t="shared" si="14"/>
        <v>Hartog</v>
      </c>
      <c r="AQ156" t="str">
        <f t="shared" si="10"/>
        <v>Gatton2014IrrigatedCvHartog</v>
      </c>
      <c r="AV156" s="3">
        <v>41871</v>
      </c>
      <c r="AW156" s="16">
        <v>21.884164746836163</v>
      </c>
      <c r="AX156">
        <v>18.421002506197464</v>
      </c>
      <c r="AY156">
        <v>29.443448620476961</v>
      </c>
      <c r="BA156">
        <v>29.154759474226502</v>
      </c>
      <c r="BB156">
        <v>0.8932190376199084</v>
      </c>
      <c r="BC156">
        <v>4.8917145365062158</v>
      </c>
    </row>
    <row r="157" spans="1:55" x14ac:dyDescent="0.25">
      <c r="A157" s="14">
        <v>2014</v>
      </c>
      <c r="B157" s="14" t="s">
        <v>123</v>
      </c>
      <c r="C157" s="14" t="s">
        <v>124</v>
      </c>
      <c r="D157" s="14">
        <v>2</v>
      </c>
      <c r="E157" s="14">
        <v>1</v>
      </c>
      <c r="F157" s="14">
        <v>12</v>
      </c>
      <c r="G157" s="14">
        <v>1</v>
      </c>
      <c r="H157" s="14" t="s">
        <v>4</v>
      </c>
      <c r="I157" s="15">
        <v>41904</v>
      </c>
      <c r="J157" s="14" t="s">
        <v>128</v>
      </c>
      <c r="K157" s="21">
        <v>377</v>
      </c>
      <c r="L157" s="14">
        <v>209</v>
      </c>
      <c r="M157" s="14">
        <v>73.8</v>
      </c>
      <c r="N157" s="14">
        <v>83</v>
      </c>
      <c r="O157" s="14">
        <v>11.1</v>
      </c>
      <c r="P157" s="10">
        <v>-25.99</v>
      </c>
      <c r="Q157" s="10">
        <v>21.6</v>
      </c>
      <c r="R157" s="10">
        <v>123</v>
      </c>
      <c r="S157" s="16">
        <f t="shared" si="11"/>
        <v>8.1432000000000002</v>
      </c>
      <c r="T157" s="16">
        <f t="shared" si="12"/>
        <v>46.371000000000002</v>
      </c>
      <c r="AD157" s="3">
        <v>41891</v>
      </c>
      <c r="AE157" s="16">
        <v>1160</v>
      </c>
      <c r="AF157">
        <v>544.5</v>
      </c>
      <c r="AG157">
        <v>277.25</v>
      </c>
      <c r="AH157">
        <v>162</v>
      </c>
      <c r="AI157">
        <v>176</v>
      </c>
      <c r="AJ157">
        <v>16.674825000000002</v>
      </c>
      <c r="AK157">
        <v>94.684299999999993</v>
      </c>
      <c r="AN157" t="s">
        <v>143</v>
      </c>
      <c r="AO157">
        <f t="shared" si="13"/>
        <v>2014</v>
      </c>
      <c r="AP157" t="str">
        <f t="shared" si="14"/>
        <v>Hartog</v>
      </c>
      <c r="AQ157" t="str">
        <f t="shared" si="10"/>
        <v>Gatton2014IrrigatedCvHartog</v>
      </c>
      <c r="AV157" s="3">
        <v>41891</v>
      </c>
      <c r="AW157" s="16">
        <v>40.947120370871829</v>
      </c>
      <c r="AX157">
        <v>45.434935163740839</v>
      </c>
      <c r="AY157">
        <v>38.082148048659228</v>
      </c>
      <c r="AZ157">
        <v>27.349588662354687</v>
      </c>
      <c r="BA157">
        <v>73.448394581955753</v>
      </c>
      <c r="BB157">
        <v>2.1728175140049295</v>
      </c>
      <c r="BC157">
        <v>17.704304896079169</v>
      </c>
    </row>
    <row r="158" spans="1:55" x14ac:dyDescent="0.25">
      <c r="A158" s="14">
        <v>2014</v>
      </c>
      <c r="B158" s="14" t="s">
        <v>123</v>
      </c>
      <c r="C158" s="14" t="s">
        <v>124</v>
      </c>
      <c r="D158" s="14">
        <v>3</v>
      </c>
      <c r="E158" s="14">
        <v>1</v>
      </c>
      <c r="F158" s="14">
        <v>13</v>
      </c>
      <c r="G158" s="14">
        <v>2</v>
      </c>
      <c r="H158" s="14" t="s">
        <v>8</v>
      </c>
      <c r="I158" s="15">
        <v>41904</v>
      </c>
      <c r="J158" s="14" t="s">
        <v>128</v>
      </c>
      <c r="K158" s="21">
        <v>491</v>
      </c>
      <c r="L158" s="14">
        <v>298</v>
      </c>
      <c r="M158" s="14">
        <v>90.4</v>
      </c>
      <c r="N158" s="14">
        <v>91</v>
      </c>
      <c r="O158" s="14">
        <v>12</v>
      </c>
      <c r="P158" s="10">
        <v>-25.99</v>
      </c>
      <c r="Q158" s="10">
        <v>18.100000000000001</v>
      </c>
      <c r="R158" s="10">
        <v>110.5</v>
      </c>
      <c r="S158" s="16">
        <f t="shared" si="11"/>
        <v>8.8871000000000002</v>
      </c>
      <c r="T158" s="16">
        <f t="shared" si="12"/>
        <v>54.255499999999998</v>
      </c>
      <c r="AD158" s="3">
        <v>41947</v>
      </c>
      <c r="AE158" s="16">
        <v>1729.25</v>
      </c>
      <c r="AF158">
        <v>575</v>
      </c>
      <c r="AG158">
        <v>0</v>
      </c>
      <c r="AH158">
        <v>1038.75</v>
      </c>
      <c r="AI158">
        <v>115</v>
      </c>
      <c r="AN158" t="s">
        <v>143</v>
      </c>
      <c r="AO158">
        <f t="shared" si="13"/>
        <v>2014</v>
      </c>
      <c r="AP158" t="str">
        <f t="shared" si="14"/>
        <v>Hartog</v>
      </c>
      <c r="AQ158" t="str">
        <f t="shared" si="10"/>
        <v>Gatton2014IrrigatedCvHartog</v>
      </c>
      <c r="AV158" s="3">
        <v>41947</v>
      </c>
      <c r="AW158" s="16">
        <v>157.64173516764737</v>
      </c>
      <c r="AX158">
        <v>67.428974978614846</v>
      </c>
      <c r="AY158">
        <v>0</v>
      </c>
      <c r="AZ158">
        <v>79.926528762357748</v>
      </c>
      <c r="BA158">
        <v>38.305787204198445</v>
      </c>
    </row>
    <row r="159" spans="1:55" x14ac:dyDescent="0.25">
      <c r="A159" s="14">
        <v>2014</v>
      </c>
      <c r="B159" s="14" t="s">
        <v>123</v>
      </c>
      <c r="C159" s="14" t="s">
        <v>124</v>
      </c>
      <c r="D159" s="14">
        <v>3</v>
      </c>
      <c r="E159" s="14">
        <v>2</v>
      </c>
      <c r="F159" s="14">
        <v>14</v>
      </c>
      <c r="G159" s="14">
        <v>2</v>
      </c>
      <c r="H159" s="14" t="s">
        <v>4</v>
      </c>
      <c r="I159" s="15">
        <v>41904</v>
      </c>
      <c r="J159" s="14" t="s">
        <v>128</v>
      </c>
      <c r="K159" s="21">
        <v>403</v>
      </c>
      <c r="L159" s="14">
        <v>170</v>
      </c>
      <c r="M159" s="14">
        <v>55</v>
      </c>
      <c r="N159" s="14">
        <v>170</v>
      </c>
      <c r="O159" s="14">
        <v>8.9</v>
      </c>
      <c r="P159" s="10">
        <v>-26.12</v>
      </c>
      <c r="Q159" s="10">
        <v>15.2</v>
      </c>
      <c r="R159" s="10">
        <v>89.5</v>
      </c>
      <c r="S159" s="16">
        <f t="shared" si="11"/>
        <v>6.1255999999999995</v>
      </c>
      <c r="T159" s="16">
        <f t="shared" si="12"/>
        <v>36.0685</v>
      </c>
      <c r="AC159" t="s">
        <v>2</v>
      </c>
      <c r="AD159" s="3">
        <v>41834</v>
      </c>
      <c r="AE159" s="16">
        <v>156.25</v>
      </c>
      <c r="AF159">
        <v>55.5</v>
      </c>
      <c r="AG159">
        <v>100.5</v>
      </c>
      <c r="AI159">
        <v>0</v>
      </c>
      <c r="AJ159">
        <v>6.9436333333333335</v>
      </c>
      <c r="AK159">
        <v>4.6579333333333333</v>
      </c>
      <c r="AN159" t="s">
        <v>143</v>
      </c>
      <c r="AO159">
        <f t="shared" si="13"/>
        <v>2014</v>
      </c>
      <c r="AP159" t="str">
        <f t="shared" si="14"/>
        <v>Mace</v>
      </c>
      <c r="AQ159" t="str">
        <f t="shared" si="10"/>
        <v>Gatton2014IrrigatedCvMace</v>
      </c>
      <c r="AU159" t="s">
        <v>2</v>
      </c>
      <c r="AV159" s="3">
        <v>41834</v>
      </c>
      <c r="AW159" s="16">
        <v>9.1058589197651578</v>
      </c>
      <c r="AX159">
        <v>2.0816659994661326</v>
      </c>
      <c r="AY159">
        <v>8.2259751195020439</v>
      </c>
      <c r="BA159">
        <v>0</v>
      </c>
      <c r="BB159">
        <v>0.27073441475610938</v>
      </c>
      <c r="BC159">
        <v>0.87315712980731131</v>
      </c>
    </row>
    <row r="160" spans="1:55" x14ac:dyDescent="0.25">
      <c r="A160" s="14">
        <v>2014</v>
      </c>
      <c r="B160" s="14" t="s">
        <v>123</v>
      </c>
      <c r="C160" s="14" t="s">
        <v>124</v>
      </c>
      <c r="D160" s="14">
        <v>3</v>
      </c>
      <c r="E160" s="14">
        <v>3</v>
      </c>
      <c r="F160" s="14">
        <v>15</v>
      </c>
      <c r="G160" s="14">
        <v>2</v>
      </c>
      <c r="H160" s="14" t="s">
        <v>12</v>
      </c>
      <c r="I160" s="15">
        <v>41901</v>
      </c>
      <c r="J160" s="14" t="s">
        <v>128</v>
      </c>
      <c r="K160" s="21">
        <v>453</v>
      </c>
      <c r="L160" s="14">
        <v>251</v>
      </c>
      <c r="M160" s="14">
        <v>69.5</v>
      </c>
      <c r="N160" s="14">
        <v>90</v>
      </c>
      <c r="O160" s="14">
        <v>42.2</v>
      </c>
      <c r="P160" s="10">
        <v>-25.86</v>
      </c>
      <c r="Q160" s="10">
        <v>18</v>
      </c>
      <c r="R160" s="10">
        <v>101.1</v>
      </c>
      <c r="S160" s="16">
        <f t="shared" si="11"/>
        <v>8.1539999999999999</v>
      </c>
      <c r="T160" s="16">
        <f t="shared" si="12"/>
        <v>45.798299999999998</v>
      </c>
      <c r="AD160" s="3">
        <v>41856</v>
      </c>
      <c r="AE160" s="16">
        <v>492.25</v>
      </c>
      <c r="AF160">
        <v>195.75</v>
      </c>
      <c r="AG160">
        <v>259.5</v>
      </c>
      <c r="AI160">
        <v>36.75</v>
      </c>
      <c r="AN160" t="s">
        <v>143</v>
      </c>
      <c r="AO160">
        <f t="shared" si="13"/>
        <v>2014</v>
      </c>
      <c r="AP160" t="str">
        <f t="shared" si="14"/>
        <v>Mace</v>
      </c>
      <c r="AQ160" t="str">
        <f t="shared" si="10"/>
        <v>Gatton2014IrrigatedCvMace</v>
      </c>
      <c r="AV160" s="3">
        <v>41856</v>
      </c>
      <c r="AW160" s="16">
        <v>93.941027600653086</v>
      </c>
      <c r="AX160">
        <v>28.158776015066184</v>
      </c>
      <c r="AY160">
        <v>62.281618476080084</v>
      </c>
      <c r="BA160">
        <v>9.0691785736085269</v>
      </c>
    </row>
    <row r="161" spans="1:55" x14ac:dyDescent="0.25">
      <c r="A161" s="14">
        <v>2014</v>
      </c>
      <c r="B161" s="14" t="s">
        <v>123</v>
      </c>
      <c r="C161" s="14" t="s">
        <v>124</v>
      </c>
      <c r="D161" s="14">
        <v>3</v>
      </c>
      <c r="E161" s="14">
        <v>4</v>
      </c>
      <c r="F161" s="14">
        <v>16</v>
      </c>
      <c r="G161" s="14">
        <v>2</v>
      </c>
      <c r="H161" s="14" t="s">
        <v>5</v>
      </c>
      <c r="I161" s="15">
        <v>41904</v>
      </c>
      <c r="J161" s="14" t="s">
        <v>128</v>
      </c>
      <c r="K161" s="21">
        <v>269</v>
      </c>
      <c r="L161" s="14">
        <v>152</v>
      </c>
      <c r="M161" s="14">
        <v>36.4</v>
      </c>
      <c r="N161" s="14">
        <v>70</v>
      </c>
      <c r="O161" s="14">
        <v>11.1</v>
      </c>
      <c r="P161" s="10">
        <v>-25.47</v>
      </c>
      <c r="Q161" s="10">
        <v>16.100000000000001</v>
      </c>
      <c r="R161" s="10">
        <v>152.1</v>
      </c>
      <c r="S161" s="16">
        <f t="shared" si="11"/>
        <v>4.3309000000000006</v>
      </c>
      <c r="T161" s="16">
        <f t="shared" si="12"/>
        <v>40.914900000000003</v>
      </c>
      <c r="AD161" s="3">
        <v>41871</v>
      </c>
      <c r="AE161" s="16">
        <v>782</v>
      </c>
      <c r="AF161">
        <v>390</v>
      </c>
      <c r="AG161">
        <v>295.5</v>
      </c>
      <c r="AI161">
        <v>96.5</v>
      </c>
      <c r="AJ161">
        <v>17.547733333333333</v>
      </c>
      <c r="AK161">
        <v>58.446266666666666</v>
      </c>
      <c r="AN161" t="s">
        <v>143</v>
      </c>
      <c r="AO161">
        <f t="shared" si="13"/>
        <v>2014</v>
      </c>
      <c r="AP161" t="str">
        <f t="shared" si="14"/>
        <v>Mace</v>
      </c>
      <c r="AQ161" t="str">
        <f t="shared" si="10"/>
        <v>Gatton2014IrrigatedCvMace</v>
      </c>
      <c r="AV161" s="3">
        <v>41871</v>
      </c>
      <c r="AW161" s="16">
        <v>231.21130306857117</v>
      </c>
      <c r="AX161">
        <v>130.60883073769043</v>
      </c>
      <c r="AY161">
        <v>61.212743771211564</v>
      </c>
      <c r="BA161">
        <v>62.153036933041335</v>
      </c>
      <c r="BB161">
        <v>4.9449094363125949</v>
      </c>
      <c r="BC161">
        <v>26.023647637741607</v>
      </c>
    </row>
    <row r="162" spans="1:55" x14ac:dyDescent="0.25">
      <c r="A162" s="14">
        <v>2014</v>
      </c>
      <c r="B162" s="14" t="s">
        <v>123</v>
      </c>
      <c r="C162" s="14" t="s">
        <v>124</v>
      </c>
      <c r="D162" s="14">
        <v>3</v>
      </c>
      <c r="E162" s="14">
        <v>5</v>
      </c>
      <c r="F162" s="14">
        <v>17</v>
      </c>
      <c r="G162" s="14">
        <v>2</v>
      </c>
      <c r="H162" s="14" t="s">
        <v>14</v>
      </c>
      <c r="I162" s="15">
        <v>41899</v>
      </c>
      <c r="J162" s="14" t="s">
        <v>128</v>
      </c>
      <c r="K162" s="21">
        <v>256</v>
      </c>
      <c r="L162" s="14">
        <v>140</v>
      </c>
      <c r="M162" s="14">
        <v>47.7</v>
      </c>
      <c r="N162" s="14">
        <v>58</v>
      </c>
      <c r="O162" s="14">
        <v>11</v>
      </c>
      <c r="P162" s="10">
        <v>-26.05</v>
      </c>
      <c r="Q162" s="10">
        <v>18.399999999999999</v>
      </c>
      <c r="R162" s="10">
        <v>91.3</v>
      </c>
      <c r="S162" s="16">
        <f t="shared" si="11"/>
        <v>4.7103999999999999</v>
      </c>
      <c r="T162" s="16">
        <f t="shared" si="12"/>
        <v>23.372799999999998</v>
      </c>
      <c r="AD162" s="3">
        <v>41891</v>
      </c>
      <c r="AE162" s="16">
        <v>1174.25</v>
      </c>
      <c r="AF162">
        <v>560.75</v>
      </c>
      <c r="AG162">
        <v>227.25</v>
      </c>
      <c r="AH162">
        <v>198</v>
      </c>
      <c r="AI162">
        <v>188</v>
      </c>
      <c r="AJ162">
        <v>14.561599999999999</v>
      </c>
      <c r="AK162">
        <v>79.166224999999997</v>
      </c>
      <c r="AN162" t="s">
        <v>143</v>
      </c>
      <c r="AO162">
        <f t="shared" si="13"/>
        <v>2014</v>
      </c>
      <c r="AP162" t="str">
        <f t="shared" si="14"/>
        <v>Mace</v>
      </c>
      <c r="AQ162" t="str">
        <f t="shared" si="10"/>
        <v>Gatton2014IrrigatedCvMace</v>
      </c>
      <c r="AV162" s="3">
        <v>41891</v>
      </c>
      <c r="AW162" s="16">
        <v>59.213596411635059</v>
      </c>
      <c r="AX162">
        <v>42.46076620442296</v>
      </c>
      <c r="AY162">
        <v>12.84198842339716</v>
      </c>
      <c r="AZ162">
        <v>36.395970472933769</v>
      </c>
      <c r="BA162">
        <v>62.262883539607017</v>
      </c>
      <c r="BB162">
        <v>1.531119191963854</v>
      </c>
      <c r="BC162">
        <v>15.941567779942439</v>
      </c>
    </row>
    <row r="163" spans="1:55" x14ac:dyDescent="0.25">
      <c r="A163" s="14">
        <v>2014</v>
      </c>
      <c r="B163" s="14" t="s">
        <v>123</v>
      </c>
      <c r="C163" s="14" t="s">
        <v>124</v>
      </c>
      <c r="D163" s="14">
        <v>3</v>
      </c>
      <c r="E163" s="14">
        <v>6</v>
      </c>
      <c r="F163" s="14">
        <v>18</v>
      </c>
      <c r="G163" s="14">
        <v>2</v>
      </c>
      <c r="H163" s="14" t="s">
        <v>7</v>
      </c>
      <c r="I163" s="15">
        <v>41901</v>
      </c>
      <c r="J163" s="14" t="s">
        <v>128</v>
      </c>
      <c r="K163" s="21">
        <v>439</v>
      </c>
      <c r="L163" s="14">
        <v>245</v>
      </c>
      <c r="M163" s="14">
        <v>73.3</v>
      </c>
      <c r="N163" s="14">
        <v>95</v>
      </c>
      <c r="O163" s="14">
        <v>25</v>
      </c>
      <c r="P163" s="10">
        <v>-25.71</v>
      </c>
      <c r="Q163" s="10">
        <v>19</v>
      </c>
      <c r="R163" s="10">
        <v>128.30000000000001</v>
      </c>
      <c r="S163" s="16">
        <f t="shared" si="11"/>
        <v>8.3409999999999993</v>
      </c>
      <c r="T163" s="16">
        <f t="shared" si="12"/>
        <v>56.323700000000002</v>
      </c>
      <c r="AD163" s="3">
        <v>41947</v>
      </c>
      <c r="AE163" s="16">
        <v>1807</v>
      </c>
      <c r="AF163">
        <v>569</v>
      </c>
      <c r="AG163">
        <v>0</v>
      </c>
      <c r="AH163">
        <v>1115.25</v>
      </c>
      <c r="AI163">
        <v>122.75</v>
      </c>
      <c r="AN163" t="s">
        <v>143</v>
      </c>
      <c r="AO163">
        <f t="shared" si="13"/>
        <v>2014</v>
      </c>
      <c r="AP163" t="str">
        <f t="shared" si="14"/>
        <v>Mace</v>
      </c>
      <c r="AQ163" t="str">
        <f t="shared" si="10"/>
        <v>Gatton2014IrrigatedCvMace</v>
      </c>
      <c r="AV163" s="3">
        <v>41947</v>
      </c>
      <c r="AW163" s="16">
        <v>93.925502394184718</v>
      </c>
      <c r="AX163">
        <v>23.380903889000241</v>
      </c>
      <c r="AY163">
        <v>0</v>
      </c>
      <c r="AZ163">
        <v>63.793285958111092</v>
      </c>
      <c r="BA163">
        <v>25.171081290507434</v>
      </c>
    </row>
    <row r="164" spans="1:55" x14ac:dyDescent="0.25">
      <c r="A164" s="14">
        <v>2014</v>
      </c>
      <c r="B164" s="14" t="s">
        <v>123</v>
      </c>
      <c r="C164" s="14" t="s">
        <v>124</v>
      </c>
      <c r="D164" s="14">
        <v>4</v>
      </c>
      <c r="E164" s="14">
        <v>6</v>
      </c>
      <c r="F164" s="14">
        <v>19</v>
      </c>
      <c r="G164" s="14">
        <v>2</v>
      </c>
      <c r="H164" s="14" t="s">
        <v>6</v>
      </c>
      <c r="I164" s="15">
        <v>41904</v>
      </c>
      <c r="J164" s="14" t="s">
        <v>128</v>
      </c>
      <c r="K164" s="21">
        <v>409</v>
      </c>
      <c r="L164" s="14">
        <v>233</v>
      </c>
      <c r="M164" s="14">
        <v>67.2</v>
      </c>
      <c r="N164" s="14">
        <v>100</v>
      </c>
      <c r="O164" s="14">
        <v>8.9</v>
      </c>
      <c r="P164" s="10">
        <v>-25.93</v>
      </c>
      <c r="Q164" s="10">
        <v>16.899999999999999</v>
      </c>
      <c r="R164" s="10">
        <v>115.2</v>
      </c>
      <c r="S164" s="16">
        <f t="shared" si="11"/>
        <v>6.9120999999999997</v>
      </c>
      <c r="T164" s="16">
        <f t="shared" si="12"/>
        <v>47.116800000000005</v>
      </c>
      <c r="AC164" t="s">
        <v>3</v>
      </c>
      <c r="AD164" s="3">
        <v>41834</v>
      </c>
      <c r="AE164" s="16">
        <v>168.5</v>
      </c>
      <c r="AF164">
        <v>52.5</v>
      </c>
      <c r="AG164">
        <v>116</v>
      </c>
      <c r="AI164">
        <v>0</v>
      </c>
      <c r="AJ164">
        <v>7.3092499999999996</v>
      </c>
      <c r="AK164">
        <v>3.4683250000000001</v>
      </c>
      <c r="AN164" t="s">
        <v>143</v>
      </c>
      <c r="AO164">
        <f t="shared" si="13"/>
        <v>2014</v>
      </c>
      <c r="AP164" t="str">
        <f t="shared" si="14"/>
        <v>Scout</v>
      </c>
      <c r="AQ164" t="str">
        <f t="shared" si="10"/>
        <v>Gatton2014IrrigatedCvScout</v>
      </c>
      <c r="AU164" t="s">
        <v>3</v>
      </c>
      <c r="AV164" s="3">
        <v>41834</v>
      </c>
      <c r="AW164" s="16">
        <v>10.878112581387146</v>
      </c>
      <c r="AX164">
        <v>3.872983346207417</v>
      </c>
      <c r="AY164">
        <v>7.6157731058639087</v>
      </c>
      <c r="BA164">
        <v>0</v>
      </c>
      <c r="BB164">
        <v>0.78015542682212569</v>
      </c>
      <c r="BC164">
        <v>1.3395936557404258</v>
      </c>
    </row>
    <row r="165" spans="1:55" x14ac:dyDescent="0.25">
      <c r="A165" s="14">
        <v>2014</v>
      </c>
      <c r="B165" s="14" t="s">
        <v>123</v>
      </c>
      <c r="C165" s="14" t="s">
        <v>124</v>
      </c>
      <c r="D165" s="14">
        <v>4</v>
      </c>
      <c r="E165" s="14">
        <v>5</v>
      </c>
      <c r="F165" s="14">
        <v>20</v>
      </c>
      <c r="G165" s="14">
        <v>2</v>
      </c>
      <c r="H165" s="14" t="s">
        <v>3</v>
      </c>
      <c r="I165" s="15">
        <v>41901</v>
      </c>
      <c r="J165" s="14" t="s">
        <v>128</v>
      </c>
      <c r="K165" s="21">
        <v>458</v>
      </c>
      <c r="L165" s="14">
        <v>258</v>
      </c>
      <c r="M165" s="14">
        <v>70</v>
      </c>
      <c r="N165" s="14">
        <v>97</v>
      </c>
      <c r="O165" s="14">
        <v>32.4</v>
      </c>
      <c r="P165" s="10">
        <v>-26.34</v>
      </c>
      <c r="Q165" s="10">
        <v>16.600000000000001</v>
      </c>
      <c r="R165" s="10">
        <v>79.5</v>
      </c>
      <c r="S165" s="16">
        <f t="shared" si="11"/>
        <v>7.6028000000000011</v>
      </c>
      <c r="T165" s="16">
        <f t="shared" si="12"/>
        <v>36.411000000000001</v>
      </c>
      <c r="AD165" s="3">
        <v>41863</v>
      </c>
      <c r="AE165" s="16">
        <v>611</v>
      </c>
      <c r="AF165">
        <v>222.75</v>
      </c>
      <c r="AG165">
        <v>324</v>
      </c>
      <c r="AI165">
        <v>64</v>
      </c>
      <c r="AN165" t="s">
        <v>143</v>
      </c>
      <c r="AO165">
        <f t="shared" si="13"/>
        <v>2014</v>
      </c>
      <c r="AP165" t="str">
        <f t="shared" si="14"/>
        <v>Scout</v>
      </c>
      <c r="AQ165" t="str">
        <f t="shared" si="10"/>
        <v>Gatton2014IrrigatedCvScout</v>
      </c>
      <c r="AV165" s="3">
        <v>41863</v>
      </c>
      <c r="AW165" s="16">
        <v>126.78327965469263</v>
      </c>
      <c r="AX165">
        <v>48.21047603996459</v>
      </c>
      <c r="AY165">
        <v>66.518167944304267</v>
      </c>
      <c r="BA165">
        <v>14.7648230602334</v>
      </c>
    </row>
    <row r="166" spans="1:55" x14ac:dyDescent="0.25">
      <c r="A166" s="14">
        <v>2014</v>
      </c>
      <c r="B166" s="14" t="s">
        <v>123</v>
      </c>
      <c r="C166" s="14" t="s">
        <v>124</v>
      </c>
      <c r="D166" s="14">
        <v>4</v>
      </c>
      <c r="E166" s="14">
        <v>4</v>
      </c>
      <c r="F166" s="14">
        <v>21</v>
      </c>
      <c r="G166" s="14">
        <v>2</v>
      </c>
      <c r="H166" s="14" t="s">
        <v>9</v>
      </c>
      <c r="I166" s="15">
        <v>41899</v>
      </c>
      <c r="J166" s="14" t="s">
        <v>128</v>
      </c>
      <c r="K166" s="21">
        <v>363</v>
      </c>
      <c r="L166" s="14">
        <v>205</v>
      </c>
      <c r="M166" s="14">
        <v>47.3</v>
      </c>
      <c r="N166" s="14">
        <v>70</v>
      </c>
      <c r="O166" s="14">
        <v>40.799999999999997</v>
      </c>
      <c r="P166" s="10">
        <v>-25.99</v>
      </c>
      <c r="Q166" s="10">
        <v>16.7</v>
      </c>
      <c r="R166" s="10">
        <v>103.4</v>
      </c>
      <c r="S166" s="16">
        <f t="shared" si="11"/>
        <v>6.0620999999999992</v>
      </c>
      <c r="T166" s="16">
        <f t="shared" si="12"/>
        <v>37.534200000000006</v>
      </c>
      <c r="AD166" s="3">
        <v>41871</v>
      </c>
      <c r="AE166" s="16">
        <v>732.25</v>
      </c>
      <c r="AF166">
        <v>315</v>
      </c>
      <c r="AG166">
        <v>369</v>
      </c>
      <c r="AI166">
        <v>47.75</v>
      </c>
      <c r="AJ166">
        <v>18.743499999999997</v>
      </c>
      <c r="AK166">
        <v>55.154775000000001</v>
      </c>
      <c r="AN166" t="s">
        <v>143</v>
      </c>
      <c r="AO166">
        <f t="shared" si="13"/>
        <v>2014</v>
      </c>
      <c r="AP166" t="str">
        <f t="shared" si="14"/>
        <v>Scout</v>
      </c>
      <c r="AQ166" t="str">
        <f t="shared" si="10"/>
        <v>Gatton2014IrrigatedCvScout</v>
      </c>
      <c r="AV166" s="3">
        <v>41871</v>
      </c>
      <c r="AW166" s="16">
        <v>39.220530338076763</v>
      </c>
      <c r="AX166">
        <v>13.564659966250536</v>
      </c>
      <c r="AY166">
        <v>25.495097567963924</v>
      </c>
      <c r="BA166">
        <v>18.463928798245153</v>
      </c>
      <c r="BB166">
        <v>2.4933221813476476</v>
      </c>
      <c r="BC166">
        <v>6.3851716319270801</v>
      </c>
    </row>
    <row r="167" spans="1:55" x14ac:dyDescent="0.25">
      <c r="A167" s="14">
        <v>2014</v>
      </c>
      <c r="B167" s="14" t="s">
        <v>123</v>
      </c>
      <c r="C167" s="14" t="s">
        <v>124</v>
      </c>
      <c r="D167" s="14">
        <v>4</v>
      </c>
      <c r="E167" s="14">
        <v>3</v>
      </c>
      <c r="F167" s="14">
        <v>22</v>
      </c>
      <c r="G167" s="14">
        <v>2</v>
      </c>
      <c r="H167" s="14" t="s">
        <v>2</v>
      </c>
      <c r="I167" s="15">
        <v>41897</v>
      </c>
      <c r="J167" s="14" t="s">
        <v>128</v>
      </c>
      <c r="K167" s="21">
        <v>499</v>
      </c>
      <c r="L167" s="14">
        <v>288</v>
      </c>
      <c r="M167" s="14">
        <v>93.2</v>
      </c>
      <c r="N167" s="14">
        <v>102</v>
      </c>
      <c r="O167" s="14">
        <v>15.8</v>
      </c>
      <c r="P167" s="10">
        <v>-25.53</v>
      </c>
      <c r="Q167" s="10">
        <v>21</v>
      </c>
      <c r="R167" s="10">
        <v>146.5</v>
      </c>
      <c r="S167" s="16">
        <f t="shared" si="11"/>
        <v>10.478999999999999</v>
      </c>
      <c r="T167" s="16">
        <f t="shared" si="12"/>
        <v>73.103499999999997</v>
      </c>
      <c r="AD167" s="3">
        <v>41898</v>
      </c>
      <c r="AE167" s="16">
        <v>1304.75</v>
      </c>
      <c r="AF167">
        <v>582</v>
      </c>
      <c r="AG167">
        <v>283.25</v>
      </c>
      <c r="AH167">
        <v>253.25</v>
      </c>
      <c r="AI167">
        <v>187</v>
      </c>
      <c r="AJ167">
        <v>16.740925000000001</v>
      </c>
      <c r="AK167">
        <v>107.49417500000001</v>
      </c>
      <c r="AN167" t="s">
        <v>143</v>
      </c>
      <c r="AO167">
        <f t="shared" si="13"/>
        <v>2014</v>
      </c>
      <c r="AP167" t="str">
        <f t="shared" si="14"/>
        <v>Scout</v>
      </c>
      <c r="AQ167" t="str">
        <f t="shared" si="10"/>
        <v>Gatton2014IrrigatedCvScout</v>
      </c>
      <c r="AV167" s="3">
        <v>41898</v>
      </c>
      <c r="AW167" s="16">
        <v>78.014421743675058</v>
      </c>
      <c r="AX167">
        <v>54.936326779281487</v>
      </c>
      <c r="AY167">
        <v>32.93807320816849</v>
      </c>
      <c r="AZ167">
        <v>47.696086492150137</v>
      </c>
      <c r="BA167">
        <v>57.97125724586855</v>
      </c>
      <c r="BB167">
        <v>3.3479207670582531</v>
      </c>
      <c r="BC167">
        <v>18.149091330490794</v>
      </c>
    </row>
    <row r="168" spans="1:55" x14ac:dyDescent="0.25">
      <c r="A168" s="14">
        <v>2014</v>
      </c>
      <c r="B168" s="14" t="s">
        <v>123</v>
      </c>
      <c r="C168" s="14" t="s">
        <v>124</v>
      </c>
      <c r="D168" s="14">
        <v>4</v>
      </c>
      <c r="E168" s="14">
        <v>2</v>
      </c>
      <c r="F168" s="14">
        <v>23</v>
      </c>
      <c r="G168" s="14">
        <v>2</v>
      </c>
      <c r="H168" s="14" t="s">
        <v>13</v>
      </c>
      <c r="I168" s="15">
        <v>41897</v>
      </c>
      <c r="J168" s="14" t="s">
        <v>128</v>
      </c>
      <c r="K168" s="21">
        <v>344</v>
      </c>
      <c r="L168" s="14">
        <v>200</v>
      </c>
      <c r="M168" s="14">
        <v>52.4</v>
      </c>
      <c r="N168" s="14">
        <v>77</v>
      </c>
      <c r="O168" s="14">
        <v>14.1</v>
      </c>
      <c r="P168" s="10">
        <v>-25.75</v>
      </c>
      <c r="Q168" s="10">
        <v>15.1</v>
      </c>
      <c r="R168" s="10">
        <v>137.69999999999999</v>
      </c>
      <c r="S168" s="16">
        <f t="shared" si="11"/>
        <v>5.1943999999999999</v>
      </c>
      <c r="T168" s="16">
        <f t="shared" si="12"/>
        <v>47.368799999999993</v>
      </c>
      <c r="AD168" s="3">
        <v>41947</v>
      </c>
      <c r="AE168" s="16">
        <v>1894</v>
      </c>
      <c r="AF168">
        <v>573.25</v>
      </c>
      <c r="AG168">
        <v>0</v>
      </c>
      <c r="AH168">
        <v>1142.25</v>
      </c>
      <c r="AI168">
        <v>178.25</v>
      </c>
      <c r="AN168" t="s">
        <v>143</v>
      </c>
      <c r="AO168">
        <f t="shared" si="13"/>
        <v>2014</v>
      </c>
      <c r="AP168" t="str">
        <f t="shared" si="14"/>
        <v>Scout</v>
      </c>
      <c r="AQ168" t="str">
        <f t="shared" si="10"/>
        <v>Gatton2014IrrigatedCvScout</v>
      </c>
      <c r="AV168" s="3">
        <v>41947</v>
      </c>
      <c r="AW168" s="16">
        <v>124.02419118865481</v>
      </c>
      <c r="AX168">
        <v>65.682950603638389</v>
      </c>
      <c r="AY168">
        <v>0</v>
      </c>
      <c r="AZ168">
        <v>61.840520696384829</v>
      </c>
      <c r="BA168">
        <v>55.433894565208625</v>
      </c>
    </row>
    <row r="169" spans="1:55" x14ac:dyDescent="0.25">
      <c r="A169" s="14">
        <v>2014</v>
      </c>
      <c r="B169" s="14" t="s">
        <v>123</v>
      </c>
      <c r="C169" s="14" t="s">
        <v>124</v>
      </c>
      <c r="D169" s="14">
        <v>4</v>
      </c>
      <c r="E169" s="14">
        <v>1</v>
      </c>
      <c r="F169" s="14">
        <v>24</v>
      </c>
      <c r="G169" s="14">
        <v>2</v>
      </c>
      <c r="H169" s="14" t="s">
        <v>10</v>
      </c>
      <c r="I169" s="15">
        <v>41899</v>
      </c>
      <c r="J169" s="14" t="s">
        <v>128</v>
      </c>
      <c r="K169" s="21">
        <v>365</v>
      </c>
      <c r="L169" s="14">
        <v>204</v>
      </c>
      <c r="M169" s="14">
        <v>54.2</v>
      </c>
      <c r="N169" s="14">
        <v>87</v>
      </c>
      <c r="O169" s="14">
        <v>20.5</v>
      </c>
      <c r="P169" s="10">
        <v>-25.71</v>
      </c>
      <c r="Q169" s="10">
        <v>19.5</v>
      </c>
      <c r="R169" s="10">
        <v>129</v>
      </c>
      <c r="S169" s="16">
        <f t="shared" si="11"/>
        <v>7.1174999999999997</v>
      </c>
      <c r="T169" s="16">
        <f t="shared" si="12"/>
        <v>47.085000000000001</v>
      </c>
      <c r="AC169" t="s">
        <v>5</v>
      </c>
      <c r="AD169" s="3">
        <v>41834</v>
      </c>
      <c r="AE169" s="16">
        <v>160</v>
      </c>
      <c r="AF169">
        <v>52.75</v>
      </c>
      <c r="AG169">
        <v>107</v>
      </c>
      <c r="AI169">
        <v>0</v>
      </c>
      <c r="AJ169">
        <v>7.61355</v>
      </c>
      <c r="AK169">
        <v>4.2078500000000005</v>
      </c>
      <c r="AN169" t="s">
        <v>143</v>
      </c>
      <c r="AO169">
        <f t="shared" si="13"/>
        <v>2014</v>
      </c>
      <c r="AP169" t="str">
        <f t="shared" si="14"/>
        <v>Spitfire</v>
      </c>
      <c r="AQ169" t="str">
        <f t="shared" si="10"/>
        <v>Gatton2014IrrigatedCvSpitfire</v>
      </c>
      <c r="AU169" t="s">
        <v>5</v>
      </c>
      <c r="AV169" s="3">
        <v>41834</v>
      </c>
      <c r="AW169" s="16">
        <v>30.951575081084322</v>
      </c>
      <c r="AX169">
        <v>11.146748404803978</v>
      </c>
      <c r="AY169">
        <v>19.798989873223331</v>
      </c>
      <c r="BA169">
        <v>0</v>
      </c>
      <c r="BB169">
        <v>1.665264248300151</v>
      </c>
      <c r="BC169">
        <v>1.9148175065351092</v>
      </c>
    </row>
    <row r="170" spans="1:55" x14ac:dyDescent="0.25">
      <c r="A170" s="14">
        <v>2014</v>
      </c>
      <c r="B170" s="14" t="s">
        <v>123</v>
      </c>
      <c r="C170" s="14" t="s">
        <v>124</v>
      </c>
      <c r="D170" s="14">
        <v>5</v>
      </c>
      <c r="E170" s="14">
        <v>1</v>
      </c>
      <c r="F170" s="14">
        <v>25</v>
      </c>
      <c r="G170" s="14">
        <v>3</v>
      </c>
      <c r="H170" s="14" t="s">
        <v>9</v>
      </c>
      <c r="I170" s="15">
        <v>41904</v>
      </c>
      <c r="J170" s="14" t="s">
        <v>128</v>
      </c>
      <c r="K170" s="21">
        <v>547</v>
      </c>
      <c r="L170" s="14">
        <v>312</v>
      </c>
      <c r="M170" s="14">
        <v>100.8</v>
      </c>
      <c r="N170" s="14">
        <v>117</v>
      </c>
      <c r="O170" s="14">
        <v>17.399999999999999</v>
      </c>
      <c r="P170" s="10">
        <v>-26.08</v>
      </c>
      <c r="Q170" s="10">
        <v>17.3</v>
      </c>
      <c r="R170" s="10">
        <v>97.2</v>
      </c>
      <c r="S170" s="16">
        <f t="shared" si="11"/>
        <v>9.4631000000000007</v>
      </c>
      <c r="T170" s="16">
        <f t="shared" si="12"/>
        <v>53.168399999999998</v>
      </c>
      <c r="AD170" s="3">
        <v>41856</v>
      </c>
      <c r="AE170" s="16">
        <v>413.5</v>
      </c>
      <c r="AF170">
        <v>160.75</v>
      </c>
      <c r="AG170">
        <v>221.75</v>
      </c>
      <c r="AI170">
        <v>31</v>
      </c>
      <c r="AN170" t="s">
        <v>143</v>
      </c>
      <c r="AO170">
        <f t="shared" si="13"/>
        <v>2014</v>
      </c>
      <c r="AP170" t="str">
        <f t="shared" si="14"/>
        <v>Spitfire</v>
      </c>
      <c r="AQ170" t="str">
        <f t="shared" si="10"/>
        <v>Gatton2014IrrigatedCvSpitfire</v>
      </c>
      <c r="AV170" s="3">
        <v>41856</v>
      </c>
      <c r="AW170" s="16">
        <v>33.491292400662395</v>
      </c>
      <c r="AX170">
        <v>6.2383224240709669</v>
      </c>
      <c r="AY170">
        <v>29.511297271835858</v>
      </c>
      <c r="BA170">
        <v>8.755950357709132</v>
      </c>
    </row>
    <row r="171" spans="1:55" x14ac:dyDescent="0.25">
      <c r="A171" s="14">
        <v>2014</v>
      </c>
      <c r="B171" s="14" t="s">
        <v>123</v>
      </c>
      <c r="C171" s="14" t="s">
        <v>124</v>
      </c>
      <c r="D171" s="14">
        <v>5</v>
      </c>
      <c r="E171" s="14">
        <v>2</v>
      </c>
      <c r="F171" s="14">
        <v>26</v>
      </c>
      <c r="G171" s="14">
        <v>3</v>
      </c>
      <c r="H171" s="14" t="s">
        <v>6</v>
      </c>
      <c r="I171" s="15">
        <v>41901</v>
      </c>
      <c r="J171" s="14" t="s">
        <v>128</v>
      </c>
      <c r="K171" s="21">
        <v>379</v>
      </c>
      <c r="L171" s="14">
        <v>214</v>
      </c>
      <c r="M171" s="14">
        <v>62.8</v>
      </c>
      <c r="N171" s="14">
        <v>78</v>
      </c>
      <c r="O171" s="14">
        <v>24.4</v>
      </c>
      <c r="P171" s="10">
        <v>-25.78</v>
      </c>
      <c r="Q171" s="10">
        <v>18.100000000000001</v>
      </c>
      <c r="R171" s="10">
        <v>117</v>
      </c>
      <c r="S171" s="16">
        <f t="shared" si="11"/>
        <v>6.8599000000000006</v>
      </c>
      <c r="T171" s="16">
        <f t="shared" si="12"/>
        <v>44.343000000000004</v>
      </c>
      <c r="AD171" s="3">
        <v>41871</v>
      </c>
      <c r="AE171" s="16">
        <v>758</v>
      </c>
      <c r="AF171">
        <v>348.75</v>
      </c>
      <c r="AG171">
        <v>309</v>
      </c>
      <c r="AI171">
        <v>100.25</v>
      </c>
      <c r="AJ171">
        <v>19.624933333333335</v>
      </c>
      <c r="AK171">
        <v>58.139933333333339</v>
      </c>
      <c r="AN171" t="s">
        <v>143</v>
      </c>
      <c r="AO171">
        <f t="shared" si="13"/>
        <v>2014</v>
      </c>
      <c r="AP171" t="str">
        <f t="shared" si="14"/>
        <v>Spitfire</v>
      </c>
      <c r="AQ171" t="str">
        <f t="shared" si="10"/>
        <v>Gatton2014IrrigatedCvSpitfire</v>
      </c>
      <c r="AV171" s="3">
        <v>41871</v>
      </c>
      <c r="AW171" s="16">
        <v>49.34234151990222</v>
      </c>
      <c r="AX171">
        <v>25.721262281103805</v>
      </c>
      <c r="AY171">
        <v>10.424330514074594</v>
      </c>
      <c r="BA171">
        <v>74.49552559270478</v>
      </c>
      <c r="BB171">
        <v>4.0106388036487726</v>
      </c>
      <c r="BC171">
        <v>7.7445744630245255</v>
      </c>
    </row>
    <row r="172" spans="1:55" x14ac:dyDescent="0.25">
      <c r="A172" s="14">
        <v>2014</v>
      </c>
      <c r="B172" s="14" t="s">
        <v>123</v>
      </c>
      <c r="C172" s="14" t="s">
        <v>124</v>
      </c>
      <c r="D172" s="14">
        <v>5</v>
      </c>
      <c r="E172" s="14">
        <v>3</v>
      </c>
      <c r="F172" s="14">
        <v>27</v>
      </c>
      <c r="G172" s="14">
        <v>3</v>
      </c>
      <c r="H172" s="14" t="s">
        <v>2</v>
      </c>
      <c r="I172" s="15">
        <v>41897</v>
      </c>
      <c r="J172" s="14" t="s">
        <v>128</v>
      </c>
      <c r="K172" s="21">
        <v>465</v>
      </c>
      <c r="L172" s="14">
        <v>266</v>
      </c>
      <c r="M172" s="14">
        <v>87.1</v>
      </c>
      <c r="N172" s="14">
        <v>97</v>
      </c>
      <c r="O172" s="14">
        <v>14.3</v>
      </c>
      <c r="P172" s="10">
        <v>-25.53</v>
      </c>
      <c r="Q172" s="10">
        <v>17.5</v>
      </c>
      <c r="R172" s="10">
        <v>130.9</v>
      </c>
      <c r="S172" s="16">
        <f t="shared" si="11"/>
        <v>8.1374999999999993</v>
      </c>
      <c r="T172" s="16">
        <f t="shared" si="12"/>
        <v>60.868499999999997</v>
      </c>
      <c r="AD172" s="3">
        <v>41891</v>
      </c>
      <c r="AE172" s="16">
        <v>1311</v>
      </c>
      <c r="AF172">
        <v>591.75</v>
      </c>
      <c r="AG172">
        <v>309.25</v>
      </c>
      <c r="AH172">
        <v>270.5</v>
      </c>
      <c r="AI172">
        <v>139.75</v>
      </c>
      <c r="AJ172">
        <v>19.250899999999998</v>
      </c>
      <c r="AK172">
        <v>102.792475</v>
      </c>
      <c r="AN172" t="s">
        <v>143</v>
      </c>
      <c r="AO172">
        <f t="shared" si="13"/>
        <v>2014</v>
      </c>
      <c r="AP172" t="str">
        <f t="shared" si="14"/>
        <v>Spitfire</v>
      </c>
      <c r="AQ172" t="str">
        <f t="shared" si="10"/>
        <v>Gatton2014IrrigatedCvSpitfire</v>
      </c>
      <c r="AV172" s="3">
        <v>41891</v>
      </c>
      <c r="AW172" s="16">
        <v>186.26862323000083</v>
      </c>
      <c r="AX172">
        <v>93.003136147838234</v>
      </c>
      <c r="AY172">
        <v>42.074338972822851</v>
      </c>
      <c r="AZ172">
        <v>46.393246634971923</v>
      </c>
      <c r="BA172">
        <v>19.5</v>
      </c>
      <c r="BB172">
        <v>3.776519747951375</v>
      </c>
      <c r="BC172">
        <v>25.708091478932634</v>
      </c>
    </row>
    <row r="173" spans="1:55" x14ac:dyDescent="0.25">
      <c r="A173" s="14">
        <v>2014</v>
      </c>
      <c r="B173" s="14" t="s">
        <v>123</v>
      </c>
      <c r="C173" s="14" t="s">
        <v>124</v>
      </c>
      <c r="D173" s="14">
        <v>5</v>
      </c>
      <c r="E173" s="14">
        <v>4</v>
      </c>
      <c r="F173" s="14">
        <v>28</v>
      </c>
      <c r="G173" s="14">
        <v>3</v>
      </c>
      <c r="H173" s="14" t="s">
        <v>14</v>
      </c>
      <c r="I173" s="15">
        <v>41899</v>
      </c>
      <c r="J173" s="14" t="s">
        <v>128</v>
      </c>
      <c r="K173" s="21">
        <v>290</v>
      </c>
      <c r="L173" s="14">
        <v>157</v>
      </c>
      <c r="M173" s="14">
        <v>46.7</v>
      </c>
      <c r="N173" s="14">
        <v>70</v>
      </c>
      <c r="O173" s="14">
        <v>16.5</v>
      </c>
      <c r="P173" s="10">
        <v>-25.95</v>
      </c>
      <c r="Q173" s="10">
        <v>19.3</v>
      </c>
      <c r="R173" s="10">
        <v>97.6</v>
      </c>
      <c r="S173" s="16">
        <f t="shared" si="11"/>
        <v>5.5970000000000004</v>
      </c>
      <c r="T173" s="16">
        <f t="shared" si="12"/>
        <v>28.303999999999998</v>
      </c>
      <c r="AD173" s="3">
        <v>41947</v>
      </c>
      <c r="AE173" s="16">
        <v>1845.75</v>
      </c>
      <c r="AF173">
        <v>528.5</v>
      </c>
      <c r="AG173">
        <v>0</v>
      </c>
      <c r="AH173">
        <v>1190.75</v>
      </c>
      <c r="AI173">
        <v>126.5</v>
      </c>
      <c r="AN173" t="s">
        <v>143</v>
      </c>
      <c r="AO173">
        <f t="shared" si="13"/>
        <v>2014</v>
      </c>
      <c r="AP173" t="str">
        <f t="shared" si="14"/>
        <v>Spitfire</v>
      </c>
      <c r="AQ173" t="str">
        <f t="shared" si="10"/>
        <v>Gatton2014IrrigatedCvSpitfire</v>
      </c>
      <c r="AV173" s="3">
        <v>41947</v>
      </c>
      <c r="AW173" s="16">
        <v>153.66494937579836</v>
      </c>
      <c r="AX173">
        <v>35.949038002891442</v>
      </c>
      <c r="AY173">
        <v>0</v>
      </c>
      <c r="AZ173">
        <v>89.916164657233168</v>
      </c>
      <c r="BA173">
        <v>33.640253665313921</v>
      </c>
    </row>
    <row r="174" spans="1:55" x14ac:dyDescent="0.25">
      <c r="A174" s="14">
        <v>2014</v>
      </c>
      <c r="B174" s="14" t="s">
        <v>123</v>
      </c>
      <c r="C174" s="14" t="s">
        <v>124</v>
      </c>
      <c r="D174" s="14">
        <v>5</v>
      </c>
      <c r="E174" s="14">
        <v>5</v>
      </c>
      <c r="F174" s="14">
        <v>29</v>
      </c>
      <c r="G174" s="14">
        <v>3</v>
      </c>
      <c r="H174" s="14" t="s">
        <v>8</v>
      </c>
      <c r="I174" s="15">
        <v>41904</v>
      </c>
      <c r="J174" s="14" t="s">
        <v>128</v>
      </c>
      <c r="K174" s="21">
        <v>451</v>
      </c>
      <c r="L174" s="14">
        <v>253</v>
      </c>
      <c r="M174" s="14">
        <v>101.5</v>
      </c>
      <c r="N174" s="14">
        <v>94</v>
      </c>
      <c r="O174" s="14">
        <v>2.2000000000000002</v>
      </c>
      <c r="P174" s="10">
        <v>-25.38</v>
      </c>
      <c r="Q174" s="10">
        <v>23</v>
      </c>
      <c r="R174" s="10">
        <v>157.6</v>
      </c>
      <c r="S174" s="16">
        <f t="shared" si="11"/>
        <v>10.372999999999999</v>
      </c>
      <c r="T174" s="16">
        <f t="shared" si="12"/>
        <v>71.07759999999999</v>
      </c>
      <c r="AC174" t="s">
        <v>9</v>
      </c>
      <c r="AD174" s="3">
        <v>41834</v>
      </c>
      <c r="AE174" s="16">
        <v>164.75</v>
      </c>
      <c r="AF174">
        <v>58.5</v>
      </c>
      <c r="AG174">
        <v>106.25</v>
      </c>
      <c r="AI174">
        <v>0</v>
      </c>
      <c r="AJ174">
        <v>6.9383499999999998</v>
      </c>
      <c r="AK174">
        <v>5.0638000000000005</v>
      </c>
      <c r="AN174" t="s">
        <v>143</v>
      </c>
      <c r="AO174">
        <f t="shared" si="13"/>
        <v>2014</v>
      </c>
      <c r="AP174" t="str">
        <f t="shared" si="14"/>
        <v>Sunbee</v>
      </c>
      <c r="AQ174" t="str">
        <f t="shared" si="10"/>
        <v>Gatton2014IrrigatedCvSunbee</v>
      </c>
      <c r="AU174" t="s">
        <v>9</v>
      </c>
      <c r="AV174" s="3">
        <v>41834</v>
      </c>
      <c r="AW174" s="16">
        <v>9.535023160258536</v>
      </c>
      <c r="AX174">
        <v>0.57735026918962573</v>
      </c>
      <c r="AY174">
        <v>9.0323492698928192</v>
      </c>
      <c r="BA174">
        <v>0</v>
      </c>
      <c r="BB174">
        <v>6.5400535165966653E-2</v>
      </c>
      <c r="BC174">
        <v>2.9410438101689897</v>
      </c>
    </row>
    <row r="175" spans="1:55" x14ac:dyDescent="0.25">
      <c r="A175" s="14">
        <v>2014</v>
      </c>
      <c r="B175" s="14" t="s">
        <v>123</v>
      </c>
      <c r="C175" s="14" t="s">
        <v>124</v>
      </c>
      <c r="D175" s="14">
        <v>5</v>
      </c>
      <c r="E175" s="14">
        <v>6</v>
      </c>
      <c r="F175" s="14">
        <v>30</v>
      </c>
      <c r="G175" s="14">
        <v>3</v>
      </c>
      <c r="H175" s="14" t="s">
        <v>12</v>
      </c>
      <c r="I175" s="15">
        <v>41901</v>
      </c>
      <c r="J175" s="14" t="s">
        <v>128</v>
      </c>
      <c r="K175" s="21">
        <v>455</v>
      </c>
      <c r="L175" s="14">
        <v>262</v>
      </c>
      <c r="M175" s="14">
        <v>80.7</v>
      </c>
      <c r="N175" s="14">
        <v>85</v>
      </c>
      <c r="O175" s="14">
        <v>28.4</v>
      </c>
      <c r="P175" s="10">
        <v>-25.98</v>
      </c>
      <c r="Q175" s="10">
        <v>17.2</v>
      </c>
      <c r="R175" s="10">
        <v>118.5</v>
      </c>
      <c r="S175" s="16">
        <f t="shared" si="11"/>
        <v>7.8259999999999996</v>
      </c>
      <c r="T175" s="16">
        <f t="shared" si="12"/>
        <v>53.917499999999997</v>
      </c>
      <c r="AD175" s="3">
        <v>41856</v>
      </c>
      <c r="AE175" s="16">
        <v>466.25</v>
      </c>
      <c r="AF175">
        <v>192.25</v>
      </c>
      <c r="AG175">
        <v>237.75</v>
      </c>
      <c r="AI175">
        <v>36.5</v>
      </c>
      <c r="AN175" t="s">
        <v>143</v>
      </c>
      <c r="AO175">
        <f t="shared" si="13"/>
        <v>2014</v>
      </c>
      <c r="AP175" t="str">
        <f t="shared" si="14"/>
        <v>Sunbee</v>
      </c>
      <c r="AQ175" t="str">
        <f t="shared" si="10"/>
        <v>Gatton2014IrrigatedCvSunbee</v>
      </c>
      <c r="AV175" s="3">
        <v>41856</v>
      </c>
      <c r="AW175" s="16">
        <v>110.40040760794319</v>
      </c>
      <c r="AX175">
        <v>46.614554236489987</v>
      </c>
      <c r="AY175">
        <v>60.670558483226991</v>
      </c>
      <c r="BA175">
        <v>5</v>
      </c>
    </row>
    <row r="176" spans="1:55" x14ac:dyDescent="0.25">
      <c r="A176" s="14">
        <v>2014</v>
      </c>
      <c r="B176" s="14" t="s">
        <v>123</v>
      </c>
      <c r="C176" s="14" t="s">
        <v>124</v>
      </c>
      <c r="D176" s="14">
        <v>6</v>
      </c>
      <c r="E176" s="14">
        <v>6</v>
      </c>
      <c r="F176" s="14">
        <v>31</v>
      </c>
      <c r="G176" s="14">
        <v>3</v>
      </c>
      <c r="H176" s="14" t="s">
        <v>5</v>
      </c>
      <c r="I176" s="15">
        <v>41899</v>
      </c>
      <c r="J176" s="14" t="s">
        <v>128</v>
      </c>
      <c r="K176" s="21">
        <v>319</v>
      </c>
      <c r="L176" s="14">
        <v>178</v>
      </c>
      <c r="M176" s="14">
        <v>46.7</v>
      </c>
      <c r="N176" s="14">
        <v>68</v>
      </c>
      <c r="O176" s="14">
        <v>25.4</v>
      </c>
      <c r="P176" s="10">
        <v>-25.7</v>
      </c>
      <c r="Q176" s="10">
        <v>17</v>
      </c>
      <c r="R176" s="10">
        <v>137.69999999999999</v>
      </c>
      <c r="S176" s="16">
        <f t="shared" si="11"/>
        <v>5.423</v>
      </c>
      <c r="T176" s="16">
        <f t="shared" si="12"/>
        <v>43.926299999999998</v>
      </c>
      <c r="AD176" s="3">
        <v>41871</v>
      </c>
      <c r="AE176" s="16">
        <v>747</v>
      </c>
      <c r="AF176">
        <v>366.75</v>
      </c>
      <c r="AG176">
        <v>297.5</v>
      </c>
      <c r="AI176">
        <v>82.5</v>
      </c>
      <c r="AJ176">
        <v>16.353233333333332</v>
      </c>
      <c r="AK176">
        <v>64.177599999999998</v>
      </c>
      <c r="AN176" t="s">
        <v>143</v>
      </c>
      <c r="AO176">
        <f t="shared" si="13"/>
        <v>2014</v>
      </c>
      <c r="AP176" t="str">
        <f t="shared" si="14"/>
        <v>Sunbee</v>
      </c>
      <c r="AQ176" t="str">
        <f t="shared" si="10"/>
        <v>Gatton2014IrrigatedCvSunbee</v>
      </c>
      <c r="AV176" s="3">
        <v>41871</v>
      </c>
      <c r="AW176" s="16">
        <v>48.359762888859024</v>
      </c>
      <c r="AX176">
        <v>61.646167764103552</v>
      </c>
      <c r="AY176">
        <v>37.925365302569375</v>
      </c>
      <c r="BA176">
        <v>62.703003649479719</v>
      </c>
      <c r="BB176">
        <v>1.7596112023209414</v>
      </c>
      <c r="BC176">
        <v>6.9204222797456163</v>
      </c>
    </row>
    <row r="177" spans="1:55" x14ac:dyDescent="0.25">
      <c r="A177" s="14">
        <v>2014</v>
      </c>
      <c r="B177" s="14" t="s">
        <v>123</v>
      </c>
      <c r="C177" s="14" t="s">
        <v>124</v>
      </c>
      <c r="D177" s="14">
        <v>6</v>
      </c>
      <c r="E177" s="14">
        <v>5</v>
      </c>
      <c r="F177" s="14">
        <v>32</v>
      </c>
      <c r="G177" s="14">
        <v>3</v>
      </c>
      <c r="H177" s="14" t="s">
        <v>7</v>
      </c>
      <c r="I177" s="15">
        <v>41904</v>
      </c>
      <c r="J177" s="14" t="s">
        <v>128</v>
      </c>
      <c r="K177" s="21">
        <v>430</v>
      </c>
      <c r="L177" s="14">
        <v>243</v>
      </c>
      <c r="M177" s="14">
        <v>75.400000000000006</v>
      </c>
      <c r="N177" s="14">
        <v>98</v>
      </c>
      <c r="O177" s="14">
        <v>14</v>
      </c>
      <c r="P177" s="10">
        <v>-25.98</v>
      </c>
      <c r="Q177" s="10">
        <v>18.899999999999999</v>
      </c>
      <c r="R177" s="10">
        <v>109</v>
      </c>
      <c r="S177" s="16">
        <f t="shared" si="11"/>
        <v>8.1269999999999989</v>
      </c>
      <c r="T177" s="16">
        <f t="shared" si="12"/>
        <v>46.87</v>
      </c>
      <c r="AD177" s="3">
        <v>41891</v>
      </c>
      <c r="AE177" s="16">
        <v>1280</v>
      </c>
      <c r="AF177">
        <v>642</v>
      </c>
      <c r="AG177">
        <v>279.25</v>
      </c>
      <c r="AH177">
        <v>210.5</v>
      </c>
      <c r="AI177">
        <v>148.75</v>
      </c>
      <c r="AJ177">
        <v>14.310750000000001</v>
      </c>
      <c r="AK177">
        <v>111.364025</v>
      </c>
      <c r="AN177" t="s">
        <v>143</v>
      </c>
      <c r="AO177">
        <f t="shared" si="13"/>
        <v>2014</v>
      </c>
      <c r="AP177" t="str">
        <f t="shared" si="14"/>
        <v>Sunbee</v>
      </c>
      <c r="AQ177" t="str">
        <f t="shared" si="10"/>
        <v>Gatton2014IrrigatedCvSunbee</v>
      </c>
      <c r="AV177" s="3">
        <v>41891</v>
      </c>
      <c r="AW177" s="16">
        <v>300.01555515228426</v>
      </c>
      <c r="AX177">
        <v>120.73662796903569</v>
      </c>
      <c r="AY177">
        <v>91.047148957742408</v>
      </c>
      <c r="AZ177">
        <v>35.893360574531513</v>
      </c>
      <c r="BA177">
        <v>76.730589293536212</v>
      </c>
      <c r="BB177">
        <v>4.3770357202868073</v>
      </c>
      <c r="BC177">
        <v>27.077436387562631</v>
      </c>
    </row>
    <row r="178" spans="1:55" x14ac:dyDescent="0.25">
      <c r="A178" s="14">
        <v>2014</v>
      </c>
      <c r="B178" s="14" t="s">
        <v>123</v>
      </c>
      <c r="C178" s="14" t="s">
        <v>124</v>
      </c>
      <c r="D178" s="14">
        <v>6</v>
      </c>
      <c r="E178" s="14">
        <v>4</v>
      </c>
      <c r="F178" s="14">
        <v>33</v>
      </c>
      <c r="G178" s="14">
        <v>3</v>
      </c>
      <c r="H178" s="14" t="s">
        <v>13</v>
      </c>
      <c r="I178" s="15">
        <v>41897</v>
      </c>
      <c r="J178" s="14" t="s">
        <v>128</v>
      </c>
      <c r="K178" s="21">
        <v>404</v>
      </c>
      <c r="L178" s="14">
        <v>231</v>
      </c>
      <c r="M178" s="14">
        <v>63.3</v>
      </c>
      <c r="N178" s="14">
        <v>97</v>
      </c>
      <c r="O178" s="14">
        <v>12.8</v>
      </c>
      <c r="P178" s="10">
        <v>-25.45</v>
      </c>
      <c r="Q178" s="10">
        <v>19.5</v>
      </c>
      <c r="R178" s="10">
        <v>147.80000000000001</v>
      </c>
      <c r="S178" s="16">
        <f t="shared" si="11"/>
        <v>7.8780000000000001</v>
      </c>
      <c r="T178" s="16">
        <f t="shared" si="12"/>
        <v>59.711200000000005</v>
      </c>
      <c r="AD178" s="3">
        <v>41947</v>
      </c>
      <c r="AE178" s="16">
        <v>1677</v>
      </c>
      <c r="AF178">
        <v>569.75</v>
      </c>
      <c r="AG178">
        <v>0</v>
      </c>
      <c r="AH178">
        <v>959.5</v>
      </c>
      <c r="AI178">
        <v>147.5</v>
      </c>
      <c r="AN178" t="s">
        <v>143</v>
      </c>
      <c r="AO178">
        <f t="shared" si="13"/>
        <v>2014</v>
      </c>
      <c r="AP178" t="str">
        <f t="shared" si="14"/>
        <v>Sunbee</v>
      </c>
      <c r="AQ178" t="str">
        <f t="shared" si="10"/>
        <v>Gatton2014IrrigatedCvSunbee</v>
      </c>
      <c r="AV178" s="3">
        <v>41947</v>
      </c>
      <c r="AW178" s="16">
        <v>169.9274354933109</v>
      </c>
      <c r="AX178">
        <v>33.330416539051335</v>
      </c>
      <c r="AY178">
        <v>0</v>
      </c>
      <c r="AZ178">
        <v>98.740400377285624</v>
      </c>
      <c r="BA178">
        <v>62.420616252431643</v>
      </c>
    </row>
    <row r="179" spans="1:55" x14ac:dyDescent="0.25">
      <c r="A179" s="14">
        <v>2014</v>
      </c>
      <c r="B179" s="14" t="s">
        <v>123</v>
      </c>
      <c r="C179" s="14" t="s">
        <v>124</v>
      </c>
      <c r="D179" s="14">
        <v>6</v>
      </c>
      <c r="E179" s="14">
        <v>3</v>
      </c>
      <c r="F179" s="14">
        <v>34</v>
      </c>
      <c r="G179" s="14">
        <v>3</v>
      </c>
      <c r="H179" s="14" t="s">
        <v>4</v>
      </c>
      <c r="I179" s="15">
        <v>41901</v>
      </c>
      <c r="J179" s="14" t="s">
        <v>128</v>
      </c>
      <c r="K179" s="21">
        <v>359</v>
      </c>
      <c r="L179" s="14">
        <v>194</v>
      </c>
      <c r="M179" s="14">
        <v>76.7</v>
      </c>
      <c r="N179" s="14">
        <v>71</v>
      </c>
      <c r="O179" s="14">
        <v>17.5</v>
      </c>
      <c r="P179" s="10">
        <v>-26.1</v>
      </c>
      <c r="Q179" s="10">
        <v>22.4</v>
      </c>
      <c r="R179" s="10">
        <v>100.6</v>
      </c>
      <c r="S179" s="16">
        <f t="shared" si="11"/>
        <v>8.041599999999999</v>
      </c>
      <c r="T179" s="16">
        <f t="shared" si="12"/>
        <v>36.115400000000001</v>
      </c>
      <c r="AC179" t="s">
        <v>6</v>
      </c>
      <c r="AD179" s="3">
        <v>41834</v>
      </c>
      <c r="AE179" s="16">
        <v>126.75</v>
      </c>
      <c r="AF179">
        <v>42</v>
      </c>
      <c r="AG179">
        <v>84.75</v>
      </c>
      <c r="AI179">
        <v>0</v>
      </c>
      <c r="AJ179">
        <v>5.475925000000001</v>
      </c>
      <c r="AK179">
        <v>2.9163750000000004</v>
      </c>
      <c r="AN179" t="s">
        <v>143</v>
      </c>
      <c r="AO179">
        <f t="shared" si="13"/>
        <v>2014</v>
      </c>
      <c r="AP179" t="str">
        <f t="shared" si="14"/>
        <v>Sunstate</v>
      </c>
      <c r="AQ179" t="str">
        <f t="shared" si="10"/>
        <v>Gatton2014IrrigatedCvSunstate</v>
      </c>
      <c r="AU179" t="s">
        <v>6</v>
      </c>
      <c r="AV179" s="3">
        <v>41834</v>
      </c>
      <c r="AW179" s="16">
        <v>20.271079563424014</v>
      </c>
      <c r="AX179">
        <v>15.979153085609179</v>
      </c>
      <c r="AY179">
        <v>6.6017674401127868</v>
      </c>
      <c r="BA179">
        <v>0</v>
      </c>
      <c r="BB179">
        <v>0.90495335929537879</v>
      </c>
      <c r="BC179">
        <v>1.4787910160555713</v>
      </c>
    </row>
    <row r="180" spans="1:55" x14ac:dyDescent="0.25">
      <c r="A180" s="14">
        <v>2014</v>
      </c>
      <c r="B180" s="14" t="s">
        <v>123</v>
      </c>
      <c r="C180" s="14" t="s">
        <v>124</v>
      </c>
      <c r="D180" s="14">
        <v>6</v>
      </c>
      <c r="E180" s="14">
        <v>2</v>
      </c>
      <c r="F180" s="14">
        <v>35</v>
      </c>
      <c r="G180" s="14">
        <v>3</v>
      </c>
      <c r="H180" s="14" t="s">
        <v>10</v>
      </c>
      <c r="I180" s="15">
        <v>41899</v>
      </c>
      <c r="J180" s="14" t="s">
        <v>128</v>
      </c>
      <c r="K180" s="21">
        <v>403</v>
      </c>
      <c r="L180" s="14">
        <v>222</v>
      </c>
      <c r="M180" s="14">
        <v>67.099999999999994</v>
      </c>
      <c r="N180" s="14">
        <v>94</v>
      </c>
      <c r="O180" s="14">
        <v>20.2</v>
      </c>
      <c r="P180" s="10">
        <v>-26.05</v>
      </c>
      <c r="Q180" s="10">
        <v>20.7</v>
      </c>
      <c r="R180" s="10">
        <v>103.7</v>
      </c>
      <c r="S180" s="16">
        <f t="shared" si="11"/>
        <v>8.3421000000000003</v>
      </c>
      <c r="T180" s="16">
        <f t="shared" si="12"/>
        <v>41.7911</v>
      </c>
      <c r="AD180" s="3">
        <v>41856</v>
      </c>
      <c r="AE180" s="16">
        <v>425.5</v>
      </c>
      <c r="AF180">
        <v>168</v>
      </c>
      <c r="AG180">
        <v>242.75</v>
      </c>
      <c r="AI180">
        <v>14.75</v>
      </c>
      <c r="AN180" t="s">
        <v>143</v>
      </c>
      <c r="AO180">
        <f t="shared" si="13"/>
        <v>2014</v>
      </c>
      <c r="AP180" t="str">
        <f t="shared" si="14"/>
        <v>Sunstate</v>
      </c>
      <c r="AQ180" t="str">
        <f t="shared" si="10"/>
        <v>Gatton2014IrrigatedCvSunstate</v>
      </c>
      <c r="AV180" s="3">
        <v>41856</v>
      </c>
      <c r="AW180" s="16">
        <v>47.346242371139304</v>
      </c>
      <c r="AX180">
        <v>21.055482263138341</v>
      </c>
      <c r="AY180">
        <v>28.87184326178939</v>
      </c>
      <c r="BA180">
        <v>6.946221994724902</v>
      </c>
    </row>
    <row r="181" spans="1:55" x14ac:dyDescent="0.25">
      <c r="A181" s="14">
        <v>2014</v>
      </c>
      <c r="B181" s="14" t="s">
        <v>123</v>
      </c>
      <c r="C181" s="14" t="s">
        <v>124</v>
      </c>
      <c r="D181" s="14">
        <v>6</v>
      </c>
      <c r="E181" s="14">
        <v>1</v>
      </c>
      <c r="F181" s="14">
        <v>36</v>
      </c>
      <c r="G181" s="14">
        <v>3</v>
      </c>
      <c r="H181" s="14" t="s">
        <v>3</v>
      </c>
      <c r="I181" s="15">
        <v>41901</v>
      </c>
      <c r="J181" s="14" t="s">
        <v>128</v>
      </c>
      <c r="K181" s="21">
        <v>367</v>
      </c>
      <c r="L181" s="14">
        <v>193</v>
      </c>
      <c r="M181" s="14">
        <v>77.7</v>
      </c>
      <c r="N181" s="14">
        <v>79</v>
      </c>
      <c r="O181" s="14">
        <v>17</v>
      </c>
      <c r="P181" s="10">
        <v>-26.31</v>
      </c>
      <c r="Q181" s="10">
        <v>21.5</v>
      </c>
      <c r="R181" s="10">
        <v>79.599999999999994</v>
      </c>
      <c r="S181" s="16">
        <f t="shared" si="11"/>
        <v>7.8905000000000003</v>
      </c>
      <c r="T181" s="16">
        <f t="shared" si="12"/>
        <v>29.213199999999997</v>
      </c>
      <c r="AD181" s="3">
        <v>41871</v>
      </c>
      <c r="AE181" s="16">
        <v>695.5</v>
      </c>
      <c r="AF181">
        <v>344.5</v>
      </c>
      <c r="AG181">
        <v>314</v>
      </c>
      <c r="AI181">
        <v>37.25</v>
      </c>
      <c r="AJ181">
        <v>15.141433333333334</v>
      </c>
      <c r="AK181">
        <v>53.882033333333332</v>
      </c>
      <c r="AN181" t="s">
        <v>143</v>
      </c>
      <c r="AO181">
        <f t="shared" si="13"/>
        <v>2014</v>
      </c>
      <c r="AP181" t="str">
        <f t="shared" si="14"/>
        <v>Sunstate</v>
      </c>
      <c r="AQ181" t="str">
        <f t="shared" si="10"/>
        <v>Gatton2014IrrigatedCvSunstate</v>
      </c>
      <c r="AV181" s="3">
        <v>41871</v>
      </c>
      <c r="AW181" s="16">
        <v>75.918816288629444</v>
      </c>
      <c r="AX181">
        <v>37.188707963574103</v>
      </c>
      <c r="AY181">
        <v>34.832934606968351</v>
      </c>
      <c r="BA181">
        <v>14.637281168304447</v>
      </c>
      <c r="BB181">
        <v>0.81445001278983276</v>
      </c>
      <c r="BC181">
        <v>9.0736824995882444</v>
      </c>
    </row>
    <row r="182" spans="1:55" x14ac:dyDescent="0.25">
      <c r="A182" s="14">
        <v>2014</v>
      </c>
      <c r="B182" s="14" t="s">
        <v>123</v>
      </c>
      <c r="C182" s="14" t="s">
        <v>124</v>
      </c>
      <c r="D182" s="14">
        <v>7</v>
      </c>
      <c r="E182" s="14">
        <v>1</v>
      </c>
      <c r="F182" s="14">
        <v>37</v>
      </c>
      <c r="G182" s="14">
        <v>4</v>
      </c>
      <c r="H182" s="14" t="s">
        <v>13</v>
      </c>
      <c r="I182" s="15">
        <v>41897</v>
      </c>
      <c r="J182" s="14" t="s">
        <v>128</v>
      </c>
      <c r="K182" s="21">
        <v>321</v>
      </c>
      <c r="L182" s="14">
        <v>171</v>
      </c>
      <c r="M182" s="14">
        <v>71.099999999999994</v>
      </c>
      <c r="N182" s="14">
        <v>76</v>
      </c>
      <c r="O182" s="14">
        <v>2.8</v>
      </c>
      <c r="P182" s="10">
        <v>-25.69</v>
      </c>
      <c r="Q182" s="10">
        <v>24.2</v>
      </c>
      <c r="R182" s="10">
        <v>137.5</v>
      </c>
      <c r="S182" s="16">
        <f t="shared" si="11"/>
        <v>7.7682000000000002</v>
      </c>
      <c r="T182" s="16">
        <f t="shared" si="12"/>
        <v>44.137500000000003</v>
      </c>
      <c r="AD182" s="3">
        <v>41891</v>
      </c>
      <c r="AE182" s="16">
        <v>1119.75</v>
      </c>
      <c r="AF182">
        <v>561.25</v>
      </c>
      <c r="AG182">
        <v>272.25</v>
      </c>
      <c r="AH182">
        <v>165.5</v>
      </c>
      <c r="AI182">
        <v>120.5</v>
      </c>
      <c r="AJ182">
        <v>16.215624999999999</v>
      </c>
      <c r="AK182">
        <v>81.941924999999998</v>
      </c>
      <c r="AN182" t="s">
        <v>143</v>
      </c>
      <c r="AO182">
        <f t="shared" si="13"/>
        <v>2014</v>
      </c>
      <c r="AP182" t="str">
        <f t="shared" si="14"/>
        <v>Sunstate</v>
      </c>
      <c r="AQ182" t="str">
        <f t="shared" si="10"/>
        <v>Gatton2014IrrigatedCvSunstate</v>
      </c>
      <c r="AV182" s="3">
        <v>41891</v>
      </c>
      <c r="AW182" s="16">
        <v>48.403684432764685</v>
      </c>
      <c r="AX182">
        <v>29.859392715414245</v>
      </c>
      <c r="AY182">
        <v>19.379972480200617</v>
      </c>
      <c r="AZ182">
        <v>25.093159758521178</v>
      </c>
      <c r="BA182">
        <v>19.502136635080099</v>
      </c>
      <c r="BB182">
        <v>2.1219308759947872</v>
      </c>
      <c r="BC182">
        <v>14.967507571040993</v>
      </c>
    </row>
    <row r="183" spans="1:55" x14ac:dyDescent="0.25">
      <c r="A183" s="14">
        <v>2014</v>
      </c>
      <c r="B183" s="14" t="s">
        <v>123</v>
      </c>
      <c r="C183" s="14" t="s">
        <v>124</v>
      </c>
      <c r="D183" s="14">
        <v>7</v>
      </c>
      <c r="E183" s="14">
        <v>2</v>
      </c>
      <c r="F183" s="14">
        <v>38</v>
      </c>
      <c r="G183" s="14">
        <v>4</v>
      </c>
      <c r="H183" s="14" t="s">
        <v>5</v>
      </c>
      <c r="I183" s="15">
        <v>41901</v>
      </c>
      <c r="J183" s="14" t="s">
        <v>128</v>
      </c>
      <c r="K183" s="21">
        <v>403</v>
      </c>
      <c r="L183" s="14">
        <v>230</v>
      </c>
      <c r="M183" s="14">
        <v>60.9</v>
      </c>
      <c r="N183" s="14">
        <v>84</v>
      </c>
      <c r="O183" s="14">
        <v>28</v>
      </c>
      <c r="P183" s="10">
        <v>-26.05</v>
      </c>
      <c r="Q183" s="10">
        <v>19.600000000000001</v>
      </c>
      <c r="R183" s="10">
        <v>107.7</v>
      </c>
      <c r="S183" s="16">
        <f t="shared" si="11"/>
        <v>7.8988000000000005</v>
      </c>
      <c r="T183" s="16">
        <f t="shared" si="12"/>
        <v>43.403100000000002</v>
      </c>
      <c r="AD183" s="3">
        <v>41947</v>
      </c>
      <c r="AE183" s="16">
        <v>1698.75</v>
      </c>
      <c r="AF183">
        <v>604.75</v>
      </c>
      <c r="AG183">
        <v>0</v>
      </c>
      <c r="AH183">
        <v>969.5</v>
      </c>
      <c r="AI183">
        <v>125</v>
      </c>
      <c r="AN183" t="s">
        <v>143</v>
      </c>
      <c r="AO183">
        <f t="shared" si="13"/>
        <v>2014</v>
      </c>
      <c r="AP183" t="str">
        <f t="shared" si="14"/>
        <v>Sunstate</v>
      </c>
      <c r="AQ183" t="str">
        <f t="shared" si="10"/>
        <v>Gatton2014IrrigatedCvSunstate</v>
      </c>
      <c r="AV183" s="3">
        <v>41947</v>
      </c>
      <c r="AW183" s="16">
        <v>95.398724659539695</v>
      </c>
      <c r="AX183">
        <v>44.229515032385329</v>
      </c>
      <c r="AY183">
        <v>0</v>
      </c>
      <c r="AZ183">
        <v>58.495014032536709</v>
      </c>
      <c r="BA183">
        <v>27.36177382164151</v>
      </c>
    </row>
    <row r="184" spans="1:55" x14ac:dyDescent="0.25">
      <c r="A184" s="14">
        <v>2014</v>
      </c>
      <c r="B184" s="14" t="s">
        <v>123</v>
      </c>
      <c r="C184" s="14" t="s">
        <v>124</v>
      </c>
      <c r="D184" s="14">
        <v>7</v>
      </c>
      <c r="E184" s="14">
        <v>3</v>
      </c>
      <c r="F184" s="14">
        <v>39</v>
      </c>
      <c r="G184" s="14">
        <v>4</v>
      </c>
      <c r="H184" s="14" t="s">
        <v>3</v>
      </c>
      <c r="I184" s="15">
        <v>41899</v>
      </c>
      <c r="J184" s="14" t="s">
        <v>128</v>
      </c>
      <c r="K184" s="21">
        <v>436</v>
      </c>
      <c r="L184" s="14">
        <v>246</v>
      </c>
      <c r="M184" s="14">
        <v>81</v>
      </c>
      <c r="N184" s="14">
        <v>94</v>
      </c>
      <c r="O184" s="14">
        <v>14.8</v>
      </c>
      <c r="P184" s="10">
        <v>-25.6</v>
      </c>
      <c r="Q184" s="10">
        <v>19.3</v>
      </c>
      <c r="R184" s="10">
        <v>156.4</v>
      </c>
      <c r="S184" s="16">
        <f t="shared" si="11"/>
        <v>8.4148000000000014</v>
      </c>
      <c r="T184" s="16">
        <f t="shared" si="12"/>
        <v>68.190400000000011</v>
      </c>
      <c r="AA184" t="s">
        <v>133</v>
      </c>
      <c r="AB184">
        <v>2014</v>
      </c>
      <c r="AC184" t="s">
        <v>13</v>
      </c>
      <c r="AD184" s="3">
        <v>41834</v>
      </c>
      <c r="AE184" s="16">
        <v>29</v>
      </c>
      <c r="AN184" t="str">
        <f t="shared" si="13"/>
        <v>Junee</v>
      </c>
      <c r="AO184">
        <f t="shared" si="13"/>
        <v>2014</v>
      </c>
      <c r="AP184" t="str">
        <f t="shared" si="14"/>
        <v>29B</v>
      </c>
      <c r="AQ184" t="str">
        <f t="shared" ref="AQ184:AQ196" si="15">AN184&amp;AO184&amp;"Cv"&amp;AP184</f>
        <v>Junee2014Cv29B</v>
      </c>
      <c r="AS184" t="s">
        <v>133</v>
      </c>
      <c r="AT184">
        <v>2014</v>
      </c>
      <c r="AU184" t="s">
        <v>13</v>
      </c>
      <c r="AV184" s="3">
        <v>41834</v>
      </c>
      <c r="AW184" s="16">
        <v>5.5976185412488881</v>
      </c>
    </row>
    <row r="185" spans="1:55" x14ac:dyDescent="0.25">
      <c r="A185" s="14">
        <v>2014</v>
      </c>
      <c r="B185" s="14" t="s">
        <v>123</v>
      </c>
      <c r="C185" s="14" t="s">
        <v>124</v>
      </c>
      <c r="D185" s="14">
        <v>7</v>
      </c>
      <c r="E185" s="14">
        <v>4</v>
      </c>
      <c r="F185" s="14">
        <v>40</v>
      </c>
      <c r="G185" s="14">
        <v>4</v>
      </c>
      <c r="H185" s="14" t="s">
        <v>7</v>
      </c>
      <c r="I185" s="15">
        <v>41904</v>
      </c>
      <c r="J185" s="14" t="s">
        <v>128</v>
      </c>
      <c r="K185" s="21">
        <v>337</v>
      </c>
      <c r="L185" s="14">
        <v>180</v>
      </c>
      <c r="M185" s="14">
        <v>64.2</v>
      </c>
      <c r="N185" s="14">
        <v>78</v>
      </c>
      <c r="O185" s="14">
        <v>14.6</v>
      </c>
      <c r="P185" s="10">
        <v>-25.64</v>
      </c>
      <c r="Q185" s="10">
        <v>19.399999999999999</v>
      </c>
      <c r="R185" s="10">
        <v>128.4</v>
      </c>
      <c r="S185" s="16">
        <f t="shared" si="11"/>
        <v>6.5377999999999989</v>
      </c>
      <c r="T185" s="16">
        <f t="shared" si="12"/>
        <v>43.270800000000001</v>
      </c>
      <c r="AD185" s="3">
        <v>41865</v>
      </c>
      <c r="AE185" s="16">
        <v>140.25</v>
      </c>
      <c r="AJ185">
        <v>5.7388250000000003</v>
      </c>
      <c r="AK185">
        <v>12.921825</v>
      </c>
      <c r="AN185" t="str">
        <f t="shared" si="13"/>
        <v>Junee</v>
      </c>
      <c r="AO185">
        <f t="shared" si="13"/>
        <v>2014</v>
      </c>
      <c r="AP185" t="str">
        <f t="shared" si="14"/>
        <v>29B</v>
      </c>
      <c r="AQ185" t="str">
        <f t="shared" si="15"/>
        <v>Junee2014Cv29B</v>
      </c>
      <c r="AV185" s="3">
        <v>41865</v>
      </c>
      <c r="AW185" s="16">
        <v>28.418010720902569</v>
      </c>
      <c r="BB185">
        <v>1.1595229374617824</v>
      </c>
      <c r="BC185">
        <v>3.3553010310800313</v>
      </c>
    </row>
    <row r="186" spans="1:55" x14ac:dyDescent="0.25">
      <c r="A186" s="14">
        <v>2014</v>
      </c>
      <c r="B186" s="14" t="s">
        <v>123</v>
      </c>
      <c r="C186" s="14" t="s">
        <v>124</v>
      </c>
      <c r="D186" s="14">
        <v>7</v>
      </c>
      <c r="E186" s="14">
        <v>5</v>
      </c>
      <c r="F186" s="14">
        <v>41</v>
      </c>
      <c r="G186" s="14">
        <v>4</v>
      </c>
      <c r="H186" s="14" t="s">
        <v>9</v>
      </c>
      <c r="I186" s="15">
        <v>41901</v>
      </c>
      <c r="J186" s="14" t="s">
        <v>128</v>
      </c>
      <c r="K186" s="21">
        <v>420</v>
      </c>
      <c r="L186" s="14">
        <v>254</v>
      </c>
      <c r="M186" s="14">
        <v>63.8</v>
      </c>
      <c r="N186" s="14">
        <v>78</v>
      </c>
      <c r="O186" s="14">
        <v>24.2</v>
      </c>
      <c r="P186" s="10">
        <v>-26.2</v>
      </c>
      <c r="Q186" s="10">
        <v>17.8</v>
      </c>
      <c r="R186" s="10">
        <v>95.7</v>
      </c>
      <c r="S186" s="16">
        <f t="shared" si="11"/>
        <v>7.476</v>
      </c>
      <c r="T186" s="16">
        <f t="shared" si="12"/>
        <v>40.194000000000003</v>
      </c>
      <c r="AD186" s="3">
        <v>41900</v>
      </c>
      <c r="AE186" s="16">
        <v>382.5</v>
      </c>
      <c r="AN186" t="str">
        <f t="shared" si="13"/>
        <v>Junee</v>
      </c>
      <c r="AO186">
        <f t="shared" si="13"/>
        <v>2014</v>
      </c>
      <c r="AP186" t="str">
        <f t="shared" si="14"/>
        <v>29B</v>
      </c>
      <c r="AQ186" t="str">
        <f t="shared" si="15"/>
        <v>Junee2014Cv29B</v>
      </c>
      <c r="AV186" s="3">
        <v>41900</v>
      </c>
      <c r="AW186" s="16">
        <v>88.756220439283396</v>
      </c>
    </row>
    <row r="187" spans="1:55" x14ac:dyDescent="0.25">
      <c r="A187" s="14">
        <v>2014</v>
      </c>
      <c r="B187" s="14" t="s">
        <v>123</v>
      </c>
      <c r="C187" s="14" t="s">
        <v>124</v>
      </c>
      <c r="D187" s="14">
        <v>7</v>
      </c>
      <c r="E187" s="14">
        <v>6</v>
      </c>
      <c r="F187" s="14">
        <v>42</v>
      </c>
      <c r="G187" s="14">
        <v>4</v>
      </c>
      <c r="H187" s="14" t="s">
        <v>8</v>
      </c>
      <c r="I187" s="15">
        <v>41901</v>
      </c>
      <c r="J187" s="14" t="s">
        <v>128</v>
      </c>
      <c r="K187" s="21">
        <v>426</v>
      </c>
      <c r="L187" s="14">
        <v>246</v>
      </c>
      <c r="M187" s="14">
        <v>83.3</v>
      </c>
      <c r="N187" s="14">
        <v>79</v>
      </c>
      <c r="O187" s="14">
        <v>17.100000000000001</v>
      </c>
      <c r="P187" s="10">
        <v>-25.8</v>
      </c>
      <c r="Q187" s="10">
        <v>19.899999999999999</v>
      </c>
      <c r="R187" s="10">
        <v>132</v>
      </c>
      <c r="S187" s="16">
        <f t="shared" si="11"/>
        <v>8.4773999999999994</v>
      </c>
      <c r="T187" s="16">
        <f t="shared" si="12"/>
        <v>56.231999999999999</v>
      </c>
      <c r="AD187" s="3">
        <v>41928</v>
      </c>
      <c r="AE187" s="16">
        <v>665.25</v>
      </c>
      <c r="AF187">
        <v>343.25</v>
      </c>
      <c r="AG187">
        <v>98</v>
      </c>
      <c r="AH187">
        <v>185</v>
      </c>
      <c r="AI187">
        <v>39</v>
      </c>
      <c r="AN187" t="str">
        <f t="shared" si="13"/>
        <v>Junee</v>
      </c>
      <c r="AO187">
        <f t="shared" si="13"/>
        <v>2014</v>
      </c>
      <c r="AP187" t="str">
        <f t="shared" si="14"/>
        <v>29B</v>
      </c>
      <c r="AQ187" t="str">
        <f t="shared" si="15"/>
        <v>Junee2014Cv29B</v>
      </c>
      <c r="AV187" s="3">
        <v>41928</v>
      </c>
      <c r="AW187" s="16">
        <v>144.62220899064337</v>
      </c>
      <c r="AX187">
        <v>68.090013952120756</v>
      </c>
      <c r="AY187">
        <v>10.55146119422961</v>
      </c>
      <c r="AZ187">
        <v>48.785243670601872</v>
      </c>
      <c r="BA187">
        <v>21.893682498230699</v>
      </c>
    </row>
    <row r="188" spans="1:55" x14ac:dyDescent="0.25">
      <c r="A188" s="14">
        <v>2014</v>
      </c>
      <c r="B188" s="14" t="s">
        <v>123</v>
      </c>
      <c r="C188" s="14" t="s">
        <v>124</v>
      </c>
      <c r="D188" s="14">
        <v>8</v>
      </c>
      <c r="E188" s="14">
        <v>6</v>
      </c>
      <c r="F188" s="14">
        <v>43</v>
      </c>
      <c r="G188" s="14">
        <v>4</v>
      </c>
      <c r="H188" s="14" t="s">
        <v>12</v>
      </c>
      <c r="I188" s="15">
        <v>41899</v>
      </c>
      <c r="J188" s="14" t="s">
        <v>128</v>
      </c>
      <c r="K188" s="21">
        <v>625</v>
      </c>
      <c r="L188" s="14">
        <v>332</v>
      </c>
      <c r="M188" s="14">
        <v>97.8</v>
      </c>
      <c r="N188" s="14">
        <v>148</v>
      </c>
      <c r="O188" s="14">
        <v>46.8</v>
      </c>
      <c r="P188" s="10">
        <v>-26.17</v>
      </c>
      <c r="Q188" s="10">
        <v>16.5</v>
      </c>
      <c r="R188" s="10">
        <v>93.5</v>
      </c>
      <c r="S188" s="16">
        <f t="shared" si="11"/>
        <v>10.3125</v>
      </c>
      <c r="T188" s="16">
        <f t="shared" si="12"/>
        <v>58.4375</v>
      </c>
      <c r="AD188" s="3">
        <v>41957</v>
      </c>
      <c r="AE188" s="16">
        <v>714.25</v>
      </c>
      <c r="AF188">
        <v>258.5</v>
      </c>
      <c r="AH188">
        <v>376.75</v>
      </c>
      <c r="AI188">
        <v>79</v>
      </c>
      <c r="AN188" t="str">
        <f t="shared" si="13"/>
        <v>Junee</v>
      </c>
      <c r="AO188">
        <f t="shared" si="13"/>
        <v>2014</v>
      </c>
      <c r="AP188" t="str">
        <f t="shared" si="14"/>
        <v>29B</v>
      </c>
      <c r="AQ188" t="str">
        <f t="shared" si="15"/>
        <v>Junee2014Cv29B</v>
      </c>
      <c r="AV188" s="3">
        <v>41957</v>
      </c>
      <c r="AW188" s="16">
        <v>114.45049876110923</v>
      </c>
      <c r="AX188">
        <v>51.436044430600091</v>
      </c>
      <c r="AZ188">
        <v>51.796878927853044</v>
      </c>
      <c r="BA188">
        <v>33.396606614045886</v>
      </c>
    </row>
    <row r="189" spans="1:55" x14ac:dyDescent="0.25">
      <c r="A189" s="14">
        <v>2014</v>
      </c>
      <c r="B189" s="14" t="s">
        <v>123</v>
      </c>
      <c r="C189" s="14" t="s">
        <v>124</v>
      </c>
      <c r="D189" s="14">
        <v>8</v>
      </c>
      <c r="E189" s="14">
        <v>5</v>
      </c>
      <c r="F189" s="14">
        <v>44</v>
      </c>
      <c r="G189" s="14">
        <v>4</v>
      </c>
      <c r="H189" s="14" t="s">
        <v>10</v>
      </c>
      <c r="I189" s="15">
        <v>41899</v>
      </c>
      <c r="J189" s="14" t="s">
        <v>128</v>
      </c>
      <c r="K189" s="21">
        <v>274</v>
      </c>
      <c r="L189" s="14">
        <v>161</v>
      </c>
      <c r="M189" s="14">
        <v>46.4</v>
      </c>
      <c r="N189" s="14">
        <v>60</v>
      </c>
      <c r="O189" s="14">
        <v>6.5</v>
      </c>
      <c r="P189" s="10">
        <v>-25.82</v>
      </c>
      <c r="Q189" s="10">
        <v>21</v>
      </c>
      <c r="R189" s="10">
        <v>146.69999999999999</v>
      </c>
      <c r="S189" s="16">
        <f t="shared" si="11"/>
        <v>5.7539999999999996</v>
      </c>
      <c r="T189" s="16">
        <f t="shared" si="12"/>
        <v>40.195799999999998</v>
      </c>
      <c r="AC189" t="s">
        <v>14</v>
      </c>
      <c r="AD189" s="3">
        <v>41834</v>
      </c>
      <c r="AE189" s="16">
        <v>25.25</v>
      </c>
      <c r="AN189" t="str">
        <f t="shared" si="13"/>
        <v>Junee</v>
      </c>
      <c r="AO189">
        <f t="shared" si="13"/>
        <v>2014</v>
      </c>
      <c r="AP189" t="str">
        <f t="shared" si="14"/>
        <v>5A</v>
      </c>
      <c r="AQ189" t="str">
        <f t="shared" si="15"/>
        <v>Junee2014Cv5A</v>
      </c>
      <c r="AU189" t="s">
        <v>14</v>
      </c>
      <c r="AV189" s="3">
        <v>41834</v>
      </c>
      <c r="AW189" s="16">
        <v>3.2015621187164243</v>
      </c>
    </row>
    <row r="190" spans="1:55" x14ac:dyDescent="0.25">
      <c r="A190" s="14">
        <v>2014</v>
      </c>
      <c r="B190" s="14" t="s">
        <v>123</v>
      </c>
      <c r="C190" s="14" t="s">
        <v>124</v>
      </c>
      <c r="D190" s="14">
        <v>8</v>
      </c>
      <c r="E190" s="14">
        <v>4</v>
      </c>
      <c r="F190" s="14">
        <v>45</v>
      </c>
      <c r="G190" s="14">
        <v>4</v>
      </c>
      <c r="H190" s="14" t="s">
        <v>14</v>
      </c>
      <c r="I190" s="15">
        <v>41904</v>
      </c>
      <c r="J190" s="14" t="s">
        <v>128</v>
      </c>
      <c r="K190" s="21">
        <v>402</v>
      </c>
      <c r="L190" s="14">
        <v>224</v>
      </c>
      <c r="M190" s="14">
        <v>51.5</v>
      </c>
      <c r="N190" s="14">
        <v>105</v>
      </c>
      <c r="O190" s="14">
        <v>21.2</v>
      </c>
      <c r="P190" s="10">
        <v>-25.52</v>
      </c>
      <c r="Q190" s="10">
        <v>18.600000000000001</v>
      </c>
      <c r="R190" s="10">
        <v>164.1</v>
      </c>
      <c r="S190" s="16">
        <f t="shared" si="11"/>
        <v>7.4772000000000007</v>
      </c>
      <c r="T190" s="16">
        <f t="shared" si="12"/>
        <v>65.968199999999996</v>
      </c>
      <c r="AD190" s="3">
        <v>41865</v>
      </c>
      <c r="AE190" s="16">
        <v>122.5</v>
      </c>
      <c r="AJ190">
        <v>5.1715999999999998</v>
      </c>
      <c r="AK190">
        <v>12.4518</v>
      </c>
      <c r="AN190" t="str">
        <f t="shared" si="13"/>
        <v>Junee</v>
      </c>
      <c r="AO190">
        <f t="shared" si="13"/>
        <v>2014</v>
      </c>
      <c r="AP190" t="str">
        <f t="shared" si="14"/>
        <v>5A</v>
      </c>
      <c r="AQ190" t="str">
        <f t="shared" si="15"/>
        <v>Junee2014Cv5A</v>
      </c>
      <c r="AV190" s="3">
        <v>41865</v>
      </c>
      <c r="AW190" s="16">
        <v>19.638397762207248</v>
      </c>
      <c r="BB190">
        <v>1.0454166442141621</v>
      </c>
      <c r="BC190">
        <v>1.5249874491286772</v>
      </c>
    </row>
    <row r="191" spans="1:55" x14ac:dyDescent="0.25">
      <c r="A191" s="14">
        <v>2014</v>
      </c>
      <c r="B191" s="14" t="s">
        <v>123</v>
      </c>
      <c r="C191" s="14" t="s">
        <v>124</v>
      </c>
      <c r="D191" s="14">
        <v>8</v>
      </c>
      <c r="E191" s="14">
        <v>3</v>
      </c>
      <c r="F191" s="14">
        <v>46</v>
      </c>
      <c r="G191" s="14">
        <v>4</v>
      </c>
      <c r="H191" s="14" t="s">
        <v>6</v>
      </c>
      <c r="I191" s="15">
        <v>41899</v>
      </c>
      <c r="J191" s="14" t="s">
        <v>128</v>
      </c>
      <c r="K191" s="21">
        <v>449</v>
      </c>
      <c r="L191" s="14">
        <v>249</v>
      </c>
      <c r="M191" s="14">
        <v>75.3</v>
      </c>
      <c r="N191" s="14">
        <v>94</v>
      </c>
      <c r="O191" s="14">
        <v>29.4</v>
      </c>
      <c r="P191" s="10">
        <v>-25.6</v>
      </c>
      <c r="Q191" s="10">
        <v>22.4</v>
      </c>
      <c r="R191" s="10">
        <v>141.4</v>
      </c>
      <c r="S191" s="16">
        <f t="shared" si="11"/>
        <v>10.057599999999999</v>
      </c>
      <c r="T191" s="16">
        <f t="shared" si="12"/>
        <v>63.488600000000005</v>
      </c>
      <c r="AD191" s="3">
        <v>41900</v>
      </c>
      <c r="AE191" s="16">
        <v>466.5</v>
      </c>
      <c r="AN191" t="str">
        <f t="shared" si="13"/>
        <v>Junee</v>
      </c>
      <c r="AO191">
        <f t="shared" si="13"/>
        <v>2014</v>
      </c>
      <c r="AP191" t="str">
        <f t="shared" si="14"/>
        <v>5A</v>
      </c>
      <c r="AQ191" t="str">
        <f t="shared" si="15"/>
        <v>Junee2014Cv5A</v>
      </c>
      <c r="AV191" s="3">
        <v>41900</v>
      </c>
      <c r="AW191" s="16">
        <v>71.243713172929631</v>
      </c>
    </row>
    <row r="192" spans="1:55" x14ac:dyDescent="0.25">
      <c r="A192" s="14">
        <v>2014</v>
      </c>
      <c r="B192" s="14" t="s">
        <v>123</v>
      </c>
      <c r="C192" s="14" t="s">
        <v>124</v>
      </c>
      <c r="D192" s="14">
        <v>8</v>
      </c>
      <c r="E192" s="14">
        <v>2</v>
      </c>
      <c r="F192" s="14">
        <v>47</v>
      </c>
      <c r="G192" s="14">
        <v>4</v>
      </c>
      <c r="H192" s="14" t="s">
        <v>4</v>
      </c>
      <c r="I192" s="15">
        <v>41904</v>
      </c>
      <c r="J192" s="14" t="s">
        <v>128</v>
      </c>
      <c r="K192" s="21">
        <v>495</v>
      </c>
      <c r="L192" s="14">
        <v>264</v>
      </c>
      <c r="M192" s="14">
        <v>109.1</v>
      </c>
      <c r="N192" s="14">
        <v>114</v>
      </c>
      <c r="O192" s="14">
        <v>8.5</v>
      </c>
      <c r="P192" s="10">
        <v>-26.1</v>
      </c>
      <c r="Q192" s="10">
        <v>22</v>
      </c>
      <c r="R192" s="10">
        <v>120.3</v>
      </c>
      <c r="S192" s="16">
        <f t="shared" si="11"/>
        <v>10.89</v>
      </c>
      <c r="T192" s="16">
        <f t="shared" si="12"/>
        <v>59.548499999999997</v>
      </c>
      <c r="AD192" s="3">
        <v>41928</v>
      </c>
      <c r="AE192" s="16">
        <v>783.5</v>
      </c>
      <c r="AF192">
        <v>408.75</v>
      </c>
      <c r="AG192">
        <v>109.5</v>
      </c>
      <c r="AH192">
        <v>207.5</v>
      </c>
      <c r="AI192">
        <v>58</v>
      </c>
      <c r="AJ192">
        <v>11.0952</v>
      </c>
      <c r="AK192">
        <v>89.083199999999991</v>
      </c>
      <c r="AN192" t="str">
        <f t="shared" si="13"/>
        <v>Junee</v>
      </c>
      <c r="AO192">
        <f t="shared" si="13"/>
        <v>2014</v>
      </c>
      <c r="AP192" t="str">
        <f t="shared" si="14"/>
        <v>5A</v>
      </c>
      <c r="AQ192" t="str">
        <f t="shared" si="15"/>
        <v>Junee2014Cv5A</v>
      </c>
      <c r="AV192" s="3">
        <v>41928</v>
      </c>
      <c r="AW192" s="16">
        <v>52.918175831497948</v>
      </c>
      <c r="AX192">
        <v>19.822125684867068</v>
      </c>
      <c r="AY192">
        <v>6.4549722436790278</v>
      </c>
      <c r="AZ192">
        <v>12.714820748507099</v>
      </c>
      <c r="BA192">
        <v>22.435091560618453</v>
      </c>
      <c r="BB192" t="e">
        <v>#DIV/0!</v>
      </c>
      <c r="BC192" t="e">
        <v>#DIV/0!</v>
      </c>
    </row>
    <row r="193" spans="1:55" x14ac:dyDescent="0.25">
      <c r="A193" s="14">
        <v>2014</v>
      </c>
      <c r="B193" s="14" t="s">
        <v>123</v>
      </c>
      <c r="C193" s="14" t="s">
        <v>124</v>
      </c>
      <c r="D193" s="14">
        <v>8</v>
      </c>
      <c r="E193" s="14">
        <v>1</v>
      </c>
      <c r="F193" s="14">
        <v>48</v>
      </c>
      <c r="G193" s="14">
        <v>4</v>
      </c>
      <c r="H193" s="14" t="s">
        <v>2</v>
      </c>
      <c r="I193" s="15">
        <v>41897</v>
      </c>
      <c r="J193" s="14" t="s">
        <v>128</v>
      </c>
      <c r="K193" s="21">
        <v>429</v>
      </c>
      <c r="L193" s="14">
        <v>240</v>
      </c>
      <c r="M193" s="14">
        <v>86.1</v>
      </c>
      <c r="N193" s="14">
        <v>90</v>
      </c>
      <c r="O193" s="14">
        <v>12.2</v>
      </c>
      <c r="P193" s="10">
        <v>-25.65</v>
      </c>
      <c r="Q193" s="10">
        <v>22.4</v>
      </c>
      <c r="R193" s="10">
        <v>135.69999999999999</v>
      </c>
      <c r="S193" s="16">
        <f t="shared" si="11"/>
        <v>9.6095999999999986</v>
      </c>
      <c r="T193" s="16">
        <f t="shared" si="12"/>
        <v>58.215299999999999</v>
      </c>
      <c r="AD193" s="3">
        <v>41957</v>
      </c>
      <c r="AE193" s="16">
        <v>850.25</v>
      </c>
      <c r="AF193">
        <v>303.5</v>
      </c>
      <c r="AH193">
        <v>448.5</v>
      </c>
      <c r="AI193">
        <v>98.5</v>
      </c>
      <c r="AN193" t="str">
        <f t="shared" si="13"/>
        <v>Junee</v>
      </c>
      <c r="AO193">
        <f t="shared" si="13"/>
        <v>2014</v>
      </c>
      <c r="AP193" t="str">
        <f t="shared" si="14"/>
        <v>5A</v>
      </c>
      <c r="AQ193" t="str">
        <f t="shared" si="15"/>
        <v>Junee2014Cv5A</v>
      </c>
      <c r="AV193" s="3">
        <v>41957</v>
      </c>
      <c r="AW193" s="16">
        <v>29.680240340446481</v>
      </c>
      <c r="AX193">
        <v>22.649503305812249</v>
      </c>
      <c r="AZ193">
        <v>33.995097685793858</v>
      </c>
      <c r="BA193">
        <v>44.40345331915826</v>
      </c>
    </row>
    <row r="194" spans="1:55" x14ac:dyDescent="0.25">
      <c r="A194" s="14">
        <v>2014</v>
      </c>
      <c r="B194" s="14" t="s">
        <v>123</v>
      </c>
      <c r="C194" s="14" t="s">
        <v>124</v>
      </c>
      <c r="D194" s="14">
        <v>1</v>
      </c>
      <c r="E194" s="14">
        <v>1</v>
      </c>
      <c r="F194" s="14">
        <v>1</v>
      </c>
      <c r="G194" s="14">
        <v>1</v>
      </c>
      <c r="H194" s="14" t="s">
        <v>3</v>
      </c>
      <c r="I194" s="15">
        <v>41954</v>
      </c>
      <c r="J194" s="14" t="s">
        <v>129</v>
      </c>
      <c r="K194" s="21">
        <v>566</v>
      </c>
      <c r="L194" s="14">
        <v>152</v>
      </c>
      <c r="M194" s="14"/>
      <c r="N194" s="14">
        <v>355</v>
      </c>
      <c r="O194" s="14">
        <v>56</v>
      </c>
      <c r="P194" s="10"/>
      <c r="Q194" s="10"/>
      <c r="R194" s="10"/>
      <c r="T194" s="16"/>
      <c r="AC194" t="s">
        <v>12</v>
      </c>
      <c r="AD194" s="3">
        <v>41834</v>
      </c>
      <c r="AE194" s="16">
        <v>31.75</v>
      </c>
      <c r="AN194" t="str">
        <f t="shared" si="13"/>
        <v>Junee</v>
      </c>
      <c r="AO194">
        <f t="shared" si="13"/>
        <v>2014</v>
      </c>
      <c r="AP194" t="str">
        <f t="shared" si="14"/>
        <v>60A</v>
      </c>
      <c r="AQ194" t="str">
        <f t="shared" si="15"/>
        <v>Junee2014Cv60A</v>
      </c>
      <c r="AU194" t="s">
        <v>12</v>
      </c>
      <c r="AV194" s="3">
        <v>41834</v>
      </c>
      <c r="AW194" s="16">
        <v>3.7749172176353749</v>
      </c>
    </row>
    <row r="195" spans="1:55" x14ac:dyDescent="0.25">
      <c r="A195" s="14">
        <v>2014</v>
      </c>
      <c r="B195" s="14" t="s">
        <v>123</v>
      </c>
      <c r="C195" s="14" t="s">
        <v>124</v>
      </c>
      <c r="D195" s="14">
        <v>1</v>
      </c>
      <c r="E195" s="14">
        <v>2</v>
      </c>
      <c r="F195" s="14">
        <v>2</v>
      </c>
      <c r="G195" s="14">
        <v>1</v>
      </c>
      <c r="H195" s="14" t="s">
        <v>14</v>
      </c>
      <c r="I195" s="15">
        <v>41954</v>
      </c>
      <c r="J195" s="14" t="s">
        <v>129</v>
      </c>
      <c r="K195" s="21">
        <v>489</v>
      </c>
      <c r="L195" s="14">
        <v>135</v>
      </c>
      <c r="M195" s="14"/>
      <c r="N195" s="14">
        <v>308</v>
      </c>
      <c r="O195" s="14">
        <v>42</v>
      </c>
      <c r="P195" s="10"/>
      <c r="Q195" s="10"/>
      <c r="R195" s="10"/>
      <c r="T195" s="16"/>
      <c r="AD195" s="3">
        <v>41865</v>
      </c>
      <c r="AE195" s="16">
        <v>156</v>
      </c>
      <c r="AJ195">
        <v>6.4478499999999999</v>
      </c>
      <c r="AK195">
        <v>14.761424999999999</v>
      </c>
      <c r="AN195" t="str">
        <f t="shared" si="13"/>
        <v>Junee</v>
      </c>
      <c r="AO195">
        <f t="shared" si="13"/>
        <v>2014</v>
      </c>
      <c r="AP195" t="str">
        <f t="shared" si="14"/>
        <v>60A</v>
      </c>
      <c r="AQ195" t="str">
        <f t="shared" si="15"/>
        <v>Junee2014Cv60A</v>
      </c>
      <c r="AV195" s="3">
        <v>41865</v>
      </c>
      <c r="AW195" s="16">
        <v>10.984838035522721</v>
      </c>
      <c r="BB195">
        <v>0.20527856683054824</v>
      </c>
      <c r="BC195">
        <v>1.9959093138634001</v>
      </c>
    </row>
    <row r="196" spans="1:55" x14ac:dyDescent="0.25">
      <c r="A196" s="14">
        <v>2014</v>
      </c>
      <c r="B196" s="14" t="s">
        <v>123</v>
      </c>
      <c r="C196" s="14" t="s">
        <v>124</v>
      </c>
      <c r="D196" s="14">
        <v>1</v>
      </c>
      <c r="E196" s="14">
        <v>3</v>
      </c>
      <c r="F196" s="14">
        <v>3</v>
      </c>
      <c r="G196" s="14">
        <v>1</v>
      </c>
      <c r="H196" s="14" t="s">
        <v>9</v>
      </c>
      <c r="I196" s="15">
        <v>41954</v>
      </c>
      <c r="J196" s="14" t="s">
        <v>129</v>
      </c>
      <c r="K196" s="21">
        <v>526</v>
      </c>
      <c r="L196" s="14">
        <v>163</v>
      </c>
      <c r="M196" s="14"/>
      <c r="N196" s="14">
        <v>299</v>
      </c>
      <c r="O196" s="14">
        <v>61</v>
      </c>
      <c r="P196" s="10"/>
      <c r="Q196" s="10"/>
      <c r="R196" s="10"/>
      <c r="T196" s="16"/>
      <c r="AD196" s="3">
        <v>41900</v>
      </c>
      <c r="AE196" s="16">
        <v>436</v>
      </c>
      <c r="AN196" t="str">
        <f t="shared" si="13"/>
        <v>Junee</v>
      </c>
      <c r="AO196">
        <f t="shared" si="13"/>
        <v>2014</v>
      </c>
      <c r="AP196" t="str">
        <f t="shared" si="14"/>
        <v>60A</v>
      </c>
      <c r="AQ196" t="str">
        <f t="shared" si="15"/>
        <v>Junee2014Cv60A</v>
      </c>
      <c r="AV196" s="3">
        <v>41900</v>
      </c>
      <c r="AW196" s="16">
        <v>24.562844569254054</v>
      </c>
    </row>
    <row r="197" spans="1:55" x14ac:dyDescent="0.25">
      <c r="A197" s="14">
        <v>2014</v>
      </c>
      <c r="B197" s="14" t="s">
        <v>123</v>
      </c>
      <c r="C197" s="14" t="s">
        <v>124</v>
      </c>
      <c r="D197" s="14">
        <v>1</v>
      </c>
      <c r="E197" s="14">
        <v>4</v>
      </c>
      <c r="F197" s="14">
        <v>4</v>
      </c>
      <c r="G197" s="14">
        <v>1</v>
      </c>
      <c r="H197" s="14" t="s">
        <v>10</v>
      </c>
      <c r="I197" s="15">
        <v>41954</v>
      </c>
      <c r="J197" s="14" t="s">
        <v>129</v>
      </c>
      <c r="K197" s="21">
        <v>407</v>
      </c>
      <c r="L197" s="14">
        <v>107</v>
      </c>
      <c r="M197" s="14"/>
      <c r="N197" s="14">
        <v>269</v>
      </c>
      <c r="O197" s="14">
        <v>31</v>
      </c>
      <c r="P197" s="10"/>
      <c r="Q197" s="10"/>
      <c r="R197" s="10"/>
      <c r="T197" s="16"/>
      <c r="AD197" s="3">
        <v>41928</v>
      </c>
      <c r="AE197" s="16">
        <v>741.25</v>
      </c>
      <c r="AF197">
        <v>402</v>
      </c>
      <c r="AG197">
        <v>101.75</v>
      </c>
      <c r="AH197">
        <v>179</v>
      </c>
      <c r="AI197">
        <v>58</v>
      </c>
      <c r="AJ197">
        <v>10.252800000000001</v>
      </c>
      <c r="AK197">
        <v>71.983199999999997</v>
      </c>
      <c r="AN197" t="str">
        <f t="shared" ref="AN197:AN260" si="16">IF(AA197&lt;&gt;"",AA197,AN196)</f>
        <v>Junee</v>
      </c>
      <c r="AO197">
        <f t="shared" ref="AO197:AO260" si="17">IF(AB197&lt;&gt;"",AB197,AO196)</f>
        <v>2014</v>
      </c>
      <c r="AP197" t="str">
        <f t="shared" ref="AP197:AP260" si="18">IF(AC197&lt;&gt;"",AC197,AP196)</f>
        <v>60A</v>
      </c>
      <c r="AQ197" t="str">
        <f t="shared" ref="AQ197:AQ260" si="19">AN197&amp;AO197&amp;"Cv"&amp;AP197</f>
        <v>Junee2014Cv60A</v>
      </c>
      <c r="AV197" s="3">
        <v>41928</v>
      </c>
      <c r="AW197" s="16">
        <v>66.339405082248561</v>
      </c>
      <c r="AX197">
        <v>28.925190866555514</v>
      </c>
      <c r="AY197">
        <v>27.5</v>
      </c>
      <c r="AZ197">
        <v>29.280255007996999</v>
      </c>
      <c r="BA197">
        <v>23.021728866442675</v>
      </c>
      <c r="BB197" t="e">
        <v>#DIV/0!</v>
      </c>
      <c r="BC197" t="e">
        <v>#DIV/0!</v>
      </c>
    </row>
    <row r="198" spans="1:55" x14ac:dyDescent="0.25">
      <c r="A198" s="14">
        <v>2014</v>
      </c>
      <c r="B198" s="14" t="s">
        <v>123</v>
      </c>
      <c r="C198" s="14" t="s">
        <v>124</v>
      </c>
      <c r="D198" s="14">
        <v>1</v>
      </c>
      <c r="E198" s="14">
        <v>5</v>
      </c>
      <c r="F198" s="14">
        <v>5</v>
      </c>
      <c r="G198" s="14">
        <v>1</v>
      </c>
      <c r="H198" s="14" t="s">
        <v>6</v>
      </c>
      <c r="I198" s="15">
        <v>41954</v>
      </c>
      <c r="J198" s="14" t="s">
        <v>129</v>
      </c>
      <c r="K198" s="21">
        <v>508</v>
      </c>
      <c r="L198" s="14">
        <v>148</v>
      </c>
      <c r="M198" s="14"/>
      <c r="N198" s="14">
        <v>308</v>
      </c>
      <c r="O198" s="14">
        <v>47</v>
      </c>
      <c r="P198" s="10"/>
      <c r="Q198" s="10"/>
      <c r="R198" s="10"/>
      <c r="T198" s="16"/>
      <c r="AD198" s="3">
        <v>41957</v>
      </c>
      <c r="AE198" s="16">
        <v>784</v>
      </c>
      <c r="AF198">
        <v>281.5</v>
      </c>
      <c r="AH198">
        <v>405</v>
      </c>
      <c r="AI198">
        <v>97.75</v>
      </c>
      <c r="AN198" t="str">
        <f t="shared" si="16"/>
        <v>Junee</v>
      </c>
      <c r="AO198">
        <f t="shared" si="17"/>
        <v>2014</v>
      </c>
      <c r="AP198" t="str">
        <f t="shared" si="18"/>
        <v>60A</v>
      </c>
      <c r="AQ198" t="str">
        <f t="shared" si="19"/>
        <v>Junee2014Cv60A</v>
      </c>
      <c r="AV198" s="3">
        <v>41957</v>
      </c>
      <c r="AW198" s="16">
        <v>38.401388863772453</v>
      </c>
      <c r="AX198">
        <v>16.010413278030438</v>
      </c>
      <c r="AZ198">
        <v>18.257418583505537</v>
      </c>
      <c r="BA198">
        <v>25.157835094989128</v>
      </c>
    </row>
    <row r="199" spans="1:55" x14ac:dyDescent="0.25">
      <c r="A199" s="14">
        <v>2014</v>
      </c>
      <c r="B199" s="14" t="s">
        <v>123</v>
      </c>
      <c r="C199" s="14" t="s">
        <v>124</v>
      </c>
      <c r="D199" s="14">
        <v>1</v>
      </c>
      <c r="E199" s="14">
        <v>6</v>
      </c>
      <c r="F199" s="14">
        <v>6</v>
      </c>
      <c r="G199" s="14">
        <v>1</v>
      </c>
      <c r="H199" s="14" t="s">
        <v>13</v>
      </c>
      <c r="I199" s="15">
        <v>41954</v>
      </c>
      <c r="J199" s="14" t="s">
        <v>129</v>
      </c>
      <c r="K199" s="21">
        <v>473</v>
      </c>
      <c r="L199" s="14">
        <v>138</v>
      </c>
      <c r="M199" s="14"/>
      <c r="N199" s="14">
        <v>292</v>
      </c>
      <c r="O199" s="14">
        <v>43</v>
      </c>
      <c r="P199" s="10"/>
      <c r="Q199" s="10"/>
      <c r="R199" s="10"/>
      <c r="T199" s="16"/>
      <c r="AC199" t="s">
        <v>10</v>
      </c>
      <c r="AD199" s="3">
        <v>41834</v>
      </c>
      <c r="AE199" s="16">
        <v>28.5</v>
      </c>
      <c r="AN199" t="str">
        <f t="shared" si="16"/>
        <v>Junee</v>
      </c>
      <c r="AO199">
        <f t="shared" si="17"/>
        <v>2014</v>
      </c>
      <c r="AP199" t="str">
        <f t="shared" si="18"/>
        <v>Corack</v>
      </c>
      <c r="AQ199" t="str">
        <f t="shared" si="19"/>
        <v>Junee2014CvCorack</v>
      </c>
      <c r="AU199" t="s">
        <v>10</v>
      </c>
      <c r="AV199" s="3">
        <v>41834</v>
      </c>
      <c r="AW199" s="16">
        <v>3.3166247903553998</v>
      </c>
    </row>
    <row r="200" spans="1:55" x14ac:dyDescent="0.25">
      <c r="A200" s="14">
        <v>2014</v>
      </c>
      <c r="B200" s="14" t="s">
        <v>123</v>
      </c>
      <c r="C200" s="14" t="s">
        <v>124</v>
      </c>
      <c r="D200" s="14">
        <v>2</v>
      </c>
      <c r="E200" s="14">
        <v>6</v>
      </c>
      <c r="F200" s="14">
        <v>7</v>
      </c>
      <c r="G200" s="14">
        <v>1</v>
      </c>
      <c r="H200" s="14" t="s">
        <v>2</v>
      </c>
      <c r="I200" s="15">
        <v>41954</v>
      </c>
      <c r="J200" s="14" t="s">
        <v>129</v>
      </c>
      <c r="K200" s="21">
        <v>648</v>
      </c>
      <c r="L200" s="14">
        <v>186</v>
      </c>
      <c r="M200" s="14"/>
      <c r="N200" s="14">
        <v>405</v>
      </c>
      <c r="O200" s="14">
        <v>60</v>
      </c>
      <c r="P200" s="10"/>
      <c r="Q200" s="10"/>
      <c r="R200" s="10"/>
      <c r="T200" s="16"/>
      <c r="AD200" s="3">
        <v>41865</v>
      </c>
      <c r="AE200" s="16">
        <v>141.5</v>
      </c>
      <c r="AJ200">
        <v>5.7798249999999998</v>
      </c>
      <c r="AK200">
        <v>13.522749999999998</v>
      </c>
      <c r="AN200" t="str">
        <f t="shared" si="16"/>
        <v>Junee</v>
      </c>
      <c r="AO200">
        <f t="shared" si="17"/>
        <v>2014</v>
      </c>
      <c r="AP200" t="str">
        <f t="shared" si="18"/>
        <v>Corack</v>
      </c>
      <c r="AQ200" t="str">
        <f t="shared" si="19"/>
        <v>Junee2014CvCorack</v>
      </c>
      <c r="AV200" s="3">
        <v>41865</v>
      </c>
      <c r="AW200" s="16">
        <v>32.807519463277522</v>
      </c>
      <c r="BB200">
        <v>1.537024984344757</v>
      </c>
      <c r="BC200">
        <v>2.2115420886793089</v>
      </c>
    </row>
    <row r="201" spans="1:55" x14ac:dyDescent="0.25">
      <c r="A201" s="14">
        <v>2014</v>
      </c>
      <c r="B201" s="14" t="s">
        <v>123</v>
      </c>
      <c r="C201" s="14" t="s">
        <v>124</v>
      </c>
      <c r="D201" s="14">
        <v>2</v>
      </c>
      <c r="E201" s="14">
        <v>5</v>
      </c>
      <c r="F201" s="14">
        <v>8</v>
      </c>
      <c r="G201" s="14">
        <v>1</v>
      </c>
      <c r="H201" s="14" t="s">
        <v>12</v>
      </c>
      <c r="I201" s="15">
        <v>41954</v>
      </c>
      <c r="J201" s="14" t="s">
        <v>129</v>
      </c>
      <c r="K201" s="21">
        <v>520</v>
      </c>
      <c r="L201" s="14">
        <v>156</v>
      </c>
      <c r="M201" s="14"/>
      <c r="N201" s="14">
        <v>309</v>
      </c>
      <c r="O201" s="14">
        <v>53</v>
      </c>
      <c r="P201" s="10"/>
      <c r="Q201" s="10"/>
      <c r="R201" s="10"/>
      <c r="T201" s="16"/>
      <c r="AD201" s="3">
        <v>41900</v>
      </c>
      <c r="AE201" s="16">
        <v>527.5</v>
      </c>
      <c r="AN201" t="str">
        <f t="shared" si="16"/>
        <v>Junee</v>
      </c>
      <c r="AO201">
        <f t="shared" si="17"/>
        <v>2014</v>
      </c>
      <c r="AP201" t="str">
        <f t="shared" si="18"/>
        <v>Corack</v>
      </c>
      <c r="AQ201" t="str">
        <f t="shared" si="19"/>
        <v>Junee2014CvCorack</v>
      </c>
      <c r="AV201" s="3">
        <v>41900</v>
      </c>
      <c r="AW201" s="16">
        <v>37.134889255254286</v>
      </c>
    </row>
    <row r="202" spans="1:55" x14ac:dyDescent="0.25">
      <c r="A202" s="14">
        <v>2014</v>
      </c>
      <c r="B202" s="14" t="s">
        <v>123</v>
      </c>
      <c r="C202" s="14" t="s">
        <v>124</v>
      </c>
      <c r="D202" s="14">
        <v>2</v>
      </c>
      <c r="E202" s="14">
        <v>4</v>
      </c>
      <c r="F202" s="14">
        <v>9</v>
      </c>
      <c r="G202" s="14">
        <v>1</v>
      </c>
      <c r="H202" s="14" t="s">
        <v>7</v>
      </c>
      <c r="I202" s="15">
        <v>41954</v>
      </c>
      <c r="J202" s="14" t="s">
        <v>129</v>
      </c>
      <c r="K202" s="21">
        <v>414</v>
      </c>
      <c r="L202" s="14">
        <v>121</v>
      </c>
      <c r="M202" s="14"/>
      <c r="N202" s="14">
        <v>244</v>
      </c>
      <c r="O202" s="14">
        <v>46</v>
      </c>
      <c r="P202" s="10"/>
      <c r="Q202" s="10"/>
      <c r="R202" s="10"/>
      <c r="T202" s="16"/>
      <c r="AD202" s="3">
        <v>41921</v>
      </c>
      <c r="AE202" s="16">
        <v>872</v>
      </c>
      <c r="AF202">
        <v>456.25</v>
      </c>
      <c r="AG202">
        <v>124.25</v>
      </c>
      <c r="AH202">
        <v>241.5</v>
      </c>
      <c r="AI202">
        <v>49.75</v>
      </c>
      <c r="AJ202">
        <v>12.569466666666665</v>
      </c>
      <c r="AK202">
        <v>98.204066666666677</v>
      </c>
      <c r="AN202" t="str">
        <f t="shared" si="16"/>
        <v>Junee</v>
      </c>
      <c r="AO202">
        <f t="shared" si="17"/>
        <v>2014</v>
      </c>
      <c r="AP202" t="str">
        <f t="shared" si="18"/>
        <v>Corack</v>
      </c>
      <c r="AQ202" t="str">
        <f t="shared" si="19"/>
        <v>Junee2014CvCorack</v>
      </c>
      <c r="AV202" s="3">
        <v>41921</v>
      </c>
      <c r="AW202" s="16">
        <v>79.870728889458206</v>
      </c>
      <c r="AX202">
        <v>52.531736439350006</v>
      </c>
      <c r="AY202">
        <v>17.480942003603047</v>
      </c>
      <c r="AZ202">
        <v>21.763884457207237</v>
      </c>
      <c r="BA202">
        <v>14.5</v>
      </c>
      <c r="BB202">
        <v>1.2998747683270631</v>
      </c>
      <c r="BC202">
        <v>9.7677032327630897</v>
      </c>
    </row>
    <row r="203" spans="1:55" x14ac:dyDescent="0.25">
      <c r="A203" s="14">
        <v>2014</v>
      </c>
      <c r="B203" s="14" t="s">
        <v>123</v>
      </c>
      <c r="C203" s="14" t="s">
        <v>124</v>
      </c>
      <c r="D203" s="14">
        <v>2</v>
      </c>
      <c r="E203" s="14">
        <v>3</v>
      </c>
      <c r="F203" s="14">
        <v>10</v>
      </c>
      <c r="G203" s="14">
        <v>1</v>
      </c>
      <c r="H203" s="14" t="s">
        <v>8</v>
      </c>
      <c r="I203" s="15">
        <v>41954</v>
      </c>
      <c r="J203" s="14" t="s">
        <v>129</v>
      </c>
      <c r="K203" s="21">
        <v>641</v>
      </c>
      <c r="L203" s="14">
        <v>188</v>
      </c>
      <c r="M203" s="14"/>
      <c r="N203" s="14">
        <v>375</v>
      </c>
      <c r="O203" s="14">
        <v>77</v>
      </c>
      <c r="P203" s="10"/>
      <c r="Q203" s="10"/>
      <c r="R203" s="10"/>
      <c r="T203" s="16"/>
      <c r="AD203" s="3">
        <v>41957</v>
      </c>
      <c r="AE203" s="16">
        <v>971</v>
      </c>
      <c r="AF203">
        <v>295.75</v>
      </c>
      <c r="AH203">
        <v>590</v>
      </c>
      <c r="AI203">
        <v>85</v>
      </c>
      <c r="AN203" t="str">
        <f t="shared" si="16"/>
        <v>Junee</v>
      </c>
      <c r="AO203">
        <f t="shared" si="17"/>
        <v>2014</v>
      </c>
      <c r="AP203" t="str">
        <f t="shared" si="18"/>
        <v>Corack</v>
      </c>
      <c r="AQ203" t="str">
        <f t="shared" si="19"/>
        <v>Junee2014CvCorack</v>
      </c>
      <c r="AV203" s="3">
        <v>41957</v>
      </c>
      <c r="AW203" s="16">
        <v>69.055533208184457</v>
      </c>
      <c r="AX203">
        <v>25.96632434519757</v>
      </c>
      <c r="AZ203">
        <v>38.893015654056278</v>
      </c>
      <c r="BA203">
        <v>24.993332444207329</v>
      </c>
    </row>
    <row r="204" spans="1:55" x14ac:dyDescent="0.25">
      <c r="A204" s="14">
        <v>2014</v>
      </c>
      <c r="B204" s="14" t="s">
        <v>123</v>
      </c>
      <c r="C204" s="14" t="s">
        <v>124</v>
      </c>
      <c r="D204" s="14">
        <v>2</v>
      </c>
      <c r="E204" s="14">
        <v>2</v>
      </c>
      <c r="F204" s="14">
        <v>11</v>
      </c>
      <c r="G204" s="14">
        <v>1</v>
      </c>
      <c r="H204" s="14" t="s">
        <v>5</v>
      </c>
      <c r="I204" s="15">
        <v>41954</v>
      </c>
      <c r="J204" s="14" t="s">
        <v>129</v>
      </c>
      <c r="K204" s="21">
        <v>464</v>
      </c>
      <c r="L204" s="14">
        <v>133</v>
      </c>
      <c r="M204" s="14"/>
      <c r="N204" s="14">
        <v>279</v>
      </c>
      <c r="O204" s="14">
        <v>49</v>
      </c>
      <c r="P204" s="10"/>
      <c r="Q204" s="10"/>
      <c r="R204" s="10"/>
      <c r="T204" s="16"/>
      <c r="AC204" t="s">
        <v>8</v>
      </c>
      <c r="AD204" s="3">
        <v>41834</v>
      </c>
      <c r="AE204" s="16">
        <v>30</v>
      </c>
      <c r="AN204" t="str">
        <f t="shared" si="16"/>
        <v>Junee</v>
      </c>
      <c r="AO204">
        <f t="shared" si="17"/>
        <v>2014</v>
      </c>
      <c r="AP204" t="str">
        <f t="shared" si="18"/>
        <v>Espada</v>
      </c>
      <c r="AQ204" t="str">
        <f t="shared" si="19"/>
        <v>Junee2014CvEspada</v>
      </c>
      <c r="AU204" t="s">
        <v>8</v>
      </c>
      <c r="AV204" s="3">
        <v>41834</v>
      </c>
      <c r="AW204" s="16">
        <v>3.8297084310253524</v>
      </c>
    </row>
    <row r="205" spans="1:55" x14ac:dyDescent="0.25">
      <c r="A205" s="14">
        <v>2014</v>
      </c>
      <c r="B205" s="14" t="s">
        <v>123</v>
      </c>
      <c r="C205" s="14" t="s">
        <v>124</v>
      </c>
      <c r="D205" s="14">
        <v>2</v>
      </c>
      <c r="E205" s="14">
        <v>1</v>
      </c>
      <c r="F205" s="14">
        <v>12</v>
      </c>
      <c r="G205" s="14">
        <v>1</v>
      </c>
      <c r="H205" s="14" t="s">
        <v>4</v>
      </c>
      <c r="I205" s="15">
        <v>41954</v>
      </c>
      <c r="J205" s="14" t="s">
        <v>129</v>
      </c>
      <c r="K205" s="21">
        <v>536</v>
      </c>
      <c r="L205" s="14">
        <v>141</v>
      </c>
      <c r="M205" s="14"/>
      <c r="N205" s="14">
        <v>342</v>
      </c>
      <c r="O205" s="14">
        <v>48</v>
      </c>
      <c r="P205" s="10"/>
      <c r="Q205" s="10"/>
      <c r="R205" s="10"/>
      <c r="T205" s="16"/>
      <c r="AD205" s="3">
        <v>41865</v>
      </c>
      <c r="AE205" s="16">
        <v>138.25</v>
      </c>
      <c r="AJ205">
        <v>5.3224749999999998</v>
      </c>
      <c r="AK205">
        <v>22.10005</v>
      </c>
      <c r="AN205" t="str">
        <f t="shared" si="16"/>
        <v>Junee</v>
      </c>
      <c r="AO205">
        <f t="shared" si="17"/>
        <v>2014</v>
      </c>
      <c r="AP205" t="str">
        <f t="shared" si="18"/>
        <v>Espada</v>
      </c>
      <c r="AQ205" t="str">
        <f t="shared" si="19"/>
        <v>Junee2014CvEspada</v>
      </c>
      <c r="AV205" s="3">
        <v>41865</v>
      </c>
      <c r="AW205" s="16">
        <v>22.096379793984354</v>
      </c>
      <c r="BB205">
        <v>0.86073466052746805</v>
      </c>
      <c r="BC205">
        <v>2.9017155402738508</v>
      </c>
    </row>
    <row r="206" spans="1:55" x14ac:dyDescent="0.25">
      <c r="A206" s="14">
        <v>2014</v>
      </c>
      <c r="B206" s="14" t="s">
        <v>123</v>
      </c>
      <c r="C206" s="14" t="s">
        <v>124</v>
      </c>
      <c r="D206" s="14">
        <v>3</v>
      </c>
      <c r="E206" s="14">
        <v>1</v>
      </c>
      <c r="F206" s="14">
        <v>13</v>
      </c>
      <c r="G206" s="14">
        <v>2</v>
      </c>
      <c r="H206" s="14" t="s">
        <v>8</v>
      </c>
      <c r="I206" s="15">
        <v>41954</v>
      </c>
      <c r="J206" s="14" t="s">
        <v>129</v>
      </c>
      <c r="K206" s="21">
        <v>471</v>
      </c>
      <c r="L206" s="14">
        <v>141</v>
      </c>
      <c r="M206" s="14"/>
      <c r="N206" s="14">
        <v>286</v>
      </c>
      <c r="O206" s="14">
        <v>44</v>
      </c>
      <c r="P206" s="10"/>
      <c r="Q206" s="10"/>
      <c r="R206" s="10"/>
      <c r="T206" s="16"/>
      <c r="AD206" s="3">
        <v>41900</v>
      </c>
      <c r="AE206" s="16">
        <v>496</v>
      </c>
      <c r="AN206" t="str">
        <f t="shared" si="16"/>
        <v>Junee</v>
      </c>
      <c r="AO206">
        <f t="shared" si="17"/>
        <v>2014</v>
      </c>
      <c r="AP206" t="str">
        <f t="shared" si="18"/>
        <v>Espada</v>
      </c>
      <c r="AQ206" t="str">
        <f t="shared" si="19"/>
        <v>Junee2014CvEspada</v>
      </c>
      <c r="AV206" s="3">
        <v>41900</v>
      </c>
      <c r="AW206" s="16">
        <v>51.555795018600968</v>
      </c>
    </row>
    <row r="207" spans="1:55" x14ac:dyDescent="0.25">
      <c r="A207" s="14">
        <v>2014</v>
      </c>
      <c r="B207" s="14" t="s">
        <v>123</v>
      </c>
      <c r="C207" s="14" t="s">
        <v>124</v>
      </c>
      <c r="D207" s="14">
        <v>3</v>
      </c>
      <c r="E207" s="14">
        <v>2</v>
      </c>
      <c r="F207" s="14">
        <v>14</v>
      </c>
      <c r="G207" s="14">
        <v>2</v>
      </c>
      <c r="H207" s="14" t="s">
        <v>4</v>
      </c>
      <c r="I207" s="15">
        <v>41954</v>
      </c>
      <c r="J207" s="14" t="s">
        <v>129</v>
      </c>
      <c r="K207" s="21">
        <v>496</v>
      </c>
      <c r="L207" s="14">
        <v>122</v>
      </c>
      <c r="M207" s="14"/>
      <c r="N207" s="14">
        <v>325</v>
      </c>
      <c r="O207" s="14">
        <v>37</v>
      </c>
      <c r="P207" s="10"/>
      <c r="Q207" s="10"/>
      <c r="R207" s="10"/>
      <c r="T207" s="16"/>
      <c r="AD207" s="3">
        <v>41925</v>
      </c>
      <c r="AE207" s="16">
        <v>874.5</v>
      </c>
      <c r="AF207">
        <v>510.5</v>
      </c>
      <c r="AG207">
        <v>133.5</v>
      </c>
      <c r="AH207">
        <v>185.5</v>
      </c>
      <c r="AI207">
        <v>44.5</v>
      </c>
      <c r="AJ207">
        <v>12.8383</v>
      </c>
      <c r="AK207">
        <v>97.72175</v>
      </c>
      <c r="AN207" t="str">
        <f t="shared" si="16"/>
        <v>Junee</v>
      </c>
      <c r="AO207">
        <f t="shared" si="17"/>
        <v>2014</v>
      </c>
      <c r="AP207" t="str">
        <f t="shared" si="18"/>
        <v>Espada</v>
      </c>
      <c r="AQ207" t="str">
        <f t="shared" si="19"/>
        <v>Junee2014CvEspada</v>
      </c>
      <c r="AV207" s="3">
        <v>41925</v>
      </c>
      <c r="AW207" s="16">
        <v>66.214298556530323</v>
      </c>
      <c r="AX207">
        <v>27.209067116190024</v>
      </c>
      <c r="AY207">
        <v>28.160255680657446</v>
      </c>
      <c r="AZ207">
        <v>10.535653752852738</v>
      </c>
      <c r="BA207">
        <v>10.148891565092219</v>
      </c>
      <c r="BB207">
        <v>1.5506373291865061</v>
      </c>
      <c r="BC207">
        <v>7.6007890583805207</v>
      </c>
    </row>
    <row r="208" spans="1:55" x14ac:dyDescent="0.25">
      <c r="A208" s="14">
        <v>2014</v>
      </c>
      <c r="B208" s="14" t="s">
        <v>123</v>
      </c>
      <c r="C208" s="14" t="s">
        <v>124</v>
      </c>
      <c r="D208" s="14">
        <v>3</v>
      </c>
      <c r="E208" s="14">
        <v>3</v>
      </c>
      <c r="F208" s="14">
        <v>15</v>
      </c>
      <c r="G208" s="14">
        <v>2</v>
      </c>
      <c r="H208" s="14" t="s">
        <v>12</v>
      </c>
      <c r="I208" s="15">
        <v>41954</v>
      </c>
      <c r="J208" s="14" t="s">
        <v>129</v>
      </c>
      <c r="K208" s="21">
        <v>465</v>
      </c>
      <c r="L208" s="14">
        <v>132</v>
      </c>
      <c r="M208" s="14"/>
      <c r="N208" s="14">
        <v>279</v>
      </c>
      <c r="O208" s="14">
        <v>50</v>
      </c>
      <c r="P208" s="10"/>
      <c r="Q208" s="10"/>
      <c r="R208" s="10"/>
      <c r="T208" s="16"/>
      <c r="AD208" s="3">
        <v>41957</v>
      </c>
      <c r="AE208" s="16">
        <v>942.75</v>
      </c>
      <c r="AF208">
        <v>330.25</v>
      </c>
      <c r="AH208">
        <v>531.75</v>
      </c>
      <c r="AI208">
        <v>80.5</v>
      </c>
      <c r="AN208" t="str">
        <f t="shared" si="16"/>
        <v>Junee</v>
      </c>
      <c r="AO208">
        <f t="shared" si="17"/>
        <v>2014</v>
      </c>
      <c r="AP208" t="str">
        <f t="shared" si="18"/>
        <v>Espada</v>
      </c>
      <c r="AQ208" t="str">
        <f t="shared" si="19"/>
        <v>Junee2014CvEspada</v>
      </c>
      <c r="AV208" s="3">
        <v>41957</v>
      </c>
      <c r="AW208" s="16">
        <v>36.472592449673769</v>
      </c>
      <c r="AX208">
        <v>19.568256607747831</v>
      </c>
      <c r="AZ208">
        <v>10.111874208078342</v>
      </c>
      <c r="BA208">
        <v>29.625439518539917</v>
      </c>
    </row>
    <row r="209" spans="1:55" x14ac:dyDescent="0.25">
      <c r="A209" s="14">
        <v>2014</v>
      </c>
      <c r="B209" s="14" t="s">
        <v>123</v>
      </c>
      <c r="C209" s="14" t="s">
        <v>124</v>
      </c>
      <c r="D209" s="14">
        <v>3</v>
      </c>
      <c r="E209" s="14">
        <v>4</v>
      </c>
      <c r="F209" s="14">
        <v>16</v>
      </c>
      <c r="G209" s="14">
        <v>2</v>
      </c>
      <c r="H209" s="14" t="s">
        <v>5</v>
      </c>
      <c r="I209" s="15">
        <v>41954</v>
      </c>
      <c r="J209" s="14" t="s">
        <v>129</v>
      </c>
      <c r="K209" s="21">
        <v>446</v>
      </c>
      <c r="L209" s="14">
        <v>117</v>
      </c>
      <c r="M209" s="14"/>
      <c r="N209" s="14">
        <v>273</v>
      </c>
      <c r="O209" s="14">
        <v>41</v>
      </c>
      <c r="P209" s="10"/>
      <c r="Q209" s="10"/>
      <c r="R209" s="10"/>
      <c r="T209" s="16"/>
      <c r="AC209" t="s">
        <v>4</v>
      </c>
      <c r="AD209" s="3">
        <v>41834</v>
      </c>
      <c r="AE209" s="16">
        <v>19</v>
      </c>
      <c r="AN209" t="str">
        <f t="shared" si="16"/>
        <v>Junee</v>
      </c>
      <c r="AO209">
        <f t="shared" si="17"/>
        <v>2014</v>
      </c>
      <c r="AP209" t="str">
        <f t="shared" si="18"/>
        <v>Gauntlet</v>
      </c>
      <c r="AQ209" t="str">
        <f t="shared" si="19"/>
        <v>Junee2014CvGauntlet</v>
      </c>
      <c r="AU209" t="s">
        <v>4</v>
      </c>
      <c r="AV209" s="3">
        <v>41834</v>
      </c>
      <c r="AW209" s="16">
        <v>2</v>
      </c>
    </row>
    <row r="210" spans="1:55" x14ac:dyDescent="0.25">
      <c r="A210" s="14">
        <v>2014</v>
      </c>
      <c r="B210" s="14" t="s">
        <v>123</v>
      </c>
      <c r="C210" s="14" t="s">
        <v>124</v>
      </c>
      <c r="D210" s="14">
        <v>3</v>
      </c>
      <c r="E210" s="14">
        <v>5</v>
      </c>
      <c r="F210" s="14">
        <v>17</v>
      </c>
      <c r="G210" s="14">
        <v>2</v>
      </c>
      <c r="H210" s="14" t="s">
        <v>14</v>
      </c>
      <c r="I210" s="15">
        <v>41954</v>
      </c>
      <c r="J210" s="14" t="s">
        <v>129</v>
      </c>
      <c r="K210" s="21">
        <v>441</v>
      </c>
      <c r="L210" s="14">
        <v>129</v>
      </c>
      <c r="M210" s="14"/>
      <c r="N210" s="14">
        <v>277</v>
      </c>
      <c r="O210" s="14">
        <v>34</v>
      </c>
      <c r="P210" s="10"/>
      <c r="Q210" s="10"/>
      <c r="R210" s="10"/>
      <c r="T210" s="16"/>
      <c r="AD210" s="3">
        <v>41865</v>
      </c>
      <c r="AE210" s="16">
        <v>114</v>
      </c>
      <c r="AJ210">
        <v>4.8778500000000005</v>
      </c>
      <c r="AK210">
        <v>12.9979</v>
      </c>
      <c r="AN210" t="str">
        <f t="shared" si="16"/>
        <v>Junee</v>
      </c>
      <c r="AO210">
        <f t="shared" si="17"/>
        <v>2014</v>
      </c>
      <c r="AP210" t="str">
        <f t="shared" si="18"/>
        <v>Gauntlet</v>
      </c>
      <c r="AQ210" t="str">
        <f t="shared" si="19"/>
        <v>Junee2014CvGauntlet</v>
      </c>
      <c r="AV210" s="3">
        <v>41865</v>
      </c>
      <c r="AW210" s="16">
        <v>25.099800796022265</v>
      </c>
      <c r="BB210">
        <v>1.2573838700518878</v>
      </c>
      <c r="BC210">
        <v>2.1300191329344109</v>
      </c>
    </row>
    <row r="211" spans="1:55" x14ac:dyDescent="0.25">
      <c r="A211" s="14">
        <v>2014</v>
      </c>
      <c r="B211" s="14" t="s">
        <v>123</v>
      </c>
      <c r="C211" s="14" t="s">
        <v>124</v>
      </c>
      <c r="D211" s="14">
        <v>3</v>
      </c>
      <c r="E211" s="14">
        <v>6</v>
      </c>
      <c r="F211" s="14">
        <v>18</v>
      </c>
      <c r="G211" s="14">
        <v>2</v>
      </c>
      <c r="H211" s="14" t="s">
        <v>7</v>
      </c>
      <c r="I211" s="15">
        <v>41954</v>
      </c>
      <c r="J211" s="14" t="s">
        <v>129</v>
      </c>
      <c r="K211" s="21">
        <v>473</v>
      </c>
      <c r="L211" s="14">
        <v>151</v>
      </c>
      <c r="M211" s="14"/>
      <c r="N211" s="14">
        <v>283</v>
      </c>
      <c r="O211" s="14">
        <v>39</v>
      </c>
      <c r="P211" s="10"/>
      <c r="Q211" s="10"/>
      <c r="R211" s="10"/>
      <c r="T211" s="16"/>
      <c r="AD211" s="3">
        <v>41900</v>
      </c>
      <c r="AE211" s="16">
        <v>411.5</v>
      </c>
      <c r="AN211" t="str">
        <f t="shared" si="16"/>
        <v>Junee</v>
      </c>
      <c r="AO211">
        <f t="shared" si="17"/>
        <v>2014</v>
      </c>
      <c r="AP211" t="str">
        <f t="shared" si="18"/>
        <v>Gauntlet</v>
      </c>
      <c r="AQ211" t="str">
        <f t="shared" si="19"/>
        <v>Junee2014CvGauntlet</v>
      </c>
      <c r="AV211" s="3">
        <v>41900</v>
      </c>
      <c r="AW211" s="16">
        <v>35.482389998420345</v>
      </c>
    </row>
    <row r="212" spans="1:55" x14ac:dyDescent="0.25">
      <c r="A212" s="14">
        <v>2014</v>
      </c>
      <c r="B212" s="14" t="s">
        <v>123</v>
      </c>
      <c r="C212" s="14" t="s">
        <v>124</v>
      </c>
      <c r="D212" s="14">
        <v>4</v>
      </c>
      <c r="E212" s="14">
        <v>6</v>
      </c>
      <c r="F212" s="14">
        <v>19</v>
      </c>
      <c r="G212" s="14">
        <v>2</v>
      </c>
      <c r="H212" s="14" t="s">
        <v>6</v>
      </c>
      <c r="I212" s="15">
        <v>41954</v>
      </c>
      <c r="J212" s="14" t="s">
        <v>129</v>
      </c>
      <c r="K212" s="21">
        <v>440</v>
      </c>
      <c r="L212" s="14">
        <v>137</v>
      </c>
      <c r="M212" s="14"/>
      <c r="N212" s="14">
        <v>262</v>
      </c>
      <c r="O212" s="14">
        <v>39</v>
      </c>
      <c r="P212" s="10"/>
      <c r="Q212" s="10"/>
      <c r="R212" s="10"/>
      <c r="T212" s="16"/>
      <c r="AD212" s="3">
        <v>41925</v>
      </c>
      <c r="AE212" s="16">
        <v>832.75</v>
      </c>
      <c r="AF212">
        <v>477</v>
      </c>
      <c r="AG212">
        <v>153.75</v>
      </c>
      <c r="AH212">
        <v>172.5</v>
      </c>
      <c r="AI212">
        <v>29.25</v>
      </c>
      <c r="AJ212">
        <v>13.571375</v>
      </c>
      <c r="AK212">
        <v>99.655425000000008</v>
      </c>
      <c r="AN212" t="str">
        <f t="shared" si="16"/>
        <v>Junee</v>
      </c>
      <c r="AO212">
        <f t="shared" si="17"/>
        <v>2014</v>
      </c>
      <c r="AP212" t="str">
        <f t="shared" si="18"/>
        <v>Gauntlet</v>
      </c>
      <c r="AQ212" t="str">
        <f t="shared" si="19"/>
        <v>Junee2014CvGauntlet</v>
      </c>
      <c r="AV212" s="3">
        <v>41925</v>
      </c>
      <c r="AW212" s="16">
        <v>56.446877681586606</v>
      </c>
      <c r="AX212">
        <v>3.5590260840104371</v>
      </c>
      <c r="AY212">
        <v>20.039544239661073</v>
      </c>
      <c r="AZ212">
        <v>36.918829883949464</v>
      </c>
      <c r="BA212">
        <v>7.9739158092704576</v>
      </c>
      <c r="BB212">
        <v>0.48363775958874961</v>
      </c>
      <c r="BC212">
        <v>14.472566422113827</v>
      </c>
    </row>
    <row r="213" spans="1:55" x14ac:dyDescent="0.25">
      <c r="A213" s="14">
        <v>2014</v>
      </c>
      <c r="B213" s="14" t="s">
        <v>123</v>
      </c>
      <c r="C213" s="14" t="s">
        <v>124</v>
      </c>
      <c r="D213" s="14">
        <v>4</v>
      </c>
      <c r="E213" s="14">
        <v>5</v>
      </c>
      <c r="F213" s="14">
        <v>20</v>
      </c>
      <c r="G213" s="14">
        <v>2</v>
      </c>
      <c r="H213" s="14" t="s">
        <v>3</v>
      </c>
      <c r="I213" s="15">
        <v>41954</v>
      </c>
      <c r="J213" s="14" t="s">
        <v>129</v>
      </c>
      <c r="K213" s="21">
        <v>641</v>
      </c>
      <c r="L213" s="14">
        <v>164</v>
      </c>
      <c r="M213" s="14"/>
      <c r="N213" s="14">
        <v>382</v>
      </c>
      <c r="O213" s="14">
        <v>52</v>
      </c>
      <c r="P213" s="10"/>
      <c r="Q213" s="10"/>
      <c r="R213" s="10"/>
      <c r="T213" s="16"/>
      <c r="AD213" s="3">
        <v>41957</v>
      </c>
      <c r="AE213" s="16">
        <v>891.25</v>
      </c>
      <c r="AF213">
        <v>273.25</v>
      </c>
      <c r="AH213">
        <v>535.25</v>
      </c>
      <c r="AI213">
        <v>82.5</v>
      </c>
      <c r="AN213" t="str">
        <f t="shared" si="16"/>
        <v>Junee</v>
      </c>
      <c r="AO213">
        <f t="shared" si="17"/>
        <v>2014</v>
      </c>
      <c r="AP213" t="str">
        <f t="shared" si="18"/>
        <v>Gauntlet</v>
      </c>
      <c r="AQ213" t="str">
        <f t="shared" si="19"/>
        <v>Junee2014CvGauntlet</v>
      </c>
      <c r="AV213" s="3">
        <v>41957</v>
      </c>
      <c r="AW213" s="16">
        <v>39.710410054123926</v>
      </c>
      <c r="AX213">
        <v>24.102212899787162</v>
      </c>
      <c r="AZ213">
        <v>26.787745954696028</v>
      </c>
      <c r="BA213">
        <v>28.442925306655784</v>
      </c>
    </row>
    <row r="214" spans="1:55" x14ac:dyDescent="0.25">
      <c r="A214" s="14">
        <v>2014</v>
      </c>
      <c r="B214" s="14" t="s">
        <v>123</v>
      </c>
      <c r="C214" s="14" t="s">
        <v>124</v>
      </c>
      <c r="D214" s="14">
        <v>4</v>
      </c>
      <c r="E214" s="14">
        <v>4</v>
      </c>
      <c r="F214" s="14">
        <v>21</v>
      </c>
      <c r="G214" s="14">
        <v>2</v>
      </c>
      <c r="H214" s="14" t="s">
        <v>9</v>
      </c>
      <c r="I214" s="15">
        <v>41954</v>
      </c>
      <c r="J214" s="14" t="s">
        <v>129</v>
      </c>
      <c r="K214" s="21">
        <v>530</v>
      </c>
      <c r="L214" s="14">
        <v>165</v>
      </c>
      <c r="M214" s="14"/>
      <c r="N214" s="14">
        <v>302</v>
      </c>
      <c r="O214" s="14">
        <v>50</v>
      </c>
      <c r="P214" s="10"/>
      <c r="Q214" s="10"/>
      <c r="R214" s="10"/>
      <c r="T214" s="16"/>
      <c r="AC214" t="s">
        <v>7</v>
      </c>
      <c r="AD214" s="3">
        <v>41834</v>
      </c>
      <c r="AE214" s="16">
        <v>28.5</v>
      </c>
      <c r="AN214" t="str">
        <f t="shared" si="16"/>
        <v>Junee</v>
      </c>
      <c r="AO214">
        <f t="shared" si="17"/>
        <v>2014</v>
      </c>
      <c r="AP214" t="str">
        <f t="shared" si="18"/>
        <v>Hartog</v>
      </c>
      <c r="AQ214" t="str">
        <f t="shared" si="19"/>
        <v>Junee2014CvHartog</v>
      </c>
      <c r="AU214" t="s">
        <v>7</v>
      </c>
      <c r="AV214" s="3">
        <v>41834</v>
      </c>
      <c r="AW214" s="16">
        <v>3.1091263510296048</v>
      </c>
    </row>
    <row r="215" spans="1:55" x14ac:dyDescent="0.25">
      <c r="A215" s="14">
        <v>2014</v>
      </c>
      <c r="B215" s="14" t="s">
        <v>123</v>
      </c>
      <c r="C215" s="14" t="s">
        <v>124</v>
      </c>
      <c r="D215" s="14">
        <v>4</v>
      </c>
      <c r="E215" s="14">
        <v>3</v>
      </c>
      <c r="F215" s="14">
        <v>22</v>
      </c>
      <c r="G215" s="14">
        <v>2</v>
      </c>
      <c r="H215" s="14" t="s">
        <v>2</v>
      </c>
      <c r="I215" s="15">
        <v>41954</v>
      </c>
      <c r="J215" s="14" t="s">
        <v>129</v>
      </c>
      <c r="K215" s="21">
        <v>650</v>
      </c>
      <c r="L215" s="14">
        <v>174</v>
      </c>
      <c r="M215" s="14"/>
      <c r="N215" s="14">
        <v>423</v>
      </c>
      <c r="O215" s="14">
        <v>52</v>
      </c>
      <c r="P215" s="10"/>
      <c r="Q215" s="10"/>
      <c r="R215" s="10"/>
      <c r="T215" s="16"/>
      <c r="AD215" s="3">
        <v>41865</v>
      </c>
      <c r="AE215" s="16">
        <v>134.25</v>
      </c>
      <c r="AJ215">
        <v>5.4078750000000007</v>
      </c>
      <c r="AK215">
        <v>14.112399999999999</v>
      </c>
      <c r="AN215" t="str">
        <f t="shared" si="16"/>
        <v>Junee</v>
      </c>
      <c r="AO215">
        <f t="shared" si="17"/>
        <v>2014</v>
      </c>
      <c r="AP215" t="str">
        <f t="shared" si="18"/>
        <v>Hartog</v>
      </c>
      <c r="AQ215" t="str">
        <f t="shared" si="19"/>
        <v>Junee2014CvHartog</v>
      </c>
      <c r="AV215" s="3">
        <v>41865</v>
      </c>
      <c r="AW215" s="16">
        <v>15.628499608087784</v>
      </c>
      <c r="BB215">
        <v>0.70811547728224533</v>
      </c>
      <c r="BC215">
        <v>2.3321192651034548</v>
      </c>
    </row>
    <row r="216" spans="1:55" x14ac:dyDescent="0.25">
      <c r="A216" s="14">
        <v>2014</v>
      </c>
      <c r="B216" s="14" t="s">
        <v>123</v>
      </c>
      <c r="C216" s="14" t="s">
        <v>124</v>
      </c>
      <c r="D216" s="14">
        <v>4</v>
      </c>
      <c r="E216" s="14">
        <v>2</v>
      </c>
      <c r="F216" s="14">
        <v>23</v>
      </c>
      <c r="G216" s="14">
        <v>2</v>
      </c>
      <c r="H216" s="14" t="s">
        <v>13</v>
      </c>
      <c r="I216" s="15">
        <v>41954</v>
      </c>
      <c r="J216" s="14" t="s">
        <v>129</v>
      </c>
      <c r="K216" s="21">
        <v>474</v>
      </c>
      <c r="L216" s="14">
        <v>145</v>
      </c>
      <c r="M216" s="14"/>
      <c r="N216" s="14">
        <v>291</v>
      </c>
      <c r="O216" s="14">
        <v>37</v>
      </c>
      <c r="P216" s="10"/>
      <c r="Q216" s="10"/>
      <c r="R216" s="10"/>
      <c r="T216" s="16"/>
      <c r="AD216" s="3">
        <v>41900</v>
      </c>
      <c r="AE216" s="16">
        <v>484.25</v>
      </c>
      <c r="AN216" t="str">
        <f t="shared" si="16"/>
        <v>Junee</v>
      </c>
      <c r="AO216">
        <f t="shared" si="17"/>
        <v>2014</v>
      </c>
      <c r="AP216" t="str">
        <f t="shared" si="18"/>
        <v>Hartog</v>
      </c>
      <c r="AQ216" t="str">
        <f t="shared" si="19"/>
        <v>Junee2014CvHartog</v>
      </c>
      <c r="AV216" s="3">
        <v>41900</v>
      </c>
      <c r="AW216" s="16">
        <v>64.561985719152105</v>
      </c>
    </row>
    <row r="217" spans="1:55" x14ac:dyDescent="0.25">
      <c r="A217" s="14">
        <v>2014</v>
      </c>
      <c r="B217" s="14" t="s">
        <v>123</v>
      </c>
      <c r="C217" s="14" t="s">
        <v>124</v>
      </c>
      <c r="D217" s="14">
        <v>4</v>
      </c>
      <c r="E217" s="14">
        <v>1</v>
      </c>
      <c r="F217" s="14">
        <v>24</v>
      </c>
      <c r="G217" s="14">
        <v>2</v>
      </c>
      <c r="H217" s="14" t="s">
        <v>10</v>
      </c>
      <c r="I217" s="15">
        <v>41954</v>
      </c>
      <c r="J217" s="14" t="s">
        <v>129</v>
      </c>
      <c r="K217" s="21">
        <v>482</v>
      </c>
      <c r="L217" s="14">
        <v>131</v>
      </c>
      <c r="M217" s="14"/>
      <c r="N217" s="14">
        <v>299</v>
      </c>
      <c r="O217" s="14">
        <v>51</v>
      </c>
      <c r="P217" s="10"/>
      <c r="Q217" s="10"/>
      <c r="R217" s="10"/>
      <c r="T217" s="16"/>
      <c r="AD217" s="3">
        <v>41928</v>
      </c>
      <c r="AE217" s="16">
        <v>832.75</v>
      </c>
      <c r="AF217">
        <v>430.25</v>
      </c>
      <c r="AG217">
        <v>112.75</v>
      </c>
      <c r="AH217">
        <v>226.5</v>
      </c>
      <c r="AI217">
        <v>62.75</v>
      </c>
      <c r="AJ217">
        <v>12.8367</v>
      </c>
      <c r="AK217">
        <v>97.827399999999997</v>
      </c>
      <c r="AN217" t="str">
        <f t="shared" si="16"/>
        <v>Junee</v>
      </c>
      <c r="AO217">
        <f t="shared" si="17"/>
        <v>2014</v>
      </c>
      <c r="AP217" t="str">
        <f t="shared" si="18"/>
        <v>Hartog</v>
      </c>
      <c r="AQ217" t="str">
        <f t="shared" si="19"/>
        <v>Junee2014CvHartog</v>
      </c>
      <c r="AV217" s="3">
        <v>41928</v>
      </c>
      <c r="AW217" s="16">
        <v>33.420303210274241</v>
      </c>
      <c r="AX217">
        <v>14.545904349105742</v>
      </c>
      <c r="AY217">
        <v>12.038133853162901</v>
      </c>
      <c r="AZ217">
        <v>14.548768561863463</v>
      </c>
      <c r="BA217">
        <v>17.134273644754636</v>
      </c>
      <c r="BB217" t="e">
        <v>#DIV/0!</v>
      </c>
      <c r="BC217" t="e">
        <v>#DIV/0!</v>
      </c>
    </row>
    <row r="218" spans="1:55" x14ac:dyDescent="0.25">
      <c r="A218" s="14">
        <v>2014</v>
      </c>
      <c r="B218" s="14" t="s">
        <v>123</v>
      </c>
      <c r="C218" s="14" t="s">
        <v>124</v>
      </c>
      <c r="D218" s="14">
        <v>5</v>
      </c>
      <c r="E218" s="14">
        <v>1</v>
      </c>
      <c r="F218" s="14">
        <v>25</v>
      </c>
      <c r="G218" s="14">
        <v>3</v>
      </c>
      <c r="H218" s="14" t="s">
        <v>9</v>
      </c>
      <c r="I218" s="15">
        <v>41954</v>
      </c>
      <c r="J218" s="14" t="s">
        <v>129</v>
      </c>
      <c r="K218" s="21">
        <v>456</v>
      </c>
      <c r="L218" s="14">
        <v>142</v>
      </c>
      <c r="M218" s="14"/>
      <c r="N218" s="14">
        <v>260</v>
      </c>
      <c r="O218" s="14">
        <v>52</v>
      </c>
      <c r="P218" s="10"/>
      <c r="Q218" s="10"/>
      <c r="R218" s="10"/>
      <c r="T218" s="16"/>
      <c r="AD218" s="3">
        <v>41957</v>
      </c>
      <c r="AE218" s="16">
        <v>855.5</v>
      </c>
      <c r="AF218">
        <v>303.25</v>
      </c>
      <c r="AH218">
        <v>450.25</v>
      </c>
      <c r="AI218">
        <v>101.5</v>
      </c>
      <c r="AN218" t="str">
        <f t="shared" si="16"/>
        <v>Junee</v>
      </c>
      <c r="AO218">
        <f t="shared" si="17"/>
        <v>2014</v>
      </c>
      <c r="AP218" t="str">
        <f t="shared" si="18"/>
        <v>Hartog</v>
      </c>
      <c r="AQ218" t="str">
        <f t="shared" si="19"/>
        <v>Junee2014CvHartog</v>
      </c>
      <c r="AV218" s="3">
        <v>41957</v>
      </c>
      <c r="AW218" s="16">
        <v>32.766853170035517</v>
      </c>
      <c r="AX218">
        <v>17.036725037400821</v>
      </c>
      <c r="AZ218">
        <v>47.988713950955869</v>
      </c>
      <c r="BA218">
        <v>36.774085078127143</v>
      </c>
    </row>
    <row r="219" spans="1:55" x14ac:dyDescent="0.25">
      <c r="A219" s="14">
        <v>2014</v>
      </c>
      <c r="B219" s="14" t="s">
        <v>123</v>
      </c>
      <c r="C219" s="14" t="s">
        <v>124</v>
      </c>
      <c r="D219" s="14">
        <v>5</v>
      </c>
      <c r="E219" s="14">
        <v>2</v>
      </c>
      <c r="F219" s="14">
        <v>26</v>
      </c>
      <c r="G219" s="14">
        <v>3</v>
      </c>
      <c r="H219" s="14" t="s">
        <v>6</v>
      </c>
      <c r="I219" s="15">
        <v>41954</v>
      </c>
      <c r="J219" s="14" t="s">
        <v>129</v>
      </c>
      <c r="K219" s="21">
        <v>401</v>
      </c>
      <c r="L219" s="14">
        <v>120</v>
      </c>
      <c r="M219" s="14"/>
      <c r="N219" s="14">
        <v>245</v>
      </c>
      <c r="O219" s="14">
        <v>32</v>
      </c>
      <c r="P219" s="10"/>
      <c r="Q219" s="10"/>
      <c r="R219" s="10"/>
      <c r="T219" s="16"/>
      <c r="AC219" t="s">
        <v>2</v>
      </c>
      <c r="AD219" s="3">
        <v>41834</v>
      </c>
      <c r="AE219" s="16">
        <v>32.25</v>
      </c>
      <c r="AN219" t="str">
        <f t="shared" si="16"/>
        <v>Junee</v>
      </c>
      <c r="AO219">
        <f t="shared" si="17"/>
        <v>2014</v>
      </c>
      <c r="AP219" t="str">
        <f t="shared" si="18"/>
        <v>Mace</v>
      </c>
      <c r="AQ219" t="str">
        <f t="shared" si="19"/>
        <v>Junee2014CvMace</v>
      </c>
      <c r="AU219" t="s">
        <v>2</v>
      </c>
      <c r="AV219" s="3">
        <v>41834</v>
      </c>
      <c r="AW219" s="16">
        <v>8.6938675704966499</v>
      </c>
    </row>
    <row r="220" spans="1:55" x14ac:dyDescent="0.25">
      <c r="A220" s="14">
        <v>2014</v>
      </c>
      <c r="B220" s="14" t="s">
        <v>123</v>
      </c>
      <c r="C220" s="14" t="s">
        <v>124</v>
      </c>
      <c r="D220" s="14">
        <v>5</v>
      </c>
      <c r="E220" s="14">
        <v>3</v>
      </c>
      <c r="F220" s="14">
        <v>27</v>
      </c>
      <c r="G220" s="14">
        <v>3</v>
      </c>
      <c r="H220" s="14" t="s">
        <v>2</v>
      </c>
      <c r="I220" s="15">
        <v>41954</v>
      </c>
      <c r="J220" s="14" t="s">
        <v>129</v>
      </c>
      <c r="K220" s="21">
        <v>615</v>
      </c>
      <c r="L220" s="14">
        <v>166</v>
      </c>
      <c r="M220" s="14"/>
      <c r="N220" s="14">
        <v>397</v>
      </c>
      <c r="O220" s="14">
        <v>49</v>
      </c>
      <c r="P220" s="10"/>
      <c r="Q220" s="10"/>
      <c r="R220" s="10"/>
      <c r="T220" s="16"/>
      <c r="AD220" s="3">
        <v>41865</v>
      </c>
      <c r="AE220" s="16">
        <v>174.25</v>
      </c>
      <c r="AJ220">
        <v>6.7975500000000002</v>
      </c>
      <c r="AK220">
        <v>20.281874999999999</v>
      </c>
      <c r="AN220" t="str">
        <f t="shared" si="16"/>
        <v>Junee</v>
      </c>
      <c r="AO220">
        <f t="shared" si="17"/>
        <v>2014</v>
      </c>
      <c r="AP220" t="str">
        <f t="shared" si="18"/>
        <v>Mace</v>
      </c>
      <c r="AQ220" t="str">
        <f t="shared" si="19"/>
        <v>Junee2014CvMace</v>
      </c>
      <c r="AV220" s="3">
        <v>41865</v>
      </c>
      <c r="AW220" s="16">
        <v>25.630385612913955</v>
      </c>
      <c r="BB220">
        <v>0.93698179811563354</v>
      </c>
      <c r="BC220">
        <v>2.7834033452771494</v>
      </c>
    </row>
    <row r="221" spans="1:55" x14ac:dyDescent="0.25">
      <c r="A221" s="14">
        <v>2014</v>
      </c>
      <c r="B221" s="14" t="s">
        <v>123</v>
      </c>
      <c r="C221" s="14" t="s">
        <v>124</v>
      </c>
      <c r="D221" s="14">
        <v>5</v>
      </c>
      <c r="E221" s="14">
        <v>4</v>
      </c>
      <c r="F221" s="14">
        <v>28</v>
      </c>
      <c r="G221" s="14">
        <v>3</v>
      </c>
      <c r="H221" s="14" t="s">
        <v>14</v>
      </c>
      <c r="I221" s="15">
        <v>41954</v>
      </c>
      <c r="J221" s="14" t="s">
        <v>129</v>
      </c>
      <c r="K221" s="21">
        <v>435</v>
      </c>
      <c r="L221" s="14">
        <v>124</v>
      </c>
      <c r="M221" s="14"/>
      <c r="N221" s="14">
        <v>271</v>
      </c>
      <c r="O221" s="14">
        <v>39</v>
      </c>
      <c r="P221" s="10"/>
      <c r="Q221" s="10"/>
      <c r="R221" s="10"/>
      <c r="T221" s="16"/>
      <c r="AD221" s="3">
        <v>41900</v>
      </c>
      <c r="AE221" s="16">
        <v>586.25</v>
      </c>
      <c r="AN221" t="str">
        <f t="shared" si="16"/>
        <v>Junee</v>
      </c>
      <c r="AO221">
        <f t="shared" si="17"/>
        <v>2014</v>
      </c>
      <c r="AP221" t="str">
        <f t="shared" si="18"/>
        <v>Mace</v>
      </c>
      <c r="AQ221" t="str">
        <f t="shared" si="19"/>
        <v>Junee2014CvMace</v>
      </c>
      <c r="AV221" s="3">
        <v>41900</v>
      </c>
      <c r="AW221" s="16">
        <v>70.980631160901922</v>
      </c>
    </row>
    <row r="222" spans="1:55" x14ac:dyDescent="0.25">
      <c r="A222" s="14">
        <v>2014</v>
      </c>
      <c r="B222" s="14" t="s">
        <v>123</v>
      </c>
      <c r="C222" s="14" t="s">
        <v>124</v>
      </c>
      <c r="D222" s="14">
        <v>5</v>
      </c>
      <c r="E222" s="14">
        <v>5</v>
      </c>
      <c r="F222" s="14">
        <v>29</v>
      </c>
      <c r="G222" s="14">
        <v>3</v>
      </c>
      <c r="H222" s="14" t="s">
        <v>8</v>
      </c>
      <c r="I222" s="15">
        <v>41954</v>
      </c>
      <c r="J222" s="14" t="s">
        <v>129</v>
      </c>
      <c r="K222" s="21">
        <v>683</v>
      </c>
      <c r="L222" s="14">
        <v>208</v>
      </c>
      <c r="M222" s="14"/>
      <c r="N222" s="14">
        <v>412</v>
      </c>
      <c r="O222" s="14">
        <v>63</v>
      </c>
      <c r="P222" s="10"/>
      <c r="Q222" s="10"/>
      <c r="R222" s="10"/>
      <c r="T222" s="16"/>
      <c r="AD222" s="3">
        <v>41921</v>
      </c>
      <c r="AE222" s="16">
        <v>892.25</v>
      </c>
      <c r="AF222">
        <v>490.5</v>
      </c>
      <c r="AG222">
        <v>103.25</v>
      </c>
      <c r="AH222">
        <v>220.5</v>
      </c>
      <c r="AI222">
        <v>78</v>
      </c>
      <c r="AJ222">
        <v>10.625700000000002</v>
      </c>
      <c r="AK222">
        <v>81.331050000000005</v>
      </c>
      <c r="AN222" t="str">
        <f t="shared" si="16"/>
        <v>Junee</v>
      </c>
      <c r="AO222">
        <f t="shared" si="17"/>
        <v>2014</v>
      </c>
      <c r="AP222" t="str">
        <f t="shared" si="18"/>
        <v>Mace</v>
      </c>
      <c r="AQ222" t="str">
        <f t="shared" si="19"/>
        <v>Junee2014CvMace</v>
      </c>
      <c r="AV222" s="3">
        <v>41921</v>
      </c>
      <c r="AW222" s="16">
        <v>97.404226465453405</v>
      </c>
      <c r="AX222">
        <v>55.842039122271792</v>
      </c>
      <c r="AY222">
        <v>9.6393291606141691</v>
      </c>
      <c r="AZ222">
        <v>19.891371663780923</v>
      </c>
      <c r="BA222">
        <v>27.748873851023216</v>
      </c>
      <c r="BB222">
        <v>0.29953043251060102</v>
      </c>
      <c r="BC222">
        <v>6.6119433788411994</v>
      </c>
    </row>
    <row r="223" spans="1:55" x14ac:dyDescent="0.25">
      <c r="A223" s="14">
        <v>2014</v>
      </c>
      <c r="B223" s="14" t="s">
        <v>123</v>
      </c>
      <c r="C223" s="14" t="s">
        <v>124</v>
      </c>
      <c r="D223" s="14">
        <v>5</v>
      </c>
      <c r="E223" s="14">
        <v>6</v>
      </c>
      <c r="F223" s="14">
        <v>30</v>
      </c>
      <c r="G223" s="14">
        <v>3</v>
      </c>
      <c r="H223" s="14" t="s">
        <v>12</v>
      </c>
      <c r="I223" s="15">
        <v>41954</v>
      </c>
      <c r="J223" s="14" t="s">
        <v>129</v>
      </c>
      <c r="K223" s="21">
        <v>516</v>
      </c>
      <c r="L223" s="14">
        <v>164</v>
      </c>
      <c r="M223" s="14"/>
      <c r="N223" s="14">
        <v>331</v>
      </c>
      <c r="O223" s="14">
        <v>52</v>
      </c>
      <c r="P223" s="10"/>
      <c r="Q223" s="10"/>
      <c r="R223" s="10"/>
      <c r="T223" s="16"/>
      <c r="AD223" s="3">
        <v>41957</v>
      </c>
      <c r="AE223" s="16">
        <v>1034.5</v>
      </c>
      <c r="AF223">
        <v>333.5</v>
      </c>
      <c r="AH223">
        <v>593.25</v>
      </c>
      <c r="AI223">
        <v>107.5</v>
      </c>
      <c r="AN223" t="str">
        <f t="shared" si="16"/>
        <v>Junee</v>
      </c>
      <c r="AO223">
        <f t="shared" si="17"/>
        <v>2014</v>
      </c>
      <c r="AP223" t="str">
        <f t="shared" si="18"/>
        <v>Mace</v>
      </c>
      <c r="AQ223" t="str">
        <f t="shared" si="19"/>
        <v>Junee2014CvMace</v>
      </c>
      <c r="AV223" s="3">
        <v>41957</v>
      </c>
      <c r="AW223" s="16">
        <v>37.775653535048207</v>
      </c>
      <c r="AX223">
        <v>30.336996115853879</v>
      </c>
      <c r="AZ223">
        <v>47.751963310423164</v>
      </c>
      <c r="BA223">
        <v>34.161381705077446</v>
      </c>
    </row>
    <row r="224" spans="1:55" x14ac:dyDescent="0.25">
      <c r="A224" s="14">
        <v>2014</v>
      </c>
      <c r="B224" s="14" t="s">
        <v>123</v>
      </c>
      <c r="C224" s="14" t="s">
        <v>124</v>
      </c>
      <c r="D224" s="14">
        <v>6</v>
      </c>
      <c r="E224" s="14">
        <v>6</v>
      </c>
      <c r="F224" s="14">
        <v>31</v>
      </c>
      <c r="G224" s="14">
        <v>3</v>
      </c>
      <c r="H224" s="14" t="s">
        <v>5</v>
      </c>
      <c r="I224" s="15">
        <v>41954</v>
      </c>
      <c r="J224" s="14" t="s">
        <v>129</v>
      </c>
      <c r="K224" s="21">
        <v>476</v>
      </c>
      <c r="L224" s="14">
        <v>131</v>
      </c>
      <c r="M224" s="14"/>
      <c r="N224" s="14">
        <v>296</v>
      </c>
      <c r="O224" s="14">
        <v>45</v>
      </c>
      <c r="P224" s="10"/>
      <c r="Q224" s="10"/>
      <c r="R224" s="10"/>
      <c r="T224" s="16"/>
      <c r="AC224" t="s">
        <v>3</v>
      </c>
      <c r="AD224" s="3">
        <v>41834</v>
      </c>
      <c r="AE224" s="16">
        <v>29.5</v>
      </c>
      <c r="AN224" t="str">
        <f t="shared" si="16"/>
        <v>Junee</v>
      </c>
      <c r="AO224">
        <f t="shared" si="17"/>
        <v>2014</v>
      </c>
      <c r="AP224" t="str">
        <f t="shared" si="18"/>
        <v>Scout</v>
      </c>
      <c r="AQ224" t="str">
        <f t="shared" si="19"/>
        <v>Junee2014CvScout</v>
      </c>
      <c r="AU224" t="s">
        <v>3</v>
      </c>
      <c r="AV224" s="3">
        <v>41834</v>
      </c>
      <c r="AW224" s="16">
        <v>3.3166247903553998</v>
      </c>
    </row>
    <row r="225" spans="1:55" x14ac:dyDescent="0.25">
      <c r="A225" s="14">
        <v>2014</v>
      </c>
      <c r="B225" s="14" t="s">
        <v>123</v>
      </c>
      <c r="C225" s="14" t="s">
        <v>124</v>
      </c>
      <c r="D225" s="14">
        <v>6</v>
      </c>
      <c r="E225" s="14">
        <v>5</v>
      </c>
      <c r="F225" s="14">
        <v>32</v>
      </c>
      <c r="G225" s="14">
        <v>3</v>
      </c>
      <c r="H225" s="14" t="s">
        <v>7</v>
      </c>
      <c r="I225" s="15">
        <v>41954</v>
      </c>
      <c r="J225" s="14" t="s">
        <v>129</v>
      </c>
      <c r="K225" s="21">
        <v>459</v>
      </c>
      <c r="L225" s="14">
        <v>136</v>
      </c>
      <c r="M225" s="14"/>
      <c r="N225" s="14">
        <v>281</v>
      </c>
      <c r="O225" s="14">
        <v>35</v>
      </c>
      <c r="P225" s="10"/>
      <c r="Q225" s="10"/>
      <c r="R225" s="10"/>
      <c r="T225" s="16"/>
      <c r="AD225" s="3">
        <v>41865</v>
      </c>
      <c r="AE225" s="16">
        <v>141</v>
      </c>
      <c r="AJ225">
        <v>6.7191000000000001</v>
      </c>
      <c r="AK225">
        <v>14.434899999999999</v>
      </c>
      <c r="AN225" t="str">
        <f t="shared" si="16"/>
        <v>Junee</v>
      </c>
      <c r="AO225">
        <f t="shared" si="17"/>
        <v>2014</v>
      </c>
      <c r="AP225" t="str">
        <f t="shared" si="18"/>
        <v>Scout</v>
      </c>
      <c r="AQ225" t="str">
        <f t="shared" si="19"/>
        <v>Junee2014CvScout</v>
      </c>
      <c r="AV225" s="3">
        <v>41865</v>
      </c>
      <c r="AW225" s="16">
        <v>28.106938645110393</v>
      </c>
      <c r="BB225">
        <v>1.4783405257247046</v>
      </c>
      <c r="BC225">
        <v>0.97401612409651472</v>
      </c>
    </row>
    <row r="226" spans="1:55" x14ac:dyDescent="0.25">
      <c r="A226" s="14">
        <v>2014</v>
      </c>
      <c r="B226" s="14" t="s">
        <v>123</v>
      </c>
      <c r="C226" s="14" t="s">
        <v>124</v>
      </c>
      <c r="D226" s="14">
        <v>6</v>
      </c>
      <c r="E226" s="14">
        <v>4</v>
      </c>
      <c r="F226" s="14">
        <v>33</v>
      </c>
      <c r="G226" s="14">
        <v>3</v>
      </c>
      <c r="H226" s="14" t="s">
        <v>13</v>
      </c>
      <c r="I226" s="15">
        <v>41954</v>
      </c>
      <c r="J226" s="14" t="s">
        <v>129</v>
      </c>
      <c r="K226" s="21">
        <v>416</v>
      </c>
      <c r="L226" s="14">
        <v>118</v>
      </c>
      <c r="M226" s="14"/>
      <c r="N226" s="14">
        <v>253</v>
      </c>
      <c r="O226" s="14">
        <v>42</v>
      </c>
      <c r="P226" s="10"/>
      <c r="Q226" s="10"/>
      <c r="R226" s="10"/>
      <c r="T226" s="16"/>
      <c r="AD226" s="3">
        <v>41900</v>
      </c>
      <c r="AE226" s="16">
        <v>483</v>
      </c>
      <c r="AN226" t="str">
        <f t="shared" si="16"/>
        <v>Junee</v>
      </c>
      <c r="AO226">
        <f t="shared" si="17"/>
        <v>2014</v>
      </c>
      <c r="AP226" t="str">
        <f t="shared" si="18"/>
        <v>Scout</v>
      </c>
      <c r="AQ226" t="str">
        <f t="shared" si="19"/>
        <v>Junee2014CvScout</v>
      </c>
      <c r="AV226" s="3">
        <v>41900</v>
      </c>
      <c r="AW226" s="16">
        <v>29.518355871107275</v>
      </c>
    </row>
    <row r="227" spans="1:55" x14ac:dyDescent="0.25">
      <c r="A227" s="14">
        <v>2014</v>
      </c>
      <c r="B227" s="14" t="s">
        <v>123</v>
      </c>
      <c r="C227" s="14" t="s">
        <v>124</v>
      </c>
      <c r="D227" s="14">
        <v>6</v>
      </c>
      <c r="E227" s="14">
        <v>3</v>
      </c>
      <c r="F227" s="14">
        <v>34</v>
      </c>
      <c r="G227" s="14">
        <v>3</v>
      </c>
      <c r="H227" s="14" t="s">
        <v>4</v>
      </c>
      <c r="I227" s="15">
        <v>41954</v>
      </c>
      <c r="J227" s="14" t="s">
        <v>129</v>
      </c>
      <c r="K227" s="21">
        <v>494</v>
      </c>
      <c r="L227" s="14">
        <v>141</v>
      </c>
      <c r="M227" s="14"/>
      <c r="N227" s="14">
        <v>289</v>
      </c>
      <c r="O227" s="14">
        <v>54</v>
      </c>
      <c r="P227" s="10"/>
      <c r="Q227" s="10"/>
      <c r="R227" s="10"/>
      <c r="T227" s="16"/>
      <c r="AD227" s="3">
        <v>41921</v>
      </c>
      <c r="AE227" s="16">
        <v>855</v>
      </c>
      <c r="AF227">
        <v>465.75</v>
      </c>
      <c r="AG227">
        <v>139</v>
      </c>
      <c r="AH227">
        <v>185.5</v>
      </c>
      <c r="AI227">
        <v>65.25</v>
      </c>
      <c r="AJ227">
        <v>15.665649999999999</v>
      </c>
      <c r="AK227">
        <v>82.141199999999998</v>
      </c>
      <c r="AN227" t="str">
        <f t="shared" si="16"/>
        <v>Junee</v>
      </c>
      <c r="AO227">
        <f t="shared" si="17"/>
        <v>2014</v>
      </c>
      <c r="AP227" t="str">
        <f t="shared" si="18"/>
        <v>Scout</v>
      </c>
      <c r="AQ227" t="str">
        <f t="shared" si="19"/>
        <v>Junee2014CvScout</v>
      </c>
      <c r="AV227" s="3">
        <v>41921</v>
      </c>
      <c r="AW227" s="16">
        <v>31.101982787811671</v>
      </c>
      <c r="AX227">
        <v>17.134273644754636</v>
      </c>
      <c r="AY227">
        <v>22.553639765383029</v>
      </c>
      <c r="AZ227">
        <v>15.588457268119896</v>
      </c>
      <c r="BA227">
        <v>7.7620873481300121</v>
      </c>
      <c r="BB227">
        <v>1.6378714372623906</v>
      </c>
      <c r="BC227">
        <v>13.265888900484692</v>
      </c>
    </row>
    <row r="228" spans="1:55" x14ac:dyDescent="0.25">
      <c r="A228" s="14">
        <v>2014</v>
      </c>
      <c r="B228" s="14" t="s">
        <v>123</v>
      </c>
      <c r="C228" s="14" t="s">
        <v>124</v>
      </c>
      <c r="D228" s="14">
        <v>6</v>
      </c>
      <c r="E228" s="14">
        <v>2</v>
      </c>
      <c r="F228" s="14">
        <v>35</v>
      </c>
      <c r="G228" s="14">
        <v>3</v>
      </c>
      <c r="H228" s="14" t="s">
        <v>10</v>
      </c>
      <c r="I228" s="15">
        <v>41954</v>
      </c>
      <c r="J228" s="14" t="s">
        <v>129</v>
      </c>
      <c r="K228" s="21">
        <v>514</v>
      </c>
      <c r="L228" s="14">
        <v>138</v>
      </c>
      <c r="M228" s="14"/>
      <c r="N228" s="14">
        <v>331</v>
      </c>
      <c r="O228" s="14">
        <v>44</v>
      </c>
      <c r="P228" s="10"/>
      <c r="Q228" s="10"/>
      <c r="R228" s="10"/>
      <c r="T228" s="16"/>
      <c r="AD228" s="3">
        <v>41957</v>
      </c>
      <c r="AE228" s="16">
        <v>964.5</v>
      </c>
      <c r="AF228">
        <v>317.75</v>
      </c>
      <c r="AH228">
        <v>546.75</v>
      </c>
      <c r="AI228">
        <v>100</v>
      </c>
      <c r="AN228" t="str">
        <f t="shared" si="16"/>
        <v>Junee</v>
      </c>
      <c r="AO228">
        <f t="shared" si="17"/>
        <v>2014</v>
      </c>
      <c r="AP228" t="str">
        <f t="shared" si="18"/>
        <v>Scout</v>
      </c>
      <c r="AQ228" t="str">
        <f t="shared" si="19"/>
        <v>Junee2014CvScout</v>
      </c>
      <c r="AV228" s="3">
        <v>41957</v>
      </c>
      <c r="AW228" s="16">
        <v>17.233687939614086</v>
      </c>
      <c r="AX228">
        <v>27.944886234634534</v>
      </c>
      <c r="AZ228">
        <v>49.284040689321188</v>
      </c>
      <c r="BA228">
        <v>36.715119501371639</v>
      </c>
    </row>
    <row r="229" spans="1:55" x14ac:dyDescent="0.25">
      <c r="A229" s="14">
        <v>2014</v>
      </c>
      <c r="B229" s="14" t="s">
        <v>123</v>
      </c>
      <c r="C229" s="14" t="s">
        <v>124</v>
      </c>
      <c r="D229" s="14">
        <v>6</v>
      </c>
      <c r="E229" s="14">
        <v>1</v>
      </c>
      <c r="F229" s="14">
        <v>36</v>
      </c>
      <c r="G229" s="14">
        <v>3</v>
      </c>
      <c r="H229" s="14" t="s">
        <v>3</v>
      </c>
      <c r="I229" s="15">
        <v>41954</v>
      </c>
      <c r="J229" s="14" t="s">
        <v>129</v>
      </c>
      <c r="K229" s="21">
        <v>612</v>
      </c>
      <c r="L229" s="14">
        <v>165</v>
      </c>
      <c r="M229" s="14"/>
      <c r="N229" s="14">
        <v>374</v>
      </c>
      <c r="O229" s="14">
        <v>65</v>
      </c>
      <c r="P229" s="10"/>
      <c r="Q229" s="10"/>
      <c r="R229" s="10"/>
      <c r="T229" s="16"/>
      <c r="AC229" t="s">
        <v>5</v>
      </c>
      <c r="AD229" s="3">
        <v>41834</v>
      </c>
      <c r="AE229" s="16">
        <v>24.75</v>
      </c>
      <c r="AN229" t="str">
        <f t="shared" si="16"/>
        <v>Junee</v>
      </c>
      <c r="AO229">
        <f t="shared" si="17"/>
        <v>2014</v>
      </c>
      <c r="AP229" t="str">
        <f t="shared" si="18"/>
        <v>Spitfire</v>
      </c>
      <c r="AQ229" t="str">
        <f t="shared" si="19"/>
        <v>Junee2014CvSpitfire</v>
      </c>
      <c r="AU229" t="s">
        <v>5</v>
      </c>
      <c r="AV229" s="3">
        <v>41834</v>
      </c>
      <c r="AW229" s="16">
        <v>4.7871355387816905</v>
      </c>
    </row>
    <row r="230" spans="1:55" x14ac:dyDescent="0.25">
      <c r="A230" s="14">
        <v>2014</v>
      </c>
      <c r="B230" s="14" t="s">
        <v>123</v>
      </c>
      <c r="C230" s="14" t="s">
        <v>124</v>
      </c>
      <c r="D230" s="14">
        <v>7</v>
      </c>
      <c r="E230" s="14">
        <v>1</v>
      </c>
      <c r="F230" s="14">
        <v>37</v>
      </c>
      <c r="G230" s="14">
        <v>4</v>
      </c>
      <c r="H230" s="14" t="s">
        <v>13</v>
      </c>
      <c r="I230" s="15">
        <v>41954</v>
      </c>
      <c r="J230" s="14" t="s">
        <v>129</v>
      </c>
      <c r="K230" s="21">
        <v>426</v>
      </c>
      <c r="L230" s="14">
        <v>121</v>
      </c>
      <c r="M230" s="14"/>
      <c r="N230" s="14">
        <v>270</v>
      </c>
      <c r="O230" s="14">
        <v>35</v>
      </c>
      <c r="P230" s="10"/>
      <c r="Q230" s="10"/>
      <c r="R230" s="10"/>
      <c r="T230" s="16"/>
      <c r="AD230" s="3">
        <v>41865</v>
      </c>
      <c r="AE230" s="16">
        <v>126.5</v>
      </c>
      <c r="AJ230">
        <v>5.2389749999999999</v>
      </c>
      <c r="AK230">
        <v>14.299675000000001</v>
      </c>
      <c r="AN230" t="str">
        <f t="shared" si="16"/>
        <v>Junee</v>
      </c>
      <c r="AO230">
        <f t="shared" si="17"/>
        <v>2014</v>
      </c>
      <c r="AP230" t="str">
        <f t="shared" si="18"/>
        <v>Spitfire</v>
      </c>
      <c r="AQ230" t="str">
        <f t="shared" si="19"/>
        <v>Junee2014CvSpitfire</v>
      </c>
      <c r="AV230" s="3">
        <v>41865</v>
      </c>
      <c r="AW230" s="16">
        <v>6.757711644237764</v>
      </c>
      <c r="BB230">
        <v>0.38155097846377511</v>
      </c>
      <c r="BC230">
        <v>1.0848885637858374</v>
      </c>
    </row>
    <row r="231" spans="1:55" x14ac:dyDescent="0.25">
      <c r="A231" s="14">
        <v>2014</v>
      </c>
      <c r="B231" s="14" t="s">
        <v>123</v>
      </c>
      <c r="C231" s="14" t="s">
        <v>124</v>
      </c>
      <c r="D231" s="14">
        <v>7</v>
      </c>
      <c r="E231" s="14">
        <v>2</v>
      </c>
      <c r="F231" s="14">
        <v>38</v>
      </c>
      <c r="G231" s="14">
        <v>4</v>
      </c>
      <c r="H231" s="14" t="s">
        <v>5</v>
      </c>
      <c r="I231" s="15">
        <v>41954</v>
      </c>
      <c r="J231" s="14" t="s">
        <v>129</v>
      </c>
      <c r="K231" s="21">
        <v>500</v>
      </c>
      <c r="L231" s="14">
        <v>138</v>
      </c>
      <c r="M231" s="14"/>
      <c r="N231" s="14">
        <v>303</v>
      </c>
      <c r="O231" s="14">
        <v>50</v>
      </c>
      <c r="P231" s="10"/>
      <c r="Q231" s="10"/>
      <c r="R231" s="10"/>
      <c r="T231" s="16"/>
      <c r="AD231" s="3">
        <v>41900</v>
      </c>
      <c r="AE231" s="16">
        <v>421.25</v>
      </c>
      <c r="AN231" t="str">
        <f t="shared" si="16"/>
        <v>Junee</v>
      </c>
      <c r="AO231">
        <f t="shared" si="17"/>
        <v>2014</v>
      </c>
      <c r="AP231" t="str">
        <f t="shared" si="18"/>
        <v>Spitfire</v>
      </c>
      <c r="AQ231" t="str">
        <f t="shared" si="19"/>
        <v>Junee2014CvSpitfire</v>
      </c>
      <c r="AV231" s="3">
        <v>41900</v>
      </c>
      <c r="AW231" s="16">
        <v>36.563871056914458</v>
      </c>
    </row>
    <row r="232" spans="1:55" x14ac:dyDescent="0.25">
      <c r="A232" s="14">
        <v>2014</v>
      </c>
      <c r="B232" s="14" t="s">
        <v>123</v>
      </c>
      <c r="C232" s="14" t="s">
        <v>124</v>
      </c>
      <c r="D232" s="14">
        <v>7</v>
      </c>
      <c r="E232" s="14">
        <v>3</v>
      </c>
      <c r="F232" s="14">
        <v>39</v>
      </c>
      <c r="G232" s="14">
        <v>4</v>
      </c>
      <c r="H232" s="14" t="s">
        <v>3</v>
      </c>
      <c r="I232" s="15">
        <v>41954</v>
      </c>
      <c r="J232" s="14" t="s">
        <v>129</v>
      </c>
      <c r="K232" s="21">
        <v>821</v>
      </c>
      <c r="L232" s="14">
        <v>218</v>
      </c>
      <c r="M232" s="14"/>
      <c r="N232" s="14">
        <v>505</v>
      </c>
      <c r="O232" s="14">
        <v>87</v>
      </c>
      <c r="P232" s="10"/>
      <c r="Q232" s="10"/>
      <c r="R232" s="10"/>
      <c r="T232" s="16"/>
      <c r="AD232" s="3">
        <v>41921</v>
      </c>
      <c r="AE232" s="16">
        <v>743.5</v>
      </c>
      <c r="AF232">
        <v>365.25</v>
      </c>
      <c r="AG232">
        <v>118.5</v>
      </c>
      <c r="AH232">
        <v>193.75</v>
      </c>
      <c r="AI232">
        <v>66</v>
      </c>
      <c r="AJ232">
        <v>10.9475</v>
      </c>
      <c r="AK232">
        <v>76.783500000000004</v>
      </c>
      <c r="AN232" t="str">
        <f t="shared" si="16"/>
        <v>Junee</v>
      </c>
      <c r="AO232">
        <f t="shared" si="17"/>
        <v>2014</v>
      </c>
      <c r="AP232" t="str">
        <f t="shared" si="18"/>
        <v>Spitfire</v>
      </c>
      <c r="AQ232" t="str">
        <f t="shared" si="19"/>
        <v>Junee2014CvSpitfire</v>
      </c>
      <c r="AV232" s="3">
        <v>41921</v>
      </c>
      <c r="AW232" s="16">
        <v>47.920072342738941</v>
      </c>
      <c r="AX232">
        <v>19.137659209004639</v>
      </c>
      <c r="AY232">
        <v>5.5677643628300215</v>
      </c>
      <c r="AZ232">
        <v>16.680827317612277</v>
      </c>
      <c r="BA232">
        <v>26.242459234352765</v>
      </c>
      <c r="BB232" t="e">
        <v>#DIV/0!</v>
      </c>
      <c r="BC232" t="e">
        <v>#DIV/0!</v>
      </c>
    </row>
    <row r="233" spans="1:55" x14ac:dyDescent="0.25">
      <c r="A233" s="14">
        <v>2014</v>
      </c>
      <c r="B233" s="14" t="s">
        <v>123</v>
      </c>
      <c r="C233" s="14" t="s">
        <v>124</v>
      </c>
      <c r="D233" s="14">
        <v>7</v>
      </c>
      <c r="E233" s="14">
        <v>4</v>
      </c>
      <c r="F233" s="14">
        <v>40</v>
      </c>
      <c r="G233" s="14">
        <v>4</v>
      </c>
      <c r="H233" s="14" t="s">
        <v>7</v>
      </c>
      <c r="I233" s="15">
        <v>41954</v>
      </c>
      <c r="J233" s="14" t="s">
        <v>129</v>
      </c>
      <c r="K233" s="21">
        <v>421</v>
      </c>
      <c r="L233" s="14">
        <v>122</v>
      </c>
      <c r="M233" s="14"/>
      <c r="N233" s="14">
        <v>256</v>
      </c>
      <c r="O233" s="14">
        <v>43</v>
      </c>
      <c r="P233" s="10"/>
      <c r="Q233" s="10"/>
      <c r="R233" s="10"/>
      <c r="T233" s="16"/>
      <c r="AD233" s="3">
        <v>41957</v>
      </c>
      <c r="AE233" s="16">
        <v>885.75</v>
      </c>
      <c r="AF233">
        <v>284</v>
      </c>
      <c r="AH233">
        <v>521.25</v>
      </c>
      <c r="AI233">
        <v>80.5</v>
      </c>
      <c r="AN233" t="str">
        <f t="shared" si="16"/>
        <v>Junee</v>
      </c>
      <c r="AO233">
        <f t="shared" si="17"/>
        <v>2014</v>
      </c>
      <c r="AP233" t="str">
        <f t="shared" si="18"/>
        <v>Spitfire</v>
      </c>
      <c r="AQ233" t="str">
        <f t="shared" si="19"/>
        <v>Junee2014CvSpitfire</v>
      </c>
      <c r="AV233" s="3">
        <v>41957</v>
      </c>
      <c r="AW233" s="16">
        <v>76.049873986308043</v>
      </c>
      <c r="AX233">
        <v>28.589042189855423</v>
      </c>
      <c r="AZ233">
        <v>61.548761157313315</v>
      </c>
      <c r="BA233">
        <v>46.234907447367803</v>
      </c>
    </row>
    <row r="234" spans="1:55" x14ac:dyDescent="0.25">
      <c r="A234" s="14">
        <v>2014</v>
      </c>
      <c r="B234" s="14" t="s">
        <v>123</v>
      </c>
      <c r="C234" s="14" t="s">
        <v>124</v>
      </c>
      <c r="D234" s="14">
        <v>7</v>
      </c>
      <c r="E234" s="14">
        <v>5</v>
      </c>
      <c r="F234" s="14">
        <v>41</v>
      </c>
      <c r="G234" s="14">
        <v>4</v>
      </c>
      <c r="H234" s="14" t="s">
        <v>9</v>
      </c>
      <c r="I234" s="15">
        <v>41954</v>
      </c>
      <c r="J234" s="14" t="s">
        <v>129</v>
      </c>
      <c r="K234" s="21">
        <v>630</v>
      </c>
      <c r="L234" s="14">
        <v>205</v>
      </c>
      <c r="M234" s="14"/>
      <c r="N234" s="14">
        <v>377</v>
      </c>
      <c r="O234" s="14">
        <v>43</v>
      </c>
      <c r="P234" s="10"/>
      <c r="Q234" s="10"/>
      <c r="R234" s="10"/>
      <c r="T234" s="16"/>
      <c r="AC234" t="s">
        <v>9</v>
      </c>
      <c r="AD234" s="3">
        <v>41834</v>
      </c>
      <c r="AE234" s="16">
        <v>36</v>
      </c>
      <c r="AN234" t="str">
        <f t="shared" si="16"/>
        <v>Junee</v>
      </c>
      <c r="AO234">
        <f t="shared" si="17"/>
        <v>2014</v>
      </c>
      <c r="AP234" t="str">
        <f t="shared" si="18"/>
        <v>Sunbee</v>
      </c>
      <c r="AQ234" t="str">
        <f t="shared" si="19"/>
        <v>Junee2014CvSunbee</v>
      </c>
      <c r="AU234" t="s">
        <v>9</v>
      </c>
      <c r="AV234" s="3">
        <v>41834</v>
      </c>
      <c r="AW234" s="16">
        <v>2.9439202887759488</v>
      </c>
    </row>
    <row r="235" spans="1:55" x14ac:dyDescent="0.25">
      <c r="A235" s="14">
        <v>2014</v>
      </c>
      <c r="B235" s="14" t="s">
        <v>123</v>
      </c>
      <c r="C235" s="14" t="s">
        <v>124</v>
      </c>
      <c r="D235" s="14">
        <v>7</v>
      </c>
      <c r="E235" s="14">
        <v>6</v>
      </c>
      <c r="F235" s="14">
        <v>42</v>
      </c>
      <c r="G235" s="14">
        <v>4</v>
      </c>
      <c r="H235" s="14" t="s">
        <v>8</v>
      </c>
      <c r="I235" s="15">
        <v>41954</v>
      </c>
      <c r="J235" s="14" t="s">
        <v>129</v>
      </c>
      <c r="K235" s="21">
        <v>658</v>
      </c>
      <c r="L235" s="14">
        <v>193</v>
      </c>
      <c r="M235" s="14"/>
      <c r="N235" s="14">
        <v>404</v>
      </c>
      <c r="O235" s="14">
        <v>49</v>
      </c>
      <c r="P235" s="10"/>
      <c r="Q235" s="10"/>
      <c r="R235" s="10"/>
      <c r="T235" s="16"/>
      <c r="AD235" s="3">
        <v>41865</v>
      </c>
      <c r="AE235" s="16">
        <v>160.25</v>
      </c>
      <c r="AJ235">
        <v>6.7964500000000001</v>
      </c>
      <c r="AK235">
        <v>15.89955</v>
      </c>
      <c r="AN235" t="str">
        <f t="shared" si="16"/>
        <v>Junee</v>
      </c>
      <c r="AO235">
        <f t="shared" si="17"/>
        <v>2014</v>
      </c>
      <c r="AP235" t="str">
        <f t="shared" si="18"/>
        <v>Sunbee</v>
      </c>
      <c r="AQ235" t="str">
        <f t="shared" si="19"/>
        <v>Junee2014CvSunbee</v>
      </c>
      <c r="AV235" s="3">
        <v>41865</v>
      </c>
      <c r="AW235" s="16">
        <v>18.172781845386247</v>
      </c>
      <c r="BB235">
        <v>0.86451447838271034</v>
      </c>
      <c r="BC235">
        <v>3.4691926001112439</v>
      </c>
    </row>
    <row r="236" spans="1:55" x14ac:dyDescent="0.25">
      <c r="A236" s="14">
        <v>2014</v>
      </c>
      <c r="B236" s="14" t="s">
        <v>123</v>
      </c>
      <c r="C236" s="14" t="s">
        <v>124</v>
      </c>
      <c r="D236" s="14">
        <v>8</v>
      </c>
      <c r="E236" s="14">
        <v>6</v>
      </c>
      <c r="F236" s="14">
        <v>43</v>
      </c>
      <c r="G236" s="14">
        <v>4</v>
      </c>
      <c r="H236" s="14" t="s">
        <v>12</v>
      </c>
      <c r="I236" s="15">
        <v>41954</v>
      </c>
      <c r="J236" s="14" t="s">
        <v>129</v>
      </c>
      <c r="K236" s="21">
        <v>646</v>
      </c>
      <c r="L236" s="14">
        <v>202</v>
      </c>
      <c r="M236" s="14"/>
      <c r="N236" s="14">
        <v>386</v>
      </c>
      <c r="O236" s="14">
        <v>54</v>
      </c>
      <c r="P236" s="10"/>
      <c r="Q236" s="10"/>
      <c r="R236" s="10"/>
      <c r="T236" s="16"/>
      <c r="AD236" s="3">
        <v>41900</v>
      </c>
      <c r="AE236" s="16">
        <v>473.25</v>
      </c>
      <c r="AN236" t="str">
        <f t="shared" si="16"/>
        <v>Junee</v>
      </c>
      <c r="AO236">
        <f t="shared" si="17"/>
        <v>2014</v>
      </c>
      <c r="AP236" t="str">
        <f t="shared" si="18"/>
        <v>Sunbee</v>
      </c>
      <c r="AQ236" t="str">
        <f t="shared" si="19"/>
        <v>Junee2014CvSunbee</v>
      </c>
      <c r="AV236" s="3">
        <v>41900</v>
      </c>
      <c r="AW236" s="16">
        <v>34.711909579662525</v>
      </c>
    </row>
    <row r="237" spans="1:55" x14ac:dyDescent="0.25">
      <c r="A237" s="14">
        <v>2014</v>
      </c>
      <c r="B237" s="14" t="s">
        <v>123</v>
      </c>
      <c r="C237" s="14" t="s">
        <v>124</v>
      </c>
      <c r="D237" s="14">
        <v>8</v>
      </c>
      <c r="E237" s="14">
        <v>5</v>
      </c>
      <c r="F237" s="14">
        <v>44</v>
      </c>
      <c r="G237" s="14">
        <v>4</v>
      </c>
      <c r="H237" s="14" t="s">
        <v>10</v>
      </c>
      <c r="I237" s="15">
        <v>41954</v>
      </c>
      <c r="J237" s="14" t="s">
        <v>129</v>
      </c>
      <c r="K237" s="21">
        <v>491</v>
      </c>
      <c r="L237" s="14">
        <v>124</v>
      </c>
      <c r="M237" s="14"/>
      <c r="N237" s="14">
        <v>325</v>
      </c>
      <c r="O237" s="14">
        <v>37</v>
      </c>
      <c r="P237" s="10"/>
      <c r="Q237" s="10"/>
      <c r="R237" s="10"/>
      <c r="T237" s="16"/>
      <c r="AD237" s="3">
        <v>41928</v>
      </c>
      <c r="AE237" s="16">
        <v>813.25</v>
      </c>
      <c r="AF237">
        <v>424.5</v>
      </c>
      <c r="AG237">
        <v>113.25</v>
      </c>
      <c r="AH237">
        <v>206.5</v>
      </c>
      <c r="AI237">
        <v>68.75</v>
      </c>
      <c r="AJ237">
        <v>8.7629999999999999</v>
      </c>
      <c r="AK237">
        <v>79.629000000000005</v>
      </c>
      <c r="AN237" t="str">
        <f t="shared" si="16"/>
        <v>Junee</v>
      </c>
      <c r="AO237">
        <f t="shared" si="17"/>
        <v>2014</v>
      </c>
      <c r="AP237" t="str">
        <f t="shared" si="18"/>
        <v>Sunbee</v>
      </c>
      <c r="AQ237" t="str">
        <f t="shared" si="19"/>
        <v>Junee2014CvSunbee</v>
      </c>
      <c r="AV237" s="3">
        <v>41928</v>
      </c>
      <c r="AW237" s="16">
        <v>52.747037831521872</v>
      </c>
      <c r="AX237">
        <v>30.956959368344517</v>
      </c>
      <c r="AY237">
        <v>19.102792117035317</v>
      </c>
      <c r="AZ237">
        <v>8.8128693776015243</v>
      </c>
      <c r="BA237">
        <v>33.569579483018053</v>
      </c>
      <c r="BB237" t="e">
        <v>#DIV/0!</v>
      </c>
      <c r="BC237" t="e">
        <v>#DIV/0!</v>
      </c>
    </row>
    <row r="238" spans="1:55" x14ac:dyDescent="0.25">
      <c r="A238" s="14">
        <v>2014</v>
      </c>
      <c r="B238" s="14" t="s">
        <v>123</v>
      </c>
      <c r="C238" s="14" t="s">
        <v>124</v>
      </c>
      <c r="D238" s="14">
        <v>8</v>
      </c>
      <c r="E238" s="14">
        <v>4</v>
      </c>
      <c r="F238" s="14">
        <v>45</v>
      </c>
      <c r="G238" s="14">
        <v>4</v>
      </c>
      <c r="H238" s="14" t="s">
        <v>14</v>
      </c>
      <c r="I238" s="15">
        <v>41954</v>
      </c>
      <c r="J238" s="14" t="s">
        <v>129</v>
      </c>
      <c r="K238" s="21">
        <v>481</v>
      </c>
      <c r="L238" s="14">
        <v>137</v>
      </c>
      <c r="M238" s="14"/>
      <c r="N238" s="14">
        <v>290</v>
      </c>
      <c r="O238" s="14">
        <v>51</v>
      </c>
      <c r="P238" s="10"/>
      <c r="Q238" s="10"/>
      <c r="R238" s="10"/>
      <c r="T238" s="16"/>
      <c r="AD238" s="3">
        <v>41957</v>
      </c>
      <c r="AE238" s="16">
        <v>855</v>
      </c>
      <c r="AF238">
        <v>300.75</v>
      </c>
      <c r="AH238">
        <v>451.5</v>
      </c>
      <c r="AI238">
        <v>102.5</v>
      </c>
      <c r="AN238" t="str">
        <f t="shared" si="16"/>
        <v>Junee</v>
      </c>
      <c r="AO238">
        <f t="shared" si="17"/>
        <v>2014</v>
      </c>
      <c r="AP238" t="str">
        <f t="shared" si="18"/>
        <v>Sunbee</v>
      </c>
      <c r="AQ238" t="str">
        <f t="shared" si="19"/>
        <v>Junee2014CvSunbee</v>
      </c>
      <c r="AV238" s="3">
        <v>41957</v>
      </c>
      <c r="AW238" s="16">
        <v>34.009802508492555</v>
      </c>
      <c r="AX238">
        <v>22.156639336024465</v>
      </c>
      <c r="AZ238">
        <v>15.198684153570664</v>
      </c>
      <c r="BA238">
        <v>17.990738358018181</v>
      </c>
    </row>
    <row r="239" spans="1:55" x14ac:dyDescent="0.25">
      <c r="A239" s="14">
        <v>2014</v>
      </c>
      <c r="B239" s="14" t="s">
        <v>123</v>
      </c>
      <c r="C239" s="14" t="s">
        <v>124</v>
      </c>
      <c r="D239" s="14">
        <v>8</v>
      </c>
      <c r="E239" s="14">
        <v>3</v>
      </c>
      <c r="F239" s="14">
        <v>46</v>
      </c>
      <c r="G239" s="14">
        <v>4</v>
      </c>
      <c r="H239" s="14" t="s">
        <v>6</v>
      </c>
      <c r="I239" s="15">
        <v>41954</v>
      </c>
      <c r="J239" s="14" t="s">
        <v>129</v>
      </c>
      <c r="K239" s="21">
        <v>593</v>
      </c>
      <c r="L239" s="14">
        <v>190</v>
      </c>
      <c r="M239" s="14"/>
      <c r="N239" s="14">
        <v>327</v>
      </c>
      <c r="O239" s="14">
        <v>68</v>
      </c>
      <c r="P239" s="10"/>
      <c r="Q239" s="10"/>
      <c r="R239" s="10"/>
      <c r="T239" s="16"/>
      <c r="AC239" t="s">
        <v>6</v>
      </c>
      <c r="AD239" s="3">
        <v>41834</v>
      </c>
      <c r="AE239" s="16">
        <v>19.25</v>
      </c>
      <c r="AN239" t="str">
        <f t="shared" si="16"/>
        <v>Junee</v>
      </c>
      <c r="AO239">
        <f t="shared" si="17"/>
        <v>2014</v>
      </c>
      <c r="AP239" t="str">
        <f t="shared" si="18"/>
        <v>Sunstate</v>
      </c>
      <c r="AQ239" t="str">
        <f t="shared" si="19"/>
        <v>Junee2014CvSunstate</v>
      </c>
      <c r="AU239" t="s">
        <v>6</v>
      </c>
      <c r="AV239" s="3">
        <v>41834</v>
      </c>
      <c r="AW239" s="16">
        <v>3.6855573979159968</v>
      </c>
    </row>
    <row r="240" spans="1:55" x14ac:dyDescent="0.25">
      <c r="A240" s="14">
        <v>2014</v>
      </c>
      <c r="B240" s="14" t="s">
        <v>123</v>
      </c>
      <c r="C240" s="14" t="s">
        <v>124</v>
      </c>
      <c r="D240" s="14">
        <v>8</v>
      </c>
      <c r="E240" s="14">
        <v>2</v>
      </c>
      <c r="F240" s="14">
        <v>47</v>
      </c>
      <c r="G240" s="14">
        <v>4</v>
      </c>
      <c r="H240" s="14" t="s">
        <v>4</v>
      </c>
      <c r="I240" s="15">
        <v>41954</v>
      </c>
      <c r="J240" s="14" t="s">
        <v>129</v>
      </c>
      <c r="K240" s="21">
        <v>646</v>
      </c>
      <c r="L240" s="14">
        <v>158</v>
      </c>
      <c r="M240" s="14"/>
      <c r="N240" s="14">
        <v>391</v>
      </c>
      <c r="O240" s="14">
        <v>73</v>
      </c>
      <c r="P240" s="10"/>
      <c r="Q240" s="10"/>
      <c r="R240" s="10"/>
      <c r="T240" s="16"/>
      <c r="AD240" s="3">
        <v>41865</v>
      </c>
      <c r="AE240" s="16">
        <v>102.25</v>
      </c>
      <c r="AJ240">
        <v>4.4132249999999997</v>
      </c>
      <c r="AK240">
        <v>10.308074999999999</v>
      </c>
      <c r="AN240" t="str">
        <f t="shared" si="16"/>
        <v>Junee</v>
      </c>
      <c r="AO240">
        <f t="shared" si="17"/>
        <v>2014</v>
      </c>
      <c r="AP240" t="str">
        <f t="shared" si="18"/>
        <v>Sunstate</v>
      </c>
      <c r="AQ240" t="str">
        <f t="shared" si="19"/>
        <v>Junee2014CvSunstate</v>
      </c>
      <c r="AV240" s="3">
        <v>41865</v>
      </c>
      <c r="AW240" s="16">
        <v>34.490336810958127</v>
      </c>
      <c r="BB240">
        <v>1.6549521652200929</v>
      </c>
      <c r="BC240">
        <v>2.0125780835783842</v>
      </c>
    </row>
    <row r="241" spans="1:55" x14ac:dyDescent="0.25">
      <c r="A241" s="14">
        <v>2014</v>
      </c>
      <c r="B241" s="14" t="s">
        <v>123</v>
      </c>
      <c r="C241" s="14" t="s">
        <v>124</v>
      </c>
      <c r="D241" s="14">
        <v>8</v>
      </c>
      <c r="E241" s="14">
        <v>1</v>
      </c>
      <c r="F241" s="14">
        <v>48</v>
      </c>
      <c r="G241" s="14">
        <v>4</v>
      </c>
      <c r="H241" s="14" t="s">
        <v>2</v>
      </c>
      <c r="I241" s="15">
        <v>41954</v>
      </c>
      <c r="J241" s="14" t="s">
        <v>129</v>
      </c>
      <c r="K241" s="21">
        <v>664</v>
      </c>
      <c r="L241" s="14">
        <v>181</v>
      </c>
      <c r="M241" s="14"/>
      <c r="N241" s="14">
        <v>419</v>
      </c>
      <c r="O241" s="14">
        <v>56</v>
      </c>
      <c r="P241" s="10"/>
      <c r="Q241" s="10"/>
      <c r="R241" s="10"/>
      <c r="T241" s="16"/>
      <c r="AD241" s="3">
        <v>41900</v>
      </c>
      <c r="AE241" s="16">
        <v>390</v>
      </c>
      <c r="AN241" t="str">
        <f t="shared" si="16"/>
        <v>Junee</v>
      </c>
      <c r="AO241">
        <f t="shared" si="17"/>
        <v>2014</v>
      </c>
      <c r="AP241" t="str">
        <f t="shared" si="18"/>
        <v>Sunstate</v>
      </c>
      <c r="AQ241" t="str">
        <f t="shared" si="19"/>
        <v>Junee2014CvSunstate</v>
      </c>
      <c r="AV241" s="3">
        <v>41900</v>
      </c>
      <c r="AW241" s="16">
        <v>70.828431202919262</v>
      </c>
    </row>
    <row r="242" spans="1:55" x14ac:dyDescent="0.25">
      <c r="A242" s="14">
        <v>2015</v>
      </c>
      <c r="B242" s="14" t="s">
        <v>123</v>
      </c>
      <c r="C242" s="14" t="s">
        <v>130</v>
      </c>
      <c r="D242" s="14">
        <v>1</v>
      </c>
      <c r="E242" s="14">
        <v>1</v>
      </c>
      <c r="F242" s="14">
        <v>1</v>
      </c>
      <c r="G242" s="14">
        <v>1</v>
      </c>
      <c r="H242" s="14" t="s">
        <v>5</v>
      </c>
      <c r="I242" s="15">
        <v>42222</v>
      </c>
      <c r="J242" s="14" t="s">
        <v>125</v>
      </c>
      <c r="K242" s="14">
        <v>63</v>
      </c>
      <c r="L242" s="14">
        <v>25</v>
      </c>
      <c r="M242" s="14">
        <v>38</v>
      </c>
      <c r="N242" s="14"/>
      <c r="O242" s="14"/>
      <c r="P242" s="10"/>
      <c r="Q242" s="10"/>
      <c r="R242" s="26"/>
      <c r="T242" s="16"/>
      <c r="AD242" s="3">
        <v>41928</v>
      </c>
      <c r="AE242" s="16">
        <v>794.5</v>
      </c>
      <c r="AF242">
        <v>416</v>
      </c>
      <c r="AG242">
        <v>127.75</v>
      </c>
      <c r="AH242">
        <v>192.75</v>
      </c>
      <c r="AI242">
        <v>57.25</v>
      </c>
      <c r="AJ242">
        <v>10.476299999999998</v>
      </c>
      <c r="AK242">
        <v>90.051600000000008</v>
      </c>
      <c r="AN242" t="str">
        <f t="shared" si="16"/>
        <v>Junee</v>
      </c>
      <c r="AO242">
        <f t="shared" si="17"/>
        <v>2014</v>
      </c>
      <c r="AP242" t="str">
        <f t="shared" si="18"/>
        <v>Sunstate</v>
      </c>
      <c r="AQ242" t="str">
        <f t="shared" si="19"/>
        <v>Junee2014CvSunstate</v>
      </c>
      <c r="AV242" s="3">
        <v>41928</v>
      </c>
      <c r="AW242" s="16">
        <v>43.147035433117146</v>
      </c>
      <c r="AX242">
        <v>32.114378918692061</v>
      </c>
      <c r="AY242">
        <v>5.1881274720911268</v>
      </c>
      <c r="AZ242">
        <v>27.5121185419565</v>
      </c>
      <c r="BA242">
        <v>24.83780720326709</v>
      </c>
      <c r="BB242" t="e">
        <v>#DIV/0!</v>
      </c>
      <c r="BC242" t="e">
        <v>#DIV/0!</v>
      </c>
    </row>
    <row r="243" spans="1:55" x14ac:dyDescent="0.25">
      <c r="A243" s="14">
        <v>2015</v>
      </c>
      <c r="B243" s="14" t="s">
        <v>123</v>
      </c>
      <c r="C243" s="14" t="s">
        <v>130</v>
      </c>
      <c r="D243" s="14">
        <v>1</v>
      </c>
      <c r="E243" s="14">
        <v>2</v>
      </c>
      <c r="F243" s="14">
        <v>2</v>
      </c>
      <c r="G243" s="14">
        <v>1</v>
      </c>
      <c r="H243" s="14" t="s">
        <v>13</v>
      </c>
      <c r="I243" s="15">
        <v>42222</v>
      </c>
      <c r="J243" s="14" t="s">
        <v>125</v>
      </c>
      <c r="K243" s="14">
        <v>40</v>
      </c>
      <c r="L243" s="14">
        <v>12</v>
      </c>
      <c r="M243" s="14">
        <v>28</v>
      </c>
      <c r="N243" s="14"/>
      <c r="O243" s="14"/>
      <c r="P243" s="10"/>
      <c r="Q243" s="10"/>
      <c r="R243" s="26"/>
      <c r="T243" s="16"/>
      <c r="AD243" s="3">
        <v>41957</v>
      </c>
      <c r="AE243" s="16">
        <v>800.75</v>
      </c>
      <c r="AF243">
        <v>298.75</v>
      </c>
      <c r="AH243">
        <v>400.5</v>
      </c>
      <c r="AI243">
        <v>101.5</v>
      </c>
      <c r="AN243" t="str">
        <f t="shared" si="16"/>
        <v>Junee</v>
      </c>
      <c r="AO243">
        <f t="shared" si="17"/>
        <v>2014</v>
      </c>
      <c r="AP243" t="str">
        <f t="shared" si="18"/>
        <v>Sunstate</v>
      </c>
      <c r="AQ243" t="str">
        <f t="shared" si="19"/>
        <v>Junee2014CvSunstate</v>
      </c>
      <c r="AV243" s="3">
        <v>41957</v>
      </c>
      <c r="AW243" s="16">
        <v>26.437032107758743</v>
      </c>
      <c r="AX243">
        <v>6.5</v>
      </c>
      <c r="AZ243">
        <v>32.254198693090068</v>
      </c>
      <c r="BA243">
        <v>14.708274315273473</v>
      </c>
    </row>
    <row r="244" spans="1:55" x14ac:dyDescent="0.25">
      <c r="A244" s="14">
        <v>2015</v>
      </c>
      <c r="B244" s="14" t="s">
        <v>123</v>
      </c>
      <c r="C244" s="14" t="s">
        <v>130</v>
      </c>
      <c r="D244" s="14">
        <v>1</v>
      </c>
      <c r="E244" s="14">
        <v>3</v>
      </c>
      <c r="F244" s="14">
        <v>3</v>
      </c>
      <c r="G244" s="14">
        <v>1</v>
      </c>
      <c r="H244" s="14" t="s">
        <v>4</v>
      </c>
      <c r="I244" s="15">
        <v>42222</v>
      </c>
      <c r="J244" s="14" t="s">
        <v>125</v>
      </c>
      <c r="K244" s="14">
        <v>75</v>
      </c>
      <c r="L244" s="14">
        <v>28</v>
      </c>
      <c r="M244" s="14">
        <v>47</v>
      </c>
      <c r="N244" s="14"/>
      <c r="O244" s="14"/>
      <c r="P244" s="10"/>
      <c r="Q244" s="10"/>
      <c r="R244" s="26"/>
      <c r="T244" s="16"/>
      <c r="AA244" t="s">
        <v>123</v>
      </c>
      <c r="AB244">
        <v>2014</v>
      </c>
      <c r="AC244" t="s">
        <v>13</v>
      </c>
      <c r="AD244" s="3">
        <v>41883</v>
      </c>
      <c r="AE244" s="16">
        <v>240.75</v>
      </c>
      <c r="AJ244">
        <v>5.8149999999999995</v>
      </c>
      <c r="AK244">
        <v>29.259800000000002</v>
      </c>
      <c r="AN244" t="str">
        <f t="shared" si="16"/>
        <v>Minnipa</v>
      </c>
      <c r="AO244">
        <f t="shared" si="17"/>
        <v>2014</v>
      </c>
      <c r="AP244" t="str">
        <f t="shared" si="18"/>
        <v>29B</v>
      </c>
      <c r="AQ244" t="str">
        <f t="shared" si="19"/>
        <v>Minnipa2014Cv29B</v>
      </c>
      <c r="AS244" t="s">
        <v>123</v>
      </c>
      <c r="AT244">
        <v>2014</v>
      </c>
      <c r="AU244" t="s">
        <v>13</v>
      </c>
      <c r="AV244" s="3">
        <v>41883</v>
      </c>
      <c r="AW244" s="16">
        <v>23.214578752729214</v>
      </c>
      <c r="BB244">
        <v>0.61675190582059425</v>
      </c>
      <c r="BC244">
        <v>10.87637096553807</v>
      </c>
    </row>
    <row r="245" spans="1:55" x14ac:dyDescent="0.25">
      <c r="A245" s="14">
        <v>2015</v>
      </c>
      <c r="B245" s="14" t="s">
        <v>123</v>
      </c>
      <c r="C245" s="14" t="s">
        <v>130</v>
      </c>
      <c r="D245" s="14">
        <v>1</v>
      </c>
      <c r="E245" s="14">
        <v>4</v>
      </c>
      <c r="F245" s="14">
        <v>4</v>
      </c>
      <c r="G245" s="14">
        <v>1</v>
      </c>
      <c r="H245" s="14" t="s">
        <v>6</v>
      </c>
      <c r="I245" s="15">
        <v>42222</v>
      </c>
      <c r="J245" s="14" t="s">
        <v>125</v>
      </c>
      <c r="K245" s="14">
        <v>86</v>
      </c>
      <c r="L245" s="14">
        <v>33</v>
      </c>
      <c r="M245" s="14">
        <v>53</v>
      </c>
      <c r="N245" s="14"/>
      <c r="O245" s="14"/>
      <c r="P245" s="10"/>
      <c r="Q245" s="10"/>
      <c r="R245" s="26"/>
      <c r="T245" s="16"/>
      <c r="AD245" s="3">
        <v>41897</v>
      </c>
      <c r="AE245" s="16">
        <v>371</v>
      </c>
      <c r="AF245">
        <v>208.5</v>
      </c>
      <c r="AG245">
        <v>65.25</v>
      </c>
      <c r="AH245">
        <v>86.5</v>
      </c>
      <c r="AI245">
        <v>10.675000000000001</v>
      </c>
      <c r="AJ245">
        <v>7.3370250000000006</v>
      </c>
      <c r="AK245">
        <v>50.804249999999996</v>
      </c>
      <c r="AN245" t="str">
        <f t="shared" si="16"/>
        <v>Minnipa</v>
      </c>
      <c r="AO245">
        <f t="shared" si="17"/>
        <v>2014</v>
      </c>
      <c r="AP245" t="str">
        <f t="shared" si="18"/>
        <v>29B</v>
      </c>
      <c r="AQ245" t="str">
        <f t="shared" si="19"/>
        <v>Minnipa2014Cv29B</v>
      </c>
      <c r="AV245" s="3">
        <v>41897</v>
      </c>
      <c r="AW245" s="16">
        <v>45.658150057428593</v>
      </c>
      <c r="AX245">
        <v>29.080348461919549</v>
      </c>
      <c r="AY245">
        <v>9.716823898098939</v>
      </c>
      <c r="AZ245">
        <v>11.561430130683084</v>
      </c>
      <c r="BA245">
        <v>5.281019472286264</v>
      </c>
      <c r="BB245">
        <v>1.4650846901004246</v>
      </c>
      <c r="BC245">
        <v>6.7579645143095597</v>
      </c>
    </row>
    <row r="246" spans="1:55" x14ac:dyDescent="0.25">
      <c r="A246" s="14">
        <v>2015</v>
      </c>
      <c r="B246" s="14" t="s">
        <v>123</v>
      </c>
      <c r="C246" s="14" t="s">
        <v>130</v>
      </c>
      <c r="D246" s="14">
        <v>2</v>
      </c>
      <c r="E246" s="14">
        <v>4</v>
      </c>
      <c r="F246" s="14">
        <v>5</v>
      </c>
      <c r="G246" s="14">
        <v>1</v>
      </c>
      <c r="H246" s="14" t="s">
        <v>7</v>
      </c>
      <c r="I246" s="15">
        <v>42222</v>
      </c>
      <c r="J246" s="14" t="s">
        <v>125</v>
      </c>
      <c r="K246" s="14">
        <v>78</v>
      </c>
      <c r="L246" s="14">
        <v>31</v>
      </c>
      <c r="M246" s="14">
        <v>47</v>
      </c>
      <c r="N246" s="14"/>
      <c r="O246" s="14"/>
      <c r="P246" s="10"/>
      <c r="Q246" s="10"/>
      <c r="R246" s="26"/>
      <c r="T246" s="16"/>
      <c r="AD246" s="3">
        <v>41954</v>
      </c>
      <c r="AE246" s="16">
        <v>447.25</v>
      </c>
      <c r="AF246">
        <v>130.5</v>
      </c>
      <c r="AH246">
        <v>276.5</v>
      </c>
      <c r="AI246">
        <v>39.25</v>
      </c>
      <c r="AN246" t="str">
        <f t="shared" si="16"/>
        <v>Minnipa</v>
      </c>
      <c r="AO246">
        <f t="shared" si="17"/>
        <v>2014</v>
      </c>
      <c r="AP246" t="str">
        <f t="shared" si="18"/>
        <v>29B</v>
      </c>
      <c r="AQ246" t="str">
        <f t="shared" si="19"/>
        <v>Minnipa2014Cv29B</v>
      </c>
      <c r="AV246" s="3">
        <v>41954</v>
      </c>
      <c r="AW246" s="16">
        <v>30.58730673552893</v>
      </c>
      <c r="AX246">
        <v>13.076696830622021</v>
      </c>
      <c r="AZ246">
        <v>18.663690238892556</v>
      </c>
      <c r="BA246">
        <v>3.8622100754188224</v>
      </c>
    </row>
    <row r="247" spans="1:55" x14ac:dyDescent="0.25">
      <c r="A247" s="14">
        <v>2015</v>
      </c>
      <c r="B247" s="14" t="s">
        <v>123</v>
      </c>
      <c r="C247" s="14" t="s">
        <v>130</v>
      </c>
      <c r="D247" s="14">
        <v>2</v>
      </c>
      <c r="E247" s="14">
        <v>3</v>
      </c>
      <c r="F247" s="14">
        <v>6</v>
      </c>
      <c r="G247" s="14">
        <v>1</v>
      </c>
      <c r="H247" s="14" t="s">
        <v>9</v>
      </c>
      <c r="I247" s="15">
        <v>42222</v>
      </c>
      <c r="J247" s="14" t="s">
        <v>125</v>
      </c>
      <c r="K247" s="14">
        <v>100</v>
      </c>
      <c r="L247" s="14">
        <v>34</v>
      </c>
      <c r="M247" s="14">
        <v>66</v>
      </c>
      <c r="N247" s="14"/>
      <c r="O247" s="14"/>
      <c r="P247" s="10"/>
      <c r="Q247" s="10"/>
      <c r="R247" s="26"/>
      <c r="T247" s="16"/>
      <c r="AD247" s="3">
        <v>46239</v>
      </c>
      <c r="AE247" s="16">
        <v>42.25</v>
      </c>
      <c r="AJ247">
        <v>1.9106249999999998</v>
      </c>
      <c r="AK247">
        <v>3.5435999999999996</v>
      </c>
      <c r="AN247" t="str">
        <f t="shared" si="16"/>
        <v>Minnipa</v>
      </c>
      <c r="AO247">
        <f t="shared" si="17"/>
        <v>2014</v>
      </c>
      <c r="AP247" t="str">
        <f t="shared" si="18"/>
        <v>29B</v>
      </c>
      <c r="AQ247" t="str">
        <f t="shared" si="19"/>
        <v>Minnipa2014Cv29B</v>
      </c>
      <c r="AV247" s="3">
        <v>46239</v>
      </c>
      <c r="AW247" s="16">
        <v>10.626225419530053</v>
      </c>
      <c r="BB247">
        <v>0.45586974290909066</v>
      </c>
      <c r="BC247">
        <v>0.619260219939891</v>
      </c>
    </row>
    <row r="248" spans="1:55" x14ac:dyDescent="0.25">
      <c r="A248" s="14">
        <v>2015</v>
      </c>
      <c r="B248" s="14" t="s">
        <v>123</v>
      </c>
      <c r="C248" s="14" t="s">
        <v>130</v>
      </c>
      <c r="D248" s="14">
        <v>2</v>
      </c>
      <c r="E248" s="14">
        <v>2</v>
      </c>
      <c r="F248" s="14">
        <v>7</v>
      </c>
      <c r="G248" s="14">
        <v>1</v>
      </c>
      <c r="H248" s="14" t="s">
        <v>14</v>
      </c>
      <c r="I248" s="15">
        <v>42222</v>
      </c>
      <c r="J248" s="14" t="s">
        <v>125</v>
      </c>
      <c r="K248" s="14">
        <v>80</v>
      </c>
      <c r="L248" s="14">
        <v>36</v>
      </c>
      <c r="M248" s="14">
        <v>44</v>
      </c>
      <c r="N248" s="14"/>
      <c r="O248" s="14"/>
      <c r="P248" s="10"/>
      <c r="Q248" s="10"/>
      <c r="R248" s="26"/>
      <c r="T248" s="16"/>
      <c r="AD248" s="3">
        <v>46249</v>
      </c>
      <c r="AE248" s="16">
        <v>87</v>
      </c>
      <c r="AJ248">
        <v>2.7799249999999995</v>
      </c>
      <c r="AK248">
        <v>9.42835</v>
      </c>
      <c r="AN248" t="str">
        <f t="shared" si="16"/>
        <v>Minnipa</v>
      </c>
      <c r="AO248">
        <f t="shared" si="17"/>
        <v>2014</v>
      </c>
      <c r="AP248" t="str">
        <f t="shared" si="18"/>
        <v>29B</v>
      </c>
      <c r="AQ248" t="str">
        <f t="shared" si="19"/>
        <v>Minnipa2014Cv29B</v>
      </c>
      <c r="AV248" s="3">
        <v>46249</v>
      </c>
      <c r="AW248" s="16">
        <v>16.57307052620807</v>
      </c>
      <c r="BB248">
        <v>0.4684025788073084</v>
      </c>
      <c r="BC248">
        <v>1.9986286973822815</v>
      </c>
    </row>
    <row r="249" spans="1:55" x14ac:dyDescent="0.25">
      <c r="A249" s="14">
        <v>2015</v>
      </c>
      <c r="B249" s="14" t="s">
        <v>123</v>
      </c>
      <c r="C249" s="14" t="s">
        <v>130</v>
      </c>
      <c r="D249" s="14">
        <v>2</v>
      </c>
      <c r="E249" s="14">
        <v>1</v>
      </c>
      <c r="F249" s="14">
        <v>8</v>
      </c>
      <c r="G249" s="14">
        <v>1</v>
      </c>
      <c r="H249" s="14" t="s">
        <v>3</v>
      </c>
      <c r="I249" s="15">
        <v>42222</v>
      </c>
      <c r="J249" s="14" t="s">
        <v>125</v>
      </c>
      <c r="K249" s="14">
        <v>91</v>
      </c>
      <c r="L249" s="14">
        <v>35</v>
      </c>
      <c r="M249" s="14">
        <v>56</v>
      </c>
      <c r="N249" s="14"/>
      <c r="O249" s="14"/>
      <c r="P249" s="10"/>
      <c r="Q249" s="10"/>
      <c r="R249" s="26"/>
      <c r="T249" s="16"/>
      <c r="AC249" t="s">
        <v>14</v>
      </c>
      <c r="AD249" s="3">
        <v>41883</v>
      </c>
      <c r="AE249" s="16">
        <v>219.25</v>
      </c>
      <c r="AJ249">
        <v>5.4326000000000008</v>
      </c>
      <c r="AK249">
        <v>18.446766666666665</v>
      </c>
      <c r="AN249" t="str">
        <f t="shared" si="16"/>
        <v>Minnipa</v>
      </c>
      <c r="AO249">
        <f t="shared" si="17"/>
        <v>2014</v>
      </c>
      <c r="AP249" t="str">
        <f t="shared" si="18"/>
        <v>5A</v>
      </c>
      <c r="AQ249" t="str">
        <f t="shared" si="19"/>
        <v>Minnipa2014Cv5A</v>
      </c>
      <c r="AU249" t="s">
        <v>14</v>
      </c>
      <c r="AV249" s="3">
        <v>41883</v>
      </c>
      <c r="AW249" s="16">
        <v>15.521490478258416</v>
      </c>
      <c r="BB249">
        <v>0.71250911573115427</v>
      </c>
      <c r="BC249">
        <v>1.9104141601583382</v>
      </c>
    </row>
    <row r="250" spans="1:55" x14ac:dyDescent="0.25">
      <c r="A250" s="14">
        <v>2015</v>
      </c>
      <c r="B250" s="14" t="s">
        <v>123</v>
      </c>
      <c r="C250" s="14" t="s">
        <v>130</v>
      </c>
      <c r="D250" s="14">
        <v>3</v>
      </c>
      <c r="E250" s="14">
        <v>1</v>
      </c>
      <c r="F250" s="14">
        <v>9</v>
      </c>
      <c r="G250" s="14">
        <v>1</v>
      </c>
      <c r="H250" s="14" t="s">
        <v>8</v>
      </c>
      <c r="I250" s="15">
        <v>42222</v>
      </c>
      <c r="J250" s="14" t="s">
        <v>125</v>
      </c>
      <c r="K250" s="14">
        <v>97</v>
      </c>
      <c r="L250" s="14">
        <v>37</v>
      </c>
      <c r="M250" s="14">
        <v>60</v>
      </c>
      <c r="N250" s="14"/>
      <c r="O250" s="14"/>
      <c r="P250" s="10"/>
      <c r="Q250" s="10"/>
      <c r="R250" s="26"/>
      <c r="T250" s="16"/>
      <c r="AD250" s="3">
        <v>41899</v>
      </c>
      <c r="AE250" s="16">
        <v>279.66666666666669</v>
      </c>
      <c r="AF250">
        <v>153.33333333333334</v>
      </c>
      <c r="AG250">
        <v>50.966666666666669</v>
      </c>
      <c r="AH250">
        <v>64.333333333333329</v>
      </c>
      <c r="AI250">
        <v>11.299999999999999</v>
      </c>
      <c r="AJ250">
        <v>5.9360666666666662</v>
      </c>
      <c r="AK250">
        <v>30.215266666666665</v>
      </c>
      <c r="AN250" t="str">
        <f t="shared" si="16"/>
        <v>Minnipa</v>
      </c>
      <c r="AO250">
        <f t="shared" si="17"/>
        <v>2014</v>
      </c>
      <c r="AP250" t="str">
        <f t="shared" si="18"/>
        <v>5A</v>
      </c>
      <c r="AQ250" t="str">
        <f t="shared" si="19"/>
        <v>Minnipa2014Cv5A</v>
      </c>
      <c r="AV250" s="3">
        <v>41899</v>
      </c>
      <c r="AW250" s="16">
        <v>20.550750189064352</v>
      </c>
      <c r="AX250">
        <v>11.930353445448956</v>
      </c>
      <c r="AY250">
        <v>6.5431898439013292</v>
      </c>
      <c r="AZ250">
        <v>6.0277137733416826</v>
      </c>
      <c r="BA250">
        <v>5.0566787519082173</v>
      </c>
      <c r="BB250">
        <v>1.4257656516178709</v>
      </c>
      <c r="BC250">
        <v>7.9718297029812177</v>
      </c>
    </row>
    <row r="251" spans="1:55" x14ac:dyDescent="0.25">
      <c r="A251" s="14">
        <v>2015</v>
      </c>
      <c r="B251" s="14" t="s">
        <v>123</v>
      </c>
      <c r="C251" s="14" t="s">
        <v>130</v>
      </c>
      <c r="D251" s="14">
        <v>3</v>
      </c>
      <c r="E251" s="14">
        <v>2</v>
      </c>
      <c r="F251" s="14">
        <v>10</v>
      </c>
      <c r="G251" s="14">
        <v>1</v>
      </c>
      <c r="H251" s="14" t="s">
        <v>2</v>
      </c>
      <c r="I251" s="15">
        <v>42222</v>
      </c>
      <c r="J251" s="14" t="s">
        <v>125</v>
      </c>
      <c r="K251" s="14">
        <v>105</v>
      </c>
      <c r="L251" s="14">
        <v>46</v>
      </c>
      <c r="M251" s="14">
        <v>59</v>
      </c>
      <c r="N251" s="14"/>
      <c r="O251" s="14"/>
      <c r="P251" s="10"/>
      <c r="Q251" s="10"/>
      <c r="R251" s="26"/>
      <c r="T251" s="16"/>
      <c r="AD251" s="3">
        <v>41904</v>
      </c>
      <c r="AE251" s="16">
        <v>402</v>
      </c>
      <c r="AF251">
        <v>224</v>
      </c>
      <c r="AG251">
        <v>51.5</v>
      </c>
      <c r="AH251">
        <v>105</v>
      </c>
      <c r="AI251">
        <v>21.2</v>
      </c>
      <c r="AJ251">
        <v>7.4772000000000007</v>
      </c>
      <c r="AK251">
        <v>65.968199999999996</v>
      </c>
      <c r="AN251" t="str">
        <f t="shared" si="16"/>
        <v>Minnipa</v>
      </c>
      <c r="AO251">
        <f t="shared" si="17"/>
        <v>2014</v>
      </c>
      <c r="AP251" t="str">
        <f t="shared" si="18"/>
        <v>5A</v>
      </c>
      <c r="AQ251" t="str">
        <f t="shared" si="19"/>
        <v>Minnipa2014Cv5A</v>
      </c>
      <c r="AV251" s="3">
        <v>41904</v>
      </c>
      <c r="AW251" s="16" t="e">
        <v>#DIV/0!</v>
      </c>
      <c r="AX251" t="e">
        <v>#DIV/0!</v>
      </c>
      <c r="AY251" t="e">
        <v>#DIV/0!</v>
      </c>
      <c r="AZ251" t="e">
        <v>#DIV/0!</v>
      </c>
      <c r="BA251" t="e">
        <v>#DIV/0!</v>
      </c>
      <c r="BB251" t="e">
        <v>#DIV/0!</v>
      </c>
      <c r="BC251" t="e">
        <v>#DIV/0!</v>
      </c>
    </row>
    <row r="252" spans="1:55" x14ac:dyDescent="0.25">
      <c r="A252" s="14">
        <v>2015</v>
      </c>
      <c r="B252" s="14" t="s">
        <v>123</v>
      </c>
      <c r="C252" s="14" t="s">
        <v>130</v>
      </c>
      <c r="D252" s="14">
        <v>3</v>
      </c>
      <c r="E252" s="14">
        <v>3</v>
      </c>
      <c r="F252" s="14">
        <v>11</v>
      </c>
      <c r="G252" s="14">
        <v>1</v>
      </c>
      <c r="H252" s="14" t="s">
        <v>12</v>
      </c>
      <c r="I252" s="15">
        <v>42222</v>
      </c>
      <c r="J252" s="14" t="s">
        <v>125</v>
      </c>
      <c r="K252" s="14">
        <v>64</v>
      </c>
      <c r="L252" s="14">
        <v>24</v>
      </c>
      <c r="M252" s="14">
        <v>41</v>
      </c>
      <c r="N252" s="14"/>
      <c r="O252" s="14"/>
      <c r="P252" s="10"/>
      <c r="Q252" s="10"/>
      <c r="R252" s="26"/>
      <c r="T252" s="16"/>
      <c r="AD252" s="3">
        <v>41954</v>
      </c>
      <c r="AE252" s="16">
        <v>461.5</v>
      </c>
      <c r="AF252">
        <v>131.25</v>
      </c>
      <c r="AH252">
        <v>286.5</v>
      </c>
      <c r="AI252">
        <v>41.5</v>
      </c>
      <c r="AN252" t="str">
        <f t="shared" si="16"/>
        <v>Minnipa</v>
      </c>
      <c r="AO252">
        <f t="shared" si="17"/>
        <v>2014</v>
      </c>
      <c r="AP252" t="str">
        <f t="shared" si="18"/>
        <v>5A</v>
      </c>
      <c r="AQ252" t="str">
        <f t="shared" si="19"/>
        <v>Minnipa2014Cv5A</v>
      </c>
      <c r="AV252" s="3">
        <v>41954</v>
      </c>
      <c r="AW252" s="16">
        <v>27.440845468024488</v>
      </c>
      <c r="AX252">
        <v>5.9090326337452783</v>
      </c>
      <c r="AZ252">
        <v>16.380883167074153</v>
      </c>
      <c r="BA252">
        <v>7.1414284285428504</v>
      </c>
    </row>
    <row r="253" spans="1:55" x14ac:dyDescent="0.25">
      <c r="A253" s="14">
        <v>2015</v>
      </c>
      <c r="B253" s="14" t="s">
        <v>123</v>
      </c>
      <c r="C253" s="14" t="s">
        <v>130</v>
      </c>
      <c r="D253" s="14">
        <v>3</v>
      </c>
      <c r="E253" s="14">
        <v>4</v>
      </c>
      <c r="F253" s="14">
        <v>12</v>
      </c>
      <c r="G253" s="14">
        <v>1</v>
      </c>
      <c r="H253" s="14" t="s">
        <v>10</v>
      </c>
      <c r="I253" s="15">
        <v>42222</v>
      </c>
      <c r="J253" s="14" t="s">
        <v>125</v>
      </c>
      <c r="K253" s="14">
        <v>100</v>
      </c>
      <c r="L253" s="14">
        <v>40</v>
      </c>
      <c r="M253" s="14">
        <v>60</v>
      </c>
      <c r="N253" s="14"/>
      <c r="O253" s="14"/>
      <c r="P253" s="10"/>
      <c r="Q253" s="10"/>
      <c r="R253" s="26"/>
      <c r="T253" s="16"/>
      <c r="AD253" s="3">
        <v>46239</v>
      </c>
      <c r="AE253" s="16">
        <v>43.5</v>
      </c>
      <c r="AJ253">
        <v>1.958925</v>
      </c>
      <c r="AK253">
        <v>4.0027749999999997</v>
      </c>
      <c r="AN253" t="str">
        <f t="shared" si="16"/>
        <v>Minnipa</v>
      </c>
      <c r="AO253">
        <f t="shared" si="17"/>
        <v>2014</v>
      </c>
      <c r="AP253" t="str">
        <f t="shared" si="18"/>
        <v>5A</v>
      </c>
      <c r="AQ253" t="str">
        <f t="shared" si="19"/>
        <v>Minnipa2014Cv5A</v>
      </c>
      <c r="AV253" s="3">
        <v>46239</v>
      </c>
      <c r="AW253" s="16">
        <v>5.9160797830996161</v>
      </c>
      <c r="BB253">
        <v>0.30082860430262648</v>
      </c>
      <c r="BC253">
        <v>0.97757027496748405</v>
      </c>
    </row>
    <row r="254" spans="1:55" x14ac:dyDescent="0.25">
      <c r="A254" s="14">
        <v>2015</v>
      </c>
      <c r="B254" s="14" t="s">
        <v>123</v>
      </c>
      <c r="C254" s="14" t="s">
        <v>130</v>
      </c>
      <c r="D254" s="14">
        <v>4</v>
      </c>
      <c r="E254" s="14">
        <v>4</v>
      </c>
      <c r="F254" s="14">
        <v>13</v>
      </c>
      <c r="G254" s="14">
        <v>2</v>
      </c>
      <c r="H254" s="14" t="s">
        <v>4</v>
      </c>
      <c r="I254" s="15">
        <v>42222</v>
      </c>
      <c r="J254" s="14" t="s">
        <v>125</v>
      </c>
      <c r="K254" s="14">
        <v>97</v>
      </c>
      <c r="L254" s="14">
        <v>47</v>
      </c>
      <c r="M254" s="14">
        <v>50</v>
      </c>
      <c r="N254" s="14"/>
      <c r="O254" s="14"/>
      <c r="P254" s="10"/>
      <c r="Q254" s="10"/>
      <c r="R254" s="26"/>
      <c r="T254" s="16"/>
      <c r="AD254" s="3">
        <v>46256</v>
      </c>
      <c r="AE254" s="16">
        <v>155.5</v>
      </c>
      <c r="AJ254">
        <v>4.3575499999999998</v>
      </c>
      <c r="AK254">
        <v>21.614725</v>
      </c>
      <c r="AN254" t="str">
        <f t="shared" si="16"/>
        <v>Minnipa</v>
      </c>
      <c r="AO254">
        <f t="shared" si="17"/>
        <v>2014</v>
      </c>
      <c r="AP254" t="str">
        <f t="shared" si="18"/>
        <v>5A</v>
      </c>
      <c r="AQ254" t="str">
        <f t="shared" si="19"/>
        <v>Minnipa2014Cv5A</v>
      </c>
      <c r="AV254" s="3">
        <v>46256</v>
      </c>
      <c r="AW254" s="16">
        <v>35.800372437541299</v>
      </c>
      <c r="BB254">
        <v>1.2642543032686626</v>
      </c>
      <c r="BC254">
        <v>3.2472043620885187</v>
      </c>
    </row>
    <row r="255" spans="1:55" x14ac:dyDescent="0.25">
      <c r="A255" s="14">
        <v>2015</v>
      </c>
      <c r="B255" s="14" t="s">
        <v>123</v>
      </c>
      <c r="C255" s="14" t="s">
        <v>130</v>
      </c>
      <c r="D255" s="14">
        <v>4</v>
      </c>
      <c r="E255" s="14">
        <v>3</v>
      </c>
      <c r="F255" s="14">
        <v>14</v>
      </c>
      <c r="G255" s="14">
        <v>2</v>
      </c>
      <c r="H255" s="14" t="s">
        <v>10</v>
      </c>
      <c r="I255" s="15">
        <v>42222</v>
      </c>
      <c r="J255" s="14" t="s">
        <v>125</v>
      </c>
      <c r="K255" s="14">
        <v>95</v>
      </c>
      <c r="L255" s="14">
        <v>35</v>
      </c>
      <c r="M255" s="14">
        <v>60</v>
      </c>
      <c r="N255" s="14"/>
      <c r="O255" s="14"/>
      <c r="P255" s="10"/>
      <c r="Q255" s="10"/>
      <c r="R255" s="26"/>
      <c r="T255" s="16"/>
      <c r="AC255" t="s">
        <v>12</v>
      </c>
      <c r="AD255" s="3">
        <v>41883</v>
      </c>
      <c r="AE255" s="16">
        <v>253.25</v>
      </c>
      <c r="AJ255">
        <v>6.0874500000000005</v>
      </c>
      <c r="AK255">
        <v>26.306100000000001</v>
      </c>
      <c r="AN255" t="str">
        <f t="shared" si="16"/>
        <v>Minnipa</v>
      </c>
      <c r="AO255">
        <f t="shared" si="17"/>
        <v>2014</v>
      </c>
      <c r="AP255" t="str">
        <f t="shared" si="18"/>
        <v>60A</v>
      </c>
      <c r="AQ255" t="str">
        <f t="shared" si="19"/>
        <v>Minnipa2014Cv60A</v>
      </c>
      <c r="AU255" t="s">
        <v>12</v>
      </c>
      <c r="AV255" s="3">
        <v>41883</v>
      </c>
      <c r="AW255" s="16">
        <v>30.467195473164246</v>
      </c>
      <c r="BB255">
        <v>1.7357445078889515</v>
      </c>
      <c r="BC255">
        <v>3.0556355694573964</v>
      </c>
    </row>
    <row r="256" spans="1:55" x14ac:dyDescent="0.25">
      <c r="A256" s="14">
        <v>2015</v>
      </c>
      <c r="B256" s="14" t="s">
        <v>123</v>
      </c>
      <c r="C256" s="14" t="s">
        <v>130</v>
      </c>
      <c r="D256" s="14">
        <v>4</v>
      </c>
      <c r="E256" s="14">
        <v>2</v>
      </c>
      <c r="F256" s="14">
        <v>15</v>
      </c>
      <c r="G256" s="14">
        <v>2</v>
      </c>
      <c r="H256" s="14" t="s">
        <v>8</v>
      </c>
      <c r="I256" s="15">
        <v>42222</v>
      </c>
      <c r="J256" s="14" t="s">
        <v>125</v>
      </c>
      <c r="K256" s="14">
        <v>102</v>
      </c>
      <c r="L256" s="14">
        <v>43</v>
      </c>
      <c r="M256" s="14">
        <v>59</v>
      </c>
      <c r="N256" s="14"/>
      <c r="O256" s="14"/>
      <c r="P256" s="10"/>
      <c r="Q256" s="10"/>
      <c r="R256" s="26"/>
      <c r="T256" s="16"/>
      <c r="AD256" s="3">
        <v>41899</v>
      </c>
      <c r="AE256" s="16">
        <v>625</v>
      </c>
      <c r="AF256">
        <v>332</v>
      </c>
      <c r="AG256">
        <v>97.8</v>
      </c>
      <c r="AH256">
        <v>148</v>
      </c>
      <c r="AI256">
        <v>46.8</v>
      </c>
      <c r="AJ256">
        <v>10.3125</v>
      </c>
      <c r="AK256">
        <v>58.4375</v>
      </c>
      <c r="AN256" t="str">
        <f t="shared" si="16"/>
        <v>Minnipa</v>
      </c>
      <c r="AO256">
        <f t="shared" si="17"/>
        <v>2014</v>
      </c>
      <c r="AP256" t="str">
        <f t="shared" si="18"/>
        <v>60A</v>
      </c>
      <c r="AQ256" t="str">
        <f t="shared" si="19"/>
        <v>Minnipa2014Cv60A</v>
      </c>
      <c r="AV256" s="3">
        <v>41899</v>
      </c>
      <c r="AW256" s="16" t="e">
        <v>#DIV/0!</v>
      </c>
      <c r="AX256" t="e">
        <v>#DIV/0!</v>
      </c>
      <c r="AY256" t="e">
        <v>#DIV/0!</v>
      </c>
      <c r="AZ256" t="e">
        <v>#DIV/0!</v>
      </c>
      <c r="BA256" t="e">
        <v>#DIV/0!</v>
      </c>
      <c r="BB256" t="e">
        <v>#DIV/0!</v>
      </c>
      <c r="BC256" t="e">
        <v>#DIV/0!</v>
      </c>
    </row>
    <row r="257" spans="1:55" x14ac:dyDescent="0.25">
      <c r="A257" s="14">
        <v>2015</v>
      </c>
      <c r="B257" s="14" t="s">
        <v>123</v>
      </c>
      <c r="C257" s="14" t="s">
        <v>130</v>
      </c>
      <c r="D257" s="14">
        <v>4</v>
      </c>
      <c r="E257" s="14">
        <v>1</v>
      </c>
      <c r="F257" s="14">
        <v>16</v>
      </c>
      <c r="G257" s="14">
        <v>2</v>
      </c>
      <c r="H257" s="14" t="s">
        <v>14</v>
      </c>
      <c r="I257" s="15">
        <v>42222</v>
      </c>
      <c r="J257" s="14" t="s">
        <v>125</v>
      </c>
      <c r="K257" s="14">
        <v>132</v>
      </c>
      <c r="L257" s="14">
        <v>57</v>
      </c>
      <c r="M257" s="14">
        <v>75</v>
      </c>
      <c r="N257" s="14"/>
      <c r="O257" s="14"/>
      <c r="P257" s="10"/>
      <c r="Q257" s="10"/>
      <c r="R257" s="26"/>
      <c r="T257" s="16"/>
      <c r="AD257" s="3">
        <v>41901</v>
      </c>
      <c r="AE257" s="16">
        <v>435.33333333333331</v>
      </c>
      <c r="AF257">
        <v>243.66666666666666</v>
      </c>
      <c r="AG257">
        <v>75.933333333333337</v>
      </c>
      <c r="AH257">
        <v>85.333333333333329</v>
      </c>
      <c r="AI257">
        <v>30.5</v>
      </c>
      <c r="AJ257">
        <v>8.0330666666666666</v>
      </c>
      <c r="AK257">
        <v>48.826933333333329</v>
      </c>
      <c r="AN257" t="str">
        <f t="shared" si="16"/>
        <v>Minnipa</v>
      </c>
      <c r="AO257">
        <f t="shared" si="17"/>
        <v>2014</v>
      </c>
      <c r="AP257" t="str">
        <f t="shared" si="18"/>
        <v>60A</v>
      </c>
      <c r="AQ257" t="str">
        <f t="shared" si="19"/>
        <v>Minnipa2014Cv60A</v>
      </c>
      <c r="AV257" s="3">
        <v>41901</v>
      </c>
      <c r="AW257" s="16">
        <v>32.347076117221384</v>
      </c>
      <c r="AX257">
        <v>22.898325994127354</v>
      </c>
      <c r="AY257">
        <v>5.7830211250982559</v>
      </c>
      <c r="AZ257">
        <v>4.5092497528229618</v>
      </c>
      <c r="BA257">
        <v>10.804165863221465</v>
      </c>
      <c r="BB257">
        <v>0.18016718162119022</v>
      </c>
      <c r="BC257">
        <v>4.4349778988551742</v>
      </c>
    </row>
    <row r="258" spans="1:55" x14ac:dyDescent="0.25">
      <c r="A258" s="14">
        <v>2015</v>
      </c>
      <c r="B258" s="14" t="s">
        <v>123</v>
      </c>
      <c r="C258" s="14" t="s">
        <v>130</v>
      </c>
      <c r="D258" s="14">
        <v>5</v>
      </c>
      <c r="E258" s="14">
        <v>1</v>
      </c>
      <c r="F258" s="14">
        <v>17</v>
      </c>
      <c r="G258" s="14">
        <v>2</v>
      </c>
      <c r="H258" s="14" t="s">
        <v>12</v>
      </c>
      <c r="I258" s="15">
        <v>42222</v>
      </c>
      <c r="J258" s="14" t="s">
        <v>125</v>
      </c>
      <c r="K258" s="14">
        <v>99</v>
      </c>
      <c r="L258" s="14">
        <v>40</v>
      </c>
      <c r="M258" s="14">
        <v>59</v>
      </c>
      <c r="N258" s="14"/>
      <c r="O258" s="14"/>
      <c r="P258" s="10"/>
      <c r="Q258" s="10"/>
      <c r="R258" s="26"/>
      <c r="T258" s="16"/>
      <c r="AD258" s="3">
        <v>41954</v>
      </c>
      <c r="AE258" s="16">
        <v>536.75</v>
      </c>
      <c r="AF258">
        <v>163.5</v>
      </c>
      <c r="AH258">
        <v>326.25</v>
      </c>
      <c r="AI258">
        <v>52.25</v>
      </c>
      <c r="AN258" t="str">
        <f t="shared" si="16"/>
        <v>Minnipa</v>
      </c>
      <c r="AO258">
        <f t="shared" si="17"/>
        <v>2014</v>
      </c>
      <c r="AP258" t="str">
        <f t="shared" si="18"/>
        <v>60A</v>
      </c>
      <c r="AQ258" t="str">
        <f t="shared" si="19"/>
        <v>Minnipa2014Cv60A</v>
      </c>
      <c r="AV258" s="3">
        <v>41954</v>
      </c>
      <c r="AW258" s="16">
        <v>77.016773064919647</v>
      </c>
      <c r="AX258">
        <v>29.045940622859273</v>
      </c>
      <c r="AZ258">
        <v>45.176505693409567</v>
      </c>
      <c r="BA258">
        <v>1.707825127659933</v>
      </c>
    </row>
    <row r="259" spans="1:55" x14ac:dyDescent="0.25">
      <c r="A259" s="14">
        <v>2015</v>
      </c>
      <c r="B259" s="14" t="s">
        <v>123</v>
      </c>
      <c r="C259" s="14" t="s">
        <v>130</v>
      </c>
      <c r="D259" s="14">
        <v>5</v>
      </c>
      <c r="E259" s="14">
        <v>2</v>
      </c>
      <c r="F259" s="14">
        <v>18</v>
      </c>
      <c r="G259" s="14">
        <v>2</v>
      </c>
      <c r="H259" s="14" t="s">
        <v>7</v>
      </c>
      <c r="I259" s="15">
        <v>42222</v>
      </c>
      <c r="J259" s="14" t="s">
        <v>125</v>
      </c>
      <c r="K259" s="14">
        <v>87</v>
      </c>
      <c r="L259" s="14">
        <v>37</v>
      </c>
      <c r="M259" s="14">
        <v>50</v>
      </c>
      <c r="N259" s="14"/>
      <c r="O259" s="14"/>
      <c r="P259" s="10"/>
      <c r="Q259" s="10"/>
      <c r="R259" s="26"/>
      <c r="T259" s="16"/>
      <c r="AD259" s="3">
        <v>46239</v>
      </c>
      <c r="AE259" s="16">
        <v>54.75</v>
      </c>
      <c r="AJ259">
        <v>2.4815750000000003</v>
      </c>
      <c r="AK259">
        <v>4.3250999999999999</v>
      </c>
      <c r="AN259" t="str">
        <f t="shared" si="16"/>
        <v>Minnipa</v>
      </c>
      <c r="AO259">
        <f t="shared" si="17"/>
        <v>2014</v>
      </c>
      <c r="AP259" t="str">
        <f t="shared" si="18"/>
        <v>60A</v>
      </c>
      <c r="AQ259" t="str">
        <f t="shared" si="19"/>
        <v>Minnipa2014Cv60A</v>
      </c>
      <c r="AV259" s="3">
        <v>46239</v>
      </c>
      <c r="AW259" s="16">
        <v>18.997806890972093</v>
      </c>
      <c r="BB259">
        <v>0.89436628728576939</v>
      </c>
      <c r="BC259">
        <v>1.4121773401382713</v>
      </c>
    </row>
    <row r="260" spans="1:55" x14ac:dyDescent="0.25">
      <c r="A260" s="14">
        <v>2015</v>
      </c>
      <c r="B260" s="14" t="s">
        <v>123</v>
      </c>
      <c r="C260" s="14" t="s">
        <v>130</v>
      </c>
      <c r="D260" s="14">
        <v>5</v>
      </c>
      <c r="E260" s="14">
        <v>3</v>
      </c>
      <c r="F260" s="14">
        <v>19</v>
      </c>
      <c r="G260" s="14">
        <v>2</v>
      </c>
      <c r="H260" s="14" t="s">
        <v>5</v>
      </c>
      <c r="I260" s="15">
        <v>42222</v>
      </c>
      <c r="J260" s="14" t="s">
        <v>125</v>
      </c>
      <c r="K260" s="14">
        <v>69</v>
      </c>
      <c r="L260" s="14">
        <v>25</v>
      </c>
      <c r="M260" s="14">
        <v>44</v>
      </c>
      <c r="N260" s="14"/>
      <c r="O260" s="14"/>
      <c r="P260" s="10"/>
      <c r="Q260" s="10"/>
      <c r="R260" s="26"/>
      <c r="T260" s="16"/>
      <c r="AD260" s="3">
        <v>46249</v>
      </c>
      <c r="AE260" s="16">
        <v>97.25</v>
      </c>
      <c r="AJ260">
        <v>3.3823999999999996</v>
      </c>
      <c r="AK260">
        <v>12.177100000000001</v>
      </c>
      <c r="AN260" t="str">
        <f t="shared" si="16"/>
        <v>Minnipa</v>
      </c>
      <c r="AO260">
        <f t="shared" si="17"/>
        <v>2014</v>
      </c>
      <c r="AP260" t="str">
        <f t="shared" si="18"/>
        <v>60A</v>
      </c>
      <c r="AQ260" t="str">
        <f t="shared" si="19"/>
        <v>Minnipa2014Cv60A</v>
      </c>
      <c r="AV260" s="3">
        <v>46249</v>
      </c>
      <c r="AW260" s="16">
        <v>8.6168439698070429</v>
      </c>
      <c r="BB260">
        <v>0.34019790318774407</v>
      </c>
      <c r="BC260">
        <v>1.5870247257053021</v>
      </c>
    </row>
    <row r="261" spans="1:55" x14ac:dyDescent="0.25">
      <c r="A261" s="14">
        <v>2015</v>
      </c>
      <c r="B261" s="14" t="s">
        <v>123</v>
      </c>
      <c r="C261" s="14" t="s">
        <v>130</v>
      </c>
      <c r="D261" s="14">
        <v>5</v>
      </c>
      <c r="E261" s="14">
        <v>4</v>
      </c>
      <c r="F261" s="14">
        <v>20</v>
      </c>
      <c r="G261" s="14">
        <v>2</v>
      </c>
      <c r="H261" s="14" t="s">
        <v>2</v>
      </c>
      <c r="I261" s="15">
        <v>42222</v>
      </c>
      <c r="J261" s="14" t="s">
        <v>125</v>
      </c>
      <c r="K261" s="14">
        <v>66</v>
      </c>
      <c r="L261" s="14">
        <v>22</v>
      </c>
      <c r="M261" s="14">
        <v>44</v>
      </c>
      <c r="N261" s="14"/>
      <c r="O261" s="14"/>
      <c r="P261" s="10"/>
      <c r="Q261" s="10"/>
      <c r="R261" s="26"/>
      <c r="T261" s="16"/>
      <c r="AC261" t="s">
        <v>10</v>
      </c>
      <c r="AD261" s="3">
        <v>41883</v>
      </c>
      <c r="AE261" s="16">
        <v>217.75</v>
      </c>
      <c r="AJ261">
        <v>5.4585000000000008</v>
      </c>
      <c r="AK261">
        <v>29.520766666666663</v>
      </c>
      <c r="AN261" t="str">
        <f t="shared" ref="AN261:AN324" si="20">IF(AA261&lt;&gt;"",AA261,AN260)</f>
        <v>Minnipa</v>
      </c>
      <c r="AO261">
        <f t="shared" ref="AO261:AO324" si="21">IF(AB261&lt;&gt;"",AB261,AO260)</f>
        <v>2014</v>
      </c>
      <c r="AP261" t="str">
        <f t="shared" ref="AP261:AP324" si="22">IF(AC261&lt;&gt;"",AC261,AP260)</f>
        <v>Corack</v>
      </c>
      <c r="AQ261" t="str">
        <f t="shared" ref="AQ261:AQ324" si="23">AN261&amp;AO261&amp;"Cv"&amp;AP261</f>
        <v>Minnipa2014CvCorack</v>
      </c>
      <c r="AU261" t="s">
        <v>10</v>
      </c>
      <c r="AV261" s="3">
        <v>41883</v>
      </c>
      <c r="AW261" s="16">
        <v>54.322340401225965</v>
      </c>
      <c r="BB261">
        <v>0.39727923429243595</v>
      </c>
      <c r="BC261">
        <v>5.1754195581936733</v>
      </c>
    </row>
    <row r="262" spans="1:55" x14ac:dyDescent="0.25">
      <c r="A262" s="14">
        <v>2015</v>
      </c>
      <c r="B262" s="14" t="s">
        <v>123</v>
      </c>
      <c r="C262" s="14" t="s">
        <v>130</v>
      </c>
      <c r="D262" s="14">
        <v>6</v>
      </c>
      <c r="E262" s="14">
        <v>4</v>
      </c>
      <c r="F262" s="14">
        <v>21</v>
      </c>
      <c r="G262" s="14">
        <v>2</v>
      </c>
      <c r="H262" s="14" t="s">
        <v>3</v>
      </c>
      <c r="I262" s="15">
        <v>42222</v>
      </c>
      <c r="J262" s="14" t="s">
        <v>125</v>
      </c>
      <c r="K262" s="14">
        <v>51</v>
      </c>
      <c r="L262" s="14">
        <v>18</v>
      </c>
      <c r="M262" s="14">
        <v>34</v>
      </c>
      <c r="N262" s="14"/>
      <c r="O262" s="14"/>
      <c r="P262" s="10"/>
      <c r="Q262" s="10"/>
      <c r="R262" s="26"/>
      <c r="T262" s="16"/>
      <c r="AD262" s="3">
        <v>41899</v>
      </c>
      <c r="AE262" s="16">
        <v>347.33333333333331</v>
      </c>
      <c r="AF262">
        <v>195.66666666666666</v>
      </c>
      <c r="AG262">
        <v>55.9</v>
      </c>
      <c r="AH262">
        <v>80.333333333333329</v>
      </c>
      <c r="AI262">
        <v>15.733333333333334</v>
      </c>
      <c r="AJ262">
        <v>7.0712000000000002</v>
      </c>
      <c r="AK262">
        <v>43.023966666666666</v>
      </c>
      <c r="AN262" t="str">
        <f t="shared" si="20"/>
        <v>Minnipa</v>
      </c>
      <c r="AO262">
        <f t="shared" si="21"/>
        <v>2014</v>
      </c>
      <c r="AP262" t="str">
        <f t="shared" si="22"/>
        <v>Corack</v>
      </c>
      <c r="AQ262" t="str">
        <f t="shared" si="23"/>
        <v>Minnipa2014CvCorack</v>
      </c>
      <c r="AV262" s="3">
        <v>41899</v>
      </c>
      <c r="AW262" s="16">
        <v>66.289767938448406</v>
      </c>
      <c r="AX262">
        <v>31.342197327777384</v>
      </c>
      <c r="AY262">
        <v>10.454185764563396</v>
      </c>
      <c r="AZ262">
        <v>17.953644012660327</v>
      </c>
      <c r="BA262">
        <v>7.9977080050057658</v>
      </c>
      <c r="BB262">
        <v>1.2946710663330716</v>
      </c>
      <c r="BC262">
        <v>3.6062777656932674</v>
      </c>
    </row>
    <row r="263" spans="1:55" x14ac:dyDescent="0.25">
      <c r="A263" s="14">
        <v>2015</v>
      </c>
      <c r="B263" s="14" t="s">
        <v>123</v>
      </c>
      <c r="C263" s="14" t="s">
        <v>130</v>
      </c>
      <c r="D263" s="14">
        <v>6</v>
      </c>
      <c r="E263" s="14">
        <v>3</v>
      </c>
      <c r="F263" s="14">
        <v>22</v>
      </c>
      <c r="G263" s="14">
        <v>2</v>
      </c>
      <c r="H263" s="14" t="s">
        <v>13</v>
      </c>
      <c r="I263" s="15">
        <v>42222</v>
      </c>
      <c r="J263" s="14" t="s">
        <v>125</v>
      </c>
      <c r="K263" s="14">
        <v>55</v>
      </c>
      <c r="L263" s="14">
        <v>21</v>
      </c>
      <c r="M263" s="14">
        <v>35</v>
      </c>
      <c r="N263" s="14"/>
      <c r="O263" s="14"/>
      <c r="P263" s="10"/>
      <c r="Q263" s="10"/>
      <c r="R263" s="26"/>
      <c r="T263" s="16"/>
      <c r="AD263" s="3">
        <v>41904</v>
      </c>
      <c r="AE263" s="16">
        <v>304</v>
      </c>
      <c r="AF263">
        <v>158</v>
      </c>
      <c r="AG263">
        <v>53.9</v>
      </c>
      <c r="AH263">
        <v>85</v>
      </c>
      <c r="AI263">
        <v>6.8</v>
      </c>
      <c r="AJ263">
        <v>6.5055999999999994</v>
      </c>
      <c r="AK263">
        <v>44.414400000000001</v>
      </c>
      <c r="AN263" t="str">
        <f t="shared" si="20"/>
        <v>Minnipa</v>
      </c>
      <c r="AO263">
        <f t="shared" si="21"/>
        <v>2014</v>
      </c>
      <c r="AP263" t="str">
        <f t="shared" si="22"/>
        <v>Corack</v>
      </c>
      <c r="AQ263" t="str">
        <f t="shared" si="23"/>
        <v>Minnipa2014CvCorack</v>
      </c>
      <c r="AV263" s="3">
        <v>41904</v>
      </c>
      <c r="AW263" s="16" t="e">
        <v>#DIV/0!</v>
      </c>
      <c r="AX263" t="e">
        <v>#DIV/0!</v>
      </c>
      <c r="AY263" t="e">
        <v>#DIV/0!</v>
      </c>
      <c r="AZ263" t="e">
        <v>#DIV/0!</v>
      </c>
      <c r="BA263" t="e">
        <v>#DIV/0!</v>
      </c>
      <c r="BB263" t="e">
        <v>#DIV/0!</v>
      </c>
      <c r="BC263" t="e">
        <v>#DIV/0!</v>
      </c>
    </row>
    <row r="264" spans="1:55" x14ac:dyDescent="0.25">
      <c r="A264" s="14">
        <v>2015</v>
      </c>
      <c r="B264" s="14" t="s">
        <v>123</v>
      </c>
      <c r="C264" s="14" t="s">
        <v>130</v>
      </c>
      <c r="D264" s="14">
        <v>6</v>
      </c>
      <c r="E264" s="14">
        <v>2</v>
      </c>
      <c r="F264" s="14">
        <v>23</v>
      </c>
      <c r="G264" s="14">
        <v>2</v>
      </c>
      <c r="H264" s="14" t="s">
        <v>9</v>
      </c>
      <c r="I264" s="15">
        <v>42222</v>
      </c>
      <c r="J264" s="14" t="s">
        <v>125</v>
      </c>
      <c r="K264" s="14">
        <v>65</v>
      </c>
      <c r="L264" s="14">
        <v>23</v>
      </c>
      <c r="M264" s="14">
        <v>42</v>
      </c>
      <c r="N264" s="14"/>
      <c r="O264" s="14"/>
      <c r="P264" s="10"/>
      <c r="Q264" s="10"/>
      <c r="R264" s="26"/>
      <c r="T264" s="16"/>
      <c r="AD264" s="3">
        <v>41954</v>
      </c>
      <c r="AE264" s="16">
        <v>473.5</v>
      </c>
      <c r="AF264">
        <v>125</v>
      </c>
      <c r="AH264">
        <v>306</v>
      </c>
      <c r="AI264">
        <v>40.75</v>
      </c>
      <c r="AN264" t="str">
        <f t="shared" si="20"/>
        <v>Minnipa</v>
      </c>
      <c r="AO264">
        <f t="shared" si="21"/>
        <v>2014</v>
      </c>
      <c r="AP264" t="str">
        <f t="shared" si="22"/>
        <v>Corack</v>
      </c>
      <c r="AQ264" t="str">
        <f t="shared" si="23"/>
        <v>Minnipa2014CvCorack</v>
      </c>
      <c r="AV264" s="3">
        <v>41954</v>
      </c>
      <c r="AW264" s="16">
        <v>46.335731352812381</v>
      </c>
      <c r="AX264">
        <v>13.291601358251256</v>
      </c>
      <c r="AZ264">
        <v>28.307831660749528</v>
      </c>
      <c r="BA264">
        <v>8.6554414483991895</v>
      </c>
    </row>
    <row r="265" spans="1:55" x14ac:dyDescent="0.25">
      <c r="A265" s="14">
        <v>2015</v>
      </c>
      <c r="B265" s="14" t="s">
        <v>123</v>
      </c>
      <c r="C265" s="14" t="s">
        <v>130</v>
      </c>
      <c r="D265" s="14">
        <v>6</v>
      </c>
      <c r="E265" s="14">
        <v>1</v>
      </c>
      <c r="F265" s="14">
        <v>24</v>
      </c>
      <c r="G265" s="14">
        <v>2</v>
      </c>
      <c r="H265" s="14" t="s">
        <v>6</v>
      </c>
      <c r="I265" s="15">
        <v>42222</v>
      </c>
      <c r="J265" s="14" t="s">
        <v>125</v>
      </c>
      <c r="K265" s="14">
        <v>68</v>
      </c>
      <c r="L265" s="14">
        <v>23</v>
      </c>
      <c r="M265" s="14">
        <v>44</v>
      </c>
      <c r="N265" s="14"/>
      <c r="O265" s="14"/>
      <c r="P265" s="10"/>
      <c r="Q265" s="10"/>
      <c r="R265" s="26"/>
      <c r="T265" s="16"/>
      <c r="AD265" s="3">
        <v>46239</v>
      </c>
      <c r="AE265" s="16">
        <v>46.5</v>
      </c>
      <c r="AJ265">
        <v>2.0392000000000001</v>
      </c>
      <c r="AK265">
        <v>4.9705250000000003</v>
      </c>
      <c r="AN265" t="str">
        <f t="shared" si="20"/>
        <v>Minnipa</v>
      </c>
      <c r="AO265">
        <f t="shared" si="21"/>
        <v>2014</v>
      </c>
      <c r="AP265" t="str">
        <f t="shared" si="22"/>
        <v>Corack</v>
      </c>
      <c r="AQ265" t="str">
        <f t="shared" si="23"/>
        <v>Minnipa2014CvCorack</v>
      </c>
      <c r="AV265" s="3">
        <v>46239</v>
      </c>
      <c r="AW265" s="16">
        <v>9.6090235369330497</v>
      </c>
      <c r="BB265">
        <v>0.4123625993386546</v>
      </c>
      <c r="BC265">
        <v>1.3754164251236789</v>
      </c>
    </row>
    <row r="266" spans="1:55" x14ac:dyDescent="0.25">
      <c r="A266" s="14">
        <v>2015</v>
      </c>
      <c r="B266" s="14" t="s">
        <v>123</v>
      </c>
      <c r="C266" s="14" t="s">
        <v>130</v>
      </c>
      <c r="D266" s="14">
        <v>7</v>
      </c>
      <c r="E266" s="14">
        <v>1</v>
      </c>
      <c r="F266" s="14">
        <v>25</v>
      </c>
      <c r="G266" s="14">
        <v>3</v>
      </c>
      <c r="H266" s="14" t="s">
        <v>9</v>
      </c>
      <c r="I266" s="15">
        <v>42222</v>
      </c>
      <c r="J266" s="14" t="s">
        <v>125</v>
      </c>
      <c r="K266" s="14">
        <v>58</v>
      </c>
      <c r="L266" s="14">
        <v>18</v>
      </c>
      <c r="M266" s="14">
        <v>40</v>
      </c>
      <c r="N266" s="14"/>
      <c r="O266" s="14"/>
      <c r="P266" s="10"/>
      <c r="Q266" s="10"/>
      <c r="R266" s="26"/>
      <c r="T266" s="16"/>
      <c r="AD266" s="3">
        <v>46254</v>
      </c>
      <c r="AE266" s="16">
        <v>110.75</v>
      </c>
      <c r="AJ266">
        <v>3.0678749999999999</v>
      </c>
      <c r="AK266">
        <v>12.942749999999998</v>
      </c>
      <c r="AN266" t="str">
        <f t="shared" si="20"/>
        <v>Minnipa</v>
      </c>
      <c r="AO266">
        <f t="shared" si="21"/>
        <v>2014</v>
      </c>
      <c r="AP266" t="str">
        <f t="shared" si="22"/>
        <v>Corack</v>
      </c>
      <c r="AQ266" t="str">
        <f t="shared" si="23"/>
        <v>Minnipa2014CvCorack</v>
      </c>
      <c r="AV266" s="3">
        <v>46254</v>
      </c>
      <c r="AW266" s="16">
        <v>16.640813281407453</v>
      </c>
      <c r="BB266">
        <v>0.57272777346659298</v>
      </c>
      <c r="BC266">
        <v>3.9776645421654235</v>
      </c>
    </row>
    <row r="267" spans="1:55" x14ac:dyDescent="0.25">
      <c r="A267" s="14">
        <v>2015</v>
      </c>
      <c r="B267" s="14" t="s">
        <v>123</v>
      </c>
      <c r="C267" s="14" t="s">
        <v>130</v>
      </c>
      <c r="D267" s="14">
        <v>7</v>
      </c>
      <c r="E267" s="14">
        <v>2</v>
      </c>
      <c r="F267" s="14">
        <v>26</v>
      </c>
      <c r="G267" s="14">
        <v>3</v>
      </c>
      <c r="H267" s="14" t="s">
        <v>5</v>
      </c>
      <c r="I267" s="15">
        <v>42222</v>
      </c>
      <c r="J267" s="14" t="s">
        <v>125</v>
      </c>
      <c r="K267" s="14">
        <v>79</v>
      </c>
      <c r="L267" s="14">
        <v>27</v>
      </c>
      <c r="M267" s="14">
        <v>52</v>
      </c>
      <c r="N267" s="14"/>
      <c r="O267" s="14"/>
      <c r="P267" s="10"/>
      <c r="Q267" s="10"/>
      <c r="R267" s="26"/>
      <c r="T267" s="16"/>
      <c r="AC267" t="s">
        <v>8</v>
      </c>
      <c r="AD267" s="3">
        <v>41883</v>
      </c>
      <c r="AE267" s="16">
        <v>240</v>
      </c>
      <c r="AJ267">
        <v>6.1253500000000001</v>
      </c>
      <c r="AK267">
        <v>32.797699999999999</v>
      </c>
      <c r="AN267" t="str">
        <f t="shared" si="20"/>
        <v>Minnipa</v>
      </c>
      <c r="AO267">
        <f t="shared" si="21"/>
        <v>2014</v>
      </c>
      <c r="AP267" t="str">
        <f t="shared" si="22"/>
        <v>Espada</v>
      </c>
      <c r="AQ267" t="str">
        <f t="shared" si="23"/>
        <v>Minnipa2014CvEspada</v>
      </c>
      <c r="AU267" t="s">
        <v>8</v>
      </c>
      <c r="AV267" s="3">
        <v>41883</v>
      </c>
      <c r="AW267" s="16">
        <v>31.026870075253587</v>
      </c>
      <c r="BB267">
        <v>0.69740210065642483</v>
      </c>
      <c r="BC267">
        <v>2.2938525875333098</v>
      </c>
    </row>
    <row r="268" spans="1:55" x14ac:dyDescent="0.25">
      <c r="A268" s="14">
        <v>2015</v>
      </c>
      <c r="B268" s="14" t="s">
        <v>123</v>
      </c>
      <c r="C268" s="14" t="s">
        <v>130</v>
      </c>
      <c r="D268" s="14">
        <v>7</v>
      </c>
      <c r="E268" s="14">
        <v>3</v>
      </c>
      <c r="F268" s="14">
        <v>27</v>
      </c>
      <c r="G268" s="14">
        <v>3</v>
      </c>
      <c r="H268" s="14" t="s">
        <v>3</v>
      </c>
      <c r="I268" s="15">
        <v>42222</v>
      </c>
      <c r="J268" s="14" t="s">
        <v>125</v>
      </c>
      <c r="K268" s="14">
        <v>54</v>
      </c>
      <c r="L268" s="14">
        <v>18</v>
      </c>
      <c r="M268" s="14">
        <v>36</v>
      </c>
      <c r="N268" s="14"/>
      <c r="O268" s="14"/>
      <c r="P268" s="10"/>
      <c r="Q268" s="10"/>
      <c r="R268" s="26"/>
      <c r="T268" s="16"/>
      <c r="AD268" s="3">
        <v>41901</v>
      </c>
      <c r="AE268" s="16">
        <v>447.5</v>
      </c>
      <c r="AF268">
        <v>259</v>
      </c>
      <c r="AG268">
        <v>87.75</v>
      </c>
      <c r="AH268">
        <v>81</v>
      </c>
      <c r="AI268">
        <v>18.899999999999999</v>
      </c>
      <c r="AJ268">
        <v>8.8818000000000001</v>
      </c>
      <c r="AK268">
        <v>60.594250000000002</v>
      </c>
      <c r="AN268" t="str">
        <f t="shared" si="20"/>
        <v>Minnipa</v>
      </c>
      <c r="AO268">
        <f t="shared" si="21"/>
        <v>2014</v>
      </c>
      <c r="AP268" t="str">
        <f t="shared" si="22"/>
        <v>Espada</v>
      </c>
      <c r="AQ268" t="str">
        <f t="shared" si="23"/>
        <v>Minnipa2014CvEspada</v>
      </c>
      <c r="AV268" s="3">
        <v>41901</v>
      </c>
      <c r="AW268" s="16">
        <v>30.405591591021544</v>
      </c>
      <c r="AX268">
        <v>18.384776310850235</v>
      </c>
      <c r="AY268">
        <v>6.2932503525602383</v>
      </c>
      <c r="AZ268">
        <v>2.8284271247461903</v>
      </c>
      <c r="BA268">
        <v>2.5455844122715972</v>
      </c>
      <c r="BB268">
        <v>0.57190796462368221</v>
      </c>
      <c r="BC268">
        <v>6.1691531124620003</v>
      </c>
    </row>
    <row r="269" spans="1:55" x14ac:dyDescent="0.25">
      <c r="A269" s="14">
        <v>2015</v>
      </c>
      <c r="B269" s="14" t="s">
        <v>123</v>
      </c>
      <c r="C269" s="14" t="s">
        <v>130</v>
      </c>
      <c r="D269" s="14">
        <v>7</v>
      </c>
      <c r="E269" s="14">
        <v>4</v>
      </c>
      <c r="F269" s="14">
        <v>28</v>
      </c>
      <c r="G269" s="14">
        <v>3</v>
      </c>
      <c r="H269" s="14" t="s">
        <v>8</v>
      </c>
      <c r="I269" s="15">
        <v>42222</v>
      </c>
      <c r="J269" s="14" t="s">
        <v>125</v>
      </c>
      <c r="K269" s="14">
        <v>69</v>
      </c>
      <c r="L269" s="14">
        <v>26</v>
      </c>
      <c r="M269" s="14">
        <v>43</v>
      </c>
      <c r="N269" s="14"/>
      <c r="O269" s="14"/>
      <c r="P269" s="10"/>
      <c r="Q269" s="10"/>
      <c r="R269" s="26"/>
      <c r="T269" s="16"/>
      <c r="AD269" s="3">
        <v>41904</v>
      </c>
      <c r="AE269" s="16">
        <v>471</v>
      </c>
      <c r="AF269">
        <v>275.5</v>
      </c>
      <c r="AG269">
        <v>95.95</v>
      </c>
      <c r="AH269">
        <v>92.5</v>
      </c>
      <c r="AI269">
        <v>7.1</v>
      </c>
      <c r="AJ269">
        <v>9.6300500000000007</v>
      </c>
      <c r="AK269">
        <v>62.666549999999994</v>
      </c>
      <c r="AN269" t="str">
        <f t="shared" si="20"/>
        <v>Minnipa</v>
      </c>
      <c r="AO269">
        <f t="shared" si="21"/>
        <v>2014</v>
      </c>
      <c r="AP269" t="str">
        <f t="shared" si="22"/>
        <v>Espada</v>
      </c>
      <c r="AQ269" t="str">
        <f t="shared" si="23"/>
        <v>Minnipa2014CvEspada</v>
      </c>
      <c r="AV269" s="3">
        <v>41904</v>
      </c>
      <c r="AW269" s="16">
        <v>28.284271247461902</v>
      </c>
      <c r="AX269">
        <v>31.81980515339464</v>
      </c>
      <c r="AY269">
        <v>7.8488852711706496</v>
      </c>
      <c r="AZ269">
        <v>2.1213203435596424</v>
      </c>
      <c r="BA269">
        <v>6.9296464556281663</v>
      </c>
      <c r="BB269">
        <v>1.0506899661650815</v>
      </c>
      <c r="BC269">
        <v>11.895020983798227</v>
      </c>
    </row>
    <row r="270" spans="1:55" x14ac:dyDescent="0.25">
      <c r="A270" s="14">
        <v>2015</v>
      </c>
      <c r="B270" s="14" t="s">
        <v>123</v>
      </c>
      <c r="C270" s="14" t="s">
        <v>130</v>
      </c>
      <c r="D270" s="14">
        <v>8</v>
      </c>
      <c r="E270" s="14">
        <v>4</v>
      </c>
      <c r="F270" s="14">
        <v>29</v>
      </c>
      <c r="G270" s="14">
        <v>3</v>
      </c>
      <c r="H270" s="14" t="s">
        <v>13</v>
      </c>
      <c r="I270" s="15">
        <v>42222</v>
      </c>
      <c r="J270" s="14" t="s">
        <v>125</v>
      </c>
      <c r="K270" s="14">
        <v>38</v>
      </c>
      <c r="L270" s="14">
        <v>12</v>
      </c>
      <c r="M270" s="14">
        <v>26</v>
      </c>
      <c r="N270" s="14"/>
      <c r="O270" s="14"/>
      <c r="P270" s="10"/>
      <c r="Q270" s="10"/>
      <c r="R270" s="26"/>
      <c r="T270" s="16"/>
      <c r="AD270" s="3">
        <v>41954</v>
      </c>
      <c r="AE270" s="16">
        <v>613.25</v>
      </c>
      <c r="AF270">
        <v>182.5</v>
      </c>
      <c r="AH270">
        <v>369.25</v>
      </c>
      <c r="AI270">
        <v>58.25</v>
      </c>
      <c r="AN270" t="str">
        <f t="shared" si="20"/>
        <v>Minnipa</v>
      </c>
      <c r="AO270">
        <f t="shared" si="21"/>
        <v>2014</v>
      </c>
      <c r="AP270" t="str">
        <f t="shared" si="22"/>
        <v>Espada</v>
      </c>
      <c r="AQ270" t="str">
        <f t="shared" si="23"/>
        <v>Minnipa2014CvEspada</v>
      </c>
      <c r="AV270" s="3">
        <v>41954</v>
      </c>
      <c r="AW270" s="16">
        <v>96.38940121541718</v>
      </c>
      <c r="AX270">
        <v>28.94247167514666</v>
      </c>
      <c r="AZ270">
        <v>57.731418367009368</v>
      </c>
      <c r="BA270">
        <v>14.863265679744362</v>
      </c>
    </row>
    <row r="271" spans="1:55" x14ac:dyDescent="0.25">
      <c r="A271" s="14">
        <v>2015</v>
      </c>
      <c r="B271" s="14" t="s">
        <v>123</v>
      </c>
      <c r="C271" s="14" t="s">
        <v>130</v>
      </c>
      <c r="D271" s="14">
        <v>8</v>
      </c>
      <c r="E271" s="14">
        <v>3</v>
      </c>
      <c r="F271" s="14">
        <v>30</v>
      </c>
      <c r="G271" s="14">
        <v>3</v>
      </c>
      <c r="H271" s="14" t="s">
        <v>7</v>
      </c>
      <c r="I271" s="15">
        <v>42222</v>
      </c>
      <c r="J271" s="14" t="s">
        <v>125</v>
      </c>
      <c r="K271" s="14">
        <v>69</v>
      </c>
      <c r="L271" s="14">
        <v>29</v>
      </c>
      <c r="M271" s="14">
        <v>41</v>
      </c>
      <c r="N271" s="14"/>
      <c r="O271" s="14"/>
      <c r="P271" s="10"/>
      <c r="Q271" s="10"/>
      <c r="R271" s="26"/>
      <c r="T271" s="16"/>
      <c r="AD271" s="3">
        <v>46239</v>
      </c>
      <c r="AE271" s="16">
        <v>49</v>
      </c>
      <c r="AJ271">
        <v>2.1639749999999998</v>
      </c>
      <c r="AK271">
        <v>5.7515749999999999</v>
      </c>
      <c r="AN271" t="str">
        <f t="shared" si="20"/>
        <v>Minnipa</v>
      </c>
      <c r="AO271">
        <f t="shared" si="21"/>
        <v>2014</v>
      </c>
      <c r="AP271" t="str">
        <f t="shared" si="22"/>
        <v>Espada</v>
      </c>
      <c r="AQ271" t="str">
        <f t="shared" si="23"/>
        <v>Minnipa2014CvEspada</v>
      </c>
      <c r="AV271" s="3">
        <v>46239</v>
      </c>
      <c r="AW271" s="16">
        <v>14.53730832490435</v>
      </c>
      <c r="BB271">
        <v>0.57047638791335431</v>
      </c>
      <c r="BC271">
        <v>2.7420380235328614</v>
      </c>
    </row>
    <row r="272" spans="1:55" x14ac:dyDescent="0.25">
      <c r="A272" s="14">
        <v>2015</v>
      </c>
      <c r="B272" s="14" t="s">
        <v>123</v>
      </c>
      <c r="C272" s="14" t="s">
        <v>130</v>
      </c>
      <c r="D272" s="14">
        <v>8</v>
      </c>
      <c r="E272" s="14">
        <v>2</v>
      </c>
      <c r="F272" s="14">
        <v>31</v>
      </c>
      <c r="G272" s="14">
        <v>3</v>
      </c>
      <c r="H272" s="14" t="s">
        <v>6</v>
      </c>
      <c r="I272" s="15">
        <v>42222</v>
      </c>
      <c r="J272" s="14" t="s">
        <v>125</v>
      </c>
      <c r="K272" s="14">
        <v>85</v>
      </c>
      <c r="L272" s="14">
        <v>32</v>
      </c>
      <c r="M272" s="14">
        <v>53</v>
      </c>
      <c r="N272" s="14"/>
      <c r="O272" s="14"/>
      <c r="P272" s="10"/>
      <c r="Q272" s="10"/>
      <c r="R272" s="26"/>
      <c r="T272" s="16"/>
      <c r="AD272" s="3">
        <v>46256</v>
      </c>
      <c r="AE272" s="16">
        <v>139.75</v>
      </c>
      <c r="AJ272">
        <v>3.9000250000000003</v>
      </c>
      <c r="AK272">
        <v>26.090375000000002</v>
      </c>
      <c r="AN272" t="str">
        <f t="shared" si="20"/>
        <v>Minnipa</v>
      </c>
      <c r="AO272">
        <f t="shared" si="21"/>
        <v>2014</v>
      </c>
      <c r="AP272" t="str">
        <f t="shared" si="22"/>
        <v>Espada</v>
      </c>
      <c r="AQ272" t="str">
        <f t="shared" si="23"/>
        <v>Minnipa2014CvEspada</v>
      </c>
      <c r="AV272" s="3">
        <v>46256</v>
      </c>
      <c r="AW272" s="16">
        <v>27.29316153666824</v>
      </c>
      <c r="BB272">
        <v>0.83548351818971467</v>
      </c>
      <c r="BC272">
        <v>6.846962728283235</v>
      </c>
    </row>
    <row r="273" spans="1:55" x14ac:dyDescent="0.25">
      <c r="A273" s="14">
        <v>2015</v>
      </c>
      <c r="B273" s="14" t="s">
        <v>123</v>
      </c>
      <c r="C273" s="14" t="s">
        <v>130</v>
      </c>
      <c r="D273" s="14">
        <v>8</v>
      </c>
      <c r="E273" s="14">
        <v>1</v>
      </c>
      <c r="F273" s="14">
        <v>32</v>
      </c>
      <c r="G273" s="14">
        <v>3</v>
      </c>
      <c r="H273" s="14" t="s">
        <v>10</v>
      </c>
      <c r="I273" s="15">
        <v>42222</v>
      </c>
      <c r="J273" s="14" t="s">
        <v>125</v>
      </c>
      <c r="K273" s="14">
        <v>108</v>
      </c>
      <c r="L273" s="14">
        <v>43</v>
      </c>
      <c r="M273" s="14">
        <v>64</v>
      </c>
      <c r="N273" s="14"/>
      <c r="O273" s="14"/>
      <c r="P273" s="10"/>
      <c r="Q273" s="10"/>
      <c r="R273" s="26"/>
      <c r="T273" s="16"/>
      <c r="AC273" t="s">
        <v>4</v>
      </c>
      <c r="AD273" s="3">
        <v>41883</v>
      </c>
      <c r="AE273" s="16">
        <v>199.5</v>
      </c>
      <c r="AJ273">
        <v>6.3142500000000004</v>
      </c>
      <c r="AK273">
        <v>22.841474999999999</v>
      </c>
      <c r="AN273" t="str">
        <f t="shared" si="20"/>
        <v>Minnipa</v>
      </c>
      <c r="AO273">
        <f t="shared" si="21"/>
        <v>2014</v>
      </c>
      <c r="AP273" t="str">
        <f t="shared" si="22"/>
        <v>Gauntlet</v>
      </c>
      <c r="AQ273" t="str">
        <f t="shared" si="23"/>
        <v>Minnipa2014CvGauntlet</v>
      </c>
      <c r="AU273" t="s">
        <v>4</v>
      </c>
      <c r="AV273" s="3">
        <v>41883</v>
      </c>
      <c r="AW273" s="16">
        <v>24.365275838099322</v>
      </c>
      <c r="BB273">
        <v>0.77836528485452627</v>
      </c>
      <c r="BC273">
        <v>6.6387960582096568</v>
      </c>
    </row>
    <row r="274" spans="1:55" x14ac:dyDescent="0.25">
      <c r="A274" s="14">
        <v>2015</v>
      </c>
      <c r="B274" s="14" t="s">
        <v>123</v>
      </c>
      <c r="C274" s="14" t="s">
        <v>130</v>
      </c>
      <c r="D274" s="14">
        <v>9</v>
      </c>
      <c r="E274" s="14">
        <v>1</v>
      </c>
      <c r="F274" s="14">
        <v>33</v>
      </c>
      <c r="G274" s="14">
        <v>3</v>
      </c>
      <c r="H274" s="14" t="s">
        <v>2</v>
      </c>
      <c r="I274" s="15">
        <v>42222</v>
      </c>
      <c r="J274" s="14" t="s">
        <v>125</v>
      </c>
      <c r="K274" s="14">
        <v>89</v>
      </c>
      <c r="L274" s="14">
        <v>35</v>
      </c>
      <c r="M274" s="14">
        <v>53</v>
      </c>
      <c r="N274" s="14"/>
      <c r="O274" s="14"/>
      <c r="P274" s="10"/>
      <c r="Q274" s="10"/>
      <c r="R274" s="26"/>
      <c r="T274" s="16"/>
      <c r="AD274" s="3">
        <v>41901</v>
      </c>
      <c r="AE274" s="16">
        <v>359</v>
      </c>
      <c r="AF274">
        <v>194</v>
      </c>
      <c r="AG274">
        <v>76.7</v>
      </c>
      <c r="AH274">
        <v>71</v>
      </c>
      <c r="AI274">
        <v>17.5</v>
      </c>
      <c r="AJ274">
        <v>8.041599999999999</v>
      </c>
      <c r="AK274">
        <v>36.115400000000001</v>
      </c>
      <c r="AN274" t="str">
        <f t="shared" si="20"/>
        <v>Minnipa</v>
      </c>
      <c r="AO274">
        <f t="shared" si="21"/>
        <v>2014</v>
      </c>
      <c r="AP274" t="str">
        <f t="shared" si="22"/>
        <v>Gauntlet</v>
      </c>
      <c r="AQ274" t="str">
        <f t="shared" si="23"/>
        <v>Minnipa2014CvGauntlet</v>
      </c>
      <c r="AV274" s="3">
        <v>41901</v>
      </c>
      <c r="AW274" s="16" t="e">
        <v>#DIV/0!</v>
      </c>
      <c r="AX274" t="e">
        <v>#DIV/0!</v>
      </c>
      <c r="AY274" t="e">
        <v>#DIV/0!</v>
      </c>
      <c r="AZ274" t="e">
        <v>#DIV/0!</v>
      </c>
      <c r="BA274" t="e">
        <v>#DIV/0!</v>
      </c>
      <c r="BB274" t="e">
        <v>#DIV/0!</v>
      </c>
      <c r="BC274" t="e">
        <v>#DIV/0!</v>
      </c>
    </row>
    <row r="275" spans="1:55" x14ac:dyDescent="0.25">
      <c r="A275" s="14">
        <v>2015</v>
      </c>
      <c r="B275" s="14" t="s">
        <v>123</v>
      </c>
      <c r="C275" s="14" t="s">
        <v>130</v>
      </c>
      <c r="D275" s="14">
        <v>9</v>
      </c>
      <c r="E275" s="14">
        <v>2</v>
      </c>
      <c r="F275" s="14">
        <v>34</v>
      </c>
      <c r="G275" s="14">
        <v>3</v>
      </c>
      <c r="H275" s="14" t="s">
        <v>4</v>
      </c>
      <c r="I275" s="15">
        <v>42222</v>
      </c>
      <c r="J275" s="14" t="s">
        <v>125</v>
      </c>
      <c r="K275" s="14">
        <v>122</v>
      </c>
      <c r="L275" s="14">
        <v>46</v>
      </c>
      <c r="M275" s="14">
        <v>76</v>
      </c>
      <c r="N275" s="14"/>
      <c r="O275" s="14"/>
      <c r="P275" s="10"/>
      <c r="Q275" s="10"/>
      <c r="R275" s="26"/>
      <c r="T275" s="16"/>
      <c r="AD275" s="3">
        <v>41904</v>
      </c>
      <c r="AE275" s="16">
        <v>425</v>
      </c>
      <c r="AF275">
        <v>214.33333333333334</v>
      </c>
      <c r="AG275">
        <v>79.3</v>
      </c>
      <c r="AH275">
        <v>122.33333333333333</v>
      </c>
      <c r="AI275">
        <v>9.5</v>
      </c>
      <c r="AJ275">
        <v>8.3862666666666659</v>
      </c>
      <c r="AK275">
        <v>47.329333333333331</v>
      </c>
      <c r="AN275" t="str">
        <f t="shared" si="20"/>
        <v>Minnipa</v>
      </c>
      <c r="AO275">
        <f t="shared" si="21"/>
        <v>2014</v>
      </c>
      <c r="AP275" t="str">
        <f t="shared" si="22"/>
        <v>Gauntlet</v>
      </c>
      <c r="AQ275" t="str">
        <f t="shared" si="23"/>
        <v>Minnipa2014CvGauntlet</v>
      </c>
      <c r="AV275" s="3">
        <v>41904</v>
      </c>
      <c r="AW275" s="16">
        <v>62</v>
      </c>
      <c r="AX275">
        <v>47.226405043506418</v>
      </c>
      <c r="AY275">
        <v>27.466160998581497</v>
      </c>
      <c r="AZ275">
        <v>44.094595284834313</v>
      </c>
      <c r="BA275">
        <v>1.4000000000000028</v>
      </c>
      <c r="BB275">
        <v>2.3914823631658577</v>
      </c>
      <c r="BC275">
        <v>11.769299133055187</v>
      </c>
    </row>
    <row r="276" spans="1:55" x14ac:dyDescent="0.25">
      <c r="A276" s="14">
        <v>2015</v>
      </c>
      <c r="B276" s="14" t="s">
        <v>123</v>
      </c>
      <c r="C276" s="14" t="s">
        <v>130</v>
      </c>
      <c r="D276" s="14">
        <v>9</v>
      </c>
      <c r="E276" s="14">
        <v>3</v>
      </c>
      <c r="F276" s="14">
        <v>35</v>
      </c>
      <c r="G276" s="14">
        <v>3</v>
      </c>
      <c r="H276" s="14" t="s">
        <v>14</v>
      </c>
      <c r="I276" s="15">
        <v>42222</v>
      </c>
      <c r="J276" s="14" t="s">
        <v>125</v>
      </c>
      <c r="K276" s="14">
        <v>123</v>
      </c>
      <c r="L276" s="14">
        <v>50</v>
      </c>
      <c r="M276" s="14">
        <v>71</v>
      </c>
      <c r="N276" s="14"/>
      <c r="O276" s="14"/>
      <c r="P276" s="10"/>
      <c r="Q276" s="10"/>
      <c r="R276" s="26"/>
      <c r="T276" s="16"/>
      <c r="AD276" s="3">
        <v>41954</v>
      </c>
      <c r="AE276" s="16">
        <v>543</v>
      </c>
      <c r="AF276">
        <v>140.5</v>
      </c>
      <c r="AH276">
        <v>336.75</v>
      </c>
      <c r="AI276">
        <v>53</v>
      </c>
      <c r="AN276" t="str">
        <f t="shared" si="20"/>
        <v>Minnipa</v>
      </c>
      <c r="AO276">
        <f t="shared" si="21"/>
        <v>2014</v>
      </c>
      <c r="AP276" t="str">
        <f t="shared" si="22"/>
        <v>Gauntlet</v>
      </c>
      <c r="AQ276" t="str">
        <f t="shared" si="23"/>
        <v>Minnipa2014CvGauntlet</v>
      </c>
      <c r="AV276" s="3">
        <v>41954</v>
      </c>
      <c r="AW276" s="16">
        <v>71.339563590852819</v>
      </c>
      <c r="AX276">
        <v>14.708274315273473</v>
      </c>
      <c r="AZ276">
        <v>42.382189655561689</v>
      </c>
      <c r="BA276">
        <v>15.077577170531523</v>
      </c>
    </row>
    <row r="277" spans="1:55" x14ac:dyDescent="0.25">
      <c r="A277" s="14">
        <v>2015</v>
      </c>
      <c r="B277" s="14" t="s">
        <v>123</v>
      </c>
      <c r="C277" s="14" t="s">
        <v>130</v>
      </c>
      <c r="D277" s="14">
        <v>9</v>
      </c>
      <c r="E277" s="14">
        <v>4</v>
      </c>
      <c r="F277" s="14">
        <v>36</v>
      </c>
      <c r="G277" s="14">
        <v>3</v>
      </c>
      <c r="H277" s="14" t="s">
        <v>12</v>
      </c>
      <c r="I277" s="15">
        <v>42222</v>
      </c>
      <c r="J277" s="14" t="s">
        <v>125</v>
      </c>
      <c r="K277" s="14">
        <v>81</v>
      </c>
      <c r="L277" s="14">
        <v>31</v>
      </c>
      <c r="M277" s="14">
        <v>50</v>
      </c>
      <c r="N277" s="14"/>
      <c r="O277" s="14"/>
      <c r="P277" s="10"/>
      <c r="Q277" s="10"/>
      <c r="R277" s="26"/>
      <c r="T277" s="16"/>
      <c r="AD277" s="3">
        <v>46239</v>
      </c>
      <c r="AE277" s="16">
        <v>36</v>
      </c>
      <c r="AJ277">
        <v>1.6051000000000002</v>
      </c>
      <c r="AK277">
        <v>3.9866999999999999</v>
      </c>
      <c r="AN277" t="str">
        <f t="shared" si="20"/>
        <v>Minnipa</v>
      </c>
      <c r="AO277">
        <f t="shared" si="21"/>
        <v>2014</v>
      </c>
      <c r="AP277" t="str">
        <f t="shared" si="22"/>
        <v>Gauntlet</v>
      </c>
      <c r="AQ277" t="str">
        <f t="shared" si="23"/>
        <v>Minnipa2014CvGauntlet</v>
      </c>
      <c r="AV277" s="3">
        <v>46239</v>
      </c>
      <c r="AW277" s="16">
        <v>14.142135623730951</v>
      </c>
      <c r="BB277">
        <v>0.50133870786126256</v>
      </c>
      <c r="BC277">
        <v>2.799435746717541</v>
      </c>
    </row>
    <row r="278" spans="1:55" x14ac:dyDescent="0.25">
      <c r="A278" s="14">
        <v>2015</v>
      </c>
      <c r="B278" s="14" t="s">
        <v>123</v>
      </c>
      <c r="C278" s="14" t="s">
        <v>130</v>
      </c>
      <c r="D278" s="14">
        <v>10</v>
      </c>
      <c r="E278" s="14">
        <v>4</v>
      </c>
      <c r="F278" s="14">
        <v>37</v>
      </c>
      <c r="G278" s="14">
        <v>4</v>
      </c>
      <c r="H278" s="14" t="s">
        <v>9</v>
      </c>
      <c r="I278" s="15">
        <v>42222</v>
      </c>
      <c r="J278" s="14" t="s">
        <v>125</v>
      </c>
      <c r="K278" s="14">
        <v>73</v>
      </c>
      <c r="L278" s="14">
        <v>30</v>
      </c>
      <c r="M278" s="14">
        <v>43</v>
      </c>
      <c r="N278" s="14"/>
      <c r="O278" s="14"/>
      <c r="P278" s="10"/>
      <c r="Q278" s="10"/>
      <c r="R278" s="26"/>
      <c r="T278" s="16"/>
      <c r="AD278" s="3">
        <v>46245</v>
      </c>
      <c r="AE278" s="16">
        <v>50.5</v>
      </c>
      <c r="AJ278">
        <v>2.3220499999999999</v>
      </c>
      <c r="AK278">
        <v>6.7493499999999997</v>
      </c>
      <c r="AN278" t="str">
        <f t="shared" si="20"/>
        <v>Minnipa</v>
      </c>
      <c r="AO278">
        <f t="shared" si="21"/>
        <v>2014</v>
      </c>
      <c r="AP278" t="str">
        <f t="shared" si="22"/>
        <v>Gauntlet</v>
      </c>
      <c r="AQ278" t="str">
        <f t="shared" si="23"/>
        <v>Minnipa2014CvGauntlet</v>
      </c>
      <c r="AV278" s="3">
        <v>46245</v>
      </c>
      <c r="AW278" s="16">
        <v>13.435028842544403</v>
      </c>
      <c r="BB278">
        <v>0.61086954826705842</v>
      </c>
      <c r="BC278">
        <v>1.5028140420557707</v>
      </c>
    </row>
    <row r="279" spans="1:55" x14ac:dyDescent="0.25">
      <c r="A279" s="14">
        <v>2015</v>
      </c>
      <c r="B279" s="14" t="s">
        <v>123</v>
      </c>
      <c r="C279" s="14" t="s">
        <v>130</v>
      </c>
      <c r="D279" s="14">
        <v>10</v>
      </c>
      <c r="E279" s="14">
        <v>3</v>
      </c>
      <c r="F279" s="14">
        <v>38</v>
      </c>
      <c r="G279" s="14">
        <v>4</v>
      </c>
      <c r="H279" s="14" t="s">
        <v>2</v>
      </c>
      <c r="I279" s="15">
        <v>42222</v>
      </c>
      <c r="J279" s="14" t="s">
        <v>125</v>
      </c>
      <c r="K279" s="14">
        <v>73</v>
      </c>
      <c r="L279" s="14">
        <v>27</v>
      </c>
      <c r="M279" s="14">
        <v>46</v>
      </c>
      <c r="N279" s="14"/>
      <c r="O279" s="14"/>
      <c r="P279" s="10"/>
      <c r="Q279" s="10"/>
      <c r="R279" s="26"/>
      <c r="T279" s="16"/>
      <c r="AD279" s="3">
        <v>46256</v>
      </c>
      <c r="AE279" s="16">
        <v>89.25</v>
      </c>
      <c r="AJ279">
        <v>2.9083750000000004</v>
      </c>
      <c r="AK279">
        <v>13.961475</v>
      </c>
      <c r="AN279" t="str">
        <f t="shared" si="20"/>
        <v>Minnipa</v>
      </c>
      <c r="AO279">
        <f t="shared" si="21"/>
        <v>2014</v>
      </c>
      <c r="AP279" t="str">
        <f t="shared" si="22"/>
        <v>Gauntlet</v>
      </c>
      <c r="AQ279" t="str">
        <f t="shared" si="23"/>
        <v>Minnipa2014CvGauntlet</v>
      </c>
      <c r="AV279" s="3">
        <v>46256</v>
      </c>
      <c r="AW279" s="16">
        <v>16.660832312142553</v>
      </c>
      <c r="BB279">
        <v>0.36960032805721094</v>
      </c>
      <c r="BC279">
        <v>3.657142136855867</v>
      </c>
    </row>
    <row r="280" spans="1:55" x14ac:dyDescent="0.25">
      <c r="A280" s="14">
        <v>2015</v>
      </c>
      <c r="B280" s="14" t="s">
        <v>123</v>
      </c>
      <c r="C280" s="14" t="s">
        <v>130</v>
      </c>
      <c r="D280" s="14">
        <v>10</v>
      </c>
      <c r="E280" s="14">
        <v>2</v>
      </c>
      <c r="F280" s="14">
        <v>39</v>
      </c>
      <c r="G280" s="14">
        <v>4</v>
      </c>
      <c r="H280" s="14" t="s">
        <v>12</v>
      </c>
      <c r="I280" s="15">
        <v>42222</v>
      </c>
      <c r="J280" s="14" t="s">
        <v>125</v>
      </c>
      <c r="K280" s="14">
        <v>62</v>
      </c>
      <c r="L280" s="14">
        <v>24</v>
      </c>
      <c r="M280" s="14">
        <v>38</v>
      </c>
      <c r="N280" s="14"/>
      <c r="O280" s="14"/>
      <c r="P280" s="10"/>
      <c r="Q280" s="10"/>
      <c r="R280" s="26"/>
      <c r="T280" s="16"/>
      <c r="AC280" t="s">
        <v>7</v>
      </c>
      <c r="AD280" s="3">
        <v>41883</v>
      </c>
      <c r="AE280" s="16">
        <v>189.5</v>
      </c>
      <c r="AJ280">
        <v>4.4551499999999997</v>
      </c>
      <c r="AK280">
        <v>22.876525000000001</v>
      </c>
      <c r="AN280" t="str">
        <f t="shared" si="20"/>
        <v>Minnipa</v>
      </c>
      <c r="AO280">
        <f t="shared" si="21"/>
        <v>2014</v>
      </c>
      <c r="AP280" t="str">
        <f t="shared" si="22"/>
        <v>Hartog</v>
      </c>
      <c r="AQ280" t="str">
        <f t="shared" si="23"/>
        <v>Minnipa2014CvHartog</v>
      </c>
      <c r="AU280" t="s">
        <v>7</v>
      </c>
      <c r="AV280" s="3">
        <v>41883</v>
      </c>
      <c r="AW280" s="16">
        <v>37.969285832981726</v>
      </c>
      <c r="BB280">
        <v>0.33892668332055698</v>
      </c>
      <c r="BC280">
        <v>7.2097152442034877</v>
      </c>
    </row>
    <row r="281" spans="1:55" x14ac:dyDescent="0.25">
      <c r="A281" s="14">
        <v>2015</v>
      </c>
      <c r="B281" s="14" t="s">
        <v>123</v>
      </c>
      <c r="C281" s="14" t="s">
        <v>130</v>
      </c>
      <c r="D281" s="14">
        <v>10</v>
      </c>
      <c r="E281" s="14">
        <v>1</v>
      </c>
      <c r="F281" s="14">
        <v>40</v>
      </c>
      <c r="G281" s="14">
        <v>4</v>
      </c>
      <c r="H281" s="14" t="s">
        <v>13</v>
      </c>
      <c r="I281" s="15">
        <v>42222</v>
      </c>
      <c r="J281" s="14" t="s">
        <v>125</v>
      </c>
      <c r="K281" s="14">
        <v>78</v>
      </c>
      <c r="L281" s="14">
        <v>28</v>
      </c>
      <c r="M281" s="14">
        <v>49</v>
      </c>
      <c r="N281" s="14"/>
      <c r="O281" s="14"/>
      <c r="P281" s="10"/>
      <c r="Q281" s="10"/>
      <c r="R281" s="26"/>
      <c r="T281" s="16"/>
      <c r="AD281" s="3">
        <v>41901</v>
      </c>
      <c r="AE281" s="16">
        <v>409.5</v>
      </c>
      <c r="AF281">
        <v>226.5</v>
      </c>
      <c r="AG281">
        <v>68.8</v>
      </c>
      <c r="AH281">
        <v>85.5</v>
      </c>
      <c r="AI281">
        <v>28.7</v>
      </c>
      <c r="AJ281">
        <v>7.4954999999999998</v>
      </c>
      <c r="AK281">
        <v>50.182850000000002</v>
      </c>
      <c r="AN281" t="str">
        <f t="shared" si="20"/>
        <v>Minnipa</v>
      </c>
      <c r="AO281">
        <f t="shared" si="21"/>
        <v>2014</v>
      </c>
      <c r="AP281" t="str">
        <f t="shared" si="22"/>
        <v>Hartog</v>
      </c>
      <c r="AQ281" t="str">
        <f t="shared" si="23"/>
        <v>Minnipa2014CvHartog</v>
      </c>
      <c r="AV281" s="3">
        <v>41901</v>
      </c>
      <c r="AW281" s="16">
        <v>41.719300090006307</v>
      </c>
      <c r="AX281">
        <v>26.16295090390226</v>
      </c>
      <c r="AY281">
        <v>6.3639610306789276</v>
      </c>
      <c r="AZ281">
        <v>13.435028842544403</v>
      </c>
      <c r="BA281">
        <v>5.2325901807804618</v>
      </c>
      <c r="BB281">
        <v>1.1957175669864553</v>
      </c>
      <c r="BC281">
        <v>8.6844733544988237</v>
      </c>
    </row>
    <row r="282" spans="1:55" x14ac:dyDescent="0.25">
      <c r="A282" s="14">
        <v>2015</v>
      </c>
      <c r="B282" s="14" t="s">
        <v>123</v>
      </c>
      <c r="C282" s="14" t="s">
        <v>130</v>
      </c>
      <c r="D282" s="14">
        <v>11</v>
      </c>
      <c r="E282" s="14">
        <v>1</v>
      </c>
      <c r="F282" s="14">
        <v>41</v>
      </c>
      <c r="G282" s="14">
        <v>4</v>
      </c>
      <c r="H282" s="14" t="s">
        <v>4</v>
      </c>
      <c r="I282" s="15">
        <v>42222</v>
      </c>
      <c r="J282" s="14" t="s">
        <v>125</v>
      </c>
      <c r="K282" s="14">
        <v>66</v>
      </c>
      <c r="L282" s="14">
        <v>24</v>
      </c>
      <c r="M282" s="14">
        <v>42</v>
      </c>
      <c r="N282" s="14"/>
      <c r="O282" s="14"/>
      <c r="P282" s="10"/>
      <c r="Q282" s="10"/>
      <c r="R282" s="26"/>
      <c r="T282" s="16"/>
      <c r="AD282" s="3">
        <v>41904</v>
      </c>
      <c r="AE282" s="16">
        <v>383.5</v>
      </c>
      <c r="AF282">
        <v>211.5</v>
      </c>
      <c r="AG282">
        <v>69.800000000000011</v>
      </c>
      <c r="AH282">
        <v>88</v>
      </c>
      <c r="AI282">
        <v>14.3</v>
      </c>
      <c r="AJ282">
        <v>7.3323999999999989</v>
      </c>
      <c r="AK282">
        <v>45.070399999999999</v>
      </c>
      <c r="AN282" t="str">
        <f t="shared" si="20"/>
        <v>Minnipa</v>
      </c>
      <c r="AO282">
        <f t="shared" si="21"/>
        <v>2014</v>
      </c>
      <c r="AP282" t="str">
        <f t="shared" si="22"/>
        <v>Hartog</v>
      </c>
      <c r="AQ282" t="str">
        <f t="shared" si="23"/>
        <v>Minnipa2014CvHartog</v>
      </c>
      <c r="AV282" s="3">
        <v>41904</v>
      </c>
      <c r="AW282" s="16">
        <v>65.760930650348925</v>
      </c>
      <c r="AX282">
        <v>44.547727214752491</v>
      </c>
      <c r="AY282">
        <v>7.9195959492891763</v>
      </c>
      <c r="AZ282">
        <v>14.142135623730951</v>
      </c>
      <c r="BA282">
        <v>0.42426406871186956</v>
      </c>
      <c r="BB282">
        <v>1.1237340966616656</v>
      </c>
      <c r="BC282">
        <v>2.5450187268466742</v>
      </c>
    </row>
    <row r="283" spans="1:55" x14ac:dyDescent="0.25">
      <c r="A283" s="14">
        <v>2015</v>
      </c>
      <c r="B283" s="14" t="s">
        <v>123</v>
      </c>
      <c r="C283" s="14" t="s">
        <v>130</v>
      </c>
      <c r="D283" s="14">
        <v>11</v>
      </c>
      <c r="E283" s="14">
        <v>2</v>
      </c>
      <c r="F283" s="14">
        <v>42</v>
      </c>
      <c r="G283" s="14">
        <v>4</v>
      </c>
      <c r="H283" s="14" t="s">
        <v>3</v>
      </c>
      <c r="I283" s="15">
        <v>42222</v>
      </c>
      <c r="J283" s="14" t="s">
        <v>125</v>
      </c>
      <c r="K283" s="14">
        <v>61</v>
      </c>
      <c r="L283" s="14">
        <v>17</v>
      </c>
      <c r="M283" s="14">
        <v>44</v>
      </c>
      <c r="N283" s="14"/>
      <c r="O283" s="14"/>
      <c r="P283" s="10"/>
      <c r="Q283" s="10"/>
      <c r="R283" s="26"/>
      <c r="T283" s="16"/>
      <c r="AD283" s="3">
        <v>41954</v>
      </c>
      <c r="AE283" s="16">
        <v>441.75</v>
      </c>
      <c r="AF283">
        <v>132.5</v>
      </c>
      <c r="AH283">
        <v>266</v>
      </c>
      <c r="AI283">
        <v>40.75</v>
      </c>
      <c r="AN283" t="str">
        <f t="shared" si="20"/>
        <v>Minnipa</v>
      </c>
      <c r="AO283">
        <f t="shared" si="21"/>
        <v>2014</v>
      </c>
      <c r="AP283" t="str">
        <f t="shared" si="22"/>
        <v>Hartog</v>
      </c>
      <c r="AQ283" t="str">
        <f t="shared" si="23"/>
        <v>Minnipa2014CvHartog</v>
      </c>
      <c r="AV283" s="3">
        <v>41954</v>
      </c>
      <c r="AW283" s="16">
        <v>28.721362548922826</v>
      </c>
      <c r="AX283">
        <v>14.106735979665885</v>
      </c>
      <c r="AZ283">
        <v>19.131126469708992</v>
      </c>
      <c r="BA283">
        <v>4.7871355387816905</v>
      </c>
    </row>
    <row r="284" spans="1:55" x14ac:dyDescent="0.25">
      <c r="A284" s="14">
        <v>2015</v>
      </c>
      <c r="B284" s="14" t="s">
        <v>123</v>
      </c>
      <c r="C284" s="14" t="s">
        <v>130</v>
      </c>
      <c r="D284" s="14">
        <v>11</v>
      </c>
      <c r="E284" s="14">
        <v>3</v>
      </c>
      <c r="F284" s="14">
        <v>43</v>
      </c>
      <c r="G284" s="14">
        <v>4</v>
      </c>
      <c r="H284" s="14" t="s">
        <v>6</v>
      </c>
      <c r="I284" s="15">
        <v>42222</v>
      </c>
      <c r="J284" s="14" t="s">
        <v>125</v>
      </c>
      <c r="K284" s="14">
        <v>120</v>
      </c>
      <c r="L284" s="14">
        <v>50</v>
      </c>
      <c r="M284" s="14">
        <v>70</v>
      </c>
      <c r="N284" s="14"/>
      <c r="O284" s="14"/>
      <c r="P284" s="10"/>
      <c r="Q284" s="10"/>
      <c r="R284" s="26"/>
      <c r="T284" s="16"/>
      <c r="AD284" s="3">
        <v>46239</v>
      </c>
      <c r="AE284" s="16">
        <v>36.25</v>
      </c>
      <c r="AJ284">
        <v>1.6357249999999999</v>
      </c>
      <c r="AK284">
        <v>3.4482249999999999</v>
      </c>
      <c r="AN284" t="str">
        <f t="shared" si="20"/>
        <v>Minnipa</v>
      </c>
      <c r="AO284">
        <f t="shared" si="21"/>
        <v>2014</v>
      </c>
      <c r="AP284" t="str">
        <f t="shared" si="22"/>
        <v>Hartog</v>
      </c>
      <c r="AQ284" t="str">
        <f t="shared" si="23"/>
        <v>Minnipa2014CvHartog</v>
      </c>
      <c r="AV284" s="3">
        <v>46239</v>
      </c>
      <c r="AW284" s="16">
        <v>5.3774219349672263</v>
      </c>
      <c r="BB284">
        <v>0.19581159950319693</v>
      </c>
      <c r="BC284">
        <v>0.51612784188286931</v>
      </c>
    </row>
    <row r="285" spans="1:55" x14ac:dyDescent="0.25">
      <c r="A285" s="14">
        <v>2015</v>
      </c>
      <c r="B285" s="14" t="s">
        <v>123</v>
      </c>
      <c r="C285" s="14" t="s">
        <v>130</v>
      </c>
      <c r="D285" s="14">
        <v>11</v>
      </c>
      <c r="E285" s="14">
        <v>4</v>
      </c>
      <c r="F285" s="14">
        <v>44</v>
      </c>
      <c r="G285" s="14">
        <v>4</v>
      </c>
      <c r="H285" s="14" t="s">
        <v>14</v>
      </c>
      <c r="I285" s="15">
        <v>42222</v>
      </c>
      <c r="J285" s="14" t="s">
        <v>125</v>
      </c>
      <c r="K285" s="14">
        <v>133</v>
      </c>
      <c r="L285" s="14">
        <v>57</v>
      </c>
      <c r="M285" s="14">
        <v>76</v>
      </c>
      <c r="N285" s="14"/>
      <c r="O285" s="14"/>
      <c r="P285" s="10"/>
      <c r="Q285" s="10"/>
      <c r="R285" s="26"/>
      <c r="T285" s="16"/>
      <c r="AD285" s="3">
        <v>46254</v>
      </c>
      <c r="AE285" s="16">
        <v>112</v>
      </c>
      <c r="AJ285">
        <v>3.5051999999999999</v>
      </c>
      <c r="AK285">
        <v>11.830133333333334</v>
      </c>
      <c r="AN285" t="str">
        <f t="shared" si="20"/>
        <v>Minnipa</v>
      </c>
      <c r="AO285">
        <f t="shared" si="21"/>
        <v>2014</v>
      </c>
      <c r="AP285" t="str">
        <f t="shared" si="22"/>
        <v>Hartog</v>
      </c>
      <c r="AQ285" t="str">
        <f t="shared" si="23"/>
        <v>Minnipa2014CvHartog</v>
      </c>
      <c r="AV285" s="3">
        <v>46254</v>
      </c>
      <c r="AW285" s="16">
        <v>6.0827625302982193</v>
      </c>
      <c r="BB285">
        <v>0.17537174800976957</v>
      </c>
      <c r="BC285">
        <v>1.5948826832508169</v>
      </c>
    </row>
    <row r="286" spans="1:55" x14ac:dyDescent="0.25">
      <c r="A286" s="14">
        <v>2015</v>
      </c>
      <c r="B286" s="14" t="s">
        <v>123</v>
      </c>
      <c r="C286" s="14" t="s">
        <v>130</v>
      </c>
      <c r="D286" s="14">
        <v>12</v>
      </c>
      <c r="E286" s="14">
        <v>4</v>
      </c>
      <c r="F286" s="14">
        <v>45</v>
      </c>
      <c r="G286" s="14">
        <v>4</v>
      </c>
      <c r="H286" s="14" t="s">
        <v>5</v>
      </c>
      <c r="I286" s="15">
        <v>42222</v>
      </c>
      <c r="J286" s="14" t="s">
        <v>125</v>
      </c>
      <c r="K286" s="14">
        <v>77</v>
      </c>
      <c r="L286" s="14">
        <v>25</v>
      </c>
      <c r="M286" s="14">
        <v>52</v>
      </c>
      <c r="N286" s="14"/>
      <c r="O286" s="14"/>
      <c r="P286" s="10"/>
      <c r="Q286" s="10"/>
      <c r="R286" s="26"/>
      <c r="T286" s="16"/>
      <c r="AD286" s="3">
        <v>46256</v>
      </c>
      <c r="AE286" s="16">
        <v>106</v>
      </c>
      <c r="AJ286">
        <v>3.286</v>
      </c>
      <c r="AK286">
        <v>11.3102</v>
      </c>
      <c r="AN286" t="str">
        <f t="shared" si="20"/>
        <v>Minnipa</v>
      </c>
      <c r="AO286">
        <f t="shared" si="21"/>
        <v>2014</v>
      </c>
      <c r="AP286" t="str">
        <f t="shared" si="22"/>
        <v>Hartog</v>
      </c>
      <c r="AQ286" t="str">
        <f t="shared" si="23"/>
        <v>Minnipa2014CvHartog</v>
      </c>
      <c r="AV286" s="3">
        <v>46256</v>
      </c>
      <c r="AW286" s="16" t="e">
        <v>#DIV/0!</v>
      </c>
      <c r="BB286" t="e">
        <v>#DIV/0!</v>
      </c>
      <c r="BC286" t="e">
        <v>#DIV/0!</v>
      </c>
    </row>
    <row r="287" spans="1:55" x14ac:dyDescent="0.25">
      <c r="A287" s="14">
        <v>2015</v>
      </c>
      <c r="B287" s="14" t="s">
        <v>123</v>
      </c>
      <c r="C287" s="14" t="s">
        <v>130</v>
      </c>
      <c r="D287" s="14">
        <v>12</v>
      </c>
      <c r="E287" s="14">
        <v>3</v>
      </c>
      <c r="F287" s="14">
        <v>46</v>
      </c>
      <c r="G287" s="14">
        <v>4</v>
      </c>
      <c r="H287" s="14" t="s">
        <v>8</v>
      </c>
      <c r="I287" s="15">
        <v>42222</v>
      </c>
      <c r="J287" s="14" t="s">
        <v>125</v>
      </c>
      <c r="K287" s="14">
        <v>120</v>
      </c>
      <c r="L287" s="14">
        <v>40</v>
      </c>
      <c r="M287" s="14">
        <v>80</v>
      </c>
      <c r="N287" s="14"/>
      <c r="O287" s="14"/>
      <c r="P287" s="10"/>
      <c r="Q287" s="10"/>
      <c r="R287" s="26"/>
      <c r="T287" s="16"/>
      <c r="AC287" t="s">
        <v>2</v>
      </c>
      <c r="AD287" s="3">
        <v>41883</v>
      </c>
      <c r="AE287" s="16">
        <v>297.5</v>
      </c>
      <c r="AJ287">
        <v>7.1434749999999996</v>
      </c>
      <c r="AK287">
        <v>39.955199999999998</v>
      </c>
      <c r="AN287" t="str">
        <f t="shared" si="20"/>
        <v>Minnipa</v>
      </c>
      <c r="AO287">
        <f t="shared" si="21"/>
        <v>2014</v>
      </c>
      <c r="AP287" t="str">
        <f t="shared" si="22"/>
        <v>Mace</v>
      </c>
      <c r="AQ287" t="str">
        <f t="shared" si="23"/>
        <v>Minnipa2014CvMace</v>
      </c>
      <c r="AU287" t="s">
        <v>2</v>
      </c>
      <c r="AV287" s="3">
        <v>41883</v>
      </c>
      <c r="AW287" s="16">
        <v>21.377558326431949</v>
      </c>
      <c r="BB287">
        <v>0.24508420831760758</v>
      </c>
      <c r="BC287">
        <v>6.4642762879278814</v>
      </c>
    </row>
    <row r="288" spans="1:55" x14ac:dyDescent="0.25">
      <c r="A288" s="14">
        <v>2015</v>
      </c>
      <c r="B288" s="14" t="s">
        <v>123</v>
      </c>
      <c r="C288" s="14" t="s">
        <v>130</v>
      </c>
      <c r="D288" s="14">
        <v>12</v>
      </c>
      <c r="E288" s="14">
        <v>2</v>
      </c>
      <c r="F288" s="14">
        <v>47</v>
      </c>
      <c r="G288" s="14">
        <v>4</v>
      </c>
      <c r="H288" s="14" t="s">
        <v>10</v>
      </c>
      <c r="I288" s="15">
        <v>42222</v>
      </c>
      <c r="J288" s="14" t="s">
        <v>125</v>
      </c>
      <c r="K288" s="14">
        <v>69</v>
      </c>
      <c r="L288" s="14">
        <v>24</v>
      </c>
      <c r="M288" s="14">
        <v>44</v>
      </c>
      <c r="N288" s="14"/>
      <c r="O288" s="14"/>
      <c r="P288" s="10"/>
      <c r="Q288" s="10"/>
      <c r="R288" s="26"/>
      <c r="T288" s="16"/>
      <c r="AD288" s="3">
        <v>41897</v>
      </c>
      <c r="AE288" s="16">
        <v>464.33333333333331</v>
      </c>
      <c r="AF288">
        <v>264.66666666666669</v>
      </c>
      <c r="AG288">
        <v>88.8</v>
      </c>
      <c r="AH288">
        <v>96.333333333333329</v>
      </c>
      <c r="AI288">
        <v>14.1</v>
      </c>
      <c r="AJ288">
        <v>9.4086999999999978</v>
      </c>
      <c r="AK288">
        <v>64.062433333333331</v>
      </c>
      <c r="AN288" t="str">
        <f t="shared" si="20"/>
        <v>Minnipa</v>
      </c>
      <c r="AO288">
        <f t="shared" si="21"/>
        <v>2014</v>
      </c>
      <c r="AP288" t="str">
        <f t="shared" si="22"/>
        <v>Mace</v>
      </c>
      <c r="AQ288" t="str">
        <f t="shared" si="23"/>
        <v>Minnipa2014CvMace</v>
      </c>
      <c r="AV288" s="3">
        <v>41897</v>
      </c>
      <c r="AW288" s="16">
        <v>35.004761580866592</v>
      </c>
      <c r="AX288">
        <v>24.027761721253366</v>
      </c>
      <c r="AY288">
        <v>3.8431757701151841</v>
      </c>
      <c r="AZ288">
        <v>6.0277137733417581</v>
      </c>
      <c r="BA288">
        <v>1.8083141320025231</v>
      </c>
      <c r="BB288">
        <v>1.1836072701703126</v>
      </c>
      <c r="BC288">
        <v>7.9413810142401005</v>
      </c>
    </row>
    <row r="289" spans="1:55" x14ac:dyDescent="0.25">
      <c r="A289" s="14">
        <v>2015</v>
      </c>
      <c r="B289" s="14" t="s">
        <v>123</v>
      </c>
      <c r="C289" s="14" t="s">
        <v>130</v>
      </c>
      <c r="D289" s="14">
        <v>12</v>
      </c>
      <c r="E289" s="14">
        <v>1</v>
      </c>
      <c r="F289" s="14">
        <v>48</v>
      </c>
      <c r="G289" s="14">
        <v>4</v>
      </c>
      <c r="H289" s="14" t="s">
        <v>7</v>
      </c>
      <c r="I289" s="15">
        <v>42222</v>
      </c>
      <c r="J289" s="14" t="s">
        <v>125</v>
      </c>
      <c r="K289" s="14">
        <v>75</v>
      </c>
      <c r="L289" s="14">
        <v>30</v>
      </c>
      <c r="M289" s="14">
        <v>45</v>
      </c>
      <c r="N289" s="14"/>
      <c r="O289" s="14"/>
      <c r="P289" s="10"/>
      <c r="Q289" s="10"/>
      <c r="R289" s="26"/>
      <c r="T289" s="16"/>
      <c r="AD289" s="3">
        <v>41899</v>
      </c>
      <c r="AE289" s="16">
        <v>462</v>
      </c>
      <c r="AF289">
        <v>279</v>
      </c>
      <c r="AG289">
        <v>73.400000000000006</v>
      </c>
      <c r="AH289">
        <v>89</v>
      </c>
      <c r="AI289">
        <v>20.100000000000001</v>
      </c>
      <c r="AJ289">
        <v>8.5007999999999999</v>
      </c>
      <c r="AK289">
        <v>67.821600000000004</v>
      </c>
      <c r="AN289" t="str">
        <f t="shared" si="20"/>
        <v>Minnipa</v>
      </c>
      <c r="AO289">
        <f t="shared" si="21"/>
        <v>2014</v>
      </c>
      <c r="AP289" t="str">
        <f t="shared" si="22"/>
        <v>Mace</v>
      </c>
      <c r="AQ289" t="str">
        <f t="shared" si="23"/>
        <v>Minnipa2014CvMace</v>
      </c>
      <c r="AV289" s="3">
        <v>41899</v>
      </c>
      <c r="AW289" s="16" t="e">
        <v>#DIV/0!</v>
      </c>
      <c r="AX289" t="e">
        <v>#DIV/0!</v>
      </c>
      <c r="AY289" t="e">
        <v>#DIV/0!</v>
      </c>
      <c r="AZ289" t="e">
        <v>#DIV/0!</v>
      </c>
      <c r="BA289" t="e">
        <v>#DIV/0!</v>
      </c>
      <c r="BB289" t="e">
        <v>#DIV/0!</v>
      </c>
      <c r="BC289" t="e">
        <v>#DIV/0!</v>
      </c>
    </row>
    <row r="290" spans="1:55" x14ac:dyDescent="0.25">
      <c r="A290" s="14">
        <v>2015</v>
      </c>
      <c r="B290" s="14" t="s">
        <v>123</v>
      </c>
      <c r="C290" s="14" t="s">
        <v>130</v>
      </c>
      <c r="D290" s="14">
        <v>1</v>
      </c>
      <c r="E290" s="14">
        <v>1</v>
      </c>
      <c r="F290" s="14">
        <v>1</v>
      </c>
      <c r="G290" s="14">
        <v>1</v>
      </c>
      <c r="H290" s="14" t="s">
        <v>5</v>
      </c>
      <c r="I290" s="15">
        <v>42230</v>
      </c>
      <c r="J290" s="14" t="s">
        <v>126</v>
      </c>
      <c r="K290" s="14">
        <v>98</v>
      </c>
      <c r="L290" s="14">
        <v>33</v>
      </c>
      <c r="M290" s="14">
        <v>64</v>
      </c>
      <c r="N290" s="14"/>
      <c r="O290" s="14"/>
      <c r="P290" s="10"/>
      <c r="Q290" s="10"/>
      <c r="R290" s="26"/>
      <c r="T290" s="16"/>
      <c r="AD290" s="3">
        <v>41954</v>
      </c>
      <c r="AE290" s="16">
        <v>644.25</v>
      </c>
      <c r="AF290">
        <v>176.75</v>
      </c>
      <c r="AH290">
        <v>411</v>
      </c>
      <c r="AI290">
        <v>54.25</v>
      </c>
      <c r="AN290" t="str">
        <f t="shared" si="20"/>
        <v>Minnipa</v>
      </c>
      <c r="AO290">
        <f t="shared" si="21"/>
        <v>2014</v>
      </c>
      <c r="AP290" t="str">
        <f t="shared" si="22"/>
        <v>Mace</v>
      </c>
      <c r="AQ290" t="str">
        <f t="shared" si="23"/>
        <v>Minnipa2014CvMace</v>
      </c>
      <c r="AV290" s="3">
        <v>41954</v>
      </c>
      <c r="AW290" s="16">
        <v>20.758532382292028</v>
      </c>
      <c r="AX290">
        <v>8.6938675704966499</v>
      </c>
      <c r="AZ290">
        <v>12.110601416389967</v>
      </c>
      <c r="BA290">
        <v>4.7871355387816905</v>
      </c>
    </row>
    <row r="291" spans="1:55" x14ac:dyDescent="0.25">
      <c r="A291" s="14">
        <v>2015</v>
      </c>
      <c r="B291" s="14" t="s">
        <v>123</v>
      </c>
      <c r="C291" s="14" t="s">
        <v>130</v>
      </c>
      <c r="D291" s="14">
        <v>1</v>
      </c>
      <c r="E291" s="14">
        <v>2</v>
      </c>
      <c r="F291" s="14">
        <v>2</v>
      </c>
      <c r="G291" s="14">
        <v>1</v>
      </c>
      <c r="H291" s="14" t="s">
        <v>13</v>
      </c>
      <c r="I291" s="15">
        <v>42230</v>
      </c>
      <c r="J291" s="14" t="s">
        <v>126</v>
      </c>
      <c r="K291" s="14">
        <v>78</v>
      </c>
      <c r="L291" s="14">
        <v>20</v>
      </c>
      <c r="M291" s="14">
        <v>59</v>
      </c>
      <c r="N291" s="14"/>
      <c r="O291" s="14"/>
      <c r="P291" s="10"/>
      <c r="Q291" s="10"/>
      <c r="R291" s="26"/>
      <c r="T291" s="16"/>
      <c r="AD291" s="3">
        <v>46239</v>
      </c>
      <c r="AE291" s="16">
        <v>61.25</v>
      </c>
      <c r="AJ291">
        <v>2.6616249999999999</v>
      </c>
      <c r="AK291">
        <v>6.8871500000000001</v>
      </c>
      <c r="AN291" t="str">
        <f t="shared" si="20"/>
        <v>Minnipa</v>
      </c>
      <c r="AO291">
        <f t="shared" si="21"/>
        <v>2014</v>
      </c>
      <c r="AP291" t="str">
        <f t="shared" si="22"/>
        <v>Mace</v>
      </c>
      <c r="AQ291" t="str">
        <f t="shared" si="23"/>
        <v>Minnipa2014CvMace</v>
      </c>
      <c r="AV291" s="3">
        <v>46239</v>
      </c>
      <c r="AW291" s="16">
        <v>12.526638282742368</v>
      </c>
      <c r="BB291">
        <v>0.55667776660590085</v>
      </c>
      <c r="BC291">
        <v>0.9400140761357374</v>
      </c>
    </row>
    <row r="292" spans="1:55" x14ac:dyDescent="0.25">
      <c r="A292" s="14">
        <v>2015</v>
      </c>
      <c r="B292" s="14" t="s">
        <v>123</v>
      </c>
      <c r="C292" s="14" t="s">
        <v>130</v>
      </c>
      <c r="D292" s="14">
        <v>1</v>
      </c>
      <c r="E292" s="14">
        <v>3</v>
      </c>
      <c r="F292" s="14">
        <v>3</v>
      </c>
      <c r="G292" s="14">
        <v>1</v>
      </c>
      <c r="H292" s="14" t="s">
        <v>4</v>
      </c>
      <c r="I292" s="15">
        <v>42230</v>
      </c>
      <c r="J292" s="14" t="s">
        <v>126</v>
      </c>
      <c r="K292" s="14">
        <v>74</v>
      </c>
      <c r="L292" s="14">
        <v>19</v>
      </c>
      <c r="M292" s="14">
        <v>55</v>
      </c>
      <c r="N292" s="14"/>
      <c r="O292" s="14"/>
      <c r="P292" s="10"/>
      <c r="Q292" s="10"/>
      <c r="R292" s="26"/>
      <c r="T292" s="16"/>
      <c r="AD292" s="3">
        <v>46256</v>
      </c>
      <c r="AE292" s="16">
        <v>192.75</v>
      </c>
      <c r="AJ292">
        <v>5.3279250000000005</v>
      </c>
      <c r="AK292">
        <v>30.928349999999995</v>
      </c>
      <c r="AN292" t="str">
        <f t="shared" si="20"/>
        <v>Minnipa</v>
      </c>
      <c r="AO292">
        <f t="shared" si="21"/>
        <v>2014</v>
      </c>
      <c r="AP292" t="str">
        <f t="shared" si="22"/>
        <v>Mace</v>
      </c>
      <c r="AQ292" t="str">
        <f t="shared" si="23"/>
        <v>Minnipa2014CvMace</v>
      </c>
      <c r="AV292" s="3">
        <v>46256</v>
      </c>
      <c r="AW292" s="16">
        <v>44.252118593350986</v>
      </c>
      <c r="BB292">
        <v>1.4709473350531592</v>
      </c>
      <c r="BC292">
        <v>9.6081360694986131</v>
      </c>
    </row>
    <row r="293" spans="1:55" x14ac:dyDescent="0.25">
      <c r="A293" s="14">
        <v>2015</v>
      </c>
      <c r="B293" s="14" t="s">
        <v>123</v>
      </c>
      <c r="C293" s="14" t="s">
        <v>130</v>
      </c>
      <c r="D293" s="14">
        <v>1</v>
      </c>
      <c r="E293" s="14">
        <v>4</v>
      </c>
      <c r="F293" s="14">
        <v>4</v>
      </c>
      <c r="G293" s="14">
        <v>1</v>
      </c>
      <c r="H293" s="14" t="s">
        <v>6</v>
      </c>
      <c r="I293" s="15">
        <v>42230</v>
      </c>
      <c r="J293" s="14" t="s">
        <v>126</v>
      </c>
      <c r="K293" s="14">
        <v>87</v>
      </c>
      <c r="L293" s="14">
        <v>19</v>
      </c>
      <c r="M293" s="14">
        <v>68</v>
      </c>
      <c r="N293" s="14"/>
      <c r="O293" s="14"/>
      <c r="P293" s="10"/>
      <c r="Q293" s="10"/>
      <c r="R293" s="26"/>
      <c r="T293" s="16"/>
      <c r="AC293" t="s">
        <v>3</v>
      </c>
      <c r="AD293" s="3">
        <v>41883</v>
      </c>
      <c r="AE293" s="16">
        <v>237.5</v>
      </c>
      <c r="AJ293">
        <v>6.5930999999999997</v>
      </c>
      <c r="AK293">
        <v>25.781300000000002</v>
      </c>
      <c r="AN293" t="str">
        <f t="shared" si="20"/>
        <v>Minnipa</v>
      </c>
      <c r="AO293">
        <f t="shared" si="21"/>
        <v>2014</v>
      </c>
      <c r="AP293" t="str">
        <f t="shared" si="22"/>
        <v>Scout</v>
      </c>
      <c r="AQ293" t="str">
        <f t="shared" si="23"/>
        <v>Minnipa2014CvScout</v>
      </c>
      <c r="AU293" t="s">
        <v>3</v>
      </c>
      <c r="AV293" s="3">
        <v>41883</v>
      </c>
      <c r="AW293" s="16">
        <v>34.78026260203719</v>
      </c>
      <c r="BB293">
        <v>0.72976022546221397</v>
      </c>
      <c r="BC293">
        <v>6.2154921001210077</v>
      </c>
    </row>
    <row r="294" spans="1:55" x14ac:dyDescent="0.25">
      <c r="A294" s="14">
        <v>2015</v>
      </c>
      <c r="B294" s="14" t="s">
        <v>123</v>
      </c>
      <c r="C294" s="14" t="s">
        <v>130</v>
      </c>
      <c r="D294" s="14">
        <v>2</v>
      </c>
      <c r="E294" s="14">
        <v>4</v>
      </c>
      <c r="F294" s="14">
        <v>5</v>
      </c>
      <c r="G294" s="14">
        <v>1</v>
      </c>
      <c r="H294" s="14" t="s">
        <v>7</v>
      </c>
      <c r="I294" s="15">
        <v>42230</v>
      </c>
      <c r="J294" s="14" t="s">
        <v>126</v>
      </c>
      <c r="K294" s="14">
        <v>135</v>
      </c>
      <c r="L294" s="14">
        <v>52</v>
      </c>
      <c r="M294" s="14">
        <v>83</v>
      </c>
      <c r="N294" s="14"/>
      <c r="O294" s="14"/>
      <c r="P294" s="10"/>
      <c r="Q294" s="10"/>
      <c r="R294" s="26"/>
      <c r="T294" s="16"/>
      <c r="AD294" s="3">
        <v>41899</v>
      </c>
      <c r="AE294" s="16">
        <v>436</v>
      </c>
      <c r="AF294">
        <v>246</v>
      </c>
      <c r="AG294">
        <v>81</v>
      </c>
      <c r="AH294">
        <v>94</v>
      </c>
      <c r="AI294">
        <v>14.8</v>
      </c>
      <c r="AJ294">
        <v>8.4148000000000014</v>
      </c>
      <c r="AK294">
        <v>68.190400000000011</v>
      </c>
      <c r="AN294" t="str">
        <f t="shared" si="20"/>
        <v>Minnipa</v>
      </c>
      <c r="AO294">
        <f t="shared" si="21"/>
        <v>2014</v>
      </c>
      <c r="AP294" t="str">
        <f t="shared" si="22"/>
        <v>Scout</v>
      </c>
      <c r="AQ294" t="str">
        <f t="shared" si="23"/>
        <v>Minnipa2014CvScout</v>
      </c>
      <c r="AV294" s="3">
        <v>41899</v>
      </c>
      <c r="AW294" s="16" t="e">
        <v>#DIV/0!</v>
      </c>
      <c r="AX294" t="e">
        <v>#DIV/0!</v>
      </c>
      <c r="AY294" t="e">
        <v>#DIV/0!</v>
      </c>
      <c r="AZ294" t="e">
        <v>#DIV/0!</v>
      </c>
      <c r="BA294" t="e">
        <v>#DIV/0!</v>
      </c>
      <c r="BB294" t="e">
        <v>#DIV/0!</v>
      </c>
      <c r="BC294" t="e">
        <v>#DIV/0!</v>
      </c>
    </row>
    <row r="295" spans="1:55" x14ac:dyDescent="0.25">
      <c r="A295" s="14">
        <v>2015</v>
      </c>
      <c r="B295" s="14" t="s">
        <v>123</v>
      </c>
      <c r="C295" s="14" t="s">
        <v>130</v>
      </c>
      <c r="D295" s="14">
        <v>2</v>
      </c>
      <c r="E295" s="14">
        <v>3</v>
      </c>
      <c r="F295" s="14">
        <v>6</v>
      </c>
      <c r="G295" s="14">
        <v>1</v>
      </c>
      <c r="H295" s="14" t="s">
        <v>9</v>
      </c>
      <c r="I295" s="15">
        <v>42230</v>
      </c>
      <c r="J295" s="14" t="s">
        <v>126</v>
      </c>
      <c r="K295" s="14">
        <v>141</v>
      </c>
      <c r="L295" s="14">
        <v>48</v>
      </c>
      <c r="M295" s="14">
        <v>93</v>
      </c>
      <c r="N295" s="14"/>
      <c r="O295" s="14"/>
      <c r="P295" s="10"/>
      <c r="Q295" s="10"/>
      <c r="R295" s="26"/>
      <c r="T295" s="16"/>
      <c r="AD295" s="3">
        <v>41901</v>
      </c>
      <c r="AE295" s="16">
        <v>403.66666666666669</v>
      </c>
      <c r="AF295">
        <v>217.66666666666666</v>
      </c>
      <c r="AG295">
        <v>74.833333333333329</v>
      </c>
      <c r="AH295">
        <v>86.333333333333329</v>
      </c>
      <c r="AI295">
        <v>24.533333333333331</v>
      </c>
      <c r="AJ295">
        <v>8.0980333333333334</v>
      </c>
      <c r="AK295">
        <v>35.526266666666665</v>
      </c>
      <c r="AN295" t="str">
        <f t="shared" si="20"/>
        <v>Minnipa</v>
      </c>
      <c r="AO295">
        <f t="shared" si="21"/>
        <v>2014</v>
      </c>
      <c r="AP295" t="str">
        <f t="shared" si="22"/>
        <v>Scout</v>
      </c>
      <c r="AQ295" t="str">
        <f t="shared" si="23"/>
        <v>Minnipa2014CvScout</v>
      </c>
      <c r="AV295" s="3">
        <v>41901</v>
      </c>
      <c r="AW295" s="16">
        <v>48.003472096644664</v>
      </c>
      <c r="AX295">
        <v>35.218366420567101</v>
      </c>
      <c r="AY295">
        <v>4.2099089459670456</v>
      </c>
      <c r="AZ295">
        <v>9.4516312525052495</v>
      </c>
      <c r="BA295">
        <v>7.7054093553382073</v>
      </c>
      <c r="BB295">
        <v>0.62538273347874385</v>
      </c>
      <c r="BC295">
        <v>5.9204884336795391</v>
      </c>
    </row>
    <row r="296" spans="1:55" x14ac:dyDescent="0.25">
      <c r="A296" s="14">
        <v>2015</v>
      </c>
      <c r="B296" s="14" t="s">
        <v>123</v>
      </c>
      <c r="C296" s="14" t="s">
        <v>130</v>
      </c>
      <c r="D296" s="14">
        <v>2</v>
      </c>
      <c r="E296" s="14">
        <v>2</v>
      </c>
      <c r="F296" s="14">
        <v>7</v>
      </c>
      <c r="G296" s="14">
        <v>1</v>
      </c>
      <c r="H296" s="14" t="s">
        <v>14</v>
      </c>
      <c r="I296" s="15">
        <v>42230</v>
      </c>
      <c r="J296" s="14" t="s">
        <v>126</v>
      </c>
      <c r="K296" s="14">
        <v>146</v>
      </c>
      <c r="L296" s="14">
        <v>50</v>
      </c>
      <c r="M296" s="14">
        <v>96</v>
      </c>
      <c r="N296" s="14"/>
      <c r="O296" s="14"/>
      <c r="P296" s="10"/>
      <c r="Q296" s="10"/>
      <c r="R296" s="26"/>
      <c r="T296" s="16"/>
      <c r="AD296" s="3">
        <v>41954</v>
      </c>
      <c r="AE296" s="16">
        <v>660</v>
      </c>
      <c r="AF296">
        <v>174.75</v>
      </c>
      <c r="AH296">
        <v>404</v>
      </c>
      <c r="AI296">
        <v>65</v>
      </c>
      <c r="AN296" t="str">
        <f t="shared" si="20"/>
        <v>Minnipa</v>
      </c>
      <c r="AO296">
        <f t="shared" si="21"/>
        <v>2014</v>
      </c>
      <c r="AP296" t="str">
        <f t="shared" si="22"/>
        <v>Scout</v>
      </c>
      <c r="AQ296" t="str">
        <f t="shared" si="23"/>
        <v>Minnipa2014CvScout</v>
      </c>
      <c r="AV296" s="3">
        <v>41954</v>
      </c>
      <c r="AW296" s="16">
        <v>111.68706281391771</v>
      </c>
      <c r="AX296">
        <v>29.432125305522874</v>
      </c>
      <c r="AZ296">
        <v>68.278840060446257</v>
      </c>
      <c r="BA296">
        <v>15.641824275533422</v>
      </c>
    </row>
    <row r="297" spans="1:55" x14ac:dyDescent="0.25">
      <c r="A297" s="14">
        <v>2015</v>
      </c>
      <c r="B297" s="14" t="s">
        <v>123</v>
      </c>
      <c r="C297" s="14" t="s">
        <v>130</v>
      </c>
      <c r="D297" s="14">
        <v>2</v>
      </c>
      <c r="E297" s="14">
        <v>1</v>
      </c>
      <c r="F297" s="14">
        <v>8</v>
      </c>
      <c r="G297" s="14">
        <v>1</v>
      </c>
      <c r="H297" s="14" t="s">
        <v>3</v>
      </c>
      <c r="I297" s="15">
        <v>42230</v>
      </c>
      <c r="J297" s="14" t="s">
        <v>126</v>
      </c>
      <c r="K297" s="14">
        <v>118</v>
      </c>
      <c r="L297" s="14">
        <v>50</v>
      </c>
      <c r="M297" s="14">
        <v>68</v>
      </c>
      <c r="N297" s="14"/>
      <c r="O297" s="14"/>
      <c r="P297" s="10"/>
      <c r="Q297" s="10"/>
      <c r="R297" s="26"/>
      <c r="T297" s="16"/>
      <c r="AD297" s="3">
        <v>46239</v>
      </c>
      <c r="AE297" s="16">
        <v>45</v>
      </c>
      <c r="AJ297">
        <v>2.06115</v>
      </c>
      <c r="AK297">
        <v>4.2642500000000005</v>
      </c>
      <c r="AN297" t="str">
        <f t="shared" si="20"/>
        <v>Minnipa</v>
      </c>
      <c r="AO297">
        <f t="shared" si="21"/>
        <v>2014</v>
      </c>
      <c r="AP297" t="str">
        <f t="shared" si="22"/>
        <v>Scout</v>
      </c>
      <c r="AQ297" t="str">
        <f t="shared" si="23"/>
        <v>Minnipa2014CvScout</v>
      </c>
      <c r="AV297" s="3">
        <v>46239</v>
      </c>
      <c r="AW297" s="16">
        <v>7.7028133388608957</v>
      </c>
      <c r="BB297">
        <v>0.36328616360476279</v>
      </c>
      <c r="BC297">
        <v>0.90147302233621684</v>
      </c>
    </row>
    <row r="298" spans="1:55" x14ac:dyDescent="0.25">
      <c r="A298" s="14">
        <v>2015</v>
      </c>
      <c r="B298" s="14" t="s">
        <v>123</v>
      </c>
      <c r="C298" s="14" t="s">
        <v>130</v>
      </c>
      <c r="D298" s="14">
        <v>3</v>
      </c>
      <c r="E298" s="14">
        <v>1</v>
      </c>
      <c r="F298" s="14">
        <v>9</v>
      </c>
      <c r="G298" s="14">
        <v>1</v>
      </c>
      <c r="H298" s="14" t="s">
        <v>8</v>
      </c>
      <c r="I298" s="15">
        <v>42230</v>
      </c>
      <c r="J298" s="14" t="s">
        <v>126</v>
      </c>
      <c r="K298" s="14">
        <v>127</v>
      </c>
      <c r="L298" s="14">
        <v>42</v>
      </c>
      <c r="M298" s="14">
        <v>85</v>
      </c>
      <c r="N298" s="14"/>
      <c r="O298" s="14"/>
      <c r="P298" s="10"/>
      <c r="Q298" s="10"/>
      <c r="R298" s="26"/>
      <c r="T298" s="16"/>
      <c r="AD298" s="3">
        <v>46254</v>
      </c>
      <c r="AE298" s="16">
        <v>111</v>
      </c>
      <c r="AJ298">
        <v>3.6523749999999997</v>
      </c>
      <c r="AK298">
        <v>10.688424999999999</v>
      </c>
      <c r="AN298" t="str">
        <f t="shared" si="20"/>
        <v>Minnipa</v>
      </c>
      <c r="AO298">
        <f t="shared" si="21"/>
        <v>2014</v>
      </c>
      <c r="AP298" t="str">
        <f t="shared" si="22"/>
        <v>Scout</v>
      </c>
      <c r="AQ298" t="str">
        <f t="shared" si="23"/>
        <v>Minnipa2014CvScout</v>
      </c>
      <c r="AV298" s="3">
        <v>46254</v>
      </c>
      <c r="AW298" s="16">
        <v>23.338094752285727</v>
      </c>
      <c r="BB298">
        <v>0.89937289402116216</v>
      </c>
      <c r="BC298">
        <v>2.9148596951654531</v>
      </c>
    </row>
    <row r="299" spans="1:55" x14ac:dyDescent="0.25">
      <c r="A299" s="14">
        <v>2015</v>
      </c>
      <c r="B299" s="14" t="s">
        <v>123</v>
      </c>
      <c r="C299" s="14" t="s">
        <v>130</v>
      </c>
      <c r="D299" s="14">
        <v>3</v>
      </c>
      <c r="E299" s="14">
        <v>2</v>
      </c>
      <c r="F299" s="14">
        <v>10</v>
      </c>
      <c r="G299" s="14">
        <v>1</v>
      </c>
      <c r="H299" s="14" t="s">
        <v>2</v>
      </c>
      <c r="I299" s="15">
        <v>42230</v>
      </c>
      <c r="J299" s="14" t="s">
        <v>126</v>
      </c>
      <c r="K299" s="14">
        <v>148</v>
      </c>
      <c r="L299" s="14">
        <v>58</v>
      </c>
      <c r="M299" s="14">
        <v>90</v>
      </c>
      <c r="N299" s="14"/>
      <c r="O299" s="14"/>
      <c r="P299" s="10"/>
      <c r="Q299" s="10"/>
      <c r="R299" s="26"/>
      <c r="T299" s="16"/>
      <c r="AC299" t="s">
        <v>5</v>
      </c>
      <c r="AD299" s="3">
        <v>41883</v>
      </c>
      <c r="AE299" s="16">
        <v>228</v>
      </c>
      <c r="AJ299">
        <v>5.1403999999999996</v>
      </c>
      <c r="AK299">
        <v>33.744500000000002</v>
      </c>
      <c r="AN299" t="str">
        <f t="shared" si="20"/>
        <v>Minnipa</v>
      </c>
      <c r="AO299">
        <f t="shared" si="21"/>
        <v>2014</v>
      </c>
      <c r="AP299" t="str">
        <f t="shared" si="22"/>
        <v>Spitfire</v>
      </c>
      <c r="AQ299" t="str">
        <f t="shared" si="23"/>
        <v>Minnipa2014CvSpitfire</v>
      </c>
      <c r="AU299" t="s">
        <v>5</v>
      </c>
      <c r="AV299" s="3">
        <v>41883</v>
      </c>
      <c r="AW299" s="16">
        <v>24.426761280748348</v>
      </c>
      <c r="BB299">
        <v>1.0308237094673351</v>
      </c>
      <c r="BC299">
        <v>4.3129987108739032</v>
      </c>
    </row>
    <row r="300" spans="1:55" x14ac:dyDescent="0.25">
      <c r="A300" s="14">
        <v>2015</v>
      </c>
      <c r="B300" s="14" t="s">
        <v>123</v>
      </c>
      <c r="C300" s="14" t="s">
        <v>130</v>
      </c>
      <c r="D300" s="14">
        <v>3</v>
      </c>
      <c r="E300" s="14">
        <v>3</v>
      </c>
      <c r="F300" s="14">
        <v>11</v>
      </c>
      <c r="G300" s="14">
        <v>1</v>
      </c>
      <c r="H300" s="14" t="s">
        <v>12</v>
      </c>
      <c r="I300" s="15">
        <v>42230</v>
      </c>
      <c r="J300" s="14" t="s">
        <v>126</v>
      </c>
      <c r="K300" s="14">
        <v>123</v>
      </c>
      <c r="L300" s="14">
        <v>30</v>
      </c>
      <c r="M300" s="14">
        <v>93</v>
      </c>
      <c r="N300" s="14"/>
      <c r="O300" s="14"/>
      <c r="P300" s="10"/>
      <c r="Q300" s="10"/>
      <c r="R300" s="26"/>
      <c r="T300" s="16"/>
      <c r="AD300" s="3">
        <v>41899</v>
      </c>
      <c r="AE300" s="16">
        <v>319</v>
      </c>
      <c r="AF300">
        <v>178</v>
      </c>
      <c r="AG300">
        <v>46.7</v>
      </c>
      <c r="AH300">
        <v>68</v>
      </c>
      <c r="AI300">
        <v>25.4</v>
      </c>
      <c r="AJ300">
        <v>5.423</v>
      </c>
      <c r="AK300">
        <v>43.926299999999998</v>
      </c>
      <c r="AN300" t="str">
        <f t="shared" si="20"/>
        <v>Minnipa</v>
      </c>
      <c r="AO300">
        <f t="shared" si="21"/>
        <v>2014</v>
      </c>
      <c r="AP300" t="str">
        <f t="shared" si="22"/>
        <v>Spitfire</v>
      </c>
      <c r="AQ300" t="str">
        <f t="shared" si="23"/>
        <v>Minnipa2014CvSpitfire</v>
      </c>
      <c r="AV300" s="3">
        <v>41899</v>
      </c>
      <c r="AW300" s="16" t="e">
        <v>#DIV/0!</v>
      </c>
      <c r="AX300" t="e">
        <v>#DIV/0!</v>
      </c>
      <c r="AY300" t="e">
        <v>#DIV/0!</v>
      </c>
      <c r="AZ300" t="e">
        <v>#DIV/0!</v>
      </c>
      <c r="BA300" t="e">
        <v>#DIV/0!</v>
      </c>
      <c r="BB300" t="e">
        <v>#DIV/0!</v>
      </c>
      <c r="BC300" t="e">
        <v>#DIV/0!</v>
      </c>
    </row>
    <row r="301" spans="1:55" x14ac:dyDescent="0.25">
      <c r="A301" s="14">
        <v>2015</v>
      </c>
      <c r="B301" s="14" t="s">
        <v>123</v>
      </c>
      <c r="C301" s="14" t="s">
        <v>130</v>
      </c>
      <c r="D301" s="14">
        <v>3</v>
      </c>
      <c r="E301" s="14">
        <v>4</v>
      </c>
      <c r="F301" s="14">
        <v>12</v>
      </c>
      <c r="G301" s="14">
        <v>1</v>
      </c>
      <c r="H301" s="14" t="s">
        <v>10</v>
      </c>
      <c r="I301" s="15">
        <v>42230</v>
      </c>
      <c r="J301" s="14" t="s">
        <v>126</v>
      </c>
      <c r="K301" s="14">
        <v>167</v>
      </c>
      <c r="L301" s="14">
        <v>63</v>
      </c>
      <c r="M301" s="14">
        <v>104</v>
      </c>
      <c r="N301" s="14"/>
      <c r="O301" s="14"/>
      <c r="P301" s="10"/>
      <c r="Q301" s="10"/>
      <c r="R301" s="26"/>
      <c r="T301" s="16"/>
      <c r="AD301" s="3">
        <v>41901</v>
      </c>
      <c r="AE301" s="16">
        <v>403</v>
      </c>
      <c r="AF301">
        <v>230</v>
      </c>
      <c r="AG301">
        <v>60.9</v>
      </c>
      <c r="AH301">
        <v>84</v>
      </c>
      <c r="AI301">
        <v>28</v>
      </c>
      <c r="AJ301">
        <v>7.8988000000000005</v>
      </c>
      <c r="AK301">
        <v>43.403100000000002</v>
      </c>
      <c r="AN301" t="str">
        <f t="shared" si="20"/>
        <v>Minnipa</v>
      </c>
      <c r="AO301">
        <f t="shared" si="21"/>
        <v>2014</v>
      </c>
      <c r="AP301" t="str">
        <f t="shared" si="22"/>
        <v>Spitfire</v>
      </c>
      <c r="AQ301" t="str">
        <f t="shared" si="23"/>
        <v>Minnipa2014CvSpitfire</v>
      </c>
      <c r="AV301" s="3">
        <v>41901</v>
      </c>
      <c r="AW301" s="16" t="e">
        <v>#DIV/0!</v>
      </c>
      <c r="AX301" t="e">
        <v>#DIV/0!</v>
      </c>
      <c r="AY301" t="e">
        <v>#DIV/0!</v>
      </c>
      <c r="AZ301" t="e">
        <v>#DIV/0!</v>
      </c>
      <c r="BA301" t="e">
        <v>#DIV/0!</v>
      </c>
      <c r="BB301" t="e">
        <v>#DIV/0!</v>
      </c>
      <c r="BC301" t="e">
        <v>#DIV/0!</v>
      </c>
    </row>
    <row r="302" spans="1:55" x14ac:dyDescent="0.25">
      <c r="A302" s="14">
        <v>2015</v>
      </c>
      <c r="B302" s="14" t="s">
        <v>123</v>
      </c>
      <c r="C302" s="14" t="s">
        <v>130</v>
      </c>
      <c r="D302" s="14">
        <v>4</v>
      </c>
      <c r="E302" s="14">
        <v>4</v>
      </c>
      <c r="F302" s="14">
        <v>13</v>
      </c>
      <c r="G302" s="14">
        <v>2</v>
      </c>
      <c r="H302" s="14" t="s">
        <v>4</v>
      </c>
      <c r="I302" s="15">
        <v>42230</v>
      </c>
      <c r="J302" s="14" t="s">
        <v>126</v>
      </c>
      <c r="K302" s="14">
        <v>162</v>
      </c>
      <c r="L302" s="14">
        <v>81</v>
      </c>
      <c r="M302" s="14">
        <v>81</v>
      </c>
      <c r="N302" s="14"/>
      <c r="O302" s="14"/>
      <c r="P302" s="10"/>
      <c r="Q302" s="10"/>
      <c r="R302" s="26"/>
      <c r="T302" s="16"/>
      <c r="AD302" s="3">
        <v>41904</v>
      </c>
      <c r="AE302" s="16">
        <v>352</v>
      </c>
      <c r="AF302">
        <v>191.5</v>
      </c>
      <c r="AG302">
        <v>49.9</v>
      </c>
      <c r="AH302">
        <v>95</v>
      </c>
      <c r="AI302">
        <v>15.7</v>
      </c>
      <c r="AJ302">
        <v>6.319700000000001</v>
      </c>
      <c r="AK302">
        <v>55.888200000000005</v>
      </c>
      <c r="AN302" t="str">
        <f t="shared" si="20"/>
        <v>Minnipa</v>
      </c>
      <c r="AO302">
        <f t="shared" si="21"/>
        <v>2014</v>
      </c>
      <c r="AP302" t="str">
        <f t="shared" si="22"/>
        <v>Spitfire</v>
      </c>
      <c r="AQ302" t="str">
        <f t="shared" si="23"/>
        <v>Minnipa2014CvSpitfire</v>
      </c>
      <c r="AV302" s="3">
        <v>41904</v>
      </c>
      <c r="AW302" s="16">
        <v>117.37972567696688</v>
      </c>
      <c r="AX302">
        <v>55.861435713737258</v>
      </c>
      <c r="AY302">
        <v>19.091883092036785</v>
      </c>
      <c r="AZ302">
        <v>35.355339059327378</v>
      </c>
      <c r="BA302">
        <v>6.5053823869162457</v>
      </c>
      <c r="BB302">
        <v>2.8125879328476127</v>
      </c>
      <c r="BC302">
        <v>21.175443933481052</v>
      </c>
    </row>
    <row r="303" spans="1:55" x14ac:dyDescent="0.25">
      <c r="A303" s="14">
        <v>2015</v>
      </c>
      <c r="B303" s="14" t="s">
        <v>123</v>
      </c>
      <c r="C303" s="14" t="s">
        <v>130</v>
      </c>
      <c r="D303" s="14">
        <v>4</v>
      </c>
      <c r="E303" s="14">
        <v>3</v>
      </c>
      <c r="F303" s="14">
        <v>14</v>
      </c>
      <c r="G303" s="14">
        <v>2</v>
      </c>
      <c r="H303" s="14" t="s">
        <v>10</v>
      </c>
      <c r="I303" s="15">
        <v>42230</v>
      </c>
      <c r="J303" s="14" t="s">
        <v>126</v>
      </c>
      <c r="K303" s="14">
        <v>146</v>
      </c>
      <c r="L303" s="14">
        <v>55</v>
      </c>
      <c r="M303" s="14">
        <v>91</v>
      </c>
      <c r="N303" s="14"/>
      <c r="O303" s="14"/>
      <c r="P303" s="10"/>
      <c r="Q303" s="10"/>
      <c r="R303" s="26"/>
      <c r="T303" s="16"/>
      <c r="AD303" s="3">
        <v>41954</v>
      </c>
      <c r="AE303" s="16">
        <v>471.5</v>
      </c>
      <c r="AF303">
        <v>129.75</v>
      </c>
      <c r="AH303">
        <v>287.75</v>
      </c>
      <c r="AI303">
        <v>46.25</v>
      </c>
      <c r="AN303" t="str">
        <f t="shared" si="20"/>
        <v>Minnipa</v>
      </c>
      <c r="AO303">
        <f t="shared" si="21"/>
        <v>2014</v>
      </c>
      <c r="AP303" t="str">
        <f t="shared" si="22"/>
        <v>Spitfire</v>
      </c>
      <c r="AQ303" t="str">
        <f t="shared" si="23"/>
        <v>Minnipa2014CvSpitfire</v>
      </c>
      <c r="AV303" s="3">
        <v>41954</v>
      </c>
      <c r="AW303" s="16">
        <v>22.649503305812249</v>
      </c>
      <c r="AX303">
        <v>8.9953691790090904</v>
      </c>
      <c r="AZ303">
        <v>14.080127840328723</v>
      </c>
      <c r="BA303">
        <v>4.1129875597510219</v>
      </c>
    </row>
    <row r="304" spans="1:55" x14ac:dyDescent="0.25">
      <c r="A304" s="14">
        <v>2015</v>
      </c>
      <c r="B304" s="14" t="s">
        <v>123</v>
      </c>
      <c r="C304" s="14" t="s">
        <v>130</v>
      </c>
      <c r="D304" s="14">
        <v>4</v>
      </c>
      <c r="E304" s="14">
        <v>2</v>
      </c>
      <c r="F304" s="14">
        <v>15</v>
      </c>
      <c r="G304" s="14">
        <v>2</v>
      </c>
      <c r="H304" s="14" t="s">
        <v>8</v>
      </c>
      <c r="I304" s="15">
        <v>42230</v>
      </c>
      <c r="J304" s="14" t="s">
        <v>126</v>
      </c>
      <c r="K304" s="14">
        <v>164</v>
      </c>
      <c r="L304" s="14">
        <v>63</v>
      </c>
      <c r="M304" s="14">
        <v>101</v>
      </c>
      <c r="N304" s="14"/>
      <c r="O304" s="14"/>
      <c r="P304" s="10"/>
      <c r="Q304" s="10"/>
      <c r="R304" s="26"/>
      <c r="T304" s="16"/>
      <c r="AD304" s="3">
        <v>46239</v>
      </c>
      <c r="AE304" s="16">
        <v>48</v>
      </c>
      <c r="AJ304">
        <v>2.0755500000000002</v>
      </c>
      <c r="AK304">
        <v>4.9512</v>
      </c>
      <c r="AN304" t="str">
        <f t="shared" si="20"/>
        <v>Minnipa</v>
      </c>
      <c r="AO304">
        <f t="shared" si="21"/>
        <v>2014</v>
      </c>
      <c r="AP304" t="str">
        <f t="shared" si="22"/>
        <v>Spitfire</v>
      </c>
      <c r="AQ304" t="str">
        <f t="shared" si="23"/>
        <v>Minnipa2014CvSpitfire</v>
      </c>
      <c r="AV304" s="3">
        <v>46239</v>
      </c>
      <c r="AW304" s="16">
        <v>14.719601443879744</v>
      </c>
      <c r="BB304">
        <v>0.50780141459695294</v>
      </c>
      <c r="BC304">
        <v>2.5861360533944575</v>
      </c>
    </row>
    <row r="305" spans="1:55" x14ac:dyDescent="0.25">
      <c r="A305" s="14">
        <v>2015</v>
      </c>
      <c r="B305" s="14" t="s">
        <v>123</v>
      </c>
      <c r="C305" s="14" t="s">
        <v>130</v>
      </c>
      <c r="D305" s="14">
        <v>4</v>
      </c>
      <c r="E305" s="14">
        <v>1</v>
      </c>
      <c r="F305" s="14">
        <v>16</v>
      </c>
      <c r="G305" s="14">
        <v>2</v>
      </c>
      <c r="H305" s="14" t="s">
        <v>14</v>
      </c>
      <c r="I305" s="15">
        <v>42230</v>
      </c>
      <c r="J305" s="14" t="s">
        <v>126</v>
      </c>
      <c r="K305" s="14">
        <v>139</v>
      </c>
      <c r="L305" s="14">
        <v>57</v>
      </c>
      <c r="M305" s="14">
        <v>81</v>
      </c>
      <c r="N305" s="14"/>
      <c r="O305" s="14"/>
      <c r="P305" s="10"/>
      <c r="Q305" s="10"/>
      <c r="R305" s="26"/>
      <c r="T305" s="16"/>
      <c r="AD305" s="3">
        <v>46254</v>
      </c>
      <c r="AE305" s="16">
        <v>113.75</v>
      </c>
      <c r="AJ305">
        <v>3.4735999999999998</v>
      </c>
      <c r="AK305">
        <v>13.587025000000001</v>
      </c>
      <c r="AN305" t="str">
        <f t="shared" si="20"/>
        <v>Minnipa</v>
      </c>
      <c r="AO305">
        <f t="shared" si="21"/>
        <v>2014</v>
      </c>
      <c r="AP305" t="str">
        <f t="shared" si="22"/>
        <v>Spitfire</v>
      </c>
      <c r="AQ305" t="str">
        <f t="shared" si="23"/>
        <v>Minnipa2014CvSpitfire</v>
      </c>
      <c r="AV305" s="3">
        <v>46254</v>
      </c>
      <c r="AW305" s="16">
        <v>7.455423082115014</v>
      </c>
      <c r="BB305">
        <v>0.47324942683536492</v>
      </c>
      <c r="BC305">
        <v>2.1749900879084354</v>
      </c>
    </row>
    <row r="306" spans="1:55" x14ac:dyDescent="0.25">
      <c r="A306" s="14">
        <v>2015</v>
      </c>
      <c r="B306" s="14" t="s">
        <v>123</v>
      </c>
      <c r="C306" s="14" t="s">
        <v>130</v>
      </c>
      <c r="D306" s="14">
        <v>5</v>
      </c>
      <c r="E306" s="14">
        <v>1</v>
      </c>
      <c r="F306" s="14">
        <v>17</v>
      </c>
      <c r="G306" s="14">
        <v>2</v>
      </c>
      <c r="H306" s="14" t="s">
        <v>12</v>
      </c>
      <c r="I306" s="15">
        <v>42230</v>
      </c>
      <c r="J306" s="14" t="s">
        <v>126</v>
      </c>
      <c r="K306" s="14">
        <v>143</v>
      </c>
      <c r="L306" s="14">
        <v>47</v>
      </c>
      <c r="M306" s="14">
        <v>95</v>
      </c>
      <c r="N306" s="14"/>
      <c r="O306" s="14"/>
      <c r="P306" s="10"/>
      <c r="Q306" s="10"/>
      <c r="R306" s="26"/>
      <c r="T306" s="16"/>
      <c r="AC306" t="s">
        <v>9</v>
      </c>
      <c r="AD306" s="3">
        <v>41883</v>
      </c>
      <c r="AE306" s="16">
        <v>257.25</v>
      </c>
      <c r="AJ306">
        <v>6.3229499999999996</v>
      </c>
      <c r="AK306">
        <v>33.960324999999997</v>
      </c>
      <c r="AN306" t="str">
        <f t="shared" si="20"/>
        <v>Minnipa</v>
      </c>
      <c r="AO306">
        <f t="shared" si="21"/>
        <v>2014</v>
      </c>
      <c r="AP306" t="str">
        <f t="shared" si="22"/>
        <v>Sunbee</v>
      </c>
      <c r="AQ306" t="str">
        <f t="shared" si="23"/>
        <v>Minnipa2014CvSunbee</v>
      </c>
      <c r="AU306" t="s">
        <v>9</v>
      </c>
      <c r="AV306" s="3">
        <v>41883</v>
      </c>
      <c r="AW306" s="16">
        <v>50.162236792232463</v>
      </c>
      <c r="BB306">
        <v>1.19543390309405</v>
      </c>
      <c r="BC306">
        <v>13.122785198367779</v>
      </c>
    </row>
    <row r="307" spans="1:55" x14ac:dyDescent="0.25">
      <c r="A307" s="14">
        <v>2015</v>
      </c>
      <c r="B307" s="14" t="s">
        <v>123</v>
      </c>
      <c r="C307" s="14" t="s">
        <v>130</v>
      </c>
      <c r="D307" s="14">
        <v>5</v>
      </c>
      <c r="E307" s="14">
        <v>2</v>
      </c>
      <c r="F307" s="14">
        <v>18</v>
      </c>
      <c r="G307" s="14">
        <v>2</v>
      </c>
      <c r="H307" s="14" t="s">
        <v>7</v>
      </c>
      <c r="I307" s="15">
        <v>42230</v>
      </c>
      <c r="J307" s="14" t="s">
        <v>126</v>
      </c>
      <c r="K307" s="14">
        <v>122</v>
      </c>
      <c r="L307" s="14">
        <v>43</v>
      </c>
      <c r="M307" s="14">
        <v>79</v>
      </c>
      <c r="N307" s="14"/>
      <c r="O307" s="14"/>
      <c r="P307" s="10"/>
      <c r="Q307" s="10"/>
      <c r="R307" s="26"/>
      <c r="T307" s="16"/>
      <c r="AD307" s="3">
        <v>41899</v>
      </c>
      <c r="AE307" s="16">
        <v>392</v>
      </c>
      <c r="AF307">
        <v>224.5</v>
      </c>
      <c r="AG307">
        <v>56.75</v>
      </c>
      <c r="AH307">
        <v>75.5</v>
      </c>
      <c r="AI307">
        <v>35.15</v>
      </c>
      <c r="AJ307">
        <v>7.2410499999999995</v>
      </c>
      <c r="AK307">
        <v>43.606099999999998</v>
      </c>
      <c r="AN307" t="str">
        <f t="shared" si="20"/>
        <v>Minnipa</v>
      </c>
      <c r="AO307">
        <f t="shared" si="21"/>
        <v>2014</v>
      </c>
      <c r="AP307" t="str">
        <f t="shared" si="22"/>
        <v>Sunbee</v>
      </c>
      <c r="AQ307" t="str">
        <f t="shared" si="23"/>
        <v>Minnipa2014CvSunbee</v>
      </c>
      <c r="AV307" s="3">
        <v>41899</v>
      </c>
      <c r="AW307" s="16">
        <v>41.012193308819754</v>
      </c>
      <c r="AX307">
        <v>27.577164466275352</v>
      </c>
      <c r="AY307">
        <v>13.364318164425733</v>
      </c>
      <c r="AZ307">
        <v>7.7781745930520225</v>
      </c>
      <c r="BA307">
        <v>7.9903066274080032</v>
      </c>
      <c r="BB307">
        <v>1.6672870793597598</v>
      </c>
      <c r="BC307">
        <v>8.5869633293732281</v>
      </c>
    </row>
    <row r="308" spans="1:55" x14ac:dyDescent="0.25">
      <c r="A308" s="14">
        <v>2015</v>
      </c>
      <c r="B308" s="14" t="s">
        <v>123</v>
      </c>
      <c r="C308" s="14" t="s">
        <v>130</v>
      </c>
      <c r="D308" s="14">
        <v>5</v>
      </c>
      <c r="E308" s="14">
        <v>3</v>
      </c>
      <c r="F308" s="14">
        <v>19</v>
      </c>
      <c r="G308" s="14">
        <v>2</v>
      </c>
      <c r="H308" s="14" t="s">
        <v>5</v>
      </c>
      <c r="I308" s="15">
        <v>42230</v>
      </c>
      <c r="J308" s="14" t="s">
        <v>126</v>
      </c>
      <c r="K308" s="14">
        <v>135</v>
      </c>
      <c r="L308" s="14">
        <v>45</v>
      </c>
      <c r="M308" s="14">
        <v>90</v>
      </c>
      <c r="N308" s="14"/>
      <c r="O308" s="14"/>
      <c r="P308" s="10"/>
      <c r="Q308" s="10"/>
      <c r="R308" s="26"/>
      <c r="T308" s="16"/>
      <c r="AD308" s="3">
        <v>41901</v>
      </c>
      <c r="AE308" s="16">
        <v>420</v>
      </c>
      <c r="AF308">
        <v>254</v>
      </c>
      <c r="AG308">
        <v>63.8</v>
      </c>
      <c r="AH308">
        <v>78</v>
      </c>
      <c r="AI308">
        <v>24.2</v>
      </c>
      <c r="AJ308">
        <v>7.476</v>
      </c>
      <c r="AK308">
        <v>40.194000000000003</v>
      </c>
      <c r="AN308" t="str">
        <f t="shared" si="20"/>
        <v>Minnipa</v>
      </c>
      <c r="AO308">
        <f t="shared" si="21"/>
        <v>2014</v>
      </c>
      <c r="AP308" t="str">
        <f t="shared" si="22"/>
        <v>Sunbee</v>
      </c>
      <c r="AQ308" t="str">
        <f t="shared" si="23"/>
        <v>Minnipa2014CvSunbee</v>
      </c>
      <c r="AV308" s="3">
        <v>41901</v>
      </c>
      <c r="AW308" s="16" t="e">
        <v>#DIV/0!</v>
      </c>
      <c r="AX308" t="e">
        <v>#DIV/0!</v>
      </c>
      <c r="AY308" t="e">
        <v>#DIV/0!</v>
      </c>
      <c r="AZ308" t="e">
        <v>#DIV/0!</v>
      </c>
      <c r="BA308" t="e">
        <v>#DIV/0!</v>
      </c>
      <c r="BB308" t="e">
        <v>#DIV/0!</v>
      </c>
      <c r="BC308" t="e">
        <v>#DIV/0!</v>
      </c>
    </row>
    <row r="309" spans="1:55" x14ac:dyDescent="0.25">
      <c r="A309" s="14">
        <v>2015</v>
      </c>
      <c r="B309" s="14" t="s">
        <v>123</v>
      </c>
      <c r="C309" s="14" t="s">
        <v>130</v>
      </c>
      <c r="D309" s="14">
        <v>5</v>
      </c>
      <c r="E309" s="14">
        <v>4</v>
      </c>
      <c r="F309" s="14">
        <v>20</v>
      </c>
      <c r="G309" s="14">
        <v>2</v>
      </c>
      <c r="H309" s="14" t="s">
        <v>2</v>
      </c>
      <c r="I309" s="15">
        <v>42230</v>
      </c>
      <c r="J309" s="14" t="s">
        <v>126</v>
      </c>
      <c r="K309" s="14">
        <v>143</v>
      </c>
      <c r="L309" s="14">
        <v>54</v>
      </c>
      <c r="M309" s="14">
        <v>90</v>
      </c>
      <c r="N309" s="14"/>
      <c r="O309" s="14"/>
      <c r="P309" s="10"/>
      <c r="Q309" s="10"/>
      <c r="R309" s="26"/>
      <c r="T309" s="16"/>
      <c r="AD309" s="3">
        <v>41904</v>
      </c>
      <c r="AE309" s="16">
        <v>547</v>
      </c>
      <c r="AF309">
        <v>312</v>
      </c>
      <c r="AG309">
        <v>100.8</v>
      </c>
      <c r="AH309">
        <v>117</v>
      </c>
      <c r="AI309">
        <v>17.399999999999999</v>
      </c>
      <c r="AJ309">
        <v>9.4631000000000007</v>
      </c>
      <c r="AK309">
        <v>53.168399999999998</v>
      </c>
      <c r="AN309" t="str">
        <f t="shared" si="20"/>
        <v>Minnipa</v>
      </c>
      <c r="AO309">
        <f t="shared" si="21"/>
        <v>2014</v>
      </c>
      <c r="AP309" t="str">
        <f t="shared" si="22"/>
        <v>Sunbee</v>
      </c>
      <c r="AQ309" t="str">
        <f t="shared" si="23"/>
        <v>Minnipa2014CvSunbee</v>
      </c>
      <c r="AV309" s="3">
        <v>41904</v>
      </c>
      <c r="AW309" s="16" t="e">
        <v>#DIV/0!</v>
      </c>
      <c r="AX309" t="e">
        <v>#DIV/0!</v>
      </c>
      <c r="AY309" t="e">
        <v>#DIV/0!</v>
      </c>
      <c r="AZ309" t="e">
        <v>#DIV/0!</v>
      </c>
      <c r="BA309" t="e">
        <v>#DIV/0!</v>
      </c>
      <c r="BB309" t="e">
        <v>#DIV/0!</v>
      </c>
      <c r="BC309" t="e">
        <v>#DIV/0!</v>
      </c>
    </row>
    <row r="310" spans="1:55" x14ac:dyDescent="0.25">
      <c r="A310" s="14">
        <v>2015</v>
      </c>
      <c r="B310" s="14" t="s">
        <v>123</v>
      </c>
      <c r="C310" s="14" t="s">
        <v>130</v>
      </c>
      <c r="D310" s="14">
        <v>6</v>
      </c>
      <c r="E310" s="14">
        <v>4</v>
      </c>
      <c r="F310" s="14">
        <v>21</v>
      </c>
      <c r="G310" s="14">
        <v>2</v>
      </c>
      <c r="H310" s="14" t="s">
        <v>3</v>
      </c>
      <c r="I310" s="15">
        <v>42230</v>
      </c>
      <c r="J310" s="14" t="s">
        <v>126</v>
      </c>
      <c r="K310" s="14">
        <v>81</v>
      </c>
      <c r="L310" s="14">
        <v>21</v>
      </c>
      <c r="M310" s="14">
        <v>60</v>
      </c>
      <c r="N310" s="14"/>
      <c r="O310" s="14"/>
      <c r="P310" s="10"/>
      <c r="Q310" s="10"/>
      <c r="R310" s="26"/>
      <c r="T310" s="16"/>
      <c r="AD310" s="3">
        <v>41954</v>
      </c>
      <c r="AE310" s="16">
        <v>535.5</v>
      </c>
      <c r="AF310">
        <v>168.75</v>
      </c>
      <c r="AH310">
        <v>309.5</v>
      </c>
      <c r="AI310">
        <v>51.5</v>
      </c>
      <c r="AN310" t="str">
        <f t="shared" si="20"/>
        <v>Minnipa</v>
      </c>
      <c r="AO310">
        <f t="shared" si="21"/>
        <v>2014</v>
      </c>
      <c r="AP310" t="str">
        <f t="shared" si="22"/>
        <v>Sunbee</v>
      </c>
      <c r="AQ310" t="str">
        <f t="shared" si="23"/>
        <v>Minnipa2014CvSunbee</v>
      </c>
      <c r="AV310" s="3">
        <v>41954</v>
      </c>
      <c r="AW310" s="16">
        <v>71.579792306674562</v>
      </c>
      <c r="AX310">
        <v>26.310644233845739</v>
      </c>
      <c r="AZ310">
        <v>48.897852713590602</v>
      </c>
      <c r="BA310">
        <v>7.416198487095663</v>
      </c>
    </row>
    <row r="311" spans="1:55" x14ac:dyDescent="0.25">
      <c r="A311" s="14">
        <v>2015</v>
      </c>
      <c r="B311" s="14" t="s">
        <v>123</v>
      </c>
      <c r="C311" s="14" t="s">
        <v>130</v>
      </c>
      <c r="D311" s="14">
        <v>6</v>
      </c>
      <c r="E311" s="14">
        <v>3</v>
      </c>
      <c r="F311" s="14">
        <v>22</v>
      </c>
      <c r="G311" s="14">
        <v>2</v>
      </c>
      <c r="H311" s="14" t="s">
        <v>13</v>
      </c>
      <c r="I311" s="15">
        <v>42230</v>
      </c>
      <c r="J311" s="14" t="s">
        <v>126</v>
      </c>
      <c r="K311" s="14">
        <v>155</v>
      </c>
      <c r="L311" s="14">
        <v>56</v>
      </c>
      <c r="M311" s="14">
        <v>99</v>
      </c>
      <c r="N311" s="14"/>
      <c r="O311" s="14"/>
      <c r="P311" s="10"/>
      <c r="Q311" s="10"/>
      <c r="R311" s="26"/>
      <c r="T311" s="16"/>
      <c r="AD311" s="3">
        <v>46239</v>
      </c>
      <c r="AE311" s="16">
        <v>59.5</v>
      </c>
      <c r="AJ311">
        <v>2.7743500000000001</v>
      </c>
      <c r="AK311">
        <v>5.1277249999999999</v>
      </c>
      <c r="AN311" t="str">
        <f t="shared" si="20"/>
        <v>Minnipa</v>
      </c>
      <c r="AO311">
        <f t="shared" si="21"/>
        <v>2014</v>
      </c>
      <c r="AP311" t="str">
        <f t="shared" si="22"/>
        <v>Sunbee</v>
      </c>
      <c r="AQ311" t="str">
        <f t="shared" si="23"/>
        <v>Minnipa2014CvSunbee</v>
      </c>
      <c r="AV311" s="3">
        <v>46239</v>
      </c>
      <c r="AW311" s="16">
        <v>17.175564037317667</v>
      </c>
      <c r="BB311">
        <v>0.78371361478540136</v>
      </c>
      <c r="BC311">
        <v>0.80991820729009412</v>
      </c>
    </row>
    <row r="312" spans="1:55" x14ac:dyDescent="0.25">
      <c r="A312" s="14">
        <v>2015</v>
      </c>
      <c r="B312" s="14" t="s">
        <v>123</v>
      </c>
      <c r="C312" s="14" t="s">
        <v>130</v>
      </c>
      <c r="D312" s="14">
        <v>6</v>
      </c>
      <c r="E312" s="14">
        <v>2</v>
      </c>
      <c r="F312" s="14">
        <v>23</v>
      </c>
      <c r="G312" s="14">
        <v>2</v>
      </c>
      <c r="H312" s="14" t="s">
        <v>9</v>
      </c>
      <c r="I312" s="15">
        <v>42230</v>
      </c>
      <c r="J312" s="14" t="s">
        <v>126</v>
      </c>
      <c r="K312" s="14">
        <v>126</v>
      </c>
      <c r="L312" s="14">
        <v>37</v>
      </c>
      <c r="M312" s="14">
        <v>90</v>
      </c>
      <c r="N312" s="14"/>
      <c r="O312" s="14"/>
      <c r="P312" s="10"/>
      <c r="Q312" s="10"/>
      <c r="R312" s="26"/>
      <c r="T312" s="16"/>
      <c r="AD312" s="3">
        <v>46254</v>
      </c>
      <c r="AE312" s="16">
        <v>152.25</v>
      </c>
      <c r="AJ312">
        <v>4.4977</v>
      </c>
      <c r="AK312">
        <v>15.075725</v>
      </c>
      <c r="AN312" t="str">
        <f t="shared" si="20"/>
        <v>Minnipa</v>
      </c>
      <c r="AO312">
        <f t="shared" si="21"/>
        <v>2014</v>
      </c>
      <c r="AP312" t="str">
        <f t="shared" si="22"/>
        <v>Sunbee</v>
      </c>
      <c r="AQ312" t="str">
        <f t="shared" si="23"/>
        <v>Minnipa2014CvSunbee</v>
      </c>
      <c r="AV312" s="3">
        <v>46254</v>
      </c>
      <c r="AW312" s="16">
        <v>29.352739792621289</v>
      </c>
      <c r="BB312">
        <v>0.95054804542782967</v>
      </c>
      <c r="BC312">
        <v>2.6168638499483765</v>
      </c>
    </row>
    <row r="313" spans="1:55" x14ac:dyDescent="0.25">
      <c r="A313" s="14">
        <v>2015</v>
      </c>
      <c r="B313" s="14" t="s">
        <v>123</v>
      </c>
      <c r="C313" s="14" t="s">
        <v>130</v>
      </c>
      <c r="D313" s="14">
        <v>6</v>
      </c>
      <c r="E313" s="14">
        <v>1</v>
      </c>
      <c r="F313" s="14">
        <v>24</v>
      </c>
      <c r="G313" s="14">
        <v>2</v>
      </c>
      <c r="H313" s="14" t="s">
        <v>6</v>
      </c>
      <c r="I313" s="15">
        <v>42230</v>
      </c>
      <c r="J313" s="14" t="s">
        <v>126</v>
      </c>
      <c r="K313" s="14">
        <v>123</v>
      </c>
      <c r="L313" s="14">
        <v>45</v>
      </c>
      <c r="M313" s="14">
        <v>78</v>
      </c>
      <c r="N313" s="14"/>
      <c r="O313" s="14"/>
      <c r="P313" s="10"/>
      <c r="Q313" s="10"/>
      <c r="R313" s="26"/>
      <c r="T313" s="16"/>
      <c r="AC313" t="s">
        <v>6</v>
      </c>
      <c r="AD313" s="3">
        <v>41883</v>
      </c>
      <c r="AE313" s="16">
        <v>198.5</v>
      </c>
      <c r="AJ313">
        <v>5.2832249999999998</v>
      </c>
      <c r="AK313">
        <v>21.673175000000001</v>
      </c>
      <c r="AN313" t="str">
        <f t="shared" si="20"/>
        <v>Minnipa</v>
      </c>
      <c r="AO313">
        <f t="shared" si="21"/>
        <v>2014</v>
      </c>
      <c r="AP313" t="str">
        <f t="shared" si="22"/>
        <v>Sunstate</v>
      </c>
      <c r="AQ313" t="str">
        <f t="shared" si="23"/>
        <v>Minnipa2014CvSunstate</v>
      </c>
      <c r="AU313" t="s">
        <v>6</v>
      </c>
      <c r="AV313" s="3">
        <v>41883</v>
      </c>
      <c r="AW313" s="16">
        <v>30.160680805755472</v>
      </c>
      <c r="BB313">
        <v>1.1797730131258266</v>
      </c>
      <c r="BC313">
        <v>7.0822710869583876</v>
      </c>
    </row>
    <row r="314" spans="1:55" x14ac:dyDescent="0.25">
      <c r="A314" s="14">
        <v>2015</v>
      </c>
      <c r="B314" s="14" t="s">
        <v>123</v>
      </c>
      <c r="C314" s="14" t="s">
        <v>130</v>
      </c>
      <c r="D314" s="14">
        <v>7</v>
      </c>
      <c r="E314" s="14">
        <v>1</v>
      </c>
      <c r="F314" s="14">
        <v>25</v>
      </c>
      <c r="G314" s="14">
        <v>3</v>
      </c>
      <c r="H314" s="14" t="s">
        <v>9</v>
      </c>
      <c r="I314" s="15">
        <v>42230</v>
      </c>
      <c r="J314" s="14" t="s">
        <v>126</v>
      </c>
      <c r="K314" s="14">
        <v>94</v>
      </c>
      <c r="L314" s="14">
        <v>31</v>
      </c>
      <c r="M314" s="14">
        <v>63</v>
      </c>
      <c r="N314" s="14"/>
      <c r="O314" s="14"/>
      <c r="P314" s="10"/>
      <c r="Q314" s="10"/>
      <c r="R314" s="26"/>
      <c r="T314" s="16"/>
      <c r="AD314" s="3">
        <v>41899</v>
      </c>
      <c r="AE314" s="16">
        <v>449</v>
      </c>
      <c r="AF314">
        <v>249</v>
      </c>
      <c r="AG314">
        <v>75.3</v>
      </c>
      <c r="AH314">
        <v>94</v>
      </c>
      <c r="AI314">
        <v>29.4</v>
      </c>
      <c r="AJ314">
        <v>10.057599999999999</v>
      </c>
      <c r="AK314">
        <v>63.488600000000005</v>
      </c>
      <c r="AN314" t="str">
        <f t="shared" si="20"/>
        <v>Minnipa</v>
      </c>
      <c r="AO314">
        <f t="shared" si="21"/>
        <v>2014</v>
      </c>
      <c r="AP314" t="str">
        <f t="shared" si="22"/>
        <v>Sunstate</v>
      </c>
      <c r="AQ314" t="str">
        <f t="shared" si="23"/>
        <v>Minnipa2014CvSunstate</v>
      </c>
      <c r="AV314" s="3">
        <v>41899</v>
      </c>
      <c r="AW314" s="16" t="e">
        <v>#DIV/0!</v>
      </c>
      <c r="AX314" t="e">
        <v>#DIV/0!</v>
      </c>
      <c r="AY314" t="e">
        <v>#DIV/0!</v>
      </c>
      <c r="AZ314" t="e">
        <v>#DIV/0!</v>
      </c>
      <c r="BA314" t="e">
        <v>#DIV/0!</v>
      </c>
      <c r="BB314" t="e">
        <v>#DIV/0!</v>
      </c>
      <c r="BC314" t="e">
        <v>#DIV/0!</v>
      </c>
    </row>
    <row r="315" spans="1:55" x14ac:dyDescent="0.25">
      <c r="A315" s="14">
        <v>2015</v>
      </c>
      <c r="B315" s="14" t="s">
        <v>123</v>
      </c>
      <c r="C315" s="14" t="s">
        <v>130</v>
      </c>
      <c r="D315" s="14">
        <v>7</v>
      </c>
      <c r="E315" s="14">
        <v>2</v>
      </c>
      <c r="F315" s="14">
        <v>26</v>
      </c>
      <c r="G315" s="14">
        <v>3</v>
      </c>
      <c r="H315" s="14" t="s">
        <v>5</v>
      </c>
      <c r="I315" s="15">
        <v>42230</v>
      </c>
      <c r="J315" s="14" t="s">
        <v>126</v>
      </c>
      <c r="K315" s="14">
        <v>123</v>
      </c>
      <c r="L315" s="14">
        <v>40</v>
      </c>
      <c r="M315" s="14">
        <v>83</v>
      </c>
      <c r="N315" s="14"/>
      <c r="O315" s="14"/>
      <c r="P315" s="10"/>
      <c r="Q315" s="10"/>
      <c r="R315" s="26"/>
      <c r="T315" s="16"/>
      <c r="AD315" s="3">
        <v>41901</v>
      </c>
      <c r="AE315" s="16">
        <v>324</v>
      </c>
      <c r="AF315">
        <v>174</v>
      </c>
      <c r="AG315">
        <v>62.65</v>
      </c>
      <c r="AH315">
        <v>69</v>
      </c>
      <c r="AI315">
        <v>18.7</v>
      </c>
      <c r="AJ315">
        <v>5.3398500000000002</v>
      </c>
      <c r="AK315">
        <v>39.656500000000001</v>
      </c>
      <c r="AN315" t="str">
        <f t="shared" si="20"/>
        <v>Minnipa</v>
      </c>
      <c r="AO315">
        <f t="shared" si="21"/>
        <v>2014</v>
      </c>
      <c r="AP315" t="str">
        <f t="shared" si="22"/>
        <v>Sunstate</v>
      </c>
      <c r="AQ315" t="str">
        <f t="shared" si="23"/>
        <v>Minnipa2014CvSunstate</v>
      </c>
      <c r="AV315" s="3">
        <v>41901</v>
      </c>
      <c r="AW315" s="16">
        <v>77.781745930520231</v>
      </c>
      <c r="AX315">
        <v>56.568542494923804</v>
      </c>
      <c r="AY315">
        <v>0.21213203435613576</v>
      </c>
      <c r="AZ315">
        <v>12.727922061357855</v>
      </c>
      <c r="BA315">
        <v>8.0610173055266365</v>
      </c>
      <c r="BB315">
        <v>2.1496753254852248</v>
      </c>
      <c r="BC315">
        <v>6.6277118600615132</v>
      </c>
    </row>
    <row r="316" spans="1:55" x14ac:dyDescent="0.25">
      <c r="A316" s="14">
        <v>2015</v>
      </c>
      <c r="B316" s="14" t="s">
        <v>123</v>
      </c>
      <c r="C316" s="14" t="s">
        <v>130</v>
      </c>
      <c r="D316" s="14">
        <v>7</v>
      </c>
      <c r="E316" s="14">
        <v>3</v>
      </c>
      <c r="F316" s="14">
        <v>27</v>
      </c>
      <c r="G316" s="14">
        <v>3</v>
      </c>
      <c r="H316" s="14" t="s">
        <v>3</v>
      </c>
      <c r="I316" s="15">
        <v>42230</v>
      </c>
      <c r="J316" s="14" t="s">
        <v>126</v>
      </c>
      <c r="K316" s="14">
        <v>113</v>
      </c>
      <c r="L316" s="14">
        <v>25</v>
      </c>
      <c r="M316" s="14">
        <v>88</v>
      </c>
      <c r="N316" s="14"/>
      <c r="O316" s="14"/>
      <c r="P316" s="10"/>
      <c r="Q316" s="10"/>
      <c r="R316" s="26"/>
      <c r="T316" s="16"/>
      <c r="AD316" s="3">
        <v>41904</v>
      </c>
      <c r="AE316" s="16">
        <v>409</v>
      </c>
      <c r="AF316">
        <v>233</v>
      </c>
      <c r="AG316">
        <v>67.2</v>
      </c>
      <c r="AH316">
        <v>100</v>
      </c>
      <c r="AI316">
        <v>8.9</v>
      </c>
      <c r="AJ316">
        <v>6.9120999999999997</v>
      </c>
      <c r="AK316">
        <v>47.116800000000005</v>
      </c>
      <c r="AN316" t="str">
        <f t="shared" si="20"/>
        <v>Minnipa</v>
      </c>
      <c r="AO316">
        <f t="shared" si="21"/>
        <v>2014</v>
      </c>
      <c r="AP316" t="str">
        <f t="shared" si="22"/>
        <v>Sunstate</v>
      </c>
      <c r="AQ316" t="str">
        <f t="shared" si="23"/>
        <v>Minnipa2014CvSunstate</v>
      </c>
      <c r="AV316" s="3">
        <v>41904</v>
      </c>
      <c r="AW316" s="16" t="e">
        <v>#DIV/0!</v>
      </c>
      <c r="AX316" t="e">
        <v>#DIV/0!</v>
      </c>
      <c r="AY316" t="e">
        <v>#DIV/0!</v>
      </c>
      <c r="AZ316" t="e">
        <v>#DIV/0!</v>
      </c>
      <c r="BA316" t="e">
        <v>#DIV/0!</v>
      </c>
      <c r="BB316" t="e">
        <v>#DIV/0!</v>
      </c>
      <c r="BC316" t="e">
        <v>#DIV/0!</v>
      </c>
    </row>
    <row r="317" spans="1:55" x14ac:dyDescent="0.25">
      <c r="A317" s="14">
        <v>2015</v>
      </c>
      <c r="B317" s="14" t="s">
        <v>123</v>
      </c>
      <c r="C317" s="14" t="s">
        <v>130</v>
      </c>
      <c r="D317" s="14">
        <v>7</v>
      </c>
      <c r="E317" s="14">
        <v>4</v>
      </c>
      <c r="F317" s="14">
        <v>28</v>
      </c>
      <c r="G317" s="14">
        <v>3</v>
      </c>
      <c r="H317" s="14" t="s">
        <v>8</v>
      </c>
      <c r="I317" s="15">
        <v>42230</v>
      </c>
      <c r="J317" s="14" t="s">
        <v>126</v>
      </c>
      <c r="K317" s="14">
        <v>139</v>
      </c>
      <c r="L317" s="14">
        <v>38</v>
      </c>
      <c r="M317" s="14">
        <v>101</v>
      </c>
      <c r="N317" s="14"/>
      <c r="O317" s="14"/>
      <c r="P317" s="10"/>
      <c r="Q317" s="10"/>
      <c r="R317" s="26"/>
      <c r="T317" s="16"/>
      <c r="AD317" s="3">
        <v>41954</v>
      </c>
      <c r="AE317" s="16">
        <v>485.5</v>
      </c>
      <c r="AF317">
        <v>148.75</v>
      </c>
      <c r="AH317">
        <v>285.5</v>
      </c>
      <c r="AI317">
        <v>46.5</v>
      </c>
      <c r="AN317" t="str">
        <f t="shared" si="20"/>
        <v>Minnipa</v>
      </c>
      <c r="AO317">
        <f t="shared" si="21"/>
        <v>2014</v>
      </c>
      <c r="AP317" t="str">
        <f t="shared" si="22"/>
        <v>Sunstate</v>
      </c>
      <c r="AQ317" t="str">
        <f t="shared" si="23"/>
        <v>Minnipa2014CvSunstate</v>
      </c>
      <c r="AV317" s="3">
        <v>41954</v>
      </c>
      <c r="AW317" s="16">
        <v>84.208075622234716</v>
      </c>
      <c r="AX317">
        <v>29.81470554385313</v>
      </c>
      <c r="AZ317">
        <v>38.38836629327519</v>
      </c>
      <c r="BA317">
        <v>15.588457268119896</v>
      </c>
    </row>
    <row r="318" spans="1:55" x14ac:dyDescent="0.25">
      <c r="A318" s="14">
        <v>2015</v>
      </c>
      <c r="B318" s="14" t="s">
        <v>123</v>
      </c>
      <c r="C318" s="14" t="s">
        <v>130</v>
      </c>
      <c r="D318" s="14">
        <v>8</v>
      </c>
      <c r="E318" s="14">
        <v>4</v>
      </c>
      <c r="F318" s="14">
        <v>29</v>
      </c>
      <c r="G318" s="14">
        <v>3</v>
      </c>
      <c r="H318" s="14" t="s">
        <v>13</v>
      </c>
      <c r="I318" s="15">
        <v>42230</v>
      </c>
      <c r="J318" s="14" t="s">
        <v>126</v>
      </c>
      <c r="K318" s="14">
        <v>113</v>
      </c>
      <c r="L318" s="14">
        <v>27</v>
      </c>
      <c r="M318" s="14">
        <v>86</v>
      </c>
      <c r="N318" s="14"/>
      <c r="O318" s="14"/>
      <c r="P318" s="10"/>
      <c r="Q318" s="10"/>
      <c r="R318" s="26"/>
      <c r="T318" s="16"/>
      <c r="AD318" s="3">
        <v>46239</v>
      </c>
      <c r="AE318" s="16">
        <v>34.25</v>
      </c>
      <c r="AJ318">
        <v>1.6234000000000002</v>
      </c>
      <c r="AK318">
        <v>3.380525</v>
      </c>
      <c r="AN318" t="str">
        <f t="shared" si="20"/>
        <v>Minnipa</v>
      </c>
      <c r="AO318">
        <f t="shared" si="21"/>
        <v>2014</v>
      </c>
      <c r="AP318" t="str">
        <f t="shared" si="22"/>
        <v>Sunstate</v>
      </c>
      <c r="AQ318" t="str">
        <f t="shared" si="23"/>
        <v>Minnipa2014CvSunstate</v>
      </c>
      <c r="AV318" s="3">
        <v>46239</v>
      </c>
      <c r="AW318" s="16">
        <v>4.4253060157839181</v>
      </c>
      <c r="BB318">
        <v>0.16335476730110904</v>
      </c>
      <c r="BC318">
        <v>1.260908845172138</v>
      </c>
    </row>
    <row r="319" spans="1:55" x14ac:dyDescent="0.25">
      <c r="A319" s="14">
        <v>2015</v>
      </c>
      <c r="B319" s="14" t="s">
        <v>123</v>
      </c>
      <c r="C319" s="14" t="s">
        <v>130</v>
      </c>
      <c r="D319" s="14">
        <v>8</v>
      </c>
      <c r="E319" s="14">
        <v>3</v>
      </c>
      <c r="F319" s="14">
        <v>30</v>
      </c>
      <c r="G319" s="14">
        <v>3</v>
      </c>
      <c r="H319" s="14" t="s">
        <v>7</v>
      </c>
      <c r="I319" s="15">
        <v>42230</v>
      </c>
      <c r="J319" s="14" t="s">
        <v>126</v>
      </c>
      <c r="K319" s="14">
        <v>78</v>
      </c>
      <c r="L319" s="14">
        <v>30</v>
      </c>
      <c r="M319" s="14">
        <v>48</v>
      </c>
      <c r="N319" s="14"/>
      <c r="O319" s="14"/>
      <c r="P319" s="10"/>
      <c r="Q319" s="10"/>
      <c r="R319" s="26"/>
      <c r="T319" s="16"/>
      <c r="AD319" s="3">
        <v>46254</v>
      </c>
      <c r="AE319" s="16">
        <v>85.5</v>
      </c>
      <c r="AJ319">
        <v>2.8856000000000002</v>
      </c>
      <c r="AK319">
        <v>8.759800000000002</v>
      </c>
      <c r="AN319" t="str">
        <f t="shared" si="20"/>
        <v>Minnipa</v>
      </c>
      <c r="AO319">
        <f t="shared" si="21"/>
        <v>2014</v>
      </c>
      <c r="AP319" t="str">
        <f t="shared" si="22"/>
        <v>Sunstate</v>
      </c>
      <c r="AQ319" t="str">
        <f t="shared" si="23"/>
        <v>Minnipa2014CvSunstate</v>
      </c>
      <c r="AV319" s="3">
        <v>46254</v>
      </c>
      <c r="AW319" s="16">
        <v>11.61895003862225</v>
      </c>
      <c r="BB319">
        <v>0.42140791797655153</v>
      </c>
      <c r="BC319">
        <v>1.3225078626105178</v>
      </c>
    </row>
    <row r="320" spans="1:55" x14ac:dyDescent="0.25">
      <c r="A320" s="14">
        <v>2015</v>
      </c>
      <c r="B320" s="14" t="s">
        <v>123</v>
      </c>
      <c r="C320" s="14" t="s">
        <v>130</v>
      </c>
      <c r="D320" s="14">
        <v>8</v>
      </c>
      <c r="E320" s="14">
        <v>2</v>
      </c>
      <c r="F320" s="14">
        <v>31</v>
      </c>
      <c r="G320" s="14">
        <v>3</v>
      </c>
      <c r="H320" s="14" t="s">
        <v>6</v>
      </c>
      <c r="I320" s="15">
        <v>42230</v>
      </c>
      <c r="J320" s="14" t="s">
        <v>126</v>
      </c>
      <c r="K320" s="14">
        <v>190</v>
      </c>
      <c r="L320" s="14">
        <v>50</v>
      </c>
      <c r="M320" s="14">
        <v>140</v>
      </c>
      <c r="N320" s="14"/>
      <c r="O320" s="14"/>
      <c r="P320" s="10"/>
      <c r="Q320" s="10"/>
      <c r="R320" s="26"/>
      <c r="T320" s="16"/>
      <c r="AB320">
        <v>2015</v>
      </c>
      <c r="AC320" t="s">
        <v>13</v>
      </c>
      <c r="AD320" s="3">
        <v>42222</v>
      </c>
      <c r="AE320" s="16">
        <v>52.75</v>
      </c>
      <c r="AF320">
        <v>18.25</v>
      </c>
      <c r="AG320">
        <v>34.5</v>
      </c>
      <c r="AN320" t="str">
        <f t="shared" si="20"/>
        <v>Minnipa</v>
      </c>
      <c r="AO320">
        <f t="shared" si="21"/>
        <v>2015</v>
      </c>
      <c r="AP320" t="str">
        <f t="shared" si="22"/>
        <v>29B</v>
      </c>
      <c r="AQ320" t="str">
        <f t="shared" si="23"/>
        <v>Minnipa2015Cv29B</v>
      </c>
      <c r="AT320">
        <v>2015</v>
      </c>
      <c r="AU320" t="s">
        <v>13</v>
      </c>
      <c r="AV320" s="3">
        <v>42222</v>
      </c>
      <c r="AW320" s="16">
        <v>18.463928798245153</v>
      </c>
      <c r="AX320">
        <v>7.7620873481300121</v>
      </c>
      <c r="AY320">
        <v>10.408329997330663</v>
      </c>
    </row>
    <row r="321" spans="1:53" x14ac:dyDescent="0.25">
      <c r="A321" s="14">
        <v>2015</v>
      </c>
      <c r="B321" s="14" t="s">
        <v>123</v>
      </c>
      <c r="C321" s="14" t="s">
        <v>130</v>
      </c>
      <c r="D321" s="14">
        <v>8</v>
      </c>
      <c r="E321" s="14">
        <v>1</v>
      </c>
      <c r="F321" s="14">
        <v>32</v>
      </c>
      <c r="G321" s="14">
        <v>3</v>
      </c>
      <c r="H321" s="14" t="s">
        <v>10</v>
      </c>
      <c r="I321" s="15">
        <v>42230</v>
      </c>
      <c r="J321" s="14" t="s">
        <v>126</v>
      </c>
      <c r="K321" s="14">
        <v>105</v>
      </c>
      <c r="L321" s="14">
        <v>32</v>
      </c>
      <c r="M321" s="14">
        <v>74</v>
      </c>
      <c r="N321" s="14"/>
      <c r="O321" s="14"/>
      <c r="P321" s="10"/>
      <c r="Q321" s="10"/>
      <c r="R321" s="26"/>
      <c r="T321" s="16"/>
      <c r="AD321" s="3">
        <v>42230</v>
      </c>
      <c r="AE321" s="16">
        <v>114.5</v>
      </c>
      <c r="AF321">
        <v>34.25</v>
      </c>
      <c r="AG321">
        <v>80.5</v>
      </c>
      <c r="AN321" t="str">
        <f t="shared" si="20"/>
        <v>Minnipa</v>
      </c>
      <c r="AO321">
        <f t="shared" si="21"/>
        <v>2015</v>
      </c>
      <c r="AP321" t="str">
        <f t="shared" si="22"/>
        <v>29B</v>
      </c>
      <c r="AQ321" t="str">
        <f t="shared" si="23"/>
        <v>Minnipa2015Cv29B</v>
      </c>
      <c r="AV321" s="3">
        <v>42230</v>
      </c>
      <c r="AW321" s="16">
        <v>31.522478751942504</v>
      </c>
      <c r="AX321">
        <v>15.58578412100805</v>
      </c>
      <c r="AY321">
        <v>16.743157806499145</v>
      </c>
    </row>
    <row r="322" spans="1:53" x14ac:dyDescent="0.25">
      <c r="A322" s="14">
        <v>2015</v>
      </c>
      <c r="B322" s="14" t="s">
        <v>123</v>
      </c>
      <c r="C322" s="14" t="s">
        <v>130</v>
      </c>
      <c r="D322" s="14">
        <v>9</v>
      </c>
      <c r="E322" s="14">
        <v>1</v>
      </c>
      <c r="F322" s="14">
        <v>33</v>
      </c>
      <c r="G322" s="14">
        <v>3</v>
      </c>
      <c r="H322" s="14" t="s">
        <v>2</v>
      </c>
      <c r="I322" s="15">
        <v>42230</v>
      </c>
      <c r="J322" s="14" t="s">
        <v>126</v>
      </c>
      <c r="K322" s="14">
        <v>113</v>
      </c>
      <c r="L322" s="14">
        <v>31</v>
      </c>
      <c r="M322" s="14">
        <v>83</v>
      </c>
      <c r="N322" s="14"/>
      <c r="O322" s="14"/>
      <c r="P322" s="10"/>
      <c r="Q322" s="10"/>
      <c r="R322" s="26"/>
      <c r="T322" s="16"/>
      <c r="AD322" s="3">
        <v>42251</v>
      </c>
      <c r="AE322" s="16">
        <v>337.25</v>
      </c>
      <c r="AF322">
        <v>190</v>
      </c>
      <c r="AG322">
        <v>143</v>
      </c>
      <c r="AI322">
        <v>4.625</v>
      </c>
      <c r="AN322" t="str">
        <f t="shared" si="20"/>
        <v>Minnipa</v>
      </c>
      <c r="AO322">
        <f t="shared" si="21"/>
        <v>2015</v>
      </c>
      <c r="AP322" t="str">
        <f t="shared" si="22"/>
        <v>29B</v>
      </c>
      <c r="AQ322" t="str">
        <f t="shared" si="23"/>
        <v>Minnipa2015Cv29B</v>
      </c>
      <c r="AV322" s="3">
        <v>42251</v>
      </c>
      <c r="AW322" s="16">
        <v>67.859536298641672</v>
      </c>
      <c r="AX322">
        <v>51.61395160225576</v>
      </c>
      <c r="AY322">
        <v>16.593171286204857</v>
      </c>
      <c r="BA322">
        <v>3.9160992496786058</v>
      </c>
    </row>
    <row r="323" spans="1:53" x14ac:dyDescent="0.25">
      <c r="A323" s="14">
        <v>2015</v>
      </c>
      <c r="B323" s="14" t="s">
        <v>123</v>
      </c>
      <c r="C323" s="14" t="s">
        <v>130</v>
      </c>
      <c r="D323" s="14">
        <v>9</v>
      </c>
      <c r="E323" s="14">
        <v>2</v>
      </c>
      <c r="F323" s="14">
        <v>34</v>
      </c>
      <c r="G323" s="14">
        <v>3</v>
      </c>
      <c r="H323" s="14" t="s">
        <v>4</v>
      </c>
      <c r="I323" s="15">
        <v>42230</v>
      </c>
      <c r="J323" s="14" t="s">
        <v>126</v>
      </c>
      <c r="K323" s="14">
        <v>233</v>
      </c>
      <c r="L323" s="14">
        <v>89</v>
      </c>
      <c r="M323" s="14">
        <v>145</v>
      </c>
      <c r="N323" s="14"/>
      <c r="O323" s="14"/>
      <c r="P323" s="10"/>
      <c r="Q323" s="10"/>
      <c r="R323" s="26"/>
      <c r="T323" s="16"/>
      <c r="AD323" s="3">
        <v>42276</v>
      </c>
      <c r="AE323" s="16">
        <v>742.5</v>
      </c>
      <c r="AF323">
        <v>401.75</v>
      </c>
      <c r="AG323">
        <v>123.5</v>
      </c>
      <c r="AH323">
        <v>177.5</v>
      </c>
      <c r="AI323">
        <v>39.950000000000003</v>
      </c>
      <c r="AN323" t="str">
        <f t="shared" si="20"/>
        <v>Minnipa</v>
      </c>
      <c r="AO323">
        <f t="shared" si="21"/>
        <v>2015</v>
      </c>
      <c r="AP323" t="str">
        <f t="shared" si="22"/>
        <v>29B</v>
      </c>
      <c r="AQ323" t="str">
        <f t="shared" si="23"/>
        <v>Minnipa2015Cv29B</v>
      </c>
      <c r="AV323" s="3">
        <v>42276</v>
      </c>
      <c r="AW323" s="16">
        <v>115.01449184052127</v>
      </c>
      <c r="AX323">
        <v>67.336839842689386</v>
      </c>
      <c r="AY323">
        <v>18.77054430040145</v>
      </c>
      <c r="AZ323">
        <v>13.674794331177344</v>
      </c>
      <c r="BA323">
        <v>18.938760959119428</v>
      </c>
    </row>
    <row r="324" spans="1:53" x14ac:dyDescent="0.25">
      <c r="A324" s="14">
        <v>2015</v>
      </c>
      <c r="B324" s="14" t="s">
        <v>123</v>
      </c>
      <c r="C324" s="14" t="s">
        <v>130</v>
      </c>
      <c r="D324" s="14">
        <v>9</v>
      </c>
      <c r="E324" s="14">
        <v>3</v>
      </c>
      <c r="F324" s="14">
        <v>35</v>
      </c>
      <c r="G324" s="14">
        <v>3</v>
      </c>
      <c r="H324" s="14" t="s">
        <v>14</v>
      </c>
      <c r="I324" s="15">
        <v>42230</v>
      </c>
      <c r="J324" s="14" t="s">
        <v>126</v>
      </c>
      <c r="K324" s="14">
        <v>189</v>
      </c>
      <c r="L324" s="14">
        <v>74</v>
      </c>
      <c r="M324" s="14">
        <v>115</v>
      </c>
      <c r="N324" s="14"/>
      <c r="O324" s="14"/>
      <c r="P324" s="10"/>
      <c r="Q324" s="10"/>
      <c r="R324" s="26"/>
      <c r="T324" s="16"/>
      <c r="AD324" s="3">
        <v>42306</v>
      </c>
      <c r="AE324" s="16">
        <v>936.25</v>
      </c>
      <c r="AF324">
        <v>325</v>
      </c>
      <c r="AH324">
        <v>485.25</v>
      </c>
      <c r="AI324">
        <v>99.9</v>
      </c>
      <c r="AN324" t="str">
        <f t="shared" si="20"/>
        <v>Minnipa</v>
      </c>
      <c r="AO324">
        <f t="shared" si="21"/>
        <v>2015</v>
      </c>
      <c r="AP324" t="str">
        <f t="shared" si="22"/>
        <v>29B</v>
      </c>
      <c r="AQ324" t="str">
        <f t="shared" si="23"/>
        <v>Minnipa2015Cv29B</v>
      </c>
      <c r="AV324" s="3">
        <v>42306</v>
      </c>
      <c r="AW324" s="16">
        <v>48.767304621026575</v>
      </c>
      <c r="AX324">
        <v>27.58018612458347</v>
      </c>
      <c r="AZ324">
        <v>70.745435659600446</v>
      </c>
      <c r="BA324">
        <v>10.385566907973573</v>
      </c>
    </row>
    <row r="325" spans="1:53" x14ac:dyDescent="0.25">
      <c r="A325" s="14">
        <v>2015</v>
      </c>
      <c r="B325" s="14" t="s">
        <v>123</v>
      </c>
      <c r="C325" s="14" t="s">
        <v>130</v>
      </c>
      <c r="D325" s="14">
        <v>9</v>
      </c>
      <c r="E325" s="14">
        <v>4</v>
      </c>
      <c r="F325" s="14">
        <v>36</v>
      </c>
      <c r="G325" s="14">
        <v>3</v>
      </c>
      <c r="H325" s="14" t="s">
        <v>12</v>
      </c>
      <c r="I325" s="15">
        <v>42230</v>
      </c>
      <c r="J325" s="14" t="s">
        <v>126</v>
      </c>
      <c r="K325" s="14">
        <v>80</v>
      </c>
      <c r="L325" s="14">
        <v>26</v>
      </c>
      <c r="M325" s="14">
        <v>54</v>
      </c>
      <c r="N325" s="14"/>
      <c r="O325" s="14"/>
      <c r="P325" s="10"/>
      <c r="Q325" s="10"/>
      <c r="R325" s="26"/>
      <c r="T325" s="16"/>
      <c r="AC325" t="s">
        <v>14</v>
      </c>
      <c r="AD325" s="3">
        <v>42222</v>
      </c>
      <c r="AE325" s="16">
        <v>117</v>
      </c>
      <c r="AF325">
        <v>50</v>
      </c>
      <c r="AG325">
        <v>66.5</v>
      </c>
      <c r="AN325" t="str">
        <f t="shared" ref="AN325:AN379" si="24">IF(AA325&lt;&gt;"",AA325,AN324)</f>
        <v>Minnipa</v>
      </c>
      <c r="AO325">
        <f t="shared" ref="AO325:AO379" si="25">IF(AB325&lt;&gt;"",AB325,AO324)</f>
        <v>2015</v>
      </c>
      <c r="AP325" t="str">
        <f t="shared" ref="AP325:AP379" si="26">IF(AC325&lt;&gt;"",AC325,AP324)</f>
        <v>5A</v>
      </c>
      <c r="AQ325" t="str">
        <f t="shared" ref="AQ325:AQ379" si="27">AN325&amp;AO325&amp;"Cv"&amp;AP325</f>
        <v>Minnipa2015Cv5A</v>
      </c>
      <c r="AU325" t="s">
        <v>14</v>
      </c>
      <c r="AV325" s="3">
        <v>42222</v>
      </c>
      <c r="AW325" s="16">
        <v>25.073226092121985</v>
      </c>
      <c r="AX325">
        <v>9.8994949366116654</v>
      </c>
      <c r="AY325">
        <v>15.154757228892407</v>
      </c>
    </row>
    <row r="326" spans="1:53" x14ac:dyDescent="0.25">
      <c r="A326" s="14">
        <v>2015</v>
      </c>
      <c r="B326" s="14" t="s">
        <v>123</v>
      </c>
      <c r="C326" s="14" t="s">
        <v>130</v>
      </c>
      <c r="D326" s="14">
        <v>10</v>
      </c>
      <c r="E326" s="14">
        <v>4</v>
      </c>
      <c r="F326" s="14">
        <v>37</v>
      </c>
      <c r="G326" s="14">
        <v>4</v>
      </c>
      <c r="H326" s="14" t="s">
        <v>9</v>
      </c>
      <c r="I326" s="15">
        <v>42230</v>
      </c>
      <c r="J326" s="14" t="s">
        <v>126</v>
      </c>
      <c r="K326" s="14">
        <v>101</v>
      </c>
      <c r="L326" s="14">
        <v>28</v>
      </c>
      <c r="M326" s="14">
        <v>73</v>
      </c>
      <c r="N326" s="14"/>
      <c r="O326" s="14"/>
      <c r="P326" s="10"/>
      <c r="Q326" s="10"/>
      <c r="R326" s="26"/>
      <c r="T326" s="16"/>
      <c r="AD326" s="3">
        <v>42230</v>
      </c>
      <c r="AE326" s="16">
        <v>160</v>
      </c>
      <c r="AF326">
        <v>64.5</v>
      </c>
      <c r="AG326">
        <v>95.25</v>
      </c>
      <c r="AN326" t="str">
        <f t="shared" si="24"/>
        <v>Minnipa</v>
      </c>
      <c r="AO326">
        <f t="shared" si="25"/>
        <v>2015</v>
      </c>
      <c r="AP326" t="str">
        <f t="shared" si="26"/>
        <v>5A</v>
      </c>
      <c r="AQ326" t="str">
        <f t="shared" si="27"/>
        <v>Minnipa2015Cv5A</v>
      </c>
      <c r="AV326" s="3">
        <v>42230</v>
      </c>
      <c r="AW326" s="16">
        <v>22.464787260658994</v>
      </c>
      <c r="AX326">
        <v>13.076696830622021</v>
      </c>
      <c r="AY326">
        <v>14.522970311429637</v>
      </c>
    </row>
    <row r="327" spans="1:53" x14ac:dyDescent="0.25">
      <c r="A327" s="14">
        <v>2015</v>
      </c>
      <c r="B327" s="14" t="s">
        <v>123</v>
      </c>
      <c r="C327" s="14" t="s">
        <v>130</v>
      </c>
      <c r="D327" s="14">
        <v>10</v>
      </c>
      <c r="E327" s="14">
        <v>3</v>
      </c>
      <c r="F327" s="14">
        <v>38</v>
      </c>
      <c r="G327" s="14">
        <v>4</v>
      </c>
      <c r="H327" s="14" t="s">
        <v>2</v>
      </c>
      <c r="I327" s="15">
        <v>42230</v>
      </c>
      <c r="J327" s="14" t="s">
        <v>126</v>
      </c>
      <c r="K327" s="14">
        <v>88</v>
      </c>
      <c r="L327" s="14">
        <v>22</v>
      </c>
      <c r="M327" s="14">
        <v>65</v>
      </c>
      <c r="N327" s="14"/>
      <c r="O327" s="14"/>
      <c r="P327" s="10"/>
      <c r="Q327" s="10"/>
      <c r="R327" s="26"/>
      <c r="T327" s="16"/>
      <c r="AD327" s="3">
        <v>42251</v>
      </c>
      <c r="AE327" s="16">
        <v>443.75</v>
      </c>
      <c r="AF327">
        <v>282.25</v>
      </c>
      <c r="AG327">
        <v>151</v>
      </c>
      <c r="AI327">
        <v>10.725</v>
      </c>
      <c r="AN327" t="str">
        <f t="shared" si="24"/>
        <v>Minnipa</v>
      </c>
      <c r="AO327">
        <f t="shared" si="25"/>
        <v>2015</v>
      </c>
      <c r="AP327" t="str">
        <f t="shared" si="26"/>
        <v>5A</v>
      </c>
      <c r="AQ327" t="str">
        <f t="shared" si="27"/>
        <v>Minnipa2015Cv5A</v>
      </c>
      <c r="AV327" s="3">
        <v>42251</v>
      </c>
      <c r="AW327" s="16">
        <v>31.212978070027216</v>
      </c>
      <c r="AX327">
        <v>52.898487691048409</v>
      </c>
      <c r="AY327">
        <v>25.495097567963924</v>
      </c>
      <c r="BA327">
        <v>5.200881335568682</v>
      </c>
    </row>
    <row r="328" spans="1:53" x14ac:dyDescent="0.25">
      <c r="A328" s="14">
        <v>2015</v>
      </c>
      <c r="B328" s="14" t="s">
        <v>123</v>
      </c>
      <c r="C328" s="14" t="s">
        <v>130</v>
      </c>
      <c r="D328" s="14">
        <v>10</v>
      </c>
      <c r="E328" s="14">
        <v>2</v>
      </c>
      <c r="F328" s="14">
        <v>39</v>
      </c>
      <c r="G328" s="14">
        <v>4</v>
      </c>
      <c r="H328" s="14" t="s">
        <v>12</v>
      </c>
      <c r="I328" s="15">
        <v>42230</v>
      </c>
      <c r="J328" s="14" t="s">
        <v>126</v>
      </c>
      <c r="K328" s="14">
        <v>130</v>
      </c>
      <c r="L328" s="14">
        <v>43</v>
      </c>
      <c r="M328" s="14">
        <v>87</v>
      </c>
      <c r="N328" s="14"/>
      <c r="O328" s="14"/>
      <c r="P328" s="10"/>
      <c r="Q328" s="10"/>
      <c r="R328" s="26"/>
      <c r="T328" s="16"/>
      <c r="AD328" s="3">
        <v>42276</v>
      </c>
      <c r="AE328" s="16">
        <v>830</v>
      </c>
      <c r="AF328">
        <v>461</v>
      </c>
      <c r="AG328">
        <v>109</v>
      </c>
      <c r="AH328">
        <v>221.25</v>
      </c>
      <c r="AI328">
        <v>38.6</v>
      </c>
      <c r="AN328" t="str">
        <f t="shared" si="24"/>
        <v>Minnipa</v>
      </c>
      <c r="AO328">
        <f t="shared" si="25"/>
        <v>2015</v>
      </c>
      <c r="AP328" t="str">
        <f t="shared" si="26"/>
        <v>5A</v>
      </c>
      <c r="AQ328" t="str">
        <f t="shared" si="27"/>
        <v>Minnipa2015Cv5A</v>
      </c>
      <c r="AV328" s="3">
        <v>42276</v>
      </c>
      <c r="AW328" s="16">
        <v>74.175467642610784</v>
      </c>
      <c r="AX328">
        <v>54.814839839834129</v>
      </c>
      <c r="AY328">
        <v>36.533090023520685</v>
      </c>
      <c r="AZ328">
        <v>25.863423336183992</v>
      </c>
      <c r="BA328">
        <v>14.703060905811425</v>
      </c>
    </row>
    <row r="329" spans="1:53" x14ac:dyDescent="0.25">
      <c r="A329" s="14">
        <v>2015</v>
      </c>
      <c r="B329" s="14" t="s">
        <v>123</v>
      </c>
      <c r="C329" s="14" t="s">
        <v>130</v>
      </c>
      <c r="D329" s="14">
        <v>10</v>
      </c>
      <c r="E329" s="14">
        <v>1</v>
      </c>
      <c r="F329" s="14">
        <v>40</v>
      </c>
      <c r="G329" s="14">
        <v>4</v>
      </c>
      <c r="H329" s="14" t="s">
        <v>13</v>
      </c>
      <c r="I329" s="15">
        <v>42230</v>
      </c>
      <c r="J329" s="14" t="s">
        <v>126</v>
      </c>
      <c r="K329" s="14">
        <v>112</v>
      </c>
      <c r="L329" s="14">
        <v>34</v>
      </c>
      <c r="M329" s="14">
        <v>78</v>
      </c>
      <c r="N329" s="14"/>
      <c r="O329" s="14"/>
      <c r="P329" s="10"/>
      <c r="Q329" s="10"/>
      <c r="R329" s="26"/>
      <c r="T329" s="16"/>
      <c r="AD329" s="3">
        <v>42306</v>
      </c>
      <c r="AE329" s="16">
        <v>951.75</v>
      </c>
      <c r="AF329">
        <v>343.25</v>
      </c>
      <c r="AH329">
        <v>505</v>
      </c>
      <c r="AI329">
        <v>95.425000000000011</v>
      </c>
      <c r="AN329" t="str">
        <f t="shared" si="24"/>
        <v>Minnipa</v>
      </c>
      <c r="AO329">
        <f t="shared" si="25"/>
        <v>2015</v>
      </c>
      <c r="AP329" t="str">
        <f t="shared" si="26"/>
        <v>5A</v>
      </c>
      <c r="AQ329" t="str">
        <f t="shared" si="27"/>
        <v>Minnipa2015Cv5A</v>
      </c>
      <c r="AV329" s="3">
        <v>42306</v>
      </c>
      <c r="AW329" s="16">
        <v>112.11415313569172</v>
      </c>
      <c r="AX329">
        <v>50.347955933351123</v>
      </c>
      <c r="AZ329">
        <v>59.794091123900643</v>
      </c>
      <c r="BA329">
        <v>12.651844397820547</v>
      </c>
    </row>
    <row r="330" spans="1:53" x14ac:dyDescent="0.25">
      <c r="A330" s="14">
        <v>2015</v>
      </c>
      <c r="B330" s="14" t="s">
        <v>123</v>
      </c>
      <c r="C330" s="14" t="s">
        <v>130</v>
      </c>
      <c r="D330" s="14">
        <v>11</v>
      </c>
      <c r="E330" s="14">
        <v>1</v>
      </c>
      <c r="F330" s="14">
        <v>41</v>
      </c>
      <c r="G330" s="14">
        <v>4</v>
      </c>
      <c r="H330" s="14" t="s">
        <v>4</v>
      </c>
      <c r="I330" s="15">
        <v>42230</v>
      </c>
      <c r="J330" s="14" t="s">
        <v>126</v>
      </c>
      <c r="K330" s="14">
        <v>124</v>
      </c>
      <c r="L330" s="14">
        <v>31</v>
      </c>
      <c r="M330" s="14">
        <v>94</v>
      </c>
      <c r="N330" s="14"/>
      <c r="O330" s="14"/>
      <c r="P330" s="10"/>
      <c r="Q330" s="10"/>
      <c r="R330" s="26"/>
      <c r="T330" s="16"/>
      <c r="AC330" t="s">
        <v>12</v>
      </c>
      <c r="AD330" s="3">
        <v>42222</v>
      </c>
      <c r="AE330" s="16">
        <v>76.5</v>
      </c>
      <c r="AF330">
        <v>29.75</v>
      </c>
      <c r="AG330">
        <v>47</v>
      </c>
      <c r="AN330" t="str">
        <f t="shared" si="24"/>
        <v>Minnipa</v>
      </c>
      <c r="AO330">
        <f t="shared" si="25"/>
        <v>2015</v>
      </c>
      <c r="AP330" t="str">
        <f t="shared" si="26"/>
        <v>60A</v>
      </c>
      <c r="AQ330" t="str">
        <f t="shared" si="27"/>
        <v>Minnipa2015Cv60A</v>
      </c>
      <c r="AU330" t="s">
        <v>12</v>
      </c>
      <c r="AV330" s="3">
        <v>42222</v>
      </c>
      <c r="AW330" s="16">
        <v>17.253019059476713</v>
      </c>
      <c r="AX330">
        <v>7.5883682918881403</v>
      </c>
      <c r="AY330">
        <v>9.4868329805051381</v>
      </c>
    </row>
    <row r="331" spans="1:53" x14ac:dyDescent="0.25">
      <c r="A331" s="14">
        <v>2015</v>
      </c>
      <c r="B331" s="14" t="s">
        <v>123</v>
      </c>
      <c r="C331" s="14" t="s">
        <v>130</v>
      </c>
      <c r="D331" s="14">
        <v>11</v>
      </c>
      <c r="E331" s="14">
        <v>2</v>
      </c>
      <c r="F331" s="14">
        <v>42</v>
      </c>
      <c r="G331" s="14">
        <v>4</v>
      </c>
      <c r="H331" s="14" t="s">
        <v>3</v>
      </c>
      <c r="I331" s="15">
        <v>42230</v>
      </c>
      <c r="J331" s="14" t="s">
        <v>126</v>
      </c>
      <c r="K331" s="14">
        <v>121</v>
      </c>
      <c r="L331" s="14">
        <v>23</v>
      </c>
      <c r="M331" s="14">
        <v>99</v>
      </c>
      <c r="N331" s="14"/>
      <c r="O331" s="14"/>
      <c r="P331" s="10"/>
      <c r="Q331" s="10"/>
      <c r="R331" s="26"/>
      <c r="T331" s="16"/>
      <c r="AD331" s="3">
        <v>42230</v>
      </c>
      <c r="AE331" s="16">
        <v>119</v>
      </c>
      <c r="AF331">
        <v>36.5</v>
      </c>
      <c r="AG331">
        <v>82.25</v>
      </c>
      <c r="AN331" t="str">
        <f t="shared" si="24"/>
        <v>Minnipa</v>
      </c>
      <c r="AO331">
        <f t="shared" si="25"/>
        <v>2015</v>
      </c>
      <c r="AP331" t="str">
        <f t="shared" si="26"/>
        <v>60A</v>
      </c>
      <c r="AQ331" t="str">
        <f t="shared" si="27"/>
        <v>Minnipa2015Cv60A</v>
      </c>
      <c r="AV331" s="3">
        <v>42230</v>
      </c>
      <c r="AW331" s="16">
        <v>27.288581250527969</v>
      </c>
      <c r="AX331">
        <v>10.082988974836116</v>
      </c>
      <c r="AY331">
        <v>19.137659209004639</v>
      </c>
    </row>
    <row r="332" spans="1:53" x14ac:dyDescent="0.25">
      <c r="A332" s="14">
        <v>2015</v>
      </c>
      <c r="B332" s="14" t="s">
        <v>123</v>
      </c>
      <c r="C332" s="14" t="s">
        <v>130</v>
      </c>
      <c r="D332" s="14">
        <v>11</v>
      </c>
      <c r="E332" s="14">
        <v>3</v>
      </c>
      <c r="F332" s="14">
        <v>43</v>
      </c>
      <c r="G332" s="14">
        <v>4</v>
      </c>
      <c r="H332" s="14" t="s">
        <v>6</v>
      </c>
      <c r="I332" s="15">
        <v>42230</v>
      </c>
      <c r="J332" s="14" t="s">
        <v>126</v>
      </c>
      <c r="K332" s="14">
        <v>196</v>
      </c>
      <c r="L332" s="14">
        <v>63</v>
      </c>
      <c r="M332" s="14">
        <v>133</v>
      </c>
      <c r="N332" s="14"/>
      <c r="O332" s="14"/>
      <c r="P332" s="10"/>
      <c r="Q332" s="10"/>
      <c r="R332" s="26"/>
      <c r="T332" s="16"/>
      <c r="AD332" s="3">
        <v>42251</v>
      </c>
      <c r="AE332" s="16">
        <v>415.25</v>
      </c>
      <c r="AF332">
        <v>257</v>
      </c>
      <c r="AG332">
        <v>155</v>
      </c>
      <c r="AI332">
        <v>3.375</v>
      </c>
      <c r="AN332" t="str">
        <f t="shared" si="24"/>
        <v>Minnipa</v>
      </c>
      <c r="AO332">
        <f t="shared" si="25"/>
        <v>2015</v>
      </c>
      <c r="AP332" t="str">
        <f t="shared" si="26"/>
        <v>60A</v>
      </c>
      <c r="AQ332" t="str">
        <f t="shared" si="27"/>
        <v>Minnipa2015Cv60A</v>
      </c>
      <c r="AV332" s="3">
        <v>42251</v>
      </c>
      <c r="AW332" s="16">
        <v>76.687134948873052</v>
      </c>
      <c r="AX332">
        <v>70.531316921397874</v>
      </c>
      <c r="AY332">
        <v>8.3666002653407556</v>
      </c>
      <c r="BA332">
        <v>2.4472773987978287</v>
      </c>
    </row>
    <row r="333" spans="1:53" x14ac:dyDescent="0.25">
      <c r="A333" s="14">
        <v>2015</v>
      </c>
      <c r="B333" s="14" t="s">
        <v>123</v>
      </c>
      <c r="C333" s="14" t="s">
        <v>130</v>
      </c>
      <c r="D333" s="14">
        <v>11</v>
      </c>
      <c r="E333" s="14">
        <v>4</v>
      </c>
      <c r="F333" s="14">
        <v>44</v>
      </c>
      <c r="G333" s="14">
        <v>4</v>
      </c>
      <c r="H333" s="14" t="s">
        <v>14</v>
      </c>
      <c r="I333" s="15">
        <v>42230</v>
      </c>
      <c r="J333" s="14" t="s">
        <v>126</v>
      </c>
      <c r="K333" s="14">
        <v>166</v>
      </c>
      <c r="L333" s="14">
        <v>77</v>
      </c>
      <c r="M333" s="14">
        <v>89</v>
      </c>
      <c r="N333" s="14"/>
      <c r="O333" s="14"/>
      <c r="P333" s="10"/>
      <c r="Q333" s="10"/>
      <c r="R333" s="26"/>
      <c r="T333" s="16"/>
      <c r="AD333" s="3">
        <v>42276</v>
      </c>
      <c r="AE333" s="16">
        <v>838.5</v>
      </c>
      <c r="AF333">
        <v>470.75</v>
      </c>
      <c r="AG333">
        <v>117.75</v>
      </c>
      <c r="AH333">
        <v>208.25</v>
      </c>
      <c r="AI333">
        <v>42.050000000000004</v>
      </c>
      <c r="AN333" t="str">
        <f t="shared" si="24"/>
        <v>Minnipa</v>
      </c>
      <c r="AO333">
        <f t="shared" si="25"/>
        <v>2015</v>
      </c>
      <c r="AP333" t="str">
        <f t="shared" si="26"/>
        <v>60A</v>
      </c>
      <c r="AQ333" t="str">
        <f t="shared" si="27"/>
        <v>Minnipa2015Cv60A</v>
      </c>
      <c r="AV333" s="3">
        <v>42276</v>
      </c>
      <c r="AW333" s="16">
        <v>105.64247882993533</v>
      </c>
      <c r="AX333">
        <v>67.073964149039725</v>
      </c>
      <c r="AY333">
        <v>17.557049866079439</v>
      </c>
      <c r="AZ333">
        <v>38.577843381920665</v>
      </c>
      <c r="BA333">
        <v>19.255215743619512</v>
      </c>
    </row>
    <row r="334" spans="1:53" x14ac:dyDescent="0.25">
      <c r="A334" s="14">
        <v>2015</v>
      </c>
      <c r="B334" s="14" t="s">
        <v>123</v>
      </c>
      <c r="C334" s="14" t="s">
        <v>130</v>
      </c>
      <c r="D334" s="14">
        <v>12</v>
      </c>
      <c r="E334" s="14">
        <v>4</v>
      </c>
      <c r="F334" s="14">
        <v>45</v>
      </c>
      <c r="G334" s="14">
        <v>4</v>
      </c>
      <c r="H334" s="14" t="s">
        <v>5</v>
      </c>
      <c r="I334" s="15">
        <v>42230</v>
      </c>
      <c r="J334" s="14" t="s">
        <v>126</v>
      </c>
      <c r="K334" s="14">
        <v>147</v>
      </c>
      <c r="L334" s="14">
        <v>47</v>
      </c>
      <c r="M334" s="14">
        <v>99</v>
      </c>
      <c r="N334" s="14"/>
      <c r="O334" s="14"/>
      <c r="P334" s="10"/>
      <c r="Q334" s="10"/>
      <c r="R334" s="26"/>
      <c r="T334" s="16"/>
      <c r="AD334" s="3">
        <v>42306</v>
      </c>
      <c r="AE334" s="16">
        <v>1003.75</v>
      </c>
      <c r="AF334">
        <v>334.75</v>
      </c>
      <c r="AH334">
        <v>559</v>
      </c>
      <c r="AI334">
        <v>102.9</v>
      </c>
      <c r="AN334" t="str">
        <f t="shared" si="24"/>
        <v>Minnipa</v>
      </c>
      <c r="AO334">
        <f t="shared" si="25"/>
        <v>2015</v>
      </c>
      <c r="AP334" t="str">
        <f t="shared" si="26"/>
        <v>60A</v>
      </c>
      <c r="AQ334" t="str">
        <f t="shared" si="27"/>
        <v>Minnipa2015Cv60A</v>
      </c>
      <c r="AV334" s="3">
        <v>42306</v>
      </c>
      <c r="AW334" s="16">
        <v>122.91833332203404</v>
      </c>
      <c r="AX334">
        <v>16.049402896473541</v>
      </c>
      <c r="AZ334">
        <v>127.43364286299492</v>
      </c>
      <c r="BA334">
        <v>20.70362287137198</v>
      </c>
    </row>
    <row r="335" spans="1:53" x14ac:dyDescent="0.25">
      <c r="A335" s="14">
        <v>2015</v>
      </c>
      <c r="B335" s="14" t="s">
        <v>123</v>
      </c>
      <c r="C335" s="14" t="s">
        <v>130</v>
      </c>
      <c r="D335" s="14">
        <v>12</v>
      </c>
      <c r="E335" s="14">
        <v>3</v>
      </c>
      <c r="F335" s="14">
        <v>46</v>
      </c>
      <c r="G335" s="14">
        <v>4</v>
      </c>
      <c r="H335" s="14" t="s">
        <v>8</v>
      </c>
      <c r="I335" s="15">
        <v>42230</v>
      </c>
      <c r="J335" s="14" t="s">
        <v>126</v>
      </c>
      <c r="K335" s="14">
        <v>217</v>
      </c>
      <c r="L335" s="14">
        <v>76</v>
      </c>
      <c r="M335" s="14">
        <v>141</v>
      </c>
      <c r="N335" s="14"/>
      <c r="O335" s="14"/>
      <c r="P335" s="10"/>
      <c r="Q335" s="10"/>
      <c r="R335" s="26"/>
      <c r="T335" s="16"/>
      <c r="AC335" t="s">
        <v>10</v>
      </c>
      <c r="AD335" s="3">
        <v>42222</v>
      </c>
      <c r="AE335" s="16">
        <v>93</v>
      </c>
      <c r="AF335">
        <v>35.5</v>
      </c>
      <c r="AG335">
        <v>57</v>
      </c>
      <c r="AN335" t="str">
        <f t="shared" si="24"/>
        <v>Minnipa</v>
      </c>
      <c r="AO335">
        <f t="shared" si="25"/>
        <v>2015</v>
      </c>
      <c r="AP335" t="str">
        <f t="shared" si="26"/>
        <v>Corack</v>
      </c>
      <c r="AQ335" t="str">
        <f t="shared" si="27"/>
        <v>Minnipa2015CvCorack</v>
      </c>
      <c r="AU335" t="s">
        <v>10</v>
      </c>
      <c r="AV335" s="3">
        <v>42222</v>
      </c>
      <c r="AW335" s="16">
        <v>16.872067646458351</v>
      </c>
      <c r="AX335">
        <v>8.3466560170326094</v>
      </c>
      <c r="AY335">
        <v>8.8694231304333808</v>
      </c>
    </row>
    <row r="336" spans="1:53" x14ac:dyDescent="0.25">
      <c r="A336" s="14">
        <v>2015</v>
      </c>
      <c r="B336" s="14" t="s">
        <v>123</v>
      </c>
      <c r="C336" s="14" t="s">
        <v>130</v>
      </c>
      <c r="D336" s="14">
        <v>12</v>
      </c>
      <c r="E336" s="14">
        <v>2</v>
      </c>
      <c r="F336" s="14">
        <v>47</v>
      </c>
      <c r="G336" s="14">
        <v>4</v>
      </c>
      <c r="H336" s="14" t="s">
        <v>10</v>
      </c>
      <c r="I336" s="15">
        <v>42230</v>
      </c>
      <c r="J336" s="14" t="s">
        <v>126</v>
      </c>
      <c r="K336" s="14">
        <v>100</v>
      </c>
      <c r="L336" s="14">
        <v>28</v>
      </c>
      <c r="M336" s="14">
        <v>72</v>
      </c>
      <c r="N336" s="14"/>
      <c r="O336" s="14"/>
      <c r="P336" s="10"/>
      <c r="Q336" s="10"/>
      <c r="R336" s="26"/>
      <c r="T336" s="16"/>
      <c r="AD336" s="3">
        <v>42230</v>
      </c>
      <c r="AE336" s="16">
        <v>129.5</v>
      </c>
      <c r="AF336">
        <v>44.5</v>
      </c>
      <c r="AG336">
        <v>85.25</v>
      </c>
      <c r="AN336" t="str">
        <f t="shared" si="24"/>
        <v>Minnipa</v>
      </c>
      <c r="AO336">
        <f t="shared" si="25"/>
        <v>2015</v>
      </c>
      <c r="AP336" t="str">
        <f t="shared" si="26"/>
        <v>Corack</v>
      </c>
      <c r="AQ336" t="str">
        <f t="shared" si="27"/>
        <v>Minnipa2015CvCorack</v>
      </c>
      <c r="AV336" s="3">
        <v>42230</v>
      </c>
      <c r="AW336" s="16">
        <v>32.398559638765839</v>
      </c>
      <c r="AX336">
        <v>17.136705245369271</v>
      </c>
      <c r="AY336">
        <v>15.129992289048486</v>
      </c>
    </row>
    <row r="337" spans="1:53" x14ac:dyDescent="0.25">
      <c r="A337" s="14">
        <v>2015</v>
      </c>
      <c r="B337" s="14" t="s">
        <v>123</v>
      </c>
      <c r="C337" s="14" t="s">
        <v>130</v>
      </c>
      <c r="D337" s="14">
        <v>12</v>
      </c>
      <c r="E337" s="14">
        <v>1</v>
      </c>
      <c r="F337" s="14">
        <v>48</v>
      </c>
      <c r="G337" s="14">
        <v>4</v>
      </c>
      <c r="H337" s="14" t="s">
        <v>7</v>
      </c>
      <c r="I337" s="15">
        <v>42230</v>
      </c>
      <c r="J337" s="14" t="s">
        <v>126</v>
      </c>
      <c r="K337" s="14">
        <v>117</v>
      </c>
      <c r="L337" s="14">
        <v>38</v>
      </c>
      <c r="M337" s="14">
        <v>79</v>
      </c>
      <c r="N337" s="14"/>
      <c r="O337" s="14"/>
      <c r="P337" s="10"/>
      <c r="Q337" s="10"/>
      <c r="R337" s="26"/>
      <c r="T337" s="16"/>
      <c r="AD337" s="3">
        <v>42251</v>
      </c>
      <c r="AE337" s="16">
        <v>363.5</v>
      </c>
      <c r="AF337">
        <v>219</v>
      </c>
      <c r="AG337">
        <v>130</v>
      </c>
      <c r="AI337">
        <v>14.825000000000001</v>
      </c>
      <c r="AN337" t="str">
        <f t="shared" si="24"/>
        <v>Minnipa</v>
      </c>
      <c r="AO337">
        <f t="shared" si="25"/>
        <v>2015</v>
      </c>
      <c r="AP337" t="str">
        <f t="shared" si="26"/>
        <v>Corack</v>
      </c>
      <c r="AQ337" t="str">
        <f t="shared" si="27"/>
        <v>Minnipa2015CvCorack</v>
      </c>
      <c r="AV337" s="3">
        <v>42251</v>
      </c>
      <c r="AW337" s="16">
        <v>92.471617267137702</v>
      </c>
      <c r="AX337">
        <v>49.24090440545001</v>
      </c>
      <c r="AY337">
        <v>45.912961132995989</v>
      </c>
      <c r="BA337">
        <v>6.6849956369968284</v>
      </c>
    </row>
    <row r="338" spans="1:53" x14ac:dyDescent="0.25">
      <c r="A338" s="14">
        <v>2015</v>
      </c>
      <c r="B338" s="14" t="s">
        <v>123</v>
      </c>
      <c r="C338" s="14" t="s">
        <v>130</v>
      </c>
      <c r="D338" s="14">
        <v>1</v>
      </c>
      <c r="E338" s="14">
        <v>1</v>
      </c>
      <c r="F338" s="14">
        <v>1</v>
      </c>
      <c r="G338" s="14">
        <v>1</v>
      </c>
      <c r="H338" s="14" t="s">
        <v>5</v>
      </c>
      <c r="I338" s="15">
        <v>42251</v>
      </c>
      <c r="J338" s="14" t="s">
        <v>127</v>
      </c>
      <c r="K338" s="14">
        <v>316</v>
      </c>
      <c r="L338" s="14">
        <v>182</v>
      </c>
      <c r="M338" s="14">
        <v>123</v>
      </c>
      <c r="N338" s="14"/>
      <c r="O338" s="14">
        <v>10.3</v>
      </c>
      <c r="P338" s="10"/>
      <c r="Q338" s="10"/>
      <c r="R338" s="26"/>
      <c r="T338" s="16"/>
      <c r="AD338" s="3">
        <v>42276</v>
      </c>
      <c r="AE338" s="16">
        <v>824.25</v>
      </c>
      <c r="AF338">
        <v>439.5</v>
      </c>
      <c r="AG338">
        <v>115.25</v>
      </c>
      <c r="AH338">
        <v>221</v>
      </c>
      <c r="AI338">
        <v>48.55</v>
      </c>
      <c r="AN338" t="str">
        <f t="shared" si="24"/>
        <v>Minnipa</v>
      </c>
      <c r="AO338">
        <f t="shared" si="25"/>
        <v>2015</v>
      </c>
      <c r="AP338" t="str">
        <f t="shared" si="26"/>
        <v>Corack</v>
      </c>
      <c r="AQ338" t="str">
        <f t="shared" si="27"/>
        <v>Minnipa2015CvCorack</v>
      </c>
      <c r="AV338" s="3">
        <v>42276</v>
      </c>
      <c r="AW338" s="16">
        <v>112.00409218714584</v>
      </c>
      <c r="AX338">
        <v>59.067757702489438</v>
      </c>
      <c r="AY338">
        <v>20.854655755170516</v>
      </c>
      <c r="AZ338">
        <v>24.467665738003422</v>
      </c>
      <c r="BA338">
        <v>18.059254321999767</v>
      </c>
    </row>
    <row r="339" spans="1:53" x14ac:dyDescent="0.25">
      <c r="A339" s="14">
        <v>2015</v>
      </c>
      <c r="B339" s="14" t="s">
        <v>123</v>
      </c>
      <c r="C339" s="14" t="s">
        <v>130</v>
      </c>
      <c r="D339" s="14">
        <v>1</v>
      </c>
      <c r="E339" s="14">
        <v>2</v>
      </c>
      <c r="F339" s="14">
        <v>2</v>
      </c>
      <c r="G339" s="14">
        <v>1</v>
      </c>
      <c r="H339" s="14" t="s">
        <v>13</v>
      </c>
      <c r="I339" s="15">
        <v>42251</v>
      </c>
      <c r="J339" s="14" t="s">
        <v>127</v>
      </c>
      <c r="K339" s="14">
        <v>262</v>
      </c>
      <c r="L339" s="14">
        <v>136</v>
      </c>
      <c r="M339" s="14">
        <v>120</v>
      </c>
      <c r="N339" s="14"/>
      <c r="O339" s="14">
        <v>6.4</v>
      </c>
      <c r="P339" s="10"/>
      <c r="Q339" s="10"/>
      <c r="R339" s="26"/>
      <c r="T339" s="16"/>
      <c r="AD339" s="3">
        <v>42306</v>
      </c>
      <c r="AE339" s="16">
        <v>980</v>
      </c>
      <c r="AF339">
        <v>353.25</v>
      </c>
      <c r="AH339">
        <v>519.25</v>
      </c>
      <c r="AI339">
        <v>102.97499999999999</v>
      </c>
      <c r="AN339" t="str">
        <f t="shared" si="24"/>
        <v>Minnipa</v>
      </c>
      <c r="AO339">
        <f t="shared" si="25"/>
        <v>2015</v>
      </c>
      <c r="AP339" t="str">
        <f t="shared" si="26"/>
        <v>Corack</v>
      </c>
      <c r="AQ339" t="str">
        <f t="shared" si="27"/>
        <v>Minnipa2015CvCorack</v>
      </c>
      <c r="AV339" s="3">
        <v>42306</v>
      </c>
      <c r="AW339" s="16">
        <v>44.654227123532216</v>
      </c>
      <c r="AX339">
        <v>20.758532382292028</v>
      </c>
      <c r="AZ339">
        <v>8.9953691790090904</v>
      </c>
      <c r="BA339">
        <v>18.073622584676624</v>
      </c>
    </row>
    <row r="340" spans="1:53" x14ac:dyDescent="0.25">
      <c r="A340" s="14">
        <v>2015</v>
      </c>
      <c r="B340" s="14" t="s">
        <v>123</v>
      </c>
      <c r="C340" s="14" t="s">
        <v>130</v>
      </c>
      <c r="D340" s="14">
        <v>1</v>
      </c>
      <c r="E340" s="14">
        <v>3</v>
      </c>
      <c r="F340" s="14">
        <v>3</v>
      </c>
      <c r="G340" s="14">
        <v>1</v>
      </c>
      <c r="H340" s="14" t="s">
        <v>4</v>
      </c>
      <c r="I340" s="15">
        <v>42251</v>
      </c>
      <c r="J340" s="14" t="s">
        <v>127</v>
      </c>
      <c r="K340" s="14">
        <v>256</v>
      </c>
      <c r="L340" s="14">
        <v>138</v>
      </c>
      <c r="M340" s="14">
        <v>116</v>
      </c>
      <c r="N340" s="14"/>
      <c r="O340" s="14">
        <v>2.4</v>
      </c>
      <c r="P340" s="10"/>
      <c r="Q340" s="10"/>
      <c r="R340" s="26"/>
      <c r="T340" s="16"/>
      <c r="AC340" t="s">
        <v>8</v>
      </c>
      <c r="AD340" s="3">
        <v>42222</v>
      </c>
      <c r="AE340" s="16">
        <v>97</v>
      </c>
      <c r="AF340">
        <v>36.5</v>
      </c>
      <c r="AG340">
        <v>60.5</v>
      </c>
      <c r="AN340" t="str">
        <f t="shared" si="24"/>
        <v>Minnipa</v>
      </c>
      <c r="AO340">
        <f t="shared" si="25"/>
        <v>2015</v>
      </c>
      <c r="AP340" t="str">
        <f t="shared" si="26"/>
        <v>Espada</v>
      </c>
      <c r="AQ340" t="str">
        <f t="shared" si="27"/>
        <v>Minnipa2015CvEspada</v>
      </c>
      <c r="AU340" t="s">
        <v>8</v>
      </c>
      <c r="AV340" s="3">
        <v>42222</v>
      </c>
      <c r="AW340" s="16">
        <v>21.118712081942874</v>
      </c>
      <c r="AX340">
        <v>7.416198487095663</v>
      </c>
      <c r="AY340">
        <v>15.154757228892407</v>
      </c>
    </row>
    <row r="341" spans="1:53" x14ac:dyDescent="0.25">
      <c r="A341" s="14">
        <v>2015</v>
      </c>
      <c r="B341" s="14" t="s">
        <v>123</v>
      </c>
      <c r="C341" s="14" t="s">
        <v>130</v>
      </c>
      <c r="D341" s="14">
        <v>1</v>
      </c>
      <c r="E341" s="14">
        <v>4</v>
      </c>
      <c r="F341" s="14">
        <v>4</v>
      </c>
      <c r="G341" s="14">
        <v>1</v>
      </c>
      <c r="H341" s="14" t="s">
        <v>6</v>
      </c>
      <c r="I341" s="15">
        <v>42251</v>
      </c>
      <c r="J341" s="14" t="s">
        <v>127</v>
      </c>
      <c r="K341" s="14">
        <v>250</v>
      </c>
      <c r="L341" s="14">
        <v>132</v>
      </c>
      <c r="M341" s="14">
        <v>107</v>
      </c>
      <c r="N341" s="14"/>
      <c r="O341" s="14">
        <v>10.6</v>
      </c>
      <c r="P341" s="10"/>
      <c r="Q341" s="10"/>
      <c r="R341" s="26"/>
      <c r="T341" s="16"/>
      <c r="AD341" s="3">
        <v>42230</v>
      </c>
      <c r="AE341" s="16">
        <v>161.75</v>
      </c>
      <c r="AF341">
        <v>54.75</v>
      </c>
      <c r="AG341">
        <v>107</v>
      </c>
      <c r="AN341" t="str">
        <f t="shared" si="24"/>
        <v>Minnipa</v>
      </c>
      <c r="AO341">
        <f t="shared" si="25"/>
        <v>2015</v>
      </c>
      <c r="AP341" t="str">
        <f t="shared" si="26"/>
        <v>Espada</v>
      </c>
      <c r="AQ341" t="str">
        <f t="shared" si="27"/>
        <v>Minnipa2015CvEspada</v>
      </c>
      <c r="AV341" s="3">
        <v>42230</v>
      </c>
      <c r="AW341" s="16">
        <v>39.928060308509856</v>
      </c>
      <c r="AX341">
        <v>17.914147109663542</v>
      </c>
      <c r="AY341">
        <v>23.888630489558555</v>
      </c>
    </row>
    <row r="342" spans="1:53" x14ac:dyDescent="0.25">
      <c r="A342" s="14">
        <v>2015</v>
      </c>
      <c r="B342" s="14" t="s">
        <v>123</v>
      </c>
      <c r="C342" s="14" t="s">
        <v>130</v>
      </c>
      <c r="D342" s="14">
        <v>2</v>
      </c>
      <c r="E342" s="14">
        <v>4</v>
      </c>
      <c r="F342" s="14">
        <v>5</v>
      </c>
      <c r="G342" s="14">
        <v>1</v>
      </c>
      <c r="H342" s="14" t="s">
        <v>7</v>
      </c>
      <c r="I342" s="15">
        <v>42251</v>
      </c>
      <c r="J342" s="14" t="s">
        <v>127</v>
      </c>
      <c r="K342" s="14">
        <v>352</v>
      </c>
      <c r="L342" s="14">
        <v>199</v>
      </c>
      <c r="M342" s="14">
        <v>150</v>
      </c>
      <c r="N342" s="14"/>
      <c r="O342" s="14">
        <v>3</v>
      </c>
      <c r="P342" s="10"/>
      <c r="Q342" s="10"/>
      <c r="R342" s="26"/>
      <c r="T342" s="16"/>
      <c r="AD342" s="3">
        <v>42251</v>
      </c>
      <c r="AE342" s="16">
        <v>440.75</v>
      </c>
      <c r="AF342">
        <v>292.5</v>
      </c>
      <c r="AG342">
        <v>143.25</v>
      </c>
      <c r="AI342">
        <v>4.8250000000000002</v>
      </c>
      <c r="AN342" t="str">
        <f t="shared" si="24"/>
        <v>Minnipa</v>
      </c>
      <c r="AO342">
        <f t="shared" si="25"/>
        <v>2015</v>
      </c>
      <c r="AP342" t="str">
        <f t="shared" si="26"/>
        <v>Espada</v>
      </c>
      <c r="AQ342" t="str">
        <f t="shared" si="27"/>
        <v>Minnipa2015CvEspada</v>
      </c>
      <c r="AV342" s="3">
        <v>42251</v>
      </c>
      <c r="AW342" s="16">
        <v>83.735197696866592</v>
      </c>
      <c r="AX342">
        <v>67.609170975541474</v>
      </c>
      <c r="AY342">
        <v>17.017148213885115</v>
      </c>
      <c r="BA342">
        <v>4.603169198135852</v>
      </c>
    </row>
    <row r="343" spans="1:53" x14ac:dyDescent="0.25">
      <c r="A343" s="14">
        <v>2015</v>
      </c>
      <c r="B343" s="14" t="s">
        <v>123</v>
      </c>
      <c r="C343" s="14" t="s">
        <v>130</v>
      </c>
      <c r="D343" s="14">
        <v>2</v>
      </c>
      <c r="E343" s="14">
        <v>3</v>
      </c>
      <c r="F343" s="14">
        <v>6</v>
      </c>
      <c r="G343" s="14">
        <v>1</v>
      </c>
      <c r="H343" s="14" t="s">
        <v>9</v>
      </c>
      <c r="I343" s="15">
        <v>42251</v>
      </c>
      <c r="J343" s="14" t="s">
        <v>127</v>
      </c>
      <c r="K343" s="14">
        <v>452</v>
      </c>
      <c r="L343" s="14">
        <v>393</v>
      </c>
      <c r="M343" s="14">
        <v>56</v>
      </c>
      <c r="N343" s="14"/>
      <c r="O343" s="14">
        <v>3.3</v>
      </c>
      <c r="P343" s="10"/>
      <c r="Q343" s="10"/>
      <c r="R343" s="26"/>
      <c r="T343" s="16"/>
      <c r="AD343" s="3">
        <v>42276</v>
      </c>
      <c r="AE343" s="16">
        <v>893</v>
      </c>
      <c r="AF343">
        <v>508.75</v>
      </c>
      <c r="AG343">
        <v>114</v>
      </c>
      <c r="AH343">
        <v>232.75</v>
      </c>
      <c r="AI343">
        <v>38.075000000000003</v>
      </c>
      <c r="AN343" t="str">
        <f t="shared" si="24"/>
        <v>Minnipa</v>
      </c>
      <c r="AO343">
        <f t="shared" si="25"/>
        <v>2015</v>
      </c>
      <c r="AP343" t="str">
        <f t="shared" si="26"/>
        <v>Espada</v>
      </c>
      <c r="AQ343" t="str">
        <f t="shared" si="27"/>
        <v>Minnipa2015CvEspada</v>
      </c>
      <c r="AV343" s="3">
        <v>42276</v>
      </c>
      <c r="AW343" s="16">
        <v>126.6359611905981</v>
      </c>
      <c r="AX343">
        <v>86.550081840901029</v>
      </c>
      <c r="AY343">
        <v>7.4833147735478827</v>
      </c>
      <c r="AZ343">
        <v>28.883386228072357</v>
      </c>
      <c r="BA343">
        <v>16.644793980901838</v>
      </c>
    </row>
    <row r="344" spans="1:53" x14ac:dyDescent="0.25">
      <c r="A344" s="14">
        <v>2015</v>
      </c>
      <c r="B344" s="14" t="s">
        <v>123</v>
      </c>
      <c r="C344" s="14" t="s">
        <v>130</v>
      </c>
      <c r="D344" s="14">
        <v>2</v>
      </c>
      <c r="E344" s="14">
        <v>2</v>
      </c>
      <c r="F344" s="14">
        <v>7</v>
      </c>
      <c r="G344" s="14">
        <v>1</v>
      </c>
      <c r="H344" s="14" t="s">
        <v>14</v>
      </c>
      <c r="I344" s="15">
        <v>42251</v>
      </c>
      <c r="J344" s="14" t="s">
        <v>127</v>
      </c>
      <c r="K344" s="14">
        <v>399</v>
      </c>
      <c r="L344" s="14">
        <v>214</v>
      </c>
      <c r="M344" s="14">
        <v>170</v>
      </c>
      <c r="N344" s="14"/>
      <c r="O344" s="14">
        <v>14.7</v>
      </c>
      <c r="P344" s="10"/>
      <c r="Q344" s="10"/>
      <c r="R344" s="26"/>
      <c r="T344" s="16"/>
      <c r="AD344" s="3">
        <v>42306</v>
      </c>
      <c r="AE344" s="16">
        <v>1075</v>
      </c>
      <c r="AF344">
        <v>358.25</v>
      </c>
      <c r="AH344">
        <v>607.5</v>
      </c>
      <c r="AI344">
        <v>94.625</v>
      </c>
      <c r="AN344" t="str">
        <f t="shared" si="24"/>
        <v>Minnipa</v>
      </c>
      <c r="AO344">
        <f t="shared" si="25"/>
        <v>2015</v>
      </c>
      <c r="AP344" t="str">
        <f t="shared" si="26"/>
        <v>Espada</v>
      </c>
      <c r="AQ344" t="str">
        <f t="shared" si="27"/>
        <v>Minnipa2015CvEspada</v>
      </c>
      <c r="AV344" s="3">
        <v>42306</v>
      </c>
      <c r="AW344" s="16">
        <v>60.997267698370443</v>
      </c>
      <c r="AX344">
        <v>38.525965270191477</v>
      </c>
      <c r="AZ344">
        <v>39.920754835882882</v>
      </c>
      <c r="BA344">
        <v>23.28008805825268</v>
      </c>
    </row>
    <row r="345" spans="1:53" x14ac:dyDescent="0.25">
      <c r="A345" s="14">
        <v>2015</v>
      </c>
      <c r="B345" s="14" t="s">
        <v>123</v>
      </c>
      <c r="C345" s="14" t="s">
        <v>130</v>
      </c>
      <c r="D345" s="14">
        <v>2</v>
      </c>
      <c r="E345" s="14">
        <v>1</v>
      </c>
      <c r="F345" s="14">
        <v>8</v>
      </c>
      <c r="G345" s="14">
        <v>1</v>
      </c>
      <c r="H345" s="14" t="s">
        <v>3</v>
      </c>
      <c r="I345" s="15">
        <v>42251</v>
      </c>
      <c r="J345" s="14" t="s">
        <v>127</v>
      </c>
      <c r="K345" s="14">
        <v>430</v>
      </c>
      <c r="L345" s="14">
        <v>239</v>
      </c>
      <c r="M345" s="14">
        <v>182</v>
      </c>
      <c r="N345" s="14"/>
      <c r="O345" s="14">
        <v>9.4</v>
      </c>
      <c r="P345" s="10"/>
      <c r="Q345" s="10"/>
      <c r="R345" s="26"/>
      <c r="T345" s="16"/>
      <c r="AC345" t="s">
        <v>4</v>
      </c>
      <c r="AD345" s="3">
        <v>42222</v>
      </c>
      <c r="AE345" s="16">
        <v>90</v>
      </c>
      <c r="AF345">
        <v>36.25</v>
      </c>
      <c r="AG345">
        <v>53.75</v>
      </c>
      <c r="AN345" t="str">
        <f t="shared" si="24"/>
        <v>Minnipa</v>
      </c>
      <c r="AO345">
        <f t="shared" si="25"/>
        <v>2015</v>
      </c>
      <c r="AP345" t="str">
        <f t="shared" si="26"/>
        <v>Gauntlet</v>
      </c>
      <c r="AQ345" t="str">
        <f t="shared" si="27"/>
        <v>Minnipa2015CvGauntlet</v>
      </c>
      <c r="AU345" t="s">
        <v>4</v>
      </c>
      <c r="AV345" s="3">
        <v>42222</v>
      </c>
      <c r="AW345" s="16">
        <v>24.993332444207329</v>
      </c>
      <c r="AX345">
        <v>11.954775893619532</v>
      </c>
      <c r="AY345">
        <v>15.195942440884233</v>
      </c>
    </row>
    <row r="346" spans="1:53" x14ac:dyDescent="0.25">
      <c r="A346" s="14">
        <v>2015</v>
      </c>
      <c r="B346" s="14" t="s">
        <v>123</v>
      </c>
      <c r="C346" s="14" t="s">
        <v>130</v>
      </c>
      <c r="D346" s="14">
        <v>3</v>
      </c>
      <c r="E346" s="14">
        <v>1</v>
      </c>
      <c r="F346" s="14">
        <v>9</v>
      </c>
      <c r="G346" s="14">
        <v>1</v>
      </c>
      <c r="H346" s="14" t="s">
        <v>8</v>
      </c>
      <c r="I346" s="15">
        <v>42251</v>
      </c>
      <c r="J346" s="14" t="s">
        <v>127</v>
      </c>
      <c r="K346" s="14">
        <v>348</v>
      </c>
      <c r="L346" s="14">
        <v>207</v>
      </c>
      <c r="M346" s="14">
        <v>137</v>
      </c>
      <c r="N346" s="14"/>
      <c r="O346" s="14">
        <v>3.8</v>
      </c>
      <c r="P346" s="10"/>
      <c r="Q346" s="10"/>
      <c r="R346" s="26"/>
      <c r="T346" s="16"/>
      <c r="AD346" s="3">
        <v>42230</v>
      </c>
      <c r="AE346" s="16">
        <v>148.25</v>
      </c>
      <c r="AF346">
        <v>55</v>
      </c>
      <c r="AG346">
        <v>93.75</v>
      </c>
      <c r="AN346" t="str">
        <f t="shared" si="24"/>
        <v>Minnipa</v>
      </c>
      <c r="AO346">
        <f t="shared" si="25"/>
        <v>2015</v>
      </c>
      <c r="AP346" t="str">
        <f t="shared" si="26"/>
        <v>Gauntlet</v>
      </c>
      <c r="AQ346" t="str">
        <f t="shared" si="27"/>
        <v>Minnipa2015CvGauntlet</v>
      </c>
      <c r="AV346" s="3">
        <v>42230</v>
      </c>
      <c r="AW346" s="16">
        <v>67.014301956124754</v>
      </c>
      <c r="AX346">
        <v>35.13782387494517</v>
      </c>
      <c r="AY346">
        <v>37.818646194701365</v>
      </c>
    </row>
    <row r="347" spans="1:53" x14ac:dyDescent="0.25">
      <c r="A347" s="14">
        <v>2015</v>
      </c>
      <c r="B347" s="14" t="s">
        <v>123</v>
      </c>
      <c r="C347" s="14" t="s">
        <v>130</v>
      </c>
      <c r="D347" s="14">
        <v>3</v>
      </c>
      <c r="E347" s="14">
        <v>2</v>
      </c>
      <c r="F347" s="14">
        <v>10</v>
      </c>
      <c r="G347" s="14">
        <v>1</v>
      </c>
      <c r="H347" s="14" t="s">
        <v>2</v>
      </c>
      <c r="I347" s="15">
        <v>42251</v>
      </c>
      <c r="J347" s="14" t="s">
        <v>127</v>
      </c>
      <c r="K347" s="14">
        <v>319</v>
      </c>
      <c r="L347" s="14">
        <v>195</v>
      </c>
      <c r="M347" s="14">
        <v>114</v>
      </c>
      <c r="N347" s="14"/>
      <c r="O347" s="14">
        <v>9.6</v>
      </c>
      <c r="P347" s="10"/>
      <c r="Q347" s="10"/>
      <c r="R347" s="26"/>
      <c r="T347" s="16"/>
      <c r="AD347" s="3">
        <v>42251</v>
      </c>
      <c r="AE347" s="16">
        <v>393</v>
      </c>
      <c r="AF347">
        <v>255</v>
      </c>
      <c r="AG347">
        <v>130.75</v>
      </c>
      <c r="AI347">
        <v>7.1</v>
      </c>
      <c r="AN347" t="str">
        <f t="shared" si="24"/>
        <v>Minnipa</v>
      </c>
      <c r="AO347">
        <f t="shared" si="25"/>
        <v>2015</v>
      </c>
      <c r="AP347" t="str">
        <f t="shared" si="26"/>
        <v>Gauntlet</v>
      </c>
      <c r="AQ347" t="str">
        <f t="shared" si="27"/>
        <v>Minnipa2015CvGauntlet</v>
      </c>
      <c r="AV347" s="3">
        <v>42251</v>
      </c>
      <c r="AW347" s="16">
        <v>104.36474500519799</v>
      </c>
      <c r="AX347">
        <v>87.821789247695619</v>
      </c>
      <c r="AY347">
        <v>20.838665984174707</v>
      </c>
      <c r="BA347">
        <v>4.5188494110780031</v>
      </c>
    </row>
    <row r="348" spans="1:53" x14ac:dyDescent="0.25">
      <c r="A348" s="14">
        <v>2015</v>
      </c>
      <c r="B348" s="14" t="s">
        <v>123</v>
      </c>
      <c r="C348" s="14" t="s">
        <v>130</v>
      </c>
      <c r="D348" s="14">
        <v>3</v>
      </c>
      <c r="E348" s="14">
        <v>3</v>
      </c>
      <c r="F348" s="14">
        <v>11</v>
      </c>
      <c r="G348" s="14">
        <v>1</v>
      </c>
      <c r="H348" s="14" t="s">
        <v>12</v>
      </c>
      <c r="I348" s="15">
        <v>42251</v>
      </c>
      <c r="J348" s="14" t="s">
        <v>127</v>
      </c>
      <c r="K348" s="14">
        <v>319</v>
      </c>
      <c r="L348" s="14">
        <v>172</v>
      </c>
      <c r="M348" s="14">
        <v>143</v>
      </c>
      <c r="N348" s="14"/>
      <c r="O348" s="14">
        <v>4.8</v>
      </c>
      <c r="P348" s="10"/>
      <c r="Q348" s="10"/>
      <c r="R348" s="26"/>
      <c r="T348" s="16"/>
      <c r="AD348" s="3">
        <v>42276</v>
      </c>
      <c r="AE348" s="16">
        <v>903.5</v>
      </c>
      <c r="AF348">
        <v>502.75</v>
      </c>
      <c r="AG348">
        <v>112</v>
      </c>
      <c r="AH348">
        <v>241.25</v>
      </c>
      <c r="AI348">
        <v>47.625</v>
      </c>
      <c r="AN348" t="str">
        <f t="shared" si="24"/>
        <v>Minnipa</v>
      </c>
      <c r="AO348">
        <f t="shared" si="25"/>
        <v>2015</v>
      </c>
      <c r="AP348" t="str">
        <f t="shared" si="26"/>
        <v>Gauntlet</v>
      </c>
      <c r="AQ348" t="str">
        <f t="shared" si="27"/>
        <v>Minnipa2015CvGauntlet</v>
      </c>
      <c r="AV348" s="3">
        <v>42276</v>
      </c>
      <c r="AW348" s="16">
        <v>111.77805389848821</v>
      </c>
      <c r="AX348">
        <v>71.541945738147206</v>
      </c>
      <c r="AY348">
        <v>27.27636339397171</v>
      </c>
      <c r="AZ348">
        <v>43.736902801486373</v>
      </c>
      <c r="BA348">
        <v>20.723798718703414</v>
      </c>
    </row>
    <row r="349" spans="1:53" x14ac:dyDescent="0.25">
      <c r="A349" s="14">
        <v>2015</v>
      </c>
      <c r="B349" s="14" t="s">
        <v>123</v>
      </c>
      <c r="C349" s="14" t="s">
        <v>130</v>
      </c>
      <c r="D349" s="14">
        <v>3</v>
      </c>
      <c r="E349" s="14">
        <v>4</v>
      </c>
      <c r="F349" s="14">
        <v>12</v>
      </c>
      <c r="G349" s="14">
        <v>1</v>
      </c>
      <c r="H349" s="14" t="s">
        <v>10</v>
      </c>
      <c r="I349" s="15">
        <v>42251</v>
      </c>
      <c r="J349" s="14" t="s">
        <v>127</v>
      </c>
      <c r="K349" s="14">
        <v>419</v>
      </c>
      <c r="L349" s="14">
        <v>228</v>
      </c>
      <c r="M349" s="14">
        <v>177</v>
      </c>
      <c r="N349" s="14"/>
      <c r="O349" s="14">
        <v>14.9</v>
      </c>
      <c r="P349" s="10"/>
      <c r="Q349" s="10"/>
      <c r="R349" s="26"/>
      <c r="T349" s="16"/>
      <c r="AD349" s="3">
        <v>42306</v>
      </c>
      <c r="AE349" s="16">
        <v>1039.25</v>
      </c>
      <c r="AF349">
        <v>357.5</v>
      </c>
      <c r="AH349">
        <v>579</v>
      </c>
      <c r="AI349">
        <v>90.574999999999989</v>
      </c>
      <c r="AN349" t="str">
        <f t="shared" si="24"/>
        <v>Minnipa</v>
      </c>
      <c r="AO349">
        <f t="shared" si="25"/>
        <v>2015</v>
      </c>
      <c r="AP349" t="str">
        <f t="shared" si="26"/>
        <v>Gauntlet</v>
      </c>
      <c r="AQ349" t="str">
        <f t="shared" si="27"/>
        <v>Minnipa2015CvGauntlet</v>
      </c>
      <c r="AV349" s="3">
        <v>42306</v>
      </c>
      <c r="AW349" s="16">
        <v>99.426270840926819</v>
      </c>
      <c r="AX349">
        <v>31.585861816114289</v>
      </c>
      <c r="AZ349">
        <v>58.480766068853782</v>
      </c>
      <c r="BA349">
        <v>20.078408801496241</v>
      </c>
    </row>
    <row r="350" spans="1:53" x14ac:dyDescent="0.25">
      <c r="A350" s="14">
        <v>2015</v>
      </c>
      <c r="B350" s="14" t="s">
        <v>123</v>
      </c>
      <c r="C350" s="14" t="s">
        <v>130</v>
      </c>
      <c r="D350" s="14">
        <v>4</v>
      </c>
      <c r="E350" s="14">
        <v>4</v>
      </c>
      <c r="F350" s="14">
        <v>13</v>
      </c>
      <c r="G350" s="14">
        <v>2</v>
      </c>
      <c r="H350" s="14" t="s">
        <v>4</v>
      </c>
      <c r="I350" s="15">
        <v>42251</v>
      </c>
      <c r="J350" s="14" t="s">
        <v>127</v>
      </c>
      <c r="K350" s="14">
        <v>456</v>
      </c>
      <c r="L350" s="14">
        <v>325</v>
      </c>
      <c r="M350" s="14">
        <v>118</v>
      </c>
      <c r="N350" s="14"/>
      <c r="O350" s="14">
        <v>12.3</v>
      </c>
      <c r="P350" s="10"/>
      <c r="Q350" s="10"/>
      <c r="R350" s="26"/>
      <c r="T350" s="16"/>
      <c r="AC350" t="s">
        <v>7</v>
      </c>
      <c r="AD350" s="3">
        <v>42222</v>
      </c>
      <c r="AE350" s="16">
        <v>77.25</v>
      </c>
      <c r="AF350">
        <v>31.75</v>
      </c>
      <c r="AG350">
        <v>45.75</v>
      </c>
      <c r="AN350" t="str">
        <f t="shared" si="24"/>
        <v>Minnipa</v>
      </c>
      <c r="AO350">
        <f t="shared" si="25"/>
        <v>2015</v>
      </c>
      <c r="AP350" t="str">
        <f t="shared" si="26"/>
        <v>Hartog</v>
      </c>
      <c r="AQ350" t="str">
        <f t="shared" si="27"/>
        <v>Minnipa2015CvHartog</v>
      </c>
      <c r="AU350" t="s">
        <v>7</v>
      </c>
      <c r="AV350" s="3">
        <v>42222</v>
      </c>
      <c r="AW350" s="16">
        <v>7.5</v>
      </c>
      <c r="AX350">
        <v>3.5939764421413041</v>
      </c>
      <c r="AY350">
        <v>3.7749172176353749</v>
      </c>
    </row>
    <row r="351" spans="1:53" x14ac:dyDescent="0.25">
      <c r="A351" s="14">
        <v>2015</v>
      </c>
      <c r="B351" s="14" t="s">
        <v>123</v>
      </c>
      <c r="C351" s="14" t="s">
        <v>130</v>
      </c>
      <c r="D351" s="14">
        <v>4</v>
      </c>
      <c r="E351" s="14">
        <v>3</v>
      </c>
      <c r="F351" s="14">
        <v>14</v>
      </c>
      <c r="G351" s="14">
        <v>2</v>
      </c>
      <c r="H351" s="14" t="s">
        <v>10</v>
      </c>
      <c r="I351" s="15">
        <v>42251</v>
      </c>
      <c r="J351" s="14" t="s">
        <v>127</v>
      </c>
      <c r="K351" s="14">
        <v>426</v>
      </c>
      <c r="L351" s="14">
        <v>254</v>
      </c>
      <c r="M351" s="14">
        <v>157</v>
      </c>
      <c r="N351" s="14"/>
      <c r="O351" s="14">
        <v>15.7</v>
      </c>
      <c r="P351" s="10"/>
      <c r="Q351" s="10"/>
      <c r="R351" s="26"/>
      <c r="T351" s="16"/>
      <c r="AD351" s="3">
        <v>42230</v>
      </c>
      <c r="AE351" s="16">
        <v>113</v>
      </c>
      <c r="AF351">
        <v>40.75</v>
      </c>
      <c r="AG351">
        <v>72.25</v>
      </c>
      <c r="AN351" t="str">
        <f t="shared" si="24"/>
        <v>Minnipa</v>
      </c>
      <c r="AO351">
        <f t="shared" si="25"/>
        <v>2015</v>
      </c>
      <c r="AP351" t="str">
        <f t="shared" si="26"/>
        <v>Hartog</v>
      </c>
      <c r="AQ351" t="str">
        <f t="shared" si="27"/>
        <v>Minnipa2015CvHartog</v>
      </c>
      <c r="AV351" s="3">
        <v>42230</v>
      </c>
      <c r="AW351" s="16">
        <v>24.535688292770594</v>
      </c>
      <c r="AX351">
        <v>9.215023964519391</v>
      </c>
      <c r="AY351">
        <v>16.276260831857748</v>
      </c>
    </row>
    <row r="352" spans="1:53" x14ac:dyDescent="0.25">
      <c r="A352" s="14">
        <v>2015</v>
      </c>
      <c r="B352" s="14" t="s">
        <v>123</v>
      </c>
      <c r="C352" s="14" t="s">
        <v>130</v>
      </c>
      <c r="D352" s="14">
        <v>4</v>
      </c>
      <c r="E352" s="14">
        <v>2</v>
      </c>
      <c r="F352" s="14">
        <v>15</v>
      </c>
      <c r="G352" s="14">
        <v>2</v>
      </c>
      <c r="H352" s="14" t="s">
        <v>8</v>
      </c>
      <c r="I352" s="15">
        <v>42251</v>
      </c>
      <c r="J352" s="14" t="s">
        <v>127</v>
      </c>
      <c r="K352" s="14">
        <v>477</v>
      </c>
      <c r="L352" s="14">
        <v>332</v>
      </c>
      <c r="M352" s="14">
        <v>142</v>
      </c>
      <c r="N352" s="14"/>
      <c r="O352" s="14">
        <v>3</v>
      </c>
      <c r="P352" s="10"/>
      <c r="Q352" s="10"/>
      <c r="R352" s="26"/>
      <c r="T352" s="16"/>
      <c r="AD352" s="3">
        <v>42251</v>
      </c>
      <c r="AE352" s="16">
        <v>352.75</v>
      </c>
      <c r="AF352">
        <v>222.5</v>
      </c>
      <c r="AG352">
        <v>124.5</v>
      </c>
      <c r="AI352">
        <v>5.625</v>
      </c>
      <c r="AN352" t="str">
        <f t="shared" si="24"/>
        <v>Minnipa</v>
      </c>
      <c r="AO352">
        <f t="shared" si="25"/>
        <v>2015</v>
      </c>
      <c r="AP352" t="str">
        <f t="shared" si="26"/>
        <v>Hartog</v>
      </c>
      <c r="AQ352" t="str">
        <f t="shared" si="27"/>
        <v>Minnipa2015CvHartog</v>
      </c>
      <c r="AV352" s="3">
        <v>42251</v>
      </c>
      <c r="AW352" s="16">
        <v>68.941400237206281</v>
      </c>
      <c r="AX352">
        <v>40.869711686447374</v>
      </c>
      <c r="AY352">
        <v>46.278144589716071</v>
      </c>
      <c r="BA352">
        <v>4.1072091091964955</v>
      </c>
    </row>
    <row r="353" spans="1:53" x14ac:dyDescent="0.25">
      <c r="A353" s="14">
        <v>2015</v>
      </c>
      <c r="B353" s="14" t="s">
        <v>123</v>
      </c>
      <c r="C353" s="14" t="s">
        <v>130</v>
      </c>
      <c r="D353" s="14">
        <v>4</v>
      </c>
      <c r="E353" s="14">
        <v>1</v>
      </c>
      <c r="F353" s="14">
        <v>16</v>
      </c>
      <c r="G353" s="14">
        <v>2</v>
      </c>
      <c r="H353" s="14" t="s">
        <v>14</v>
      </c>
      <c r="I353" s="15">
        <v>42251</v>
      </c>
      <c r="J353" s="14" t="s">
        <v>127</v>
      </c>
      <c r="K353" s="14">
        <v>449</v>
      </c>
      <c r="L353" s="14">
        <v>273</v>
      </c>
      <c r="M353" s="14">
        <v>173</v>
      </c>
      <c r="N353" s="14"/>
      <c r="O353" s="14">
        <v>3.2</v>
      </c>
      <c r="P353" s="10"/>
      <c r="Q353" s="10"/>
      <c r="R353" s="26"/>
      <c r="T353" s="16"/>
      <c r="AD353" s="3">
        <v>42276</v>
      </c>
      <c r="AE353" s="16">
        <v>689.5</v>
      </c>
      <c r="AF353">
        <v>350.25</v>
      </c>
      <c r="AG353">
        <v>91.75</v>
      </c>
      <c r="AH353">
        <v>213.75</v>
      </c>
      <c r="AI353">
        <v>33.799999999999997</v>
      </c>
      <c r="AN353" t="str">
        <f t="shared" si="24"/>
        <v>Minnipa</v>
      </c>
      <c r="AO353">
        <f t="shared" si="25"/>
        <v>2015</v>
      </c>
      <c r="AP353" t="str">
        <f t="shared" si="26"/>
        <v>Hartog</v>
      </c>
      <c r="AQ353" t="str">
        <f t="shared" si="27"/>
        <v>Minnipa2015CvHartog</v>
      </c>
      <c r="AV353" s="3">
        <v>42276</v>
      </c>
      <c r="AW353" s="16">
        <v>180.78440198202941</v>
      </c>
      <c r="AX353">
        <v>76.019186174719522</v>
      </c>
      <c r="AY353">
        <v>23.837994882120434</v>
      </c>
      <c r="AZ353">
        <v>93.542770966013194</v>
      </c>
      <c r="BA353">
        <v>14.639444433903</v>
      </c>
    </row>
    <row r="354" spans="1:53" x14ac:dyDescent="0.25">
      <c r="A354" s="14">
        <v>2015</v>
      </c>
      <c r="B354" s="14" t="s">
        <v>123</v>
      </c>
      <c r="C354" s="14" t="s">
        <v>130</v>
      </c>
      <c r="D354" s="14">
        <v>5</v>
      </c>
      <c r="E354" s="14">
        <v>1</v>
      </c>
      <c r="F354" s="14">
        <v>17</v>
      </c>
      <c r="G354" s="14">
        <v>2</v>
      </c>
      <c r="H354" s="14" t="s">
        <v>12</v>
      </c>
      <c r="I354" s="15">
        <v>42251</v>
      </c>
      <c r="J354" s="14" t="s">
        <v>127</v>
      </c>
      <c r="K354" s="14">
        <v>410</v>
      </c>
      <c r="L354" s="14">
        <v>248</v>
      </c>
      <c r="M354" s="14">
        <v>156</v>
      </c>
      <c r="N354" s="14"/>
      <c r="O354" s="14">
        <v>5.5</v>
      </c>
      <c r="P354" s="10"/>
      <c r="Q354" s="10"/>
      <c r="R354" s="26"/>
      <c r="T354" s="16"/>
      <c r="AD354" s="3">
        <v>42306</v>
      </c>
      <c r="AE354" s="16">
        <v>921.25</v>
      </c>
      <c r="AF354">
        <v>323</v>
      </c>
      <c r="AH354">
        <v>514.5</v>
      </c>
      <c r="AI354">
        <v>77.075000000000003</v>
      </c>
      <c r="AN354" t="str">
        <f t="shared" si="24"/>
        <v>Minnipa</v>
      </c>
      <c r="AO354">
        <f t="shared" si="25"/>
        <v>2015</v>
      </c>
      <c r="AP354" t="str">
        <f t="shared" si="26"/>
        <v>Hartog</v>
      </c>
      <c r="AQ354" t="str">
        <f t="shared" si="27"/>
        <v>Minnipa2015CvHartog</v>
      </c>
      <c r="AV354" s="3">
        <v>42306</v>
      </c>
      <c r="AW354" s="16">
        <v>132.4874207865285</v>
      </c>
      <c r="AX354">
        <v>35.279833710870392</v>
      </c>
      <c r="AZ354">
        <v>92.182789427672816</v>
      </c>
      <c r="BA354">
        <v>19.247056051943773</v>
      </c>
    </row>
    <row r="355" spans="1:53" x14ac:dyDescent="0.25">
      <c r="A355" s="14">
        <v>2015</v>
      </c>
      <c r="B355" s="14" t="s">
        <v>123</v>
      </c>
      <c r="C355" s="14" t="s">
        <v>130</v>
      </c>
      <c r="D355" s="14">
        <v>5</v>
      </c>
      <c r="E355" s="14">
        <v>2</v>
      </c>
      <c r="F355" s="14">
        <v>18</v>
      </c>
      <c r="G355" s="14">
        <v>2</v>
      </c>
      <c r="H355" s="14" t="s">
        <v>7</v>
      </c>
      <c r="I355" s="15">
        <v>42251</v>
      </c>
      <c r="J355" s="14" t="s">
        <v>127</v>
      </c>
      <c r="K355" s="14">
        <v>393</v>
      </c>
      <c r="L355" s="14">
        <v>225</v>
      </c>
      <c r="M355" s="14">
        <v>161</v>
      </c>
      <c r="N355" s="14"/>
      <c r="O355" s="14">
        <v>6.6</v>
      </c>
      <c r="P355" s="10"/>
      <c r="Q355" s="10"/>
      <c r="R355" s="26"/>
      <c r="T355" s="16"/>
      <c r="AC355" t="s">
        <v>2</v>
      </c>
      <c r="AD355" s="3">
        <v>42222</v>
      </c>
      <c r="AE355" s="16">
        <v>83.25</v>
      </c>
      <c r="AF355">
        <v>32.5</v>
      </c>
      <c r="AG355">
        <v>50.5</v>
      </c>
      <c r="AN355" t="str">
        <f t="shared" si="24"/>
        <v>Minnipa</v>
      </c>
      <c r="AO355">
        <f t="shared" si="25"/>
        <v>2015</v>
      </c>
      <c r="AP355" t="str">
        <f t="shared" si="26"/>
        <v>Mace</v>
      </c>
      <c r="AQ355" t="str">
        <f t="shared" si="27"/>
        <v>Minnipa2015CvMace</v>
      </c>
      <c r="AU355" t="s">
        <v>2</v>
      </c>
      <c r="AV355" s="3">
        <v>42222</v>
      </c>
      <c r="AW355" s="16">
        <v>17.404501333467348</v>
      </c>
      <c r="AX355">
        <v>10.472185381603339</v>
      </c>
      <c r="AY355">
        <v>6.8556546004010439</v>
      </c>
    </row>
    <row r="356" spans="1:53" x14ac:dyDescent="0.25">
      <c r="A356" s="14">
        <v>2015</v>
      </c>
      <c r="B356" s="14" t="s">
        <v>123</v>
      </c>
      <c r="C356" s="14" t="s">
        <v>130</v>
      </c>
      <c r="D356" s="14">
        <v>5</v>
      </c>
      <c r="E356" s="14">
        <v>3</v>
      </c>
      <c r="F356" s="14">
        <v>19</v>
      </c>
      <c r="G356" s="14">
        <v>2</v>
      </c>
      <c r="H356" s="14" t="s">
        <v>5</v>
      </c>
      <c r="I356" s="15">
        <v>42251</v>
      </c>
      <c r="J356" s="14" t="s">
        <v>127</v>
      </c>
      <c r="K356" s="14">
        <v>353</v>
      </c>
      <c r="L356" s="14">
        <v>228</v>
      </c>
      <c r="M356" s="14">
        <v>122</v>
      </c>
      <c r="N356" s="14"/>
      <c r="O356" s="14">
        <v>2.9</v>
      </c>
      <c r="P356" s="10"/>
      <c r="Q356" s="10"/>
      <c r="R356" s="26"/>
      <c r="T356" s="16"/>
      <c r="AD356" s="3">
        <v>42230</v>
      </c>
      <c r="AE356" s="16">
        <v>123</v>
      </c>
      <c r="AF356">
        <v>41.25</v>
      </c>
      <c r="AG356">
        <v>82</v>
      </c>
      <c r="AN356" t="str">
        <f t="shared" si="24"/>
        <v>Minnipa</v>
      </c>
      <c r="AO356">
        <f t="shared" si="25"/>
        <v>2015</v>
      </c>
      <c r="AP356" t="str">
        <f t="shared" si="26"/>
        <v>Mace</v>
      </c>
      <c r="AQ356" t="str">
        <f t="shared" si="27"/>
        <v>Minnipa2015CvMace</v>
      </c>
      <c r="AV356" s="3">
        <v>42230</v>
      </c>
      <c r="AW356" s="16">
        <v>27.988092706244444</v>
      </c>
      <c r="AX356">
        <v>17.5</v>
      </c>
      <c r="AY356">
        <v>11.803954139750516</v>
      </c>
    </row>
    <row r="357" spans="1:53" x14ac:dyDescent="0.25">
      <c r="A357" s="14">
        <v>2015</v>
      </c>
      <c r="B357" s="14" t="s">
        <v>123</v>
      </c>
      <c r="C357" s="14" t="s">
        <v>130</v>
      </c>
      <c r="D357" s="14">
        <v>5</v>
      </c>
      <c r="E357" s="14">
        <v>4</v>
      </c>
      <c r="F357" s="14">
        <v>20</v>
      </c>
      <c r="G357" s="14">
        <v>2</v>
      </c>
      <c r="H357" s="14" t="s">
        <v>2</v>
      </c>
      <c r="I357" s="15">
        <v>42251</v>
      </c>
      <c r="J357" s="14" t="s">
        <v>127</v>
      </c>
      <c r="K357" s="14">
        <v>330</v>
      </c>
      <c r="L357" s="14">
        <v>188</v>
      </c>
      <c r="M357" s="14">
        <v>138</v>
      </c>
      <c r="N357" s="14"/>
      <c r="O357" s="14">
        <v>3.7</v>
      </c>
      <c r="P357" s="10"/>
      <c r="Q357" s="10"/>
      <c r="R357" s="26"/>
      <c r="T357" s="16"/>
      <c r="AD357" s="3">
        <v>42251</v>
      </c>
      <c r="AE357" s="16">
        <v>359.75</v>
      </c>
      <c r="AF357">
        <v>210</v>
      </c>
      <c r="AG357">
        <v>136.25</v>
      </c>
      <c r="AI357">
        <v>13.225000000000001</v>
      </c>
      <c r="AN357" t="str">
        <f t="shared" si="24"/>
        <v>Minnipa</v>
      </c>
      <c r="AO357">
        <f t="shared" si="25"/>
        <v>2015</v>
      </c>
      <c r="AP357" t="str">
        <f t="shared" si="26"/>
        <v>Mace</v>
      </c>
      <c r="AQ357" t="str">
        <f t="shared" si="27"/>
        <v>Minnipa2015CvMace</v>
      </c>
      <c r="AV357" s="3">
        <v>42251</v>
      </c>
      <c r="AW357" s="16">
        <v>40.95831213970289</v>
      </c>
      <c r="AX357">
        <v>22.642143596988927</v>
      </c>
      <c r="AY357">
        <v>15.628499608087784</v>
      </c>
      <c r="BA357">
        <v>8.5480504599976843</v>
      </c>
    </row>
    <row r="358" spans="1:53" x14ac:dyDescent="0.25">
      <c r="A358" s="14">
        <v>2015</v>
      </c>
      <c r="B358" s="14" t="s">
        <v>123</v>
      </c>
      <c r="C358" s="14" t="s">
        <v>130</v>
      </c>
      <c r="D358" s="14">
        <v>6</v>
      </c>
      <c r="E358" s="14">
        <v>4</v>
      </c>
      <c r="F358" s="14">
        <v>21</v>
      </c>
      <c r="G358" s="14">
        <v>2</v>
      </c>
      <c r="H358" s="14" t="s">
        <v>3</v>
      </c>
      <c r="I358" s="15">
        <v>42251</v>
      </c>
      <c r="J358" s="14" t="s">
        <v>127</v>
      </c>
      <c r="K358" s="14">
        <v>338</v>
      </c>
      <c r="L358" s="14">
        <v>165</v>
      </c>
      <c r="M358" s="14">
        <v>167</v>
      </c>
      <c r="N358" s="14"/>
      <c r="O358" s="14">
        <v>6.1</v>
      </c>
      <c r="P358" s="10"/>
      <c r="Q358" s="10"/>
      <c r="R358" s="26"/>
      <c r="T358" s="16"/>
      <c r="AD358" s="3">
        <v>42276</v>
      </c>
      <c r="AE358" s="16">
        <v>845.75</v>
      </c>
      <c r="AF358">
        <v>443.25</v>
      </c>
      <c r="AG358">
        <v>107.75</v>
      </c>
      <c r="AH358">
        <v>226.75</v>
      </c>
      <c r="AI358">
        <v>68.125</v>
      </c>
      <c r="AN358" t="str">
        <f t="shared" si="24"/>
        <v>Minnipa</v>
      </c>
      <c r="AO358">
        <f t="shared" si="25"/>
        <v>2015</v>
      </c>
      <c r="AP358" t="str">
        <f t="shared" si="26"/>
        <v>Mace</v>
      </c>
      <c r="AQ358" t="str">
        <f t="shared" si="27"/>
        <v>Minnipa2015CvMace</v>
      </c>
      <c r="AV358" s="3">
        <v>42276</v>
      </c>
      <c r="AW358" s="16">
        <v>52.085666614402342</v>
      </c>
      <c r="AX358">
        <v>33.470135942359121</v>
      </c>
      <c r="AY358">
        <v>12.711543310445563</v>
      </c>
      <c r="AZ358">
        <v>14.5</v>
      </c>
      <c r="BA358">
        <v>25.150397611171073</v>
      </c>
    </row>
    <row r="359" spans="1:53" x14ac:dyDescent="0.25">
      <c r="A359" s="14">
        <v>2015</v>
      </c>
      <c r="B359" s="14" t="s">
        <v>123</v>
      </c>
      <c r="C359" s="14" t="s">
        <v>130</v>
      </c>
      <c r="D359" s="14">
        <v>6</v>
      </c>
      <c r="E359" s="14">
        <v>3</v>
      </c>
      <c r="F359" s="14">
        <v>22</v>
      </c>
      <c r="G359" s="14">
        <v>2</v>
      </c>
      <c r="H359" s="14" t="s">
        <v>13</v>
      </c>
      <c r="I359" s="15">
        <v>42251</v>
      </c>
      <c r="J359" s="14" t="s">
        <v>127</v>
      </c>
      <c r="K359" s="14">
        <v>422</v>
      </c>
      <c r="L359" s="14">
        <v>256</v>
      </c>
      <c r="M359" s="14">
        <v>157</v>
      </c>
      <c r="N359" s="14"/>
      <c r="O359" s="14">
        <v>9</v>
      </c>
      <c r="P359" s="10"/>
      <c r="Q359" s="10"/>
      <c r="R359" s="26"/>
      <c r="T359" s="16"/>
      <c r="AD359" s="3">
        <v>42306</v>
      </c>
      <c r="AE359" s="16">
        <v>920.25</v>
      </c>
      <c r="AF359">
        <v>336.25</v>
      </c>
      <c r="AH359">
        <v>483.25</v>
      </c>
      <c r="AI359">
        <v>92.125</v>
      </c>
      <c r="AN359" t="str">
        <f t="shared" si="24"/>
        <v>Minnipa</v>
      </c>
      <c r="AO359">
        <f t="shared" si="25"/>
        <v>2015</v>
      </c>
      <c r="AP359" t="str">
        <f t="shared" si="26"/>
        <v>Mace</v>
      </c>
      <c r="AQ359" t="str">
        <f t="shared" si="27"/>
        <v>Minnipa2015CvMace</v>
      </c>
      <c r="AV359" s="3">
        <v>42306</v>
      </c>
      <c r="AW359" s="16">
        <v>40.974585619218487</v>
      </c>
      <c r="AX359">
        <v>24.851223980587623</v>
      </c>
      <c r="AZ359">
        <v>16.560495161679196</v>
      </c>
      <c r="BA359">
        <v>10.600117923872379</v>
      </c>
    </row>
    <row r="360" spans="1:53" x14ac:dyDescent="0.25">
      <c r="A360" s="14">
        <v>2015</v>
      </c>
      <c r="B360" s="14" t="s">
        <v>123</v>
      </c>
      <c r="C360" s="14" t="s">
        <v>130</v>
      </c>
      <c r="D360" s="14">
        <v>6</v>
      </c>
      <c r="E360" s="14">
        <v>2</v>
      </c>
      <c r="F360" s="14">
        <v>23</v>
      </c>
      <c r="G360" s="14">
        <v>2</v>
      </c>
      <c r="H360" s="14" t="s">
        <v>9</v>
      </c>
      <c r="I360" s="15">
        <v>42251</v>
      </c>
      <c r="J360" s="14" t="s">
        <v>127</v>
      </c>
      <c r="K360" s="14">
        <v>418</v>
      </c>
      <c r="L360" s="14">
        <v>245</v>
      </c>
      <c r="M360" s="14">
        <v>162</v>
      </c>
      <c r="N360" s="14"/>
      <c r="O360" s="14">
        <v>11.9</v>
      </c>
      <c r="P360" s="10"/>
      <c r="Q360" s="10"/>
      <c r="R360" s="26"/>
      <c r="T360" s="16"/>
      <c r="AC360" t="s">
        <v>3</v>
      </c>
      <c r="AD360" s="3">
        <v>42222</v>
      </c>
      <c r="AE360" s="16">
        <v>64.25</v>
      </c>
      <c r="AF360">
        <v>22</v>
      </c>
      <c r="AG360">
        <v>42.5</v>
      </c>
      <c r="AN360" t="str">
        <f t="shared" si="24"/>
        <v>Minnipa</v>
      </c>
      <c r="AO360">
        <f t="shared" si="25"/>
        <v>2015</v>
      </c>
      <c r="AP360" t="str">
        <f t="shared" si="26"/>
        <v>Scout</v>
      </c>
      <c r="AQ360" t="str">
        <f t="shared" si="27"/>
        <v>Minnipa2015CvScout</v>
      </c>
      <c r="AU360" t="s">
        <v>3</v>
      </c>
      <c r="AV360" s="3">
        <v>42222</v>
      </c>
      <c r="AW360" s="16">
        <v>18.318933738985283</v>
      </c>
      <c r="AX360">
        <v>8.6794777108610237</v>
      </c>
      <c r="AY360">
        <v>9.983319421247959</v>
      </c>
    </row>
    <row r="361" spans="1:53" x14ac:dyDescent="0.25">
      <c r="A361" s="14">
        <v>2015</v>
      </c>
      <c r="B361" s="14" t="s">
        <v>123</v>
      </c>
      <c r="C361" s="14" t="s">
        <v>130</v>
      </c>
      <c r="D361" s="14">
        <v>6</v>
      </c>
      <c r="E361" s="14">
        <v>1</v>
      </c>
      <c r="F361" s="14">
        <v>24</v>
      </c>
      <c r="G361" s="14">
        <v>2</v>
      </c>
      <c r="H361" s="14" t="s">
        <v>6</v>
      </c>
      <c r="I361" s="15">
        <v>42251</v>
      </c>
      <c r="J361" s="14" t="s">
        <v>127</v>
      </c>
      <c r="K361" s="14">
        <v>313</v>
      </c>
      <c r="L361" s="14">
        <v>212</v>
      </c>
      <c r="M361" s="14">
        <v>100</v>
      </c>
      <c r="N361" s="14"/>
      <c r="O361" s="14">
        <v>1.7</v>
      </c>
      <c r="P361" s="10"/>
      <c r="Q361" s="10"/>
      <c r="R361" s="26"/>
      <c r="T361" s="16"/>
      <c r="AD361" s="3">
        <v>42230</v>
      </c>
      <c r="AE361" s="16">
        <v>108.25</v>
      </c>
      <c r="AF361">
        <v>29.75</v>
      </c>
      <c r="AG361">
        <v>78.75</v>
      </c>
      <c r="AN361" t="str">
        <f t="shared" si="24"/>
        <v>Minnipa</v>
      </c>
      <c r="AO361">
        <f t="shared" si="25"/>
        <v>2015</v>
      </c>
      <c r="AP361" t="str">
        <f t="shared" si="26"/>
        <v>Scout</v>
      </c>
      <c r="AQ361" t="str">
        <f t="shared" si="27"/>
        <v>Minnipa2015CvScout</v>
      </c>
      <c r="AV361" s="3">
        <v>42230</v>
      </c>
      <c r="AW361" s="16">
        <v>18.463928798245153</v>
      </c>
      <c r="AX361">
        <v>13.598406769422169</v>
      </c>
      <c r="AY361">
        <v>17.914147109663542</v>
      </c>
    </row>
    <row r="362" spans="1:53" x14ac:dyDescent="0.25">
      <c r="A362" s="14">
        <v>2015</v>
      </c>
      <c r="B362" s="14" t="s">
        <v>123</v>
      </c>
      <c r="C362" s="14" t="s">
        <v>130</v>
      </c>
      <c r="D362" s="14">
        <v>7</v>
      </c>
      <c r="E362" s="14">
        <v>1</v>
      </c>
      <c r="F362" s="14">
        <v>25</v>
      </c>
      <c r="G362" s="14">
        <v>3</v>
      </c>
      <c r="H362" s="14" t="s">
        <v>9</v>
      </c>
      <c r="I362" s="15">
        <v>42251</v>
      </c>
      <c r="J362" s="14" t="s">
        <v>127</v>
      </c>
      <c r="K362" s="14">
        <v>292</v>
      </c>
      <c r="L362" s="14">
        <v>150</v>
      </c>
      <c r="M362" s="14">
        <v>141</v>
      </c>
      <c r="N362" s="14"/>
      <c r="O362" s="14">
        <v>0.6</v>
      </c>
      <c r="P362" s="10"/>
      <c r="Q362" s="10"/>
      <c r="R362" s="26"/>
      <c r="T362" s="16"/>
      <c r="AD362" s="3">
        <v>42251</v>
      </c>
      <c r="AE362" s="16">
        <v>368.75</v>
      </c>
      <c r="AF362">
        <v>203.5</v>
      </c>
      <c r="AG362">
        <v>157.5</v>
      </c>
      <c r="AI362">
        <v>7.9750000000000005</v>
      </c>
      <c r="AN362" t="str">
        <f t="shared" si="24"/>
        <v>Minnipa</v>
      </c>
      <c r="AO362">
        <f t="shared" si="25"/>
        <v>2015</v>
      </c>
      <c r="AP362" t="str">
        <f t="shared" si="26"/>
        <v>Scout</v>
      </c>
      <c r="AQ362" t="str">
        <f t="shared" si="27"/>
        <v>Minnipa2015CvScout</v>
      </c>
      <c r="AV362" s="3">
        <v>42251</v>
      </c>
      <c r="AW362" s="16">
        <v>41.5</v>
      </c>
      <c r="AX362">
        <v>30.2709982216202</v>
      </c>
      <c r="AY362">
        <v>20.566963801203133</v>
      </c>
      <c r="BA362">
        <v>1.3744695946679477</v>
      </c>
    </row>
    <row r="363" spans="1:53" x14ac:dyDescent="0.25">
      <c r="A363" s="14">
        <v>2015</v>
      </c>
      <c r="B363" s="14" t="s">
        <v>123</v>
      </c>
      <c r="C363" s="14" t="s">
        <v>130</v>
      </c>
      <c r="D363" s="14">
        <v>7</v>
      </c>
      <c r="E363" s="14">
        <v>2</v>
      </c>
      <c r="F363" s="14">
        <v>26</v>
      </c>
      <c r="G363" s="14">
        <v>3</v>
      </c>
      <c r="H363" s="14" t="s">
        <v>5</v>
      </c>
      <c r="I363" s="15">
        <v>42251</v>
      </c>
      <c r="J363" s="14" t="s">
        <v>127</v>
      </c>
      <c r="K363" s="14">
        <v>361</v>
      </c>
      <c r="L363" s="14">
        <v>206</v>
      </c>
      <c r="M363" s="14">
        <v>148</v>
      </c>
      <c r="N363" s="14"/>
      <c r="O363" s="14">
        <v>6.6</v>
      </c>
      <c r="P363" s="10"/>
      <c r="Q363" s="10"/>
      <c r="R363" s="26"/>
      <c r="T363" s="16"/>
      <c r="AD363" s="3">
        <v>42276</v>
      </c>
      <c r="AE363" s="16">
        <v>744.75</v>
      </c>
      <c r="AF363">
        <v>404.25</v>
      </c>
      <c r="AG363">
        <v>113.75</v>
      </c>
      <c r="AH363">
        <v>188.75</v>
      </c>
      <c r="AI363">
        <v>38.075000000000003</v>
      </c>
      <c r="AN363" t="str">
        <f t="shared" si="24"/>
        <v>Minnipa</v>
      </c>
      <c r="AO363">
        <f t="shared" si="25"/>
        <v>2015</v>
      </c>
      <c r="AP363" t="str">
        <f t="shared" si="26"/>
        <v>Scout</v>
      </c>
      <c r="AQ363" t="str">
        <f t="shared" si="27"/>
        <v>Minnipa2015CvScout</v>
      </c>
      <c r="AV363" s="3">
        <v>42276</v>
      </c>
      <c r="AW363" s="16">
        <v>65.632182146667446</v>
      </c>
      <c r="AX363">
        <v>33.797189232242374</v>
      </c>
      <c r="AY363">
        <v>10.404326023342406</v>
      </c>
      <c r="AZ363">
        <v>38.672772506420237</v>
      </c>
      <c r="BA363">
        <v>16.087754141996736</v>
      </c>
    </row>
    <row r="364" spans="1:53" x14ac:dyDescent="0.25">
      <c r="A364" s="14">
        <v>2015</v>
      </c>
      <c r="B364" s="14" t="s">
        <v>123</v>
      </c>
      <c r="C364" s="14" t="s">
        <v>130</v>
      </c>
      <c r="D364" s="14">
        <v>7</v>
      </c>
      <c r="E364" s="14">
        <v>3</v>
      </c>
      <c r="F364" s="14">
        <v>27</v>
      </c>
      <c r="G364" s="14">
        <v>3</v>
      </c>
      <c r="H364" s="14" t="s">
        <v>3</v>
      </c>
      <c r="I364" s="15">
        <v>42251</v>
      </c>
      <c r="J364" s="14" t="s">
        <v>127</v>
      </c>
      <c r="K364" s="14">
        <v>352</v>
      </c>
      <c r="L364" s="14">
        <v>204</v>
      </c>
      <c r="M364" s="14">
        <v>141</v>
      </c>
      <c r="N364" s="14"/>
      <c r="O364" s="14">
        <v>8.1</v>
      </c>
      <c r="P364" s="10"/>
      <c r="Q364" s="10"/>
      <c r="R364" s="26"/>
      <c r="T364" s="16"/>
      <c r="AD364" s="3">
        <v>42306</v>
      </c>
      <c r="AE364" s="16">
        <v>944.75</v>
      </c>
      <c r="AF364">
        <v>320</v>
      </c>
      <c r="AH364">
        <v>515</v>
      </c>
      <c r="AI364">
        <v>101.35</v>
      </c>
      <c r="AN364" t="str">
        <f t="shared" si="24"/>
        <v>Minnipa</v>
      </c>
      <c r="AO364">
        <f t="shared" si="25"/>
        <v>2015</v>
      </c>
      <c r="AP364" t="str">
        <f t="shared" si="26"/>
        <v>Scout</v>
      </c>
      <c r="AQ364" t="str">
        <f t="shared" si="27"/>
        <v>Minnipa2015CvScout</v>
      </c>
      <c r="AV364" s="3">
        <v>42306</v>
      </c>
      <c r="AW364" s="16">
        <v>90.599392933948508</v>
      </c>
      <c r="AX364">
        <v>36.742346141747674</v>
      </c>
      <c r="AZ364">
        <v>76.131465242697118</v>
      </c>
      <c r="BA364">
        <v>20.113428350234152</v>
      </c>
    </row>
    <row r="365" spans="1:53" x14ac:dyDescent="0.25">
      <c r="A365" s="14">
        <v>2015</v>
      </c>
      <c r="B365" s="14" t="s">
        <v>123</v>
      </c>
      <c r="C365" s="14" t="s">
        <v>130</v>
      </c>
      <c r="D365" s="14">
        <v>7</v>
      </c>
      <c r="E365" s="14">
        <v>4</v>
      </c>
      <c r="F365" s="14">
        <v>28</v>
      </c>
      <c r="G365" s="14">
        <v>3</v>
      </c>
      <c r="H365" s="14" t="s">
        <v>8</v>
      </c>
      <c r="I365" s="15">
        <v>42251</v>
      </c>
      <c r="J365" s="14" t="s">
        <v>127</v>
      </c>
      <c r="K365" s="14">
        <v>400</v>
      </c>
      <c r="L365" s="14">
        <v>272</v>
      </c>
      <c r="M365" s="14">
        <v>127</v>
      </c>
      <c r="N365" s="14"/>
      <c r="O365" s="14">
        <v>1</v>
      </c>
      <c r="P365" s="10"/>
      <c r="Q365" s="10"/>
      <c r="R365" s="26"/>
      <c r="T365" s="16"/>
      <c r="AC365" t="s">
        <v>5</v>
      </c>
      <c r="AD365" s="3">
        <v>42222</v>
      </c>
      <c r="AE365" s="16">
        <v>72</v>
      </c>
      <c r="AF365">
        <v>25.5</v>
      </c>
      <c r="AG365">
        <v>46.5</v>
      </c>
      <c r="AN365" t="str">
        <f t="shared" si="24"/>
        <v>Minnipa</v>
      </c>
      <c r="AO365">
        <f t="shared" si="25"/>
        <v>2015</v>
      </c>
      <c r="AP365" t="str">
        <f t="shared" si="26"/>
        <v>Spitfire</v>
      </c>
      <c r="AQ365" t="str">
        <f t="shared" si="27"/>
        <v>Minnipa2015CvSpitfire</v>
      </c>
      <c r="AU365" t="s">
        <v>5</v>
      </c>
      <c r="AV365" s="3">
        <v>42222</v>
      </c>
      <c r="AW365" s="16">
        <v>7.3936910042729442</v>
      </c>
      <c r="AX365">
        <v>1</v>
      </c>
      <c r="AY365">
        <v>6.8068592855540455</v>
      </c>
    </row>
    <row r="366" spans="1:53" x14ac:dyDescent="0.25">
      <c r="A366" s="14">
        <v>2015</v>
      </c>
      <c r="B366" s="14" t="s">
        <v>123</v>
      </c>
      <c r="C366" s="14" t="s">
        <v>130</v>
      </c>
      <c r="D366" s="14">
        <v>8</v>
      </c>
      <c r="E366" s="14">
        <v>4</v>
      </c>
      <c r="F366" s="14">
        <v>29</v>
      </c>
      <c r="G366" s="14">
        <v>3</v>
      </c>
      <c r="H366" s="14" t="s">
        <v>13</v>
      </c>
      <c r="I366" s="15">
        <v>42251</v>
      </c>
      <c r="J366" s="14" t="s">
        <v>127</v>
      </c>
      <c r="K366" s="14">
        <v>311</v>
      </c>
      <c r="L366" s="14">
        <v>166</v>
      </c>
      <c r="M366" s="14">
        <v>142</v>
      </c>
      <c r="N366" s="14"/>
      <c r="O366" s="14">
        <v>3.1</v>
      </c>
      <c r="P366" s="10"/>
      <c r="Q366" s="10"/>
      <c r="R366" s="26"/>
      <c r="T366" s="16"/>
      <c r="AD366" s="3">
        <v>42230</v>
      </c>
      <c r="AE366" s="16">
        <v>125.75</v>
      </c>
      <c r="AF366">
        <v>41.25</v>
      </c>
      <c r="AG366">
        <v>84</v>
      </c>
      <c r="AN366" t="str">
        <f t="shared" si="24"/>
        <v>Minnipa</v>
      </c>
      <c r="AO366">
        <f t="shared" si="25"/>
        <v>2015</v>
      </c>
      <c r="AP366" t="str">
        <f t="shared" si="26"/>
        <v>Spitfire</v>
      </c>
      <c r="AQ366" t="str">
        <f t="shared" si="27"/>
        <v>Minnipa2015CvSpitfire</v>
      </c>
      <c r="AV366" s="3">
        <v>42230</v>
      </c>
      <c r="AW366" s="16">
        <v>20.934421415458321</v>
      </c>
      <c r="AX366">
        <v>6.2383224240709669</v>
      </c>
      <c r="AY366">
        <v>14.854853303438128</v>
      </c>
    </row>
    <row r="367" spans="1:53" x14ac:dyDescent="0.25">
      <c r="A367" s="14">
        <v>2015</v>
      </c>
      <c r="B367" s="14" t="s">
        <v>123</v>
      </c>
      <c r="C367" s="14" t="s">
        <v>130</v>
      </c>
      <c r="D367" s="14">
        <v>8</v>
      </c>
      <c r="E367" s="14">
        <v>3</v>
      </c>
      <c r="F367" s="14">
        <v>30</v>
      </c>
      <c r="G367" s="14">
        <v>3</v>
      </c>
      <c r="H367" s="14" t="s">
        <v>7</v>
      </c>
      <c r="I367" s="15">
        <v>42251</v>
      </c>
      <c r="J367" s="14" t="s">
        <v>127</v>
      </c>
      <c r="K367" s="14">
        <v>256</v>
      </c>
      <c r="L367" s="14">
        <v>187</v>
      </c>
      <c r="M367" s="14">
        <v>58</v>
      </c>
      <c r="N367" s="14"/>
      <c r="O367" s="14">
        <v>11</v>
      </c>
      <c r="P367" s="10"/>
      <c r="Q367" s="10"/>
      <c r="R367" s="26"/>
      <c r="T367" s="16"/>
      <c r="AD367" s="3">
        <v>42251</v>
      </c>
      <c r="AE367" s="16">
        <v>353.5</v>
      </c>
      <c r="AF367">
        <v>212.25</v>
      </c>
      <c r="AG367">
        <v>132.75</v>
      </c>
      <c r="AI367">
        <v>8.2750000000000004</v>
      </c>
      <c r="AN367" t="str">
        <f t="shared" si="24"/>
        <v>Minnipa</v>
      </c>
      <c r="AO367">
        <f t="shared" si="25"/>
        <v>2015</v>
      </c>
      <c r="AP367" t="str">
        <f t="shared" si="26"/>
        <v>Spitfire</v>
      </c>
      <c r="AQ367" t="str">
        <f t="shared" si="27"/>
        <v>Minnipa2015CvSpitfire</v>
      </c>
      <c r="AV367" s="3">
        <v>42251</v>
      </c>
      <c r="AW367" s="16">
        <v>28.242993231360352</v>
      </c>
      <c r="AX367">
        <v>23.32916629457641</v>
      </c>
      <c r="AY367">
        <v>12.526638282742368</v>
      </c>
      <c r="BA367">
        <v>4.5110050616981878</v>
      </c>
    </row>
    <row r="368" spans="1:53" x14ac:dyDescent="0.25">
      <c r="A368" s="14">
        <v>2015</v>
      </c>
      <c r="B368" s="14" t="s">
        <v>123</v>
      </c>
      <c r="C368" s="14" t="s">
        <v>130</v>
      </c>
      <c r="D368" s="14">
        <v>8</v>
      </c>
      <c r="E368" s="14">
        <v>2</v>
      </c>
      <c r="F368" s="14">
        <v>31</v>
      </c>
      <c r="G368" s="14">
        <v>3</v>
      </c>
      <c r="H368" s="14" t="s">
        <v>6</v>
      </c>
      <c r="I368" s="15">
        <v>42251</v>
      </c>
      <c r="J368" s="14" t="s">
        <v>127</v>
      </c>
      <c r="K368" s="14">
        <v>396</v>
      </c>
      <c r="L368" s="14">
        <v>235</v>
      </c>
      <c r="M368" s="14">
        <v>134</v>
      </c>
      <c r="N368" s="14"/>
      <c r="O368" s="14">
        <v>27</v>
      </c>
      <c r="P368" s="10"/>
      <c r="Q368" s="10"/>
      <c r="R368" s="26"/>
      <c r="T368" s="16"/>
      <c r="AD368" s="3">
        <v>42276</v>
      </c>
      <c r="AE368" s="16">
        <v>773.25</v>
      </c>
      <c r="AF368">
        <v>415.5</v>
      </c>
      <c r="AG368">
        <v>100.5</v>
      </c>
      <c r="AH368">
        <v>204.75</v>
      </c>
      <c r="AI368">
        <v>52.825000000000003</v>
      </c>
      <c r="AN368" t="str">
        <f t="shared" si="24"/>
        <v>Minnipa</v>
      </c>
      <c r="AO368">
        <f t="shared" si="25"/>
        <v>2015</v>
      </c>
      <c r="AP368" t="str">
        <f t="shared" si="26"/>
        <v>Spitfire</v>
      </c>
      <c r="AQ368" t="str">
        <f t="shared" si="27"/>
        <v>Minnipa2015CvSpitfire</v>
      </c>
      <c r="AV368" s="3">
        <v>42276</v>
      </c>
      <c r="AW368" s="16">
        <v>148.79152081575975</v>
      </c>
      <c r="AX368">
        <v>64.758525822216384</v>
      </c>
      <c r="AY368">
        <v>19.908122295518815</v>
      </c>
      <c r="AZ368">
        <v>44.731607020837814</v>
      </c>
      <c r="BA368">
        <v>27.806399143602405</v>
      </c>
    </row>
    <row r="369" spans="1:55" x14ac:dyDescent="0.25">
      <c r="A369" s="14">
        <v>2015</v>
      </c>
      <c r="B369" s="14" t="s">
        <v>123</v>
      </c>
      <c r="C369" s="14" t="s">
        <v>130</v>
      </c>
      <c r="D369" s="14">
        <v>8</v>
      </c>
      <c r="E369" s="14">
        <v>1</v>
      </c>
      <c r="F369" s="14">
        <v>32</v>
      </c>
      <c r="G369" s="14">
        <v>3</v>
      </c>
      <c r="H369" s="14" t="s">
        <v>10</v>
      </c>
      <c r="I369" s="15">
        <v>42251</v>
      </c>
      <c r="J369" s="14" t="s">
        <v>127</v>
      </c>
      <c r="K369" s="14">
        <v>381</v>
      </c>
      <c r="L369" s="14">
        <v>247</v>
      </c>
      <c r="M369" s="14">
        <v>111</v>
      </c>
      <c r="N369" s="14"/>
      <c r="O369" s="14">
        <v>22.5</v>
      </c>
      <c r="P369" s="10"/>
      <c r="Q369" s="10"/>
      <c r="R369" s="26"/>
      <c r="T369" s="16"/>
      <c r="AD369" s="3">
        <v>42306</v>
      </c>
      <c r="AE369" s="16">
        <v>891</v>
      </c>
      <c r="AF369">
        <v>306.5</v>
      </c>
      <c r="AH369">
        <v>477.75</v>
      </c>
      <c r="AI369">
        <v>99.2</v>
      </c>
      <c r="AN369" t="str">
        <f t="shared" si="24"/>
        <v>Minnipa</v>
      </c>
      <c r="AO369">
        <f t="shared" si="25"/>
        <v>2015</v>
      </c>
      <c r="AP369" t="str">
        <f t="shared" si="26"/>
        <v>Spitfire</v>
      </c>
      <c r="AQ369" t="str">
        <f t="shared" si="27"/>
        <v>Minnipa2015CvSpitfire</v>
      </c>
      <c r="AV369" s="3">
        <v>42306</v>
      </c>
      <c r="AW369" s="16">
        <v>48.56610615096362</v>
      </c>
      <c r="AX369">
        <v>19.958289839896938</v>
      </c>
      <c r="AZ369">
        <v>29.364093720052047</v>
      </c>
      <c r="BA369">
        <v>20.319120715883997</v>
      </c>
    </row>
    <row r="370" spans="1:55" x14ac:dyDescent="0.25">
      <c r="A370" s="14">
        <v>2015</v>
      </c>
      <c r="B370" s="14" t="s">
        <v>123</v>
      </c>
      <c r="C370" s="14" t="s">
        <v>130</v>
      </c>
      <c r="D370" s="14">
        <v>9</v>
      </c>
      <c r="E370" s="14">
        <v>1</v>
      </c>
      <c r="F370" s="14">
        <v>33</v>
      </c>
      <c r="G370" s="14">
        <v>3</v>
      </c>
      <c r="H370" s="14" t="s">
        <v>2</v>
      </c>
      <c r="I370" s="15">
        <v>42251</v>
      </c>
      <c r="J370" s="14" t="s">
        <v>127</v>
      </c>
      <c r="K370" s="14">
        <v>394</v>
      </c>
      <c r="L370" s="14">
        <v>220</v>
      </c>
      <c r="M370" s="14">
        <v>150</v>
      </c>
      <c r="N370" s="14"/>
      <c r="O370" s="14">
        <v>23.6</v>
      </c>
      <c r="P370" s="10"/>
      <c r="Q370" s="10"/>
      <c r="R370" s="26"/>
      <c r="T370" s="16"/>
      <c r="AC370" t="s">
        <v>9</v>
      </c>
      <c r="AD370" s="3">
        <v>42222</v>
      </c>
      <c r="AE370" s="16">
        <v>74</v>
      </c>
      <c r="AF370">
        <v>26.25</v>
      </c>
      <c r="AG370">
        <v>47.75</v>
      </c>
      <c r="AN370" t="str">
        <f t="shared" si="24"/>
        <v>Minnipa</v>
      </c>
      <c r="AO370">
        <f t="shared" si="25"/>
        <v>2015</v>
      </c>
      <c r="AP370" t="str">
        <f t="shared" si="26"/>
        <v>Sunbee</v>
      </c>
      <c r="AQ370" t="str">
        <f t="shared" si="27"/>
        <v>Minnipa2015CvSunbee</v>
      </c>
      <c r="AU370" t="s">
        <v>9</v>
      </c>
      <c r="AV370" s="3">
        <v>42222</v>
      </c>
      <c r="AW370" s="16">
        <v>18.384776310850235</v>
      </c>
      <c r="AX370">
        <v>7.1355915428692152</v>
      </c>
      <c r="AY370">
        <v>12.230426539304888</v>
      </c>
    </row>
    <row r="371" spans="1:55" x14ac:dyDescent="0.25">
      <c r="A371" s="14">
        <v>2015</v>
      </c>
      <c r="B371" s="14" t="s">
        <v>123</v>
      </c>
      <c r="C371" s="14" t="s">
        <v>130</v>
      </c>
      <c r="D371" s="14">
        <v>9</v>
      </c>
      <c r="E371" s="14">
        <v>2</v>
      </c>
      <c r="F371" s="14">
        <v>34</v>
      </c>
      <c r="G371" s="14">
        <v>3</v>
      </c>
      <c r="H371" s="14" t="s">
        <v>4</v>
      </c>
      <c r="I371" s="15">
        <v>42251</v>
      </c>
      <c r="J371" s="14" t="s">
        <v>127</v>
      </c>
      <c r="K371" s="14">
        <v>490</v>
      </c>
      <c r="L371" s="14">
        <v>320</v>
      </c>
      <c r="M371" s="14">
        <v>161</v>
      </c>
      <c r="N371" s="14"/>
      <c r="O371" s="14">
        <v>9.3000000000000007</v>
      </c>
      <c r="P371" s="10"/>
      <c r="Q371" s="10"/>
      <c r="R371" s="26"/>
      <c r="T371" s="16"/>
      <c r="AD371" s="3">
        <v>42230</v>
      </c>
      <c r="AE371" s="16">
        <v>115.5</v>
      </c>
      <c r="AF371">
        <v>36</v>
      </c>
      <c r="AG371">
        <v>79.75</v>
      </c>
      <c r="AN371" t="str">
        <f t="shared" si="24"/>
        <v>Minnipa</v>
      </c>
      <c r="AO371">
        <f t="shared" si="25"/>
        <v>2015</v>
      </c>
      <c r="AP371" t="str">
        <f t="shared" si="26"/>
        <v>Sunbee</v>
      </c>
      <c r="AQ371" t="str">
        <f t="shared" si="27"/>
        <v>Minnipa2015CvSunbee</v>
      </c>
      <c r="AV371" s="3">
        <v>42230</v>
      </c>
      <c r="AW371" s="16">
        <v>21.855586623714007</v>
      </c>
      <c r="AX371">
        <v>8.8317608663278477</v>
      </c>
      <c r="AY371">
        <v>14.221462653327892</v>
      </c>
    </row>
    <row r="372" spans="1:55" x14ac:dyDescent="0.25">
      <c r="A372" s="14">
        <v>2015</v>
      </c>
      <c r="B372" s="14" t="s">
        <v>123</v>
      </c>
      <c r="C372" s="14" t="s">
        <v>130</v>
      </c>
      <c r="D372" s="14">
        <v>9</v>
      </c>
      <c r="E372" s="14">
        <v>3</v>
      </c>
      <c r="F372" s="14">
        <v>35</v>
      </c>
      <c r="G372" s="14">
        <v>3</v>
      </c>
      <c r="H372" s="14" t="s">
        <v>14</v>
      </c>
      <c r="I372" s="15">
        <v>42251</v>
      </c>
      <c r="J372" s="14" t="s">
        <v>127</v>
      </c>
      <c r="K372" s="14">
        <v>456</v>
      </c>
      <c r="L372" s="14">
        <v>303</v>
      </c>
      <c r="M372" s="14">
        <v>142</v>
      </c>
      <c r="N372" s="14"/>
      <c r="O372" s="14">
        <v>11.4</v>
      </c>
      <c r="P372" s="10"/>
      <c r="Q372" s="10"/>
      <c r="R372" s="26"/>
      <c r="T372" s="16"/>
      <c r="AD372" s="3">
        <v>42251</v>
      </c>
      <c r="AE372" s="16">
        <v>370.75</v>
      </c>
      <c r="AF372">
        <v>244.5</v>
      </c>
      <c r="AG372">
        <v>118.75</v>
      </c>
      <c r="AI372">
        <v>7.625</v>
      </c>
      <c r="AN372" t="str">
        <f t="shared" si="24"/>
        <v>Minnipa</v>
      </c>
      <c r="AO372">
        <f t="shared" si="25"/>
        <v>2015</v>
      </c>
      <c r="AP372" t="str">
        <f t="shared" si="26"/>
        <v>Sunbee</v>
      </c>
      <c r="AQ372" t="str">
        <f t="shared" si="27"/>
        <v>Minnipa2015CvSunbee</v>
      </c>
      <c r="AV372" s="3">
        <v>42251</v>
      </c>
      <c r="AW372" s="16">
        <v>76.399716404360206</v>
      </c>
      <c r="AX372">
        <v>106.38452268383153</v>
      </c>
      <c r="AY372">
        <v>45.864837657331066</v>
      </c>
      <c r="BA372">
        <v>6.7425885237051206</v>
      </c>
    </row>
    <row r="373" spans="1:55" x14ac:dyDescent="0.25">
      <c r="A373" s="14">
        <v>2015</v>
      </c>
      <c r="B373" s="14" t="s">
        <v>123</v>
      </c>
      <c r="C373" s="14" t="s">
        <v>130</v>
      </c>
      <c r="D373" s="14">
        <v>9</v>
      </c>
      <c r="E373" s="14">
        <v>4</v>
      </c>
      <c r="F373" s="14">
        <v>36</v>
      </c>
      <c r="G373" s="14">
        <v>3</v>
      </c>
      <c r="H373" s="14" t="s">
        <v>12</v>
      </c>
      <c r="I373" s="15">
        <v>42251</v>
      </c>
      <c r="J373" s="14" t="s">
        <v>127</v>
      </c>
      <c r="K373" s="14">
        <v>426</v>
      </c>
      <c r="L373" s="14">
        <v>264</v>
      </c>
      <c r="M373" s="14">
        <v>159</v>
      </c>
      <c r="N373" s="14"/>
      <c r="O373" s="14">
        <v>3.2</v>
      </c>
      <c r="P373" s="10"/>
      <c r="Q373" s="10"/>
      <c r="R373" s="26"/>
      <c r="T373" s="16"/>
      <c r="AD373" s="3">
        <v>42276</v>
      </c>
      <c r="AE373" s="16">
        <v>808.5</v>
      </c>
      <c r="AF373">
        <v>443</v>
      </c>
      <c r="AG373">
        <v>123</v>
      </c>
      <c r="AH373">
        <v>196.25</v>
      </c>
      <c r="AI373">
        <v>46.424999999999997</v>
      </c>
      <c r="AN373" t="str">
        <f t="shared" si="24"/>
        <v>Minnipa</v>
      </c>
      <c r="AO373">
        <f t="shared" si="25"/>
        <v>2015</v>
      </c>
      <c r="AP373" t="str">
        <f t="shared" si="26"/>
        <v>Sunbee</v>
      </c>
      <c r="AQ373" t="str">
        <f t="shared" si="27"/>
        <v>Minnipa2015CvSunbee</v>
      </c>
      <c r="AV373" s="3">
        <v>42276</v>
      </c>
      <c r="AW373" s="16">
        <v>94.36630754670864</v>
      </c>
      <c r="AX373">
        <v>61.779176642835459</v>
      </c>
      <c r="AY373">
        <v>10.033277962194941</v>
      </c>
      <c r="AZ373">
        <v>36.809192692405887</v>
      </c>
      <c r="BA373">
        <v>7.4620707581743151</v>
      </c>
    </row>
    <row r="374" spans="1:55" x14ac:dyDescent="0.25">
      <c r="A374" s="14">
        <v>2015</v>
      </c>
      <c r="B374" s="14" t="s">
        <v>123</v>
      </c>
      <c r="C374" s="14" t="s">
        <v>130</v>
      </c>
      <c r="D374" s="14">
        <v>10</v>
      </c>
      <c r="E374" s="14">
        <v>4</v>
      </c>
      <c r="F374" s="14">
        <v>37</v>
      </c>
      <c r="G374" s="14">
        <v>4</v>
      </c>
      <c r="H374" s="14" t="s">
        <v>9</v>
      </c>
      <c r="I374" s="15">
        <v>42251</v>
      </c>
      <c r="J374" s="14" t="s">
        <v>127</v>
      </c>
      <c r="K374" s="14">
        <v>321</v>
      </c>
      <c r="L374" s="14">
        <v>190</v>
      </c>
      <c r="M374" s="14">
        <v>116</v>
      </c>
      <c r="N374" s="14"/>
      <c r="O374" s="14">
        <v>14.7</v>
      </c>
      <c r="P374" s="10"/>
      <c r="Q374" s="10"/>
      <c r="R374" s="26"/>
      <c r="T374" s="16"/>
      <c r="AD374" s="3">
        <v>42306</v>
      </c>
      <c r="AE374" s="16">
        <v>972.25</v>
      </c>
      <c r="AF374">
        <v>323.25</v>
      </c>
      <c r="AH374">
        <v>523</v>
      </c>
      <c r="AI374">
        <v>113.02500000000001</v>
      </c>
      <c r="AN374" t="str">
        <f t="shared" si="24"/>
        <v>Minnipa</v>
      </c>
      <c r="AO374">
        <f t="shared" si="25"/>
        <v>2015</v>
      </c>
      <c r="AP374" t="str">
        <f t="shared" si="26"/>
        <v>Sunbee</v>
      </c>
      <c r="AQ374" t="str">
        <f t="shared" si="27"/>
        <v>Minnipa2015CvSunbee</v>
      </c>
      <c r="AV374" s="3">
        <v>42306</v>
      </c>
      <c r="AW374" s="16">
        <v>143.86886390042844</v>
      </c>
      <c r="AX374">
        <v>51.175352140133498</v>
      </c>
      <c r="AZ374">
        <v>55.635719940819797</v>
      </c>
      <c r="BA374">
        <v>42.832649151474783</v>
      </c>
    </row>
    <row r="375" spans="1:55" x14ac:dyDescent="0.25">
      <c r="A375" s="14">
        <v>2015</v>
      </c>
      <c r="B375" s="14" t="s">
        <v>123</v>
      </c>
      <c r="C375" s="14" t="s">
        <v>130</v>
      </c>
      <c r="D375" s="14">
        <v>10</v>
      </c>
      <c r="E375" s="14">
        <v>3</v>
      </c>
      <c r="F375" s="14">
        <v>38</v>
      </c>
      <c r="G375" s="14">
        <v>4</v>
      </c>
      <c r="H375" s="14" t="s">
        <v>2</v>
      </c>
      <c r="I375" s="15">
        <v>42251</v>
      </c>
      <c r="J375" s="14" t="s">
        <v>127</v>
      </c>
      <c r="K375" s="14">
        <v>396</v>
      </c>
      <c r="L375" s="14">
        <v>237</v>
      </c>
      <c r="M375" s="14">
        <v>143</v>
      </c>
      <c r="N375" s="14"/>
      <c r="O375" s="14">
        <v>16</v>
      </c>
      <c r="P375" s="10"/>
      <c r="Q375" s="10"/>
      <c r="R375" s="26"/>
      <c r="T375" s="16"/>
      <c r="AC375" t="s">
        <v>6</v>
      </c>
      <c r="AD375" s="3">
        <v>42222</v>
      </c>
      <c r="AE375" s="16">
        <v>89.75</v>
      </c>
      <c r="AF375">
        <v>34.5</v>
      </c>
      <c r="AG375">
        <v>55</v>
      </c>
      <c r="AN375" t="str">
        <f t="shared" si="24"/>
        <v>Minnipa</v>
      </c>
      <c r="AO375">
        <f t="shared" si="25"/>
        <v>2015</v>
      </c>
      <c r="AP375" t="str">
        <f t="shared" si="26"/>
        <v>Sunstate</v>
      </c>
      <c r="AQ375" t="str">
        <f t="shared" si="27"/>
        <v>Minnipa2015CvSunstate</v>
      </c>
      <c r="AU375" t="s">
        <v>6</v>
      </c>
      <c r="AV375" s="3">
        <v>42222</v>
      </c>
      <c r="AW375" s="16">
        <v>21.792582836062977</v>
      </c>
      <c r="AX375">
        <v>11.269427669584644</v>
      </c>
      <c r="AY375">
        <v>10.862780491200215</v>
      </c>
    </row>
    <row r="376" spans="1:55" x14ac:dyDescent="0.25">
      <c r="A376" s="14">
        <v>2015</v>
      </c>
      <c r="B376" s="14" t="s">
        <v>123</v>
      </c>
      <c r="C376" s="14" t="s">
        <v>130</v>
      </c>
      <c r="D376" s="14">
        <v>10</v>
      </c>
      <c r="E376" s="14">
        <v>2</v>
      </c>
      <c r="F376" s="14">
        <v>39</v>
      </c>
      <c r="G376" s="14">
        <v>4</v>
      </c>
      <c r="H376" s="14" t="s">
        <v>12</v>
      </c>
      <c r="I376" s="15">
        <v>42251</v>
      </c>
      <c r="J376" s="14" t="s">
        <v>127</v>
      </c>
      <c r="K376" s="14">
        <v>506</v>
      </c>
      <c r="L376" s="14">
        <v>344</v>
      </c>
      <c r="M376" s="14">
        <v>162</v>
      </c>
      <c r="N376" s="14"/>
      <c r="O376" s="14">
        <v>0</v>
      </c>
      <c r="P376" s="10"/>
      <c r="Q376" s="10"/>
      <c r="R376" s="26"/>
      <c r="T376" s="16"/>
      <c r="AD376" s="3">
        <v>42230</v>
      </c>
      <c r="AE376" s="16">
        <v>149</v>
      </c>
      <c r="AF376">
        <v>44.25</v>
      </c>
      <c r="AG376">
        <v>104.75</v>
      </c>
      <c r="AN376" t="str">
        <f t="shared" si="24"/>
        <v>Minnipa</v>
      </c>
      <c r="AO376">
        <f t="shared" si="25"/>
        <v>2015</v>
      </c>
      <c r="AP376" t="str">
        <f t="shared" si="26"/>
        <v>Sunstate</v>
      </c>
      <c r="AQ376" t="str">
        <f t="shared" si="27"/>
        <v>Minnipa2015CvSunstate</v>
      </c>
      <c r="AV376" s="3">
        <v>42230</v>
      </c>
      <c r="AW376" s="16">
        <v>52.94651389216606</v>
      </c>
      <c r="AX376">
        <v>18.463928798245153</v>
      </c>
      <c r="AY376">
        <v>36.998873856736054</v>
      </c>
    </row>
    <row r="377" spans="1:55" x14ac:dyDescent="0.25">
      <c r="A377" s="14">
        <v>2015</v>
      </c>
      <c r="B377" s="14" t="s">
        <v>123</v>
      </c>
      <c r="C377" s="14" t="s">
        <v>130</v>
      </c>
      <c r="D377" s="14">
        <v>10</v>
      </c>
      <c r="E377" s="14">
        <v>1</v>
      </c>
      <c r="F377" s="14">
        <v>40</v>
      </c>
      <c r="G377" s="14">
        <v>4</v>
      </c>
      <c r="H377" s="14" t="s">
        <v>13</v>
      </c>
      <c r="I377" s="15">
        <v>42251</v>
      </c>
      <c r="J377" s="14" t="s">
        <v>127</v>
      </c>
      <c r="K377" s="14">
        <v>354</v>
      </c>
      <c r="L377" s="14">
        <v>202</v>
      </c>
      <c r="M377" s="14">
        <v>153</v>
      </c>
      <c r="N377" s="14"/>
      <c r="O377" s="14">
        <v>0</v>
      </c>
      <c r="P377" s="10"/>
      <c r="Q377" s="10"/>
      <c r="R377" s="26"/>
      <c r="T377" s="16"/>
      <c r="AD377" s="3">
        <v>42251</v>
      </c>
      <c r="AE377" s="16">
        <v>358</v>
      </c>
      <c r="AF377">
        <v>216.75</v>
      </c>
      <c r="AG377">
        <v>131.5</v>
      </c>
      <c r="AI377">
        <v>9.8249999999999993</v>
      </c>
      <c r="AN377" t="str">
        <f t="shared" si="24"/>
        <v>Minnipa</v>
      </c>
      <c r="AO377">
        <f t="shared" si="25"/>
        <v>2015</v>
      </c>
      <c r="AP377" t="str">
        <f t="shared" si="26"/>
        <v>Sunstate</v>
      </c>
      <c r="AQ377" t="str">
        <f t="shared" si="27"/>
        <v>Minnipa2015CvSunstate</v>
      </c>
      <c r="AV377" s="3">
        <v>42251</v>
      </c>
      <c r="AW377" s="16">
        <v>97.224825361975661</v>
      </c>
      <c r="AX377">
        <v>64.845328796041017</v>
      </c>
      <c r="AY377">
        <v>38.561638969317684</v>
      </c>
      <c r="BA377">
        <v>12.357555044047617</v>
      </c>
    </row>
    <row r="378" spans="1:55" x14ac:dyDescent="0.25">
      <c r="A378" s="14">
        <v>2015</v>
      </c>
      <c r="B378" s="14" t="s">
        <v>123</v>
      </c>
      <c r="C378" s="14" t="s">
        <v>130</v>
      </c>
      <c r="D378" s="14">
        <v>11</v>
      </c>
      <c r="E378" s="14">
        <v>1</v>
      </c>
      <c r="F378" s="14">
        <v>41</v>
      </c>
      <c r="G378" s="14">
        <v>4</v>
      </c>
      <c r="H378" s="14" t="s">
        <v>4</v>
      </c>
      <c r="I378" s="15">
        <v>42251</v>
      </c>
      <c r="J378" s="14" t="s">
        <v>127</v>
      </c>
      <c r="K378" s="14">
        <v>370</v>
      </c>
      <c r="L378" s="14">
        <v>237</v>
      </c>
      <c r="M378" s="14">
        <v>128</v>
      </c>
      <c r="N378" s="14"/>
      <c r="O378" s="14">
        <v>4.4000000000000004</v>
      </c>
      <c r="P378" s="10"/>
      <c r="Q378" s="10"/>
      <c r="R378" s="26"/>
      <c r="T378" s="16"/>
      <c r="AD378" s="3">
        <v>42276</v>
      </c>
      <c r="AE378" s="16">
        <v>859.5</v>
      </c>
      <c r="AF378">
        <v>473.25</v>
      </c>
      <c r="AG378">
        <v>133.5</v>
      </c>
      <c r="AH378">
        <v>220.5</v>
      </c>
      <c r="AI378">
        <v>31.900000000000002</v>
      </c>
      <c r="AN378" t="str">
        <f t="shared" si="24"/>
        <v>Minnipa</v>
      </c>
      <c r="AO378">
        <f t="shared" si="25"/>
        <v>2015</v>
      </c>
      <c r="AP378" t="str">
        <f t="shared" si="26"/>
        <v>Sunstate</v>
      </c>
      <c r="AQ378" t="str">
        <f t="shared" si="27"/>
        <v>Minnipa2015CvSunstate</v>
      </c>
      <c r="AV378" s="3">
        <v>42276</v>
      </c>
      <c r="AW378" s="16">
        <v>135.70679177304771</v>
      </c>
      <c r="AX378">
        <v>94.665639665790749</v>
      </c>
      <c r="AY378">
        <v>32.150686877058583</v>
      </c>
      <c r="AZ378">
        <v>12.503332889007368</v>
      </c>
      <c r="BA378">
        <v>9.8937690829464131</v>
      </c>
    </row>
    <row r="379" spans="1:55" x14ac:dyDescent="0.25">
      <c r="A379" s="14">
        <v>2015</v>
      </c>
      <c r="B379" s="14" t="s">
        <v>123</v>
      </c>
      <c r="C379" s="14" t="s">
        <v>130</v>
      </c>
      <c r="D379" s="14">
        <v>11</v>
      </c>
      <c r="E379" s="14">
        <v>2</v>
      </c>
      <c r="F379" s="14">
        <v>42</v>
      </c>
      <c r="G379" s="14">
        <v>4</v>
      </c>
      <c r="H379" s="14" t="s">
        <v>3</v>
      </c>
      <c r="I379" s="15">
        <v>42251</v>
      </c>
      <c r="J379" s="14" t="s">
        <v>127</v>
      </c>
      <c r="K379" s="14">
        <v>355</v>
      </c>
      <c r="L379" s="14">
        <v>206</v>
      </c>
      <c r="M379" s="14">
        <v>140</v>
      </c>
      <c r="N379" s="14"/>
      <c r="O379" s="14">
        <v>8.3000000000000007</v>
      </c>
      <c r="P379" s="10"/>
      <c r="Q379" s="10"/>
      <c r="R379" s="26"/>
      <c r="T379" s="16"/>
      <c r="AD379" s="3">
        <v>42306</v>
      </c>
      <c r="AE379" s="16">
        <v>979.5</v>
      </c>
      <c r="AF379">
        <v>327</v>
      </c>
      <c r="AH379">
        <v>531.75</v>
      </c>
      <c r="AI379">
        <v>96.074999999999989</v>
      </c>
      <c r="AN379" t="str">
        <f t="shared" si="24"/>
        <v>Minnipa</v>
      </c>
      <c r="AO379">
        <f t="shared" si="25"/>
        <v>2015</v>
      </c>
      <c r="AP379" t="str">
        <f t="shared" si="26"/>
        <v>Sunstate</v>
      </c>
      <c r="AQ379" t="str">
        <f t="shared" si="27"/>
        <v>Minnipa2015CvSunstate</v>
      </c>
      <c r="AV379" s="3">
        <v>42306</v>
      </c>
      <c r="AW379" s="16">
        <v>116.38298844762494</v>
      </c>
      <c r="AX379">
        <v>49.146040871400146</v>
      </c>
      <c r="AZ379">
        <v>70.801953833680798</v>
      </c>
      <c r="BA379">
        <v>19.071335384113389</v>
      </c>
    </row>
    <row r="380" spans="1:55" x14ac:dyDescent="0.25">
      <c r="A380" s="14">
        <v>2015</v>
      </c>
      <c r="B380" s="14" t="s">
        <v>123</v>
      </c>
      <c r="C380" s="14" t="s">
        <v>130</v>
      </c>
      <c r="D380" s="14">
        <v>11</v>
      </c>
      <c r="E380" s="14">
        <v>3</v>
      </c>
      <c r="F380" s="14">
        <v>43</v>
      </c>
      <c r="G380" s="14">
        <v>4</v>
      </c>
      <c r="H380" s="14" t="s">
        <v>6</v>
      </c>
      <c r="I380" s="15">
        <v>42251</v>
      </c>
      <c r="J380" s="14" t="s">
        <v>127</v>
      </c>
      <c r="K380" s="14">
        <v>473</v>
      </c>
      <c r="L380" s="14">
        <v>288</v>
      </c>
      <c r="M380" s="14">
        <v>185</v>
      </c>
      <c r="N380" s="14"/>
      <c r="O380" s="14">
        <v>0</v>
      </c>
      <c r="P380" s="10"/>
      <c r="Q380" s="10"/>
      <c r="R380" s="26"/>
      <c r="T380" s="16"/>
      <c r="AA380" t="s">
        <v>131</v>
      </c>
      <c r="AB380">
        <v>2015</v>
      </c>
      <c r="AC380" t="s">
        <v>13</v>
      </c>
      <c r="AD380" s="3">
        <v>42214</v>
      </c>
      <c r="AE380" s="16">
        <v>69.75</v>
      </c>
      <c r="AJ380">
        <v>4.1390749999999992</v>
      </c>
      <c r="AK380">
        <v>1.5411499999999998</v>
      </c>
      <c r="AN380" t="str">
        <f t="shared" ref="AN380:AN439" si="28">IF(AA380&lt;&gt;"",AA380,AN379)</f>
        <v>Temora</v>
      </c>
      <c r="AO380">
        <f t="shared" ref="AO380:AO439" si="29">IF(AB380&lt;&gt;"",AB380,AO379)</f>
        <v>2015</v>
      </c>
      <c r="AP380" t="str">
        <f t="shared" ref="AP380:AP439" si="30">IF(AC380&lt;&gt;"",AC380,AP379)</f>
        <v>29B</v>
      </c>
      <c r="AQ380" t="str">
        <f t="shared" ref="AQ380:AQ439" si="31">AN380&amp;AO380&amp;"Cv"&amp;AP380</f>
        <v>Temora2015Cv29B</v>
      </c>
      <c r="AS380" t="s">
        <v>131</v>
      </c>
      <c r="AT380">
        <v>2015</v>
      </c>
      <c r="AU380" t="s">
        <v>13</v>
      </c>
      <c r="AV380" s="3">
        <v>42214</v>
      </c>
      <c r="AW380" s="16">
        <v>8.8081401744825403</v>
      </c>
      <c r="BB380">
        <v>0.60159389056627932</v>
      </c>
      <c r="BC380">
        <v>0.56188227414646152</v>
      </c>
    </row>
    <row r="381" spans="1:55" x14ac:dyDescent="0.25">
      <c r="A381" s="14">
        <v>2015</v>
      </c>
      <c r="B381" s="14" t="s">
        <v>123</v>
      </c>
      <c r="C381" s="14" t="s">
        <v>130</v>
      </c>
      <c r="D381" s="14">
        <v>11</v>
      </c>
      <c r="E381" s="14">
        <v>4</v>
      </c>
      <c r="F381" s="14">
        <v>44</v>
      </c>
      <c r="G381" s="14">
        <v>4</v>
      </c>
      <c r="H381" s="14" t="s">
        <v>14</v>
      </c>
      <c r="I381" s="15">
        <v>42251</v>
      </c>
      <c r="J381" s="14" t="s">
        <v>127</v>
      </c>
      <c r="K381" s="14">
        <v>471</v>
      </c>
      <c r="L381" s="14">
        <v>339</v>
      </c>
      <c r="M381" s="14">
        <v>119</v>
      </c>
      <c r="N381" s="14"/>
      <c r="O381" s="14">
        <v>13.6</v>
      </c>
      <c r="P381" s="10"/>
      <c r="Q381" s="10"/>
      <c r="R381" s="26"/>
      <c r="T381" s="16"/>
      <c r="AD381" s="3">
        <v>42247</v>
      </c>
      <c r="AE381" s="16">
        <v>259.5</v>
      </c>
      <c r="AF381">
        <v>120.75</v>
      </c>
      <c r="AG381">
        <v>138.75</v>
      </c>
      <c r="AJ381">
        <v>13.833949999999998</v>
      </c>
      <c r="AK381">
        <v>7.0144750000000009</v>
      </c>
      <c r="AN381" t="str">
        <f t="shared" si="28"/>
        <v>Temora</v>
      </c>
      <c r="AO381">
        <f t="shared" si="29"/>
        <v>2015</v>
      </c>
      <c r="AP381" t="str">
        <f t="shared" si="30"/>
        <v>29B</v>
      </c>
      <c r="AQ381" t="str">
        <f t="shared" si="31"/>
        <v>Temora2015Cv29B</v>
      </c>
      <c r="AV381" s="3">
        <v>42247</v>
      </c>
      <c r="AW381" s="16">
        <v>36.050889956652483</v>
      </c>
      <c r="AX381">
        <v>20.613506898794942</v>
      </c>
      <c r="AY381">
        <v>19.939491802283559</v>
      </c>
      <c r="BB381">
        <v>2.8812907437466402</v>
      </c>
      <c r="BC381">
        <v>5.8009388638822923</v>
      </c>
    </row>
    <row r="382" spans="1:55" x14ac:dyDescent="0.25">
      <c r="A382" s="14">
        <v>2015</v>
      </c>
      <c r="B382" s="14" t="s">
        <v>123</v>
      </c>
      <c r="C382" s="14" t="s">
        <v>130</v>
      </c>
      <c r="D382" s="14">
        <v>12</v>
      </c>
      <c r="E382" s="14">
        <v>4</v>
      </c>
      <c r="F382" s="14">
        <v>45</v>
      </c>
      <c r="G382" s="14">
        <v>4</v>
      </c>
      <c r="H382" s="14" t="s">
        <v>5</v>
      </c>
      <c r="I382" s="15">
        <v>42251</v>
      </c>
      <c r="J382" s="14" t="s">
        <v>127</v>
      </c>
      <c r="K382" s="14">
        <v>384</v>
      </c>
      <c r="L382" s="14">
        <v>233</v>
      </c>
      <c r="M382" s="14">
        <v>138</v>
      </c>
      <c r="N382" s="14"/>
      <c r="O382" s="14">
        <v>13.3</v>
      </c>
      <c r="P382" s="10"/>
      <c r="Q382" s="10"/>
      <c r="R382" s="26"/>
      <c r="T382" s="16"/>
      <c r="AD382" s="3">
        <v>42264</v>
      </c>
      <c r="AE382" s="16">
        <v>606</v>
      </c>
      <c r="AF382">
        <v>387.5</v>
      </c>
      <c r="AG382">
        <v>218.5</v>
      </c>
      <c r="AJ382">
        <v>20.314725000000003</v>
      </c>
      <c r="AK382">
        <v>56.586975000000002</v>
      </c>
      <c r="AN382" t="str">
        <f t="shared" si="28"/>
        <v>Temora</v>
      </c>
      <c r="AO382">
        <f t="shared" si="29"/>
        <v>2015</v>
      </c>
      <c r="AP382" t="str">
        <f t="shared" si="30"/>
        <v>29B</v>
      </c>
      <c r="AQ382" t="str">
        <f t="shared" si="31"/>
        <v>Temora2015Cv29B</v>
      </c>
      <c r="AV382" s="3">
        <v>42264</v>
      </c>
      <c r="AW382" s="16">
        <v>25.205819433879419</v>
      </c>
      <c r="AX382">
        <v>25.579940057266228</v>
      </c>
      <c r="AY382">
        <v>17.935068069752806</v>
      </c>
      <c r="BB382">
        <v>1.5339540831349885</v>
      </c>
      <c r="BC382">
        <v>7.5719576739329923</v>
      </c>
    </row>
    <row r="383" spans="1:55" x14ac:dyDescent="0.25">
      <c r="A383" s="14">
        <v>2015</v>
      </c>
      <c r="B383" s="14" t="s">
        <v>123</v>
      </c>
      <c r="C383" s="14" t="s">
        <v>130</v>
      </c>
      <c r="D383" s="14">
        <v>12</v>
      </c>
      <c r="E383" s="14">
        <v>3</v>
      </c>
      <c r="F383" s="14">
        <v>46</v>
      </c>
      <c r="G383" s="14">
        <v>4</v>
      </c>
      <c r="H383" s="14" t="s">
        <v>8</v>
      </c>
      <c r="I383" s="15">
        <v>42251</v>
      </c>
      <c r="J383" s="14" t="s">
        <v>127</v>
      </c>
      <c r="K383" s="14">
        <v>538</v>
      </c>
      <c r="L383" s="14">
        <v>359</v>
      </c>
      <c r="M383" s="14">
        <v>167</v>
      </c>
      <c r="N383" s="14"/>
      <c r="O383" s="14">
        <v>11.5</v>
      </c>
      <c r="P383" s="10"/>
      <c r="Q383" s="10"/>
      <c r="R383" s="26"/>
      <c r="T383" s="16"/>
      <c r="AD383" s="3">
        <v>42293</v>
      </c>
      <c r="AE383" s="16">
        <v>1074</v>
      </c>
      <c r="AF383">
        <v>594.5</v>
      </c>
      <c r="AG383">
        <v>98.75</v>
      </c>
      <c r="AH383">
        <v>323.5</v>
      </c>
      <c r="AI383">
        <v>57.25</v>
      </c>
      <c r="AJ383">
        <v>18.2117</v>
      </c>
      <c r="AK383">
        <v>143.58634999999998</v>
      </c>
      <c r="AN383" t="str">
        <f t="shared" si="28"/>
        <v>Temora</v>
      </c>
      <c r="AO383">
        <f t="shared" si="29"/>
        <v>2015</v>
      </c>
      <c r="AP383" t="str">
        <f t="shared" si="30"/>
        <v>29B</v>
      </c>
      <c r="AQ383" t="str">
        <f t="shared" si="31"/>
        <v>Temora2015Cv29B</v>
      </c>
      <c r="AV383" s="3">
        <v>42293</v>
      </c>
      <c r="AW383" s="16">
        <v>104.59764178348701</v>
      </c>
      <c r="AX383">
        <v>56.771471708949029</v>
      </c>
      <c r="AY383">
        <v>17.114808402861737</v>
      </c>
      <c r="AZ383">
        <v>48.28043081829324</v>
      </c>
      <c r="BA383">
        <v>6.7019897542943667</v>
      </c>
      <c r="BB383">
        <v>1.2888608070695096</v>
      </c>
      <c r="BC383">
        <v>17.181619743881466</v>
      </c>
    </row>
    <row r="384" spans="1:55" x14ac:dyDescent="0.25">
      <c r="A384" s="14">
        <v>2015</v>
      </c>
      <c r="B384" s="14" t="s">
        <v>123</v>
      </c>
      <c r="C384" s="14" t="s">
        <v>130</v>
      </c>
      <c r="D384" s="14">
        <v>12</v>
      </c>
      <c r="E384" s="14">
        <v>2</v>
      </c>
      <c r="F384" s="14">
        <v>47</v>
      </c>
      <c r="G384" s="14">
        <v>4</v>
      </c>
      <c r="H384" s="14" t="s">
        <v>10</v>
      </c>
      <c r="I384" s="15">
        <v>42251</v>
      </c>
      <c r="J384" s="14" t="s">
        <v>127</v>
      </c>
      <c r="K384" s="14">
        <v>228</v>
      </c>
      <c r="L384" s="14">
        <v>147</v>
      </c>
      <c r="M384" s="14">
        <v>75</v>
      </c>
      <c r="N384" s="14"/>
      <c r="O384" s="14">
        <v>6.2</v>
      </c>
      <c r="P384" s="10"/>
      <c r="Q384" s="10"/>
      <c r="R384" s="26"/>
      <c r="T384" s="16"/>
      <c r="AD384" s="3">
        <v>42361</v>
      </c>
      <c r="AE384" s="16">
        <v>1041</v>
      </c>
      <c r="AF384">
        <v>382.25</v>
      </c>
      <c r="AH384">
        <v>571.75</v>
      </c>
      <c r="AI384">
        <v>86.75</v>
      </c>
      <c r="AN384" t="str">
        <f t="shared" si="28"/>
        <v>Temora</v>
      </c>
      <c r="AO384">
        <f t="shared" si="29"/>
        <v>2015</v>
      </c>
      <c r="AP384" t="str">
        <f t="shared" si="30"/>
        <v>29B</v>
      </c>
      <c r="AQ384" t="str">
        <f t="shared" si="31"/>
        <v>Temora2015Cv29B</v>
      </c>
      <c r="AV384" s="3">
        <v>42361</v>
      </c>
      <c r="AW384" s="16">
        <v>28.577380332470412</v>
      </c>
      <c r="AX384">
        <v>17.173137938847013</v>
      </c>
      <c r="AZ384">
        <v>26.849891371599004</v>
      </c>
      <c r="BA384">
        <v>6.946221994724902</v>
      </c>
    </row>
    <row r="385" spans="1:55" x14ac:dyDescent="0.25">
      <c r="A385" s="14">
        <v>2015</v>
      </c>
      <c r="B385" s="14" t="s">
        <v>123</v>
      </c>
      <c r="C385" s="14" t="s">
        <v>130</v>
      </c>
      <c r="D385" s="14">
        <v>12</v>
      </c>
      <c r="E385" s="14">
        <v>1</v>
      </c>
      <c r="F385" s="14">
        <v>48</v>
      </c>
      <c r="G385" s="14">
        <v>4</v>
      </c>
      <c r="H385" s="14" t="s">
        <v>7</v>
      </c>
      <c r="I385" s="15">
        <v>42251</v>
      </c>
      <c r="J385" s="14" t="s">
        <v>127</v>
      </c>
      <c r="K385" s="14">
        <v>410</v>
      </c>
      <c r="L385" s="14">
        <v>279</v>
      </c>
      <c r="M385" s="14">
        <v>129</v>
      </c>
      <c r="N385" s="14"/>
      <c r="O385" s="14">
        <v>1.9</v>
      </c>
      <c r="P385" s="10"/>
      <c r="Q385" s="10"/>
      <c r="R385" s="26"/>
      <c r="T385" s="16"/>
      <c r="AC385" t="s">
        <v>14</v>
      </c>
      <c r="AD385" s="3">
        <v>42214</v>
      </c>
      <c r="AE385" s="16">
        <v>52.5</v>
      </c>
      <c r="AJ385">
        <v>3.0143750000000002</v>
      </c>
      <c r="AK385">
        <v>2.0773000000000001</v>
      </c>
      <c r="AN385" t="str">
        <f t="shared" si="28"/>
        <v>Temora</v>
      </c>
      <c r="AO385">
        <f t="shared" si="29"/>
        <v>2015</v>
      </c>
      <c r="AP385" t="str">
        <f t="shared" si="30"/>
        <v>5A</v>
      </c>
      <c r="AQ385" t="str">
        <f t="shared" si="31"/>
        <v>Temora2015Cv5A</v>
      </c>
      <c r="AU385" t="s">
        <v>14</v>
      </c>
      <c r="AV385" s="3">
        <v>42214</v>
      </c>
      <c r="AW385" s="16">
        <v>7.047458170621991</v>
      </c>
      <c r="BB385">
        <v>0.33512591041775519</v>
      </c>
      <c r="BC385">
        <v>0.55789140520355684</v>
      </c>
    </row>
    <row r="386" spans="1:55" x14ac:dyDescent="0.25">
      <c r="A386" s="14">
        <v>2015</v>
      </c>
      <c r="B386" s="14" t="s">
        <v>123</v>
      </c>
      <c r="C386" s="14" t="s">
        <v>130</v>
      </c>
      <c r="D386" s="14">
        <v>1</v>
      </c>
      <c r="E386" s="14">
        <v>1</v>
      </c>
      <c r="F386" s="14">
        <v>1</v>
      </c>
      <c r="G386" s="14">
        <v>1</v>
      </c>
      <c r="H386" s="14" t="s">
        <v>5</v>
      </c>
      <c r="I386" s="15">
        <v>42276</v>
      </c>
      <c r="J386" s="14" t="s">
        <v>128</v>
      </c>
      <c r="K386" s="14">
        <v>762</v>
      </c>
      <c r="L386" s="14">
        <v>405</v>
      </c>
      <c r="M386" s="14">
        <v>107</v>
      </c>
      <c r="N386" s="14">
        <v>220</v>
      </c>
      <c r="O386" s="14">
        <v>30.6</v>
      </c>
      <c r="P386" s="10"/>
      <c r="Q386" s="10"/>
      <c r="R386" s="26"/>
      <c r="T386" s="16"/>
      <c r="AD386" s="3">
        <v>42247</v>
      </c>
      <c r="AE386" s="16">
        <v>228</v>
      </c>
      <c r="AF386">
        <v>98.75</v>
      </c>
      <c r="AG386">
        <v>129.25</v>
      </c>
      <c r="AJ386">
        <v>13.666925000000001</v>
      </c>
      <c r="AK386">
        <v>3.5041000000000002</v>
      </c>
      <c r="AN386" t="str">
        <f t="shared" si="28"/>
        <v>Temora</v>
      </c>
      <c r="AO386">
        <f t="shared" si="29"/>
        <v>2015</v>
      </c>
      <c r="AP386" t="str">
        <f t="shared" si="30"/>
        <v>5A</v>
      </c>
      <c r="AQ386" t="str">
        <f t="shared" si="31"/>
        <v>Temora2015Cv5A</v>
      </c>
      <c r="AV386" s="3">
        <v>42247</v>
      </c>
      <c r="AW386" s="16">
        <v>43.627208635590399</v>
      </c>
      <c r="AX386">
        <v>27.244265451650556</v>
      </c>
      <c r="AY386">
        <v>16.580611166861935</v>
      </c>
      <c r="BB386">
        <v>2.1245901555751021</v>
      </c>
      <c r="BC386">
        <v>3.3768174938344924</v>
      </c>
    </row>
    <row r="387" spans="1:55" x14ac:dyDescent="0.25">
      <c r="A387" s="14">
        <v>2015</v>
      </c>
      <c r="B387" s="14" t="s">
        <v>123</v>
      </c>
      <c r="C387" s="14" t="s">
        <v>130</v>
      </c>
      <c r="D387" s="14">
        <v>1</v>
      </c>
      <c r="E387" s="14">
        <v>2</v>
      </c>
      <c r="F387" s="14">
        <v>2</v>
      </c>
      <c r="G387" s="14">
        <v>1</v>
      </c>
      <c r="H387" s="14" t="s">
        <v>13</v>
      </c>
      <c r="I387" s="15">
        <v>42276</v>
      </c>
      <c r="J387" s="14" t="s">
        <v>128</v>
      </c>
      <c r="K387" s="14">
        <v>788</v>
      </c>
      <c r="L387" s="14">
        <v>433</v>
      </c>
      <c r="M387" s="14">
        <v>130</v>
      </c>
      <c r="N387" s="14">
        <v>190</v>
      </c>
      <c r="O387" s="14">
        <v>35.200000000000003</v>
      </c>
      <c r="P387" s="10"/>
      <c r="Q387" s="10"/>
      <c r="R387" s="26"/>
      <c r="T387" s="16"/>
      <c r="AD387" s="3">
        <v>42264</v>
      </c>
      <c r="AE387" s="16">
        <v>566</v>
      </c>
      <c r="AF387">
        <v>344.5</v>
      </c>
      <c r="AG387">
        <v>221.5</v>
      </c>
      <c r="AJ387">
        <v>20.256225000000001</v>
      </c>
      <c r="AK387">
        <v>49.597400000000007</v>
      </c>
      <c r="AN387" t="str">
        <f t="shared" si="28"/>
        <v>Temora</v>
      </c>
      <c r="AO387">
        <f t="shared" si="29"/>
        <v>2015</v>
      </c>
      <c r="AP387" t="str">
        <f t="shared" si="30"/>
        <v>5A</v>
      </c>
      <c r="AQ387" t="str">
        <f t="shared" si="31"/>
        <v>Temora2015Cv5A</v>
      </c>
      <c r="AV387" s="3">
        <v>42264</v>
      </c>
      <c r="AW387" s="16">
        <v>118.82480100270875</v>
      </c>
      <c r="AX387">
        <v>85.027446549138872</v>
      </c>
      <c r="AY387">
        <v>34.122328955294556</v>
      </c>
      <c r="BB387">
        <v>1.8231759073568949</v>
      </c>
      <c r="BC387">
        <v>22.06731300679807</v>
      </c>
    </row>
    <row r="388" spans="1:55" x14ac:dyDescent="0.25">
      <c r="A388" s="14">
        <v>2015</v>
      </c>
      <c r="B388" s="14" t="s">
        <v>123</v>
      </c>
      <c r="C388" s="14" t="s">
        <v>130</v>
      </c>
      <c r="D388" s="14">
        <v>1</v>
      </c>
      <c r="E388" s="14">
        <v>3</v>
      </c>
      <c r="F388" s="14">
        <v>3</v>
      </c>
      <c r="G388" s="14">
        <v>1</v>
      </c>
      <c r="H388" s="14" t="s">
        <v>4</v>
      </c>
      <c r="I388" s="15">
        <v>42276</v>
      </c>
      <c r="J388" s="14" t="s">
        <v>128</v>
      </c>
      <c r="K388" s="14">
        <v>823</v>
      </c>
      <c r="L388" s="14">
        <v>475</v>
      </c>
      <c r="M388" s="14">
        <v>144</v>
      </c>
      <c r="N388" s="14">
        <v>181</v>
      </c>
      <c r="O388" s="14">
        <v>22.7</v>
      </c>
      <c r="P388" s="10"/>
      <c r="Q388" s="10"/>
      <c r="R388" s="26"/>
      <c r="T388" s="16"/>
      <c r="AD388" s="3">
        <v>42293</v>
      </c>
      <c r="AE388" s="16">
        <v>1147</v>
      </c>
      <c r="AF388">
        <v>634.25</v>
      </c>
      <c r="AG388">
        <v>140</v>
      </c>
      <c r="AH388">
        <v>310.75</v>
      </c>
      <c r="AI388">
        <v>61.75</v>
      </c>
      <c r="AJ388">
        <v>23.743600000000001</v>
      </c>
      <c r="AK388">
        <v>139.56377499999999</v>
      </c>
      <c r="AN388" t="str">
        <f t="shared" si="28"/>
        <v>Temora</v>
      </c>
      <c r="AO388">
        <f t="shared" si="29"/>
        <v>2015</v>
      </c>
      <c r="AP388" t="str">
        <f t="shared" si="30"/>
        <v>5A</v>
      </c>
      <c r="AQ388" t="str">
        <f t="shared" si="31"/>
        <v>Temora2015Cv5A</v>
      </c>
      <c r="AV388" s="3">
        <v>42293</v>
      </c>
      <c r="AW388" s="16">
        <v>104.06728592598157</v>
      </c>
      <c r="AX388">
        <v>61.548761157313315</v>
      </c>
      <c r="AY388">
        <v>12.909944487358056</v>
      </c>
      <c r="AZ388">
        <v>26.449637678677821</v>
      </c>
      <c r="BA388">
        <v>8.9953691790090904</v>
      </c>
      <c r="BB388">
        <v>6.7333243661656441</v>
      </c>
      <c r="BC388">
        <v>23.869322099349695</v>
      </c>
    </row>
    <row r="389" spans="1:55" x14ac:dyDescent="0.25">
      <c r="A389" s="14">
        <v>2015</v>
      </c>
      <c r="B389" s="14" t="s">
        <v>123</v>
      </c>
      <c r="C389" s="14" t="s">
        <v>130</v>
      </c>
      <c r="D389" s="14">
        <v>1</v>
      </c>
      <c r="E389" s="14">
        <v>4</v>
      </c>
      <c r="F389" s="14">
        <v>4</v>
      </c>
      <c r="G389" s="14">
        <v>1</v>
      </c>
      <c r="H389" s="14" t="s">
        <v>6</v>
      </c>
      <c r="I389" s="15">
        <v>42276</v>
      </c>
      <c r="J389" s="14" t="s">
        <v>128</v>
      </c>
      <c r="K389" s="14">
        <v>811</v>
      </c>
      <c r="L389" s="14">
        <v>424</v>
      </c>
      <c r="M389" s="14">
        <v>132</v>
      </c>
      <c r="N389" s="14">
        <v>229</v>
      </c>
      <c r="O389" s="14">
        <v>25.4</v>
      </c>
      <c r="P389" s="10"/>
      <c r="Q389" s="10"/>
      <c r="R389" s="26"/>
      <c r="T389" s="16"/>
      <c r="AD389" s="3">
        <v>42361</v>
      </c>
      <c r="AE389" s="16">
        <v>1076.5</v>
      </c>
      <c r="AF389">
        <v>427.25</v>
      </c>
      <c r="AH389">
        <v>558.5</v>
      </c>
      <c r="AI389">
        <v>90.75</v>
      </c>
      <c r="AN389" t="str">
        <f t="shared" si="28"/>
        <v>Temora</v>
      </c>
      <c r="AO389">
        <f t="shared" si="29"/>
        <v>2015</v>
      </c>
      <c r="AP389" t="str">
        <f t="shared" si="30"/>
        <v>5A</v>
      </c>
      <c r="AQ389" t="str">
        <f t="shared" si="31"/>
        <v>Temora2015Cv5A</v>
      </c>
      <c r="AV389" s="3">
        <v>42361</v>
      </c>
      <c r="AW389" s="16">
        <v>183.20207422406548</v>
      </c>
      <c r="AX389">
        <v>78.15955902297982</v>
      </c>
      <c r="AZ389">
        <v>94.58858282054976</v>
      </c>
      <c r="BA389">
        <v>18.997806890972093</v>
      </c>
    </row>
    <row r="390" spans="1:55" x14ac:dyDescent="0.25">
      <c r="A390" s="14">
        <v>2015</v>
      </c>
      <c r="B390" s="14" t="s">
        <v>123</v>
      </c>
      <c r="C390" s="14" t="s">
        <v>130</v>
      </c>
      <c r="D390" s="14">
        <v>2</v>
      </c>
      <c r="E390" s="14">
        <v>4</v>
      </c>
      <c r="F390" s="14">
        <v>5</v>
      </c>
      <c r="G390" s="14">
        <v>1</v>
      </c>
      <c r="H390" s="14" t="s">
        <v>7</v>
      </c>
      <c r="I390" s="15">
        <v>42276</v>
      </c>
      <c r="J390" s="14" t="s">
        <v>128</v>
      </c>
      <c r="K390" s="14">
        <v>654</v>
      </c>
      <c r="L390" s="14">
        <v>354</v>
      </c>
      <c r="M390" s="14">
        <v>96</v>
      </c>
      <c r="N390" s="14">
        <v>169</v>
      </c>
      <c r="O390" s="14">
        <v>34.799999999999997</v>
      </c>
      <c r="P390" s="10"/>
      <c r="Q390" s="10"/>
      <c r="R390" s="26"/>
      <c r="T390" s="16"/>
      <c r="AC390" t="s">
        <v>12</v>
      </c>
      <c r="AD390" s="3">
        <v>42214</v>
      </c>
      <c r="AE390" s="16">
        <v>53</v>
      </c>
      <c r="AJ390">
        <v>3.141375</v>
      </c>
      <c r="AK390">
        <v>1.8169749999999998</v>
      </c>
      <c r="AN390" t="str">
        <f t="shared" si="28"/>
        <v>Temora</v>
      </c>
      <c r="AO390">
        <f t="shared" si="29"/>
        <v>2015</v>
      </c>
      <c r="AP390" t="str">
        <f t="shared" si="30"/>
        <v>60A</v>
      </c>
      <c r="AQ390" t="str">
        <f t="shared" si="31"/>
        <v>Temora2015Cv60A</v>
      </c>
      <c r="AU390" t="s">
        <v>12</v>
      </c>
      <c r="AV390" s="3">
        <v>42214</v>
      </c>
      <c r="AW390" s="16">
        <v>8.981462390204987</v>
      </c>
      <c r="BB390">
        <v>0.4956459648781556</v>
      </c>
      <c r="BC390">
        <v>3.8540573858377877E-2</v>
      </c>
    </row>
    <row r="391" spans="1:55" x14ac:dyDescent="0.25">
      <c r="A391" s="14">
        <v>2015</v>
      </c>
      <c r="B391" s="14" t="s">
        <v>123</v>
      </c>
      <c r="C391" s="14" t="s">
        <v>130</v>
      </c>
      <c r="D391" s="14">
        <v>2</v>
      </c>
      <c r="E391" s="14">
        <v>3</v>
      </c>
      <c r="F391" s="14">
        <v>6</v>
      </c>
      <c r="G391" s="14">
        <v>1</v>
      </c>
      <c r="H391" s="14" t="s">
        <v>9</v>
      </c>
      <c r="I391" s="15">
        <v>42276</v>
      </c>
      <c r="J391" s="14" t="s">
        <v>128</v>
      </c>
      <c r="K391" s="14">
        <v>853</v>
      </c>
      <c r="L391" s="14">
        <v>451</v>
      </c>
      <c r="M391" s="14">
        <v>114</v>
      </c>
      <c r="N391" s="14">
        <v>233</v>
      </c>
      <c r="O391" s="14">
        <v>54.6</v>
      </c>
      <c r="P391" s="10"/>
      <c r="Q391" s="10"/>
      <c r="R391" s="26"/>
      <c r="T391" s="16"/>
      <c r="AD391" s="3">
        <v>42247</v>
      </c>
      <c r="AE391" s="16">
        <v>219.5</v>
      </c>
      <c r="AF391">
        <v>101</v>
      </c>
      <c r="AG391">
        <v>118.75</v>
      </c>
      <c r="AJ391">
        <v>12.745750000000001</v>
      </c>
      <c r="AK391">
        <v>6.1700666666666661</v>
      </c>
      <c r="AN391" t="str">
        <f t="shared" si="28"/>
        <v>Temora</v>
      </c>
      <c r="AO391">
        <f t="shared" si="29"/>
        <v>2015</v>
      </c>
      <c r="AP391" t="str">
        <f t="shared" si="30"/>
        <v>60A</v>
      </c>
      <c r="AQ391" t="str">
        <f t="shared" si="31"/>
        <v>Temora2015Cv60A</v>
      </c>
      <c r="AV391" s="3">
        <v>42247</v>
      </c>
      <c r="AW391" s="16">
        <v>38.249182997810557</v>
      </c>
      <c r="AX391">
        <v>27.94041278626117</v>
      </c>
      <c r="AY391">
        <v>10.436314802968846</v>
      </c>
      <c r="BB391">
        <v>2.4002494738394593</v>
      </c>
      <c r="BC391">
        <v>3.8072772125671834</v>
      </c>
    </row>
    <row r="392" spans="1:55" x14ac:dyDescent="0.25">
      <c r="A392" s="14">
        <v>2015</v>
      </c>
      <c r="B392" s="14" t="s">
        <v>123</v>
      </c>
      <c r="C392" s="14" t="s">
        <v>130</v>
      </c>
      <c r="D392" s="14">
        <v>2</v>
      </c>
      <c r="E392" s="14">
        <v>2</v>
      </c>
      <c r="F392" s="14">
        <v>7</v>
      </c>
      <c r="G392" s="14">
        <v>1</v>
      </c>
      <c r="H392" s="14" t="s">
        <v>14</v>
      </c>
      <c r="I392" s="15">
        <v>42276</v>
      </c>
      <c r="J392" s="14" t="s">
        <v>128</v>
      </c>
      <c r="K392" s="14">
        <v>793</v>
      </c>
      <c r="L392" s="14">
        <v>452</v>
      </c>
      <c r="M392" s="14">
        <v>104</v>
      </c>
      <c r="N392" s="14">
        <v>207</v>
      </c>
      <c r="O392" s="14">
        <v>30.3</v>
      </c>
      <c r="P392" s="10"/>
      <c r="Q392" s="10"/>
      <c r="R392" s="26"/>
      <c r="T392" s="16"/>
      <c r="AD392" s="3">
        <v>42264</v>
      </c>
      <c r="AE392" s="16">
        <v>566.75</v>
      </c>
      <c r="AF392">
        <v>330</v>
      </c>
      <c r="AG392">
        <v>236.75</v>
      </c>
      <c r="AJ392">
        <v>21.794049999999999</v>
      </c>
      <c r="AK392">
        <v>44.881725000000003</v>
      </c>
      <c r="AN392" t="str">
        <f t="shared" si="28"/>
        <v>Temora</v>
      </c>
      <c r="AO392">
        <f t="shared" si="29"/>
        <v>2015</v>
      </c>
      <c r="AP392" t="str">
        <f t="shared" si="30"/>
        <v>60A</v>
      </c>
      <c r="AQ392" t="str">
        <f t="shared" si="31"/>
        <v>Temora2015Cv60A</v>
      </c>
      <c r="AV392" s="3">
        <v>42264</v>
      </c>
      <c r="AW392" s="16">
        <v>17.914147109663542</v>
      </c>
      <c r="AX392">
        <v>6.6332495807107996</v>
      </c>
      <c r="AY392">
        <v>14.314910641239317</v>
      </c>
      <c r="BB392">
        <v>0.84661302257878901</v>
      </c>
      <c r="BC392">
        <v>5.0719812837292171</v>
      </c>
    </row>
    <row r="393" spans="1:55" x14ac:dyDescent="0.25">
      <c r="A393" s="14">
        <v>2015</v>
      </c>
      <c r="B393" s="14" t="s">
        <v>123</v>
      </c>
      <c r="C393" s="14" t="s">
        <v>130</v>
      </c>
      <c r="D393" s="14">
        <v>2</v>
      </c>
      <c r="E393" s="14">
        <v>1</v>
      </c>
      <c r="F393" s="14">
        <v>8</v>
      </c>
      <c r="G393" s="14">
        <v>1</v>
      </c>
      <c r="H393" s="14" t="s">
        <v>3</v>
      </c>
      <c r="I393" s="15">
        <v>42276</v>
      </c>
      <c r="J393" s="14" t="s">
        <v>128</v>
      </c>
      <c r="K393" s="14">
        <v>788</v>
      </c>
      <c r="L393" s="14">
        <v>413</v>
      </c>
      <c r="M393" s="14">
        <v>114</v>
      </c>
      <c r="N393" s="14">
        <v>238</v>
      </c>
      <c r="O393" s="14">
        <v>23.1</v>
      </c>
      <c r="P393" s="10"/>
      <c r="Q393" s="10"/>
      <c r="R393" s="26"/>
      <c r="T393" s="16"/>
      <c r="AD393" s="3">
        <v>42296</v>
      </c>
      <c r="AE393" s="16">
        <v>1069.5</v>
      </c>
      <c r="AF393">
        <v>584</v>
      </c>
      <c r="AG393">
        <v>78.5</v>
      </c>
      <c r="AH393">
        <v>301.25</v>
      </c>
      <c r="AI393">
        <v>106</v>
      </c>
      <c r="AJ393">
        <v>18.657474999999998</v>
      </c>
      <c r="AK393">
        <v>137.99270000000001</v>
      </c>
      <c r="AN393" t="str">
        <f t="shared" si="28"/>
        <v>Temora</v>
      </c>
      <c r="AO393">
        <f t="shared" si="29"/>
        <v>2015</v>
      </c>
      <c r="AP393" t="str">
        <f t="shared" si="30"/>
        <v>60A</v>
      </c>
      <c r="AQ393" t="str">
        <f t="shared" si="31"/>
        <v>Temora2015Cv60A</v>
      </c>
      <c r="AV393" s="3">
        <v>42296</v>
      </c>
      <c r="AW393" s="16">
        <v>197.27561092711554</v>
      </c>
      <c r="AX393">
        <v>107.26913193769522</v>
      </c>
      <c r="AY393">
        <v>38.759944960401235</v>
      </c>
      <c r="AZ393">
        <v>63.662521680080083</v>
      </c>
      <c r="BA393">
        <v>24.589970855343985</v>
      </c>
      <c r="BB393">
        <v>4.0714513606943745</v>
      </c>
      <c r="BC393">
        <v>20.09771910789885</v>
      </c>
    </row>
    <row r="394" spans="1:55" x14ac:dyDescent="0.25">
      <c r="A394" s="14">
        <v>2015</v>
      </c>
      <c r="B394" s="14" t="s">
        <v>123</v>
      </c>
      <c r="C394" s="14" t="s">
        <v>130</v>
      </c>
      <c r="D394" s="14">
        <v>3</v>
      </c>
      <c r="E394" s="14">
        <v>1</v>
      </c>
      <c r="F394" s="14">
        <v>9</v>
      </c>
      <c r="G394" s="14">
        <v>1</v>
      </c>
      <c r="H394" s="14" t="s">
        <v>8</v>
      </c>
      <c r="I394" s="15">
        <v>42276</v>
      </c>
      <c r="J394" s="14" t="s">
        <v>128</v>
      </c>
      <c r="K394" s="14">
        <v>719</v>
      </c>
      <c r="L394" s="14">
        <v>385</v>
      </c>
      <c r="M394" s="14">
        <v>112</v>
      </c>
      <c r="N394" s="14">
        <v>203</v>
      </c>
      <c r="O394" s="14">
        <v>18.8</v>
      </c>
      <c r="P394" s="10"/>
      <c r="Q394" s="10"/>
      <c r="R394" s="26"/>
      <c r="T394" s="16"/>
      <c r="AD394" s="3">
        <v>42361</v>
      </c>
      <c r="AE394" s="16">
        <v>1054</v>
      </c>
      <c r="AF394">
        <v>399.5</v>
      </c>
      <c r="AH394">
        <v>553.25</v>
      </c>
      <c r="AI394">
        <v>101.5</v>
      </c>
      <c r="AN394" t="str">
        <f t="shared" si="28"/>
        <v>Temora</v>
      </c>
      <c r="AO394">
        <f t="shared" si="29"/>
        <v>2015</v>
      </c>
      <c r="AP394" t="str">
        <f t="shared" si="30"/>
        <v>60A</v>
      </c>
      <c r="AQ394" t="str">
        <f t="shared" si="31"/>
        <v>Temora2015Cv60A</v>
      </c>
      <c r="AV394" s="3">
        <v>42361</v>
      </c>
      <c r="AW394" s="16">
        <v>106.39862154495549</v>
      </c>
      <c r="AX394">
        <v>44.10215414239989</v>
      </c>
      <c r="AZ394">
        <v>58.5</v>
      </c>
      <c r="BA394">
        <v>20.404247923737188</v>
      </c>
    </row>
    <row r="395" spans="1:55" x14ac:dyDescent="0.25">
      <c r="A395" s="14">
        <v>2015</v>
      </c>
      <c r="B395" s="14" t="s">
        <v>123</v>
      </c>
      <c r="C395" s="14" t="s">
        <v>130</v>
      </c>
      <c r="D395" s="14">
        <v>3</v>
      </c>
      <c r="E395" s="14">
        <v>2</v>
      </c>
      <c r="F395" s="14">
        <v>10</v>
      </c>
      <c r="G395" s="14">
        <v>1</v>
      </c>
      <c r="H395" s="14" t="s">
        <v>2</v>
      </c>
      <c r="I395" s="15">
        <v>42276</v>
      </c>
      <c r="J395" s="14" t="s">
        <v>128</v>
      </c>
      <c r="K395" s="14">
        <v>775</v>
      </c>
      <c r="L395" s="14">
        <v>412</v>
      </c>
      <c r="M395" s="14">
        <v>100</v>
      </c>
      <c r="N395" s="14">
        <v>230</v>
      </c>
      <c r="O395" s="14">
        <v>33.4</v>
      </c>
      <c r="P395" s="10"/>
      <c r="Q395" s="10"/>
      <c r="R395" s="26"/>
      <c r="T395" s="16"/>
      <c r="AC395" t="s">
        <v>10</v>
      </c>
      <c r="AD395" s="3">
        <v>42214</v>
      </c>
      <c r="AE395" s="16">
        <v>63.5</v>
      </c>
      <c r="AJ395">
        <v>3.690725</v>
      </c>
      <c r="AK395">
        <v>1.9580250000000001</v>
      </c>
      <c r="AN395" t="str">
        <f t="shared" si="28"/>
        <v>Temora</v>
      </c>
      <c r="AO395">
        <f t="shared" si="29"/>
        <v>2015</v>
      </c>
      <c r="AP395" t="str">
        <f t="shared" si="30"/>
        <v>Corack</v>
      </c>
      <c r="AQ395" t="str">
        <f t="shared" si="31"/>
        <v>Temora2015CvCorack</v>
      </c>
      <c r="AU395" t="s">
        <v>10</v>
      </c>
      <c r="AV395" s="3">
        <v>42214</v>
      </c>
      <c r="AW395" s="16">
        <v>11.733143937865361</v>
      </c>
      <c r="BB395">
        <v>0.72274630576710819</v>
      </c>
      <c r="BC395">
        <v>0.62301180499783915</v>
      </c>
    </row>
    <row r="396" spans="1:55" x14ac:dyDescent="0.25">
      <c r="A396" s="14">
        <v>2015</v>
      </c>
      <c r="B396" s="14" t="s">
        <v>123</v>
      </c>
      <c r="C396" s="14" t="s">
        <v>130</v>
      </c>
      <c r="D396" s="14">
        <v>3</v>
      </c>
      <c r="E396" s="14">
        <v>3</v>
      </c>
      <c r="F396" s="14">
        <v>11</v>
      </c>
      <c r="G396" s="14">
        <v>1</v>
      </c>
      <c r="H396" s="14" t="s">
        <v>12</v>
      </c>
      <c r="I396" s="15">
        <v>42276</v>
      </c>
      <c r="J396" s="14" t="s">
        <v>128</v>
      </c>
      <c r="K396" s="14">
        <v>763</v>
      </c>
      <c r="L396" s="14">
        <v>435</v>
      </c>
      <c r="M396" s="14">
        <v>131</v>
      </c>
      <c r="N396" s="14">
        <v>173</v>
      </c>
      <c r="O396" s="14">
        <v>24.1</v>
      </c>
      <c r="P396" s="10"/>
      <c r="Q396" s="10"/>
      <c r="R396" s="26"/>
      <c r="T396" s="16"/>
      <c r="AD396" s="3">
        <v>42247</v>
      </c>
      <c r="AE396" s="16">
        <v>313.25</v>
      </c>
      <c r="AF396">
        <v>157</v>
      </c>
      <c r="AG396">
        <v>156.25</v>
      </c>
      <c r="AJ396">
        <v>15.353399999999999</v>
      </c>
      <c r="AK396">
        <v>14.27725</v>
      </c>
      <c r="AN396" t="str">
        <f t="shared" si="28"/>
        <v>Temora</v>
      </c>
      <c r="AO396">
        <f t="shared" si="29"/>
        <v>2015</v>
      </c>
      <c r="AP396" t="str">
        <f t="shared" si="30"/>
        <v>Corack</v>
      </c>
      <c r="AQ396" t="str">
        <f t="shared" si="31"/>
        <v>Temora2015CvCorack</v>
      </c>
      <c r="AV396" s="3">
        <v>42247</v>
      </c>
      <c r="AW396" s="16">
        <v>19.720970226301411</v>
      </c>
      <c r="AX396">
        <v>18.672618098881223</v>
      </c>
      <c r="AY396">
        <v>3.2015621187164243</v>
      </c>
      <c r="BB396">
        <v>0.4946603952882222</v>
      </c>
      <c r="BC396">
        <v>3.1349880441026676</v>
      </c>
    </row>
    <row r="397" spans="1:55" x14ac:dyDescent="0.25">
      <c r="A397" s="14">
        <v>2015</v>
      </c>
      <c r="B397" s="14" t="s">
        <v>123</v>
      </c>
      <c r="C397" s="14" t="s">
        <v>130</v>
      </c>
      <c r="D397" s="14">
        <v>3</v>
      </c>
      <c r="E397" s="14">
        <v>4</v>
      </c>
      <c r="F397" s="14">
        <v>12</v>
      </c>
      <c r="G397" s="14">
        <v>1</v>
      </c>
      <c r="H397" s="14" t="s">
        <v>10</v>
      </c>
      <c r="I397" s="15">
        <v>42276</v>
      </c>
      <c r="J397" s="14" t="s">
        <v>128</v>
      </c>
      <c r="K397" s="14">
        <v>975</v>
      </c>
      <c r="L397" s="14">
        <v>521</v>
      </c>
      <c r="M397" s="14">
        <v>139</v>
      </c>
      <c r="N397" s="14">
        <v>242</v>
      </c>
      <c r="O397" s="14">
        <v>73.599999999999994</v>
      </c>
      <c r="P397" s="10"/>
      <c r="Q397" s="10"/>
      <c r="R397" s="26"/>
      <c r="T397" s="16"/>
      <c r="AD397" s="3">
        <v>42264</v>
      </c>
      <c r="AE397" s="16">
        <v>669</v>
      </c>
      <c r="AF397">
        <v>455.25</v>
      </c>
      <c r="AG397">
        <v>213.5</v>
      </c>
      <c r="AJ397">
        <v>21.277999999999999</v>
      </c>
      <c r="AK397">
        <v>82.292924999999997</v>
      </c>
      <c r="AN397" t="str">
        <f t="shared" si="28"/>
        <v>Temora</v>
      </c>
      <c r="AO397">
        <f t="shared" si="29"/>
        <v>2015</v>
      </c>
      <c r="AP397" t="str">
        <f t="shared" si="30"/>
        <v>Corack</v>
      </c>
      <c r="AQ397" t="str">
        <f t="shared" si="31"/>
        <v>Temora2015CvCorack</v>
      </c>
      <c r="AV397" s="3">
        <v>42264</v>
      </c>
      <c r="AW397" s="16">
        <v>25.298221281347036</v>
      </c>
      <c r="AX397">
        <v>20.726392192886184</v>
      </c>
      <c r="AY397">
        <v>4.9328828623162471</v>
      </c>
      <c r="BB397">
        <v>3.0107518009073249</v>
      </c>
      <c r="BC397">
        <v>4.1468009673120099</v>
      </c>
    </row>
    <row r="398" spans="1:55" x14ac:dyDescent="0.25">
      <c r="A398" s="14">
        <v>2015</v>
      </c>
      <c r="B398" s="14" t="s">
        <v>123</v>
      </c>
      <c r="C398" s="14" t="s">
        <v>130</v>
      </c>
      <c r="D398" s="14">
        <v>4</v>
      </c>
      <c r="E398" s="14">
        <v>4</v>
      </c>
      <c r="F398" s="14">
        <v>13</v>
      </c>
      <c r="G398" s="14">
        <v>2</v>
      </c>
      <c r="H398" s="14" t="s">
        <v>4</v>
      </c>
      <c r="I398" s="15">
        <v>42276</v>
      </c>
      <c r="J398" s="14" t="s">
        <v>128</v>
      </c>
      <c r="K398" s="14">
        <v>813</v>
      </c>
      <c r="L398" s="14">
        <v>422</v>
      </c>
      <c r="M398" s="14">
        <v>78</v>
      </c>
      <c r="N398" s="14">
        <v>258</v>
      </c>
      <c r="O398" s="14">
        <v>55.1</v>
      </c>
      <c r="P398" s="10"/>
      <c r="Q398" s="10"/>
      <c r="R398" s="26"/>
      <c r="T398" s="16"/>
      <c r="AD398" s="3">
        <v>42291</v>
      </c>
      <c r="AE398" s="16">
        <v>1281.25</v>
      </c>
      <c r="AF398">
        <v>685.75</v>
      </c>
      <c r="AG398">
        <v>129</v>
      </c>
      <c r="AH398">
        <v>408.25</v>
      </c>
      <c r="AI398">
        <v>58.25</v>
      </c>
      <c r="AJ398">
        <v>23.895224999999996</v>
      </c>
      <c r="AK398">
        <v>215.47830000000002</v>
      </c>
      <c r="AN398" t="str">
        <f t="shared" si="28"/>
        <v>Temora</v>
      </c>
      <c r="AO398">
        <f t="shared" si="29"/>
        <v>2015</v>
      </c>
      <c r="AP398" t="str">
        <f t="shared" si="30"/>
        <v>Corack</v>
      </c>
      <c r="AQ398" t="str">
        <f t="shared" si="31"/>
        <v>Temora2015CvCorack</v>
      </c>
      <c r="AV398" s="3">
        <v>42291</v>
      </c>
      <c r="AW398" s="16">
        <v>103.58048400479052</v>
      </c>
      <c r="AX398">
        <v>70.613384000485354</v>
      </c>
      <c r="AY398">
        <v>20.330600909302539</v>
      </c>
      <c r="AZ398">
        <v>37.052890125692848</v>
      </c>
      <c r="BA398">
        <v>16.879474715365603</v>
      </c>
      <c r="BB398">
        <v>2.6337343226871015</v>
      </c>
      <c r="BC398">
        <v>24.245799477022466</v>
      </c>
    </row>
    <row r="399" spans="1:55" x14ac:dyDescent="0.25">
      <c r="A399" s="14">
        <v>2015</v>
      </c>
      <c r="B399" s="14" t="s">
        <v>123</v>
      </c>
      <c r="C399" s="14" t="s">
        <v>130</v>
      </c>
      <c r="D399" s="14">
        <v>4</v>
      </c>
      <c r="E399" s="14">
        <v>3</v>
      </c>
      <c r="F399" s="14">
        <v>14</v>
      </c>
      <c r="G399" s="14">
        <v>2</v>
      </c>
      <c r="H399" s="14" t="s">
        <v>10</v>
      </c>
      <c r="I399" s="15">
        <v>42276</v>
      </c>
      <c r="J399" s="14" t="s">
        <v>128</v>
      </c>
      <c r="K399" s="14">
        <v>840</v>
      </c>
      <c r="L399" s="14">
        <v>443</v>
      </c>
      <c r="M399" s="14">
        <v>105</v>
      </c>
      <c r="N399" s="14">
        <v>242</v>
      </c>
      <c r="O399" s="14">
        <v>49.5</v>
      </c>
      <c r="P399" s="10"/>
      <c r="Q399" s="10"/>
      <c r="R399" s="26"/>
      <c r="T399" s="16"/>
      <c r="AD399" s="3">
        <v>42361</v>
      </c>
      <c r="AE399" s="16">
        <v>1264</v>
      </c>
      <c r="AF399">
        <v>411.25</v>
      </c>
      <c r="AH399">
        <v>761</v>
      </c>
      <c r="AI399">
        <v>91.5</v>
      </c>
      <c r="AN399" t="str">
        <f t="shared" si="28"/>
        <v>Temora</v>
      </c>
      <c r="AO399">
        <f t="shared" si="29"/>
        <v>2015</v>
      </c>
      <c r="AP399" t="str">
        <f t="shared" si="30"/>
        <v>Corack</v>
      </c>
      <c r="AQ399" t="str">
        <f t="shared" si="31"/>
        <v>Temora2015CvCorack</v>
      </c>
      <c r="AV399" s="3">
        <v>42361</v>
      </c>
      <c r="AW399" s="16">
        <v>199.84660784378269</v>
      </c>
      <c r="AX399">
        <v>55.301446635689381</v>
      </c>
      <c r="AZ399">
        <v>124.8118584109699</v>
      </c>
      <c r="BA399">
        <v>35.161532010612582</v>
      </c>
    </row>
    <row r="400" spans="1:55" x14ac:dyDescent="0.25">
      <c r="A400" s="14">
        <v>2015</v>
      </c>
      <c r="B400" s="14" t="s">
        <v>123</v>
      </c>
      <c r="C400" s="14" t="s">
        <v>130</v>
      </c>
      <c r="D400" s="14">
        <v>4</v>
      </c>
      <c r="E400" s="14">
        <v>2</v>
      </c>
      <c r="F400" s="14">
        <v>15</v>
      </c>
      <c r="G400" s="14">
        <v>2</v>
      </c>
      <c r="H400" s="14" t="s">
        <v>8</v>
      </c>
      <c r="I400" s="15">
        <v>42276</v>
      </c>
      <c r="J400" s="14" t="s">
        <v>128</v>
      </c>
      <c r="K400" s="14">
        <v>1010</v>
      </c>
      <c r="L400" s="14">
        <v>583</v>
      </c>
      <c r="M400" s="14">
        <v>106</v>
      </c>
      <c r="N400" s="14">
        <v>272</v>
      </c>
      <c r="O400" s="14">
        <v>50</v>
      </c>
      <c r="P400" s="10"/>
      <c r="Q400" s="10"/>
      <c r="R400" s="26"/>
      <c r="T400" s="16"/>
      <c r="AC400" t="s">
        <v>8</v>
      </c>
      <c r="AD400" s="3">
        <v>42214</v>
      </c>
      <c r="AE400" s="16">
        <v>57</v>
      </c>
      <c r="AJ400">
        <v>3.0560499999999999</v>
      </c>
      <c r="AK400">
        <v>3.2561499999999999</v>
      </c>
      <c r="AN400" t="str">
        <f t="shared" si="28"/>
        <v>Temora</v>
      </c>
      <c r="AO400">
        <f t="shared" si="29"/>
        <v>2015</v>
      </c>
      <c r="AP400" t="str">
        <f t="shared" si="30"/>
        <v>Espada</v>
      </c>
      <c r="AQ400" t="str">
        <f t="shared" si="31"/>
        <v>Temora2015CvEspada</v>
      </c>
      <c r="AU400" t="s">
        <v>8</v>
      </c>
      <c r="AV400" s="3">
        <v>42214</v>
      </c>
      <c r="AW400" s="16">
        <v>16.512621435334449</v>
      </c>
      <c r="BB400">
        <v>0.93714275504500089</v>
      </c>
      <c r="BC400">
        <v>1.3949968064479576</v>
      </c>
    </row>
    <row r="401" spans="1:55" x14ac:dyDescent="0.25">
      <c r="A401" s="14">
        <v>2015</v>
      </c>
      <c r="B401" s="14" t="s">
        <v>123</v>
      </c>
      <c r="C401" s="14" t="s">
        <v>130</v>
      </c>
      <c r="D401" s="14">
        <v>4</v>
      </c>
      <c r="E401" s="14">
        <v>1</v>
      </c>
      <c r="F401" s="14">
        <v>16</v>
      </c>
      <c r="G401" s="14">
        <v>2</v>
      </c>
      <c r="H401" s="14" t="s">
        <v>14</v>
      </c>
      <c r="I401" s="15">
        <v>42276</v>
      </c>
      <c r="J401" s="14" t="s">
        <v>128</v>
      </c>
      <c r="K401" s="14">
        <v>935</v>
      </c>
      <c r="L401" s="14">
        <v>540</v>
      </c>
      <c r="M401" s="14">
        <v>162</v>
      </c>
      <c r="N401" s="14">
        <v>210</v>
      </c>
      <c r="O401" s="14">
        <v>22.8</v>
      </c>
      <c r="P401" s="10"/>
      <c r="Q401" s="10"/>
      <c r="R401" s="26"/>
      <c r="T401" s="16"/>
      <c r="AD401" s="3">
        <v>42247</v>
      </c>
      <c r="AE401" s="16">
        <v>264.25</v>
      </c>
      <c r="AF401">
        <v>120.5</v>
      </c>
      <c r="AG401">
        <v>143.5</v>
      </c>
      <c r="AJ401">
        <v>13.655775</v>
      </c>
      <c r="AK401">
        <v>11.68465</v>
      </c>
      <c r="AN401" t="str">
        <f t="shared" si="28"/>
        <v>Temora</v>
      </c>
      <c r="AO401">
        <f t="shared" si="29"/>
        <v>2015</v>
      </c>
      <c r="AP401" t="str">
        <f t="shared" si="30"/>
        <v>Espada</v>
      </c>
      <c r="AQ401" t="str">
        <f t="shared" si="31"/>
        <v>Temora2015CvEspada</v>
      </c>
      <c r="AV401" s="3">
        <v>42247</v>
      </c>
      <c r="AW401" s="16">
        <v>34.218659626973505</v>
      </c>
      <c r="AX401">
        <v>17.253019059476713</v>
      </c>
      <c r="AY401">
        <v>19.226717521892983</v>
      </c>
      <c r="BB401">
        <v>2.5456629920644813</v>
      </c>
      <c r="BC401">
        <v>1.1430492713206493</v>
      </c>
    </row>
    <row r="402" spans="1:55" x14ac:dyDescent="0.25">
      <c r="A402" s="14">
        <v>2015</v>
      </c>
      <c r="B402" s="14" t="s">
        <v>123</v>
      </c>
      <c r="C402" s="14" t="s">
        <v>130</v>
      </c>
      <c r="D402" s="14">
        <v>5</v>
      </c>
      <c r="E402" s="14">
        <v>1</v>
      </c>
      <c r="F402" s="14">
        <v>17</v>
      </c>
      <c r="G402" s="14">
        <v>2</v>
      </c>
      <c r="H402" s="14" t="s">
        <v>12</v>
      </c>
      <c r="I402" s="15">
        <v>42276</v>
      </c>
      <c r="J402" s="14" t="s">
        <v>128</v>
      </c>
      <c r="K402" s="14">
        <v>796</v>
      </c>
      <c r="L402" s="14">
        <v>413</v>
      </c>
      <c r="M402" s="14">
        <v>92</v>
      </c>
      <c r="N402" s="14">
        <v>232</v>
      </c>
      <c r="O402" s="14">
        <v>58.8</v>
      </c>
      <c r="P402" s="10"/>
      <c r="Q402" s="10"/>
      <c r="R402" s="26"/>
      <c r="T402" s="16"/>
      <c r="AD402" s="3">
        <v>42264</v>
      </c>
      <c r="AE402" s="16">
        <v>577</v>
      </c>
      <c r="AF402">
        <v>352</v>
      </c>
      <c r="AG402">
        <v>225</v>
      </c>
      <c r="AJ402">
        <v>18.283224999999998</v>
      </c>
      <c r="AK402">
        <v>66.757975000000002</v>
      </c>
      <c r="AN402" t="str">
        <f t="shared" si="28"/>
        <v>Temora</v>
      </c>
      <c r="AO402">
        <f t="shared" si="29"/>
        <v>2015</v>
      </c>
      <c r="AP402" t="str">
        <f t="shared" si="30"/>
        <v>Espada</v>
      </c>
      <c r="AQ402" t="str">
        <f t="shared" si="31"/>
        <v>Temora2015CvEspada</v>
      </c>
      <c r="AV402" s="3">
        <v>42264</v>
      </c>
      <c r="AW402" s="16">
        <v>52.300414274968546</v>
      </c>
      <c r="AX402">
        <v>42.339894504670966</v>
      </c>
      <c r="AY402">
        <v>15.853495934125487</v>
      </c>
      <c r="BB402">
        <v>2.4210857349200694</v>
      </c>
      <c r="BC402">
        <v>16.550567390953699</v>
      </c>
    </row>
    <row r="403" spans="1:55" x14ac:dyDescent="0.25">
      <c r="A403" s="14">
        <v>2015</v>
      </c>
      <c r="B403" s="14" t="s">
        <v>123</v>
      </c>
      <c r="C403" s="14" t="s">
        <v>130</v>
      </c>
      <c r="D403" s="14">
        <v>5</v>
      </c>
      <c r="E403" s="14">
        <v>2</v>
      </c>
      <c r="F403" s="14">
        <v>18</v>
      </c>
      <c r="G403" s="14">
        <v>2</v>
      </c>
      <c r="H403" s="14" t="s">
        <v>7</v>
      </c>
      <c r="I403" s="15">
        <v>42276</v>
      </c>
      <c r="J403" s="14" t="s">
        <v>128</v>
      </c>
      <c r="K403" s="14">
        <v>777</v>
      </c>
      <c r="L403" s="14">
        <v>411</v>
      </c>
      <c r="M403" s="14">
        <v>114</v>
      </c>
      <c r="N403" s="14">
        <v>199</v>
      </c>
      <c r="O403" s="14">
        <v>52.6</v>
      </c>
      <c r="P403" s="10"/>
      <c r="Q403" s="10"/>
      <c r="R403" s="26"/>
      <c r="T403" s="16"/>
      <c r="AD403" s="3">
        <v>42293</v>
      </c>
      <c r="AE403" s="16">
        <v>1211.5</v>
      </c>
      <c r="AF403">
        <v>677.75</v>
      </c>
      <c r="AG403">
        <v>169</v>
      </c>
      <c r="AH403">
        <v>307.5</v>
      </c>
      <c r="AI403">
        <v>57.5</v>
      </c>
      <c r="AJ403">
        <v>21.493874999999999</v>
      </c>
      <c r="AK403">
        <v>156.072</v>
      </c>
      <c r="AN403" t="str">
        <f t="shared" si="28"/>
        <v>Temora</v>
      </c>
      <c r="AO403">
        <f t="shared" si="29"/>
        <v>2015</v>
      </c>
      <c r="AP403" t="str">
        <f t="shared" si="30"/>
        <v>Espada</v>
      </c>
      <c r="AQ403" t="str">
        <f t="shared" si="31"/>
        <v>Temora2015CvEspada</v>
      </c>
      <c r="AV403" s="3">
        <v>42293</v>
      </c>
      <c r="AW403" s="16">
        <v>73.141415536388592</v>
      </c>
      <c r="AX403">
        <v>49.419125852244697</v>
      </c>
      <c r="AY403">
        <v>11.69045194450012</v>
      </c>
      <c r="AZ403">
        <v>32.888701200665658</v>
      </c>
      <c r="BA403">
        <v>7</v>
      </c>
      <c r="BB403">
        <v>5.8581881586801243</v>
      </c>
      <c r="BC403">
        <v>24.968651312128699</v>
      </c>
    </row>
    <row r="404" spans="1:55" x14ac:dyDescent="0.25">
      <c r="A404" s="14">
        <v>2015</v>
      </c>
      <c r="B404" s="14" t="s">
        <v>123</v>
      </c>
      <c r="C404" s="14" t="s">
        <v>130</v>
      </c>
      <c r="D404" s="14">
        <v>5</v>
      </c>
      <c r="E404" s="14">
        <v>3</v>
      </c>
      <c r="F404" s="14">
        <v>19</v>
      </c>
      <c r="G404" s="14">
        <v>2</v>
      </c>
      <c r="H404" s="14" t="s">
        <v>5</v>
      </c>
      <c r="I404" s="15">
        <v>42276</v>
      </c>
      <c r="J404" s="14" t="s">
        <v>128</v>
      </c>
      <c r="K404" s="14">
        <v>987</v>
      </c>
      <c r="L404" s="14">
        <v>510</v>
      </c>
      <c r="M404" s="14">
        <v>124</v>
      </c>
      <c r="N404" s="14">
        <v>261</v>
      </c>
      <c r="O404" s="14">
        <v>92.3</v>
      </c>
      <c r="P404" s="10"/>
      <c r="Q404" s="10"/>
      <c r="R404" s="26"/>
      <c r="T404" s="16"/>
      <c r="AD404" s="3">
        <v>42361</v>
      </c>
      <c r="AE404" s="16">
        <v>1088.5</v>
      </c>
      <c r="AF404">
        <v>386</v>
      </c>
      <c r="AH404">
        <v>585.25</v>
      </c>
      <c r="AI404">
        <v>117.25</v>
      </c>
      <c r="AN404" t="str">
        <f t="shared" si="28"/>
        <v>Temora</v>
      </c>
      <c r="AO404">
        <f t="shared" si="29"/>
        <v>2015</v>
      </c>
      <c r="AP404" t="str">
        <f t="shared" si="30"/>
        <v>Espada</v>
      </c>
      <c r="AQ404" t="str">
        <f t="shared" si="31"/>
        <v>Temora2015CvEspada</v>
      </c>
      <c r="AV404" s="3">
        <v>42361</v>
      </c>
      <c r="AW404" s="16">
        <v>123.78072009269725</v>
      </c>
      <c r="AX404">
        <v>38.131351929875237</v>
      </c>
      <c r="AZ404">
        <v>62.483997951475544</v>
      </c>
      <c r="BA404">
        <v>29.892864254422548</v>
      </c>
    </row>
    <row r="405" spans="1:55" x14ac:dyDescent="0.25">
      <c r="A405" s="14">
        <v>2015</v>
      </c>
      <c r="B405" s="14" t="s">
        <v>123</v>
      </c>
      <c r="C405" s="14" t="s">
        <v>130</v>
      </c>
      <c r="D405" s="14">
        <v>5</v>
      </c>
      <c r="E405" s="14">
        <v>4</v>
      </c>
      <c r="F405" s="14">
        <v>20</v>
      </c>
      <c r="G405" s="14">
        <v>2</v>
      </c>
      <c r="H405" s="14" t="s">
        <v>2</v>
      </c>
      <c r="I405" s="15">
        <v>42276</v>
      </c>
      <c r="J405" s="14" t="s">
        <v>128</v>
      </c>
      <c r="K405" s="14">
        <v>878</v>
      </c>
      <c r="L405" s="14">
        <v>451</v>
      </c>
      <c r="M405" s="14">
        <v>117</v>
      </c>
      <c r="N405" s="14">
        <v>224</v>
      </c>
      <c r="O405" s="14">
        <v>86.8</v>
      </c>
      <c r="P405" s="10"/>
      <c r="Q405" s="10"/>
      <c r="R405" s="26"/>
      <c r="T405" s="16"/>
      <c r="AC405" t="s">
        <v>4</v>
      </c>
      <c r="AD405" s="3">
        <v>42214</v>
      </c>
      <c r="AE405" s="16">
        <v>38.5</v>
      </c>
      <c r="AJ405">
        <v>2.0244249999999999</v>
      </c>
      <c r="AK405">
        <v>2.4208499999999997</v>
      </c>
      <c r="AN405" t="str">
        <f t="shared" si="28"/>
        <v>Temora</v>
      </c>
      <c r="AO405">
        <f t="shared" si="29"/>
        <v>2015</v>
      </c>
      <c r="AP405" t="str">
        <f t="shared" si="30"/>
        <v>Gauntlet</v>
      </c>
      <c r="AQ405" t="str">
        <f t="shared" si="31"/>
        <v>Temora2015CvGauntlet</v>
      </c>
      <c r="AU405" t="s">
        <v>4</v>
      </c>
      <c r="AV405" s="3">
        <v>42214</v>
      </c>
      <c r="AW405" s="16">
        <v>3.1091263510296048</v>
      </c>
      <c r="BB405">
        <v>0.22001273258609561</v>
      </c>
      <c r="BC405">
        <v>0.3600392710061881</v>
      </c>
    </row>
    <row r="406" spans="1:55" x14ac:dyDescent="0.25">
      <c r="A406" s="14">
        <v>2015</v>
      </c>
      <c r="B406" s="14" t="s">
        <v>123</v>
      </c>
      <c r="C406" s="14" t="s">
        <v>130</v>
      </c>
      <c r="D406" s="14">
        <v>6</v>
      </c>
      <c r="E406" s="14">
        <v>4</v>
      </c>
      <c r="F406" s="14">
        <v>21</v>
      </c>
      <c r="G406" s="14">
        <v>2</v>
      </c>
      <c r="H406" s="14" t="s">
        <v>3</v>
      </c>
      <c r="I406" s="15">
        <v>42276</v>
      </c>
      <c r="J406" s="14" t="s">
        <v>128</v>
      </c>
      <c r="K406" s="14">
        <v>653</v>
      </c>
      <c r="L406" s="14">
        <v>356</v>
      </c>
      <c r="M406" s="14">
        <v>122</v>
      </c>
      <c r="N406" s="14">
        <v>148</v>
      </c>
      <c r="O406" s="14">
        <v>27.7</v>
      </c>
      <c r="P406" s="10"/>
      <c r="Q406" s="10"/>
      <c r="R406" s="26"/>
      <c r="T406" s="16"/>
      <c r="AD406" s="3">
        <v>42247</v>
      </c>
      <c r="AE406" s="16">
        <v>190.25</v>
      </c>
      <c r="AF406">
        <v>83.75</v>
      </c>
      <c r="AG406">
        <v>106.5</v>
      </c>
      <c r="AJ406">
        <v>10.348375000000001</v>
      </c>
      <c r="AK406">
        <v>6.1668749999999992</v>
      </c>
      <c r="AN406" t="str">
        <f t="shared" si="28"/>
        <v>Temora</v>
      </c>
      <c r="AO406">
        <f t="shared" si="29"/>
        <v>2015</v>
      </c>
      <c r="AP406" t="str">
        <f t="shared" si="30"/>
        <v>Gauntlet</v>
      </c>
      <c r="AQ406" t="str">
        <f t="shared" si="31"/>
        <v>Temora2015CvGauntlet</v>
      </c>
      <c r="AV406" s="3">
        <v>42247</v>
      </c>
      <c r="AW406" s="16">
        <v>18.20942979154848</v>
      </c>
      <c r="AX406">
        <v>13.720422734012244</v>
      </c>
      <c r="AY406">
        <v>4.7958315233127191</v>
      </c>
      <c r="BB406">
        <v>0.52458132115048173</v>
      </c>
      <c r="BC406">
        <v>4.0683684333116465</v>
      </c>
    </row>
    <row r="407" spans="1:55" x14ac:dyDescent="0.25">
      <c r="A407" s="14">
        <v>2015</v>
      </c>
      <c r="B407" s="14" t="s">
        <v>123</v>
      </c>
      <c r="C407" s="14" t="s">
        <v>130</v>
      </c>
      <c r="D407" s="14">
        <v>6</v>
      </c>
      <c r="E407" s="14">
        <v>3</v>
      </c>
      <c r="F407" s="14">
        <v>22</v>
      </c>
      <c r="G407" s="14">
        <v>2</v>
      </c>
      <c r="H407" s="14" t="s">
        <v>13</v>
      </c>
      <c r="I407" s="15">
        <v>42276</v>
      </c>
      <c r="J407" s="14" t="s">
        <v>128</v>
      </c>
      <c r="K407" s="14">
        <v>794</v>
      </c>
      <c r="L407" s="14">
        <v>431</v>
      </c>
      <c r="M407" s="14">
        <v>126</v>
      </c>
      <c r="N407" s="14">
        <v>181</v>
      </c>
      <c r="O407" s="14">
        <v>56.4</v>
      </c>
      <c r="P407" s="10"/>
      <c r="Q407" s="10"/>
      <c r="R407" s="26"/>
      <c r="T407" s="16"/>
      <c r="AD407" s="3">
        <v>42264</v>
      </c>
      <c r="AE407" s="16">
        <v>441.75</v>
      </c>
      <c r="AF407">
        <v>246.75</v>
      </c>
      <c r="AG407">
        <v>195.25</v>
      </c>
      <c r="AJ407">
        <v>16.351675</v>
      </c>
      <c r="AK407">
        <v>46.141849999999998</v>
      </c>
      <c r="AN407" t="str">
        <f t="shared" si="28"/>
        <v>Temora</v>
      </c>
      <c r="AO407">
        <f t="shared" si="29"/>
        <v>2015</v>
      </c>
      <c r="AP407" t="str">
        <f t="shared" si="30"/>
        <v>Gauntlet</v>
      </c>
      <c r="AQ407" t="str">
        <f t="shared" si="31"/>
        <v>Temora2015CvGauntlet</v>
      </c>
      <c r="AV407" s="3">
        <v>42264</v>
      </c>
      <c r="AW407" s="16">
        <v>55.51801509420163</v>
      </c>
      <c r="AX407">
        <v>34.807805638007885</v>
      </c>
      <c r="AY407">
        <v>22.231734075415709</v>
      </c>
      <c r="BB407">
        <v>1.5992425381515476</v>
      </c>
      <c r="BC407">
        <v>9.5852140607291823</v>
      </c>
    </row>
    <row r="408" spans="1:55" x14ac:dyDescent="0.25">
      <c r="A408" s="14">
        <v>2015</v>
      </c>
      <c r="B408" s="14" t="s">
        <v>123</v>
      </c>
      <c r="C408" s="14" t="s">
        <v>130</v>
      </c>
      <c r="D408" s="14">
        <v>6</v>
      </c>
      <c r="E408" s="14">
        <v>2</v>
      </c>
      <c r="F408" s="14">
        <v>23</v>
      </c>
      <c r="G408" s="14">
        <v>2</v>
      </c>
      <c r="H408" s="14" t="s">
        <v>9</v>
      </c>
      <c r="I408" s="15">
        <v>42276</v>
      </c>
      <c r="J408" s="14" t="s">
        <v>128</v>
      </c>
      <c r="K408" s="14">
        <v>919</v>
      </c>
      <c r="L408" s="14">
        <v>527</v>
      </c>
      <c r="M408" s="14">
        <v>134</v>
      </c>
      <c r="N408" s="14">
        <v>210</v>
      </c>
      <c r="O408" s="14">
        <v>47.6</v>
      </c>
      <c r="P408" s="10"/>
      <c r="Q408" s="10"/>
      <c r="R408" s="26"/>
      <c r="T408" s="16"/>
      <c r="AD408" s="3">
        <v>42296</v>
      </c>
      <c r="AE408" s="16">
        <v>1005.75</v>
      </c>
      <c r="AF408">
        <v>531.75</v>
      </c>
      <c r="AG408">
        <v>118.75</v>
      </c>
      <c r="AH408">
        <v>311.75</v>
      </c>
      <c r="AI408">
        <v>43</v>
      </c>
      <c r="AJ408">
        <v>17.267499999999998</v>
      </c>
      <c r="AK408">
        <v>175.37865000000002</v>
      </c>
      <c r="AN408" t="str">
        <f t="shared" si="28"/>
        <v>Temora</v>
      </c>
      <c r="AO408">
        <f t="shared" si="29"/>
        <v>2015</v>
      </c>
      <c r="AP408" t="str">
        <f t="shared" si="30"/>
        <v>Gauntlet</v>
      </c>
      <c r="AQ408" t="str">
        <f t="shared" si="31"/>
        <v>Temora2015CvGauntlet</v>
      </c>
      <c r="AV408" s="3">
        <v>42296</v>
      </c>
      <c r="AW408" s="16">
        <v>81.49181963035717</v>
      </c>
      <c r="AX408">
        <v>50.723925978444001</v>
      </c>
      <c r="AY408">
        <v>14.174507634012077</v>
      </c>
      <c r="AZ408">
        <v>30.934069675144048</v>
      </c>
      <c r="BA408">
        <v>7.3484692283495345</v>
      </c>
      <c r="BB408">
        <v>1.4225037223150272</v>
      </c>
      <c r="BC408">
        <v>23.673940129531985</v>
      </c>
    </row>
    <row r="409" spans="1:55" x14ac:dyDescent="0.25">
      <c r="A409" s="14">
        <v>2015</v>
      </c>
      <c r="B409" s="14" t="s">
        <v>123</v>
      </c>
      <c r="C409" s="14" t="s">
        <v>130</v>
      </c>
      <c r="D409" s="14">
        <v>6</v>
      </c>
      <c r="E409" s="14">
        <v>1</v>
      </c>
      <c r="F409" s="14">
        <v>24</v>
      </c>
      <c r="G409" s="14">
        <v>2</v>
      </c>
      <c r="H409" s="14" t="s">
        <v>6</v>
      </c>
      <c r="I409" s="15">
        <v>42276</v>
      </c>
      <c r="J409" s="14" t="s">
        <v>128</v>
      </c>
      <c r="K409" s="14">
        <v>742</v>
      </c>
      <c r="L409" s="14">
        <v>389</v>
      </c>
      <c r="M409" s="14">
        <v>106</v>
      </c>
      <c r="N409" s="14">
        <v>224</v>
      </c>
      <c r="O409" s="14">
        <v>22.3</v>
      </c>
      <c r="P409" s="10"/>
      <c r="Q409" s="10"/>
      <c r="R409" s="26"/>
      <c r="T409" s="16"/>
      <c r="AD409" s="3">
        <v>42361</v>
      </c>
      <c r="AE409" s="16">
        <v>1114.25</v>
      </c>
      <c r="AF409">
        <v>354.75</v>
      </c>
      <c r="AH409">
        <v>681.75</v>
      </c>
      <c r="AI409">
        <v>78</v>
      </c>
      <c r="AN409" t="str">
        <f t="shared" si="28"/>
        <v>Temora</v>
      </c>
      <c r="AO409">
        <f t="shared" si="29"/>
        <v>2015</v>
      </c>
      <c r="AP409" t="str">
        <f t="shared" si="30"/>
        <v>Gauntlet</v>
      </c>
      <c r="AQ409" t="str">
        <f t="shared" si="31"/>
        <v>Temora2015CvGauntlet</v>
      </c>
      <c r="AV409" s="3">
        <v>42361</v>
      </c>
      <c r="AW409" s="16">
        <v>52.582474900547105</v>
      </c>
      <c r="AX409">
        <v>10.045728777279759</v>
      </c>
      <c r="AZ409">
        <v>43.277207241995953</v>
      </c>
      <c r="BA409">
        <v>11.105554165971787</v>
      </c>
    </row>
    <row r="410" spans="1:55" x14ac:dyDescent="0.25">
      <c r="A410" s="14">
        <v>2015</v>
      </c>
      <c r="B410" s="14" t="s">
        <v>123</v>
      </c>
      <c r="C410" s="14" t="s">
        <v>130</v>
      </c>
      <c r="D410" s="14">
        <v>7</v>
      </c>
      <c r="E410" s="14">
        <v>1</v>
      </c>
      <c r="F410" s="14">
        <v>25</v>
      </c>
      <c r="G410" s="14">
        <v>3</v>
      </c>
      <c r="H410" s="14" t="s">
        <v>9</v>
      </c>
      <c r="I410" s="15">
        <v>42276</v>
      </c>
      <c r="J410" s="14" t="s">
        <v>128</v>
      </c>
      <c r="K410" s="14">
        <v>715</v>
      </c>
      <c r="L410" s="14">
        <v>404</v>
      </c>
      <c r="M410" s="14">
        <v>129</v>
      </c>
      <c r="N410" s="14">
        <v>146</v>
      </c>
      <c r="O410" s="14">
        <v>36.5</v>
      </c>
      <c r="P410" s="10"/>
      <c r="Q410" s="10"/>
      <c r="R410" s="26"/>
      <c r="T410" s="16"/>
      <c r="AC410" t="s">
        <v>7</v>
      </c>
      <c r="AD410" s="3">
        <v>42214</v>
      </c>
      <c r="AE410" s="16">
        <v>64.5</v>
      </c>
      <c r="AJ410">
        <v>3.7573999999999996</v>
      </c>
      <c r="AK410">
        <v>2.1864249999999998</v>
      </c>
      <c r="AN410" t="str">
        <f t="shared" si="28"/>
        <v>Temora</v>
      </c>
      <c r="AO410">
        <f t="shared" si="29"/>
        <v>2015</v>
      </c>
      <c r="AP410" t="str">
        <f t="shared" si="30"/>
        <v>Hartog</v>
      </c>
      <c r="AQ410" t="str">
        <f t="shared" si="31"/>
        <v>Temora2015CvHartog</v>
      </c>
      <c r="AU410" t="s">
        <v>7</v>
      </c>
      <c r="AV410" s="3">
        <v>42214</v>
      </c>
      <c r="AW410" s="16">
        <v>5.3229064742237702</v>
      </c>
      <c r="BB410">
        <v>0.49884707075415641</v>
      </c>
      <c r="BC410">
        <v>0.73333701381652294</v>
      </c>
    </row>
    <row r="411" spans="1:55" x14ac:dyDescent="0.25">
      <c r="A411" s="14">
        <v>2015</v>
      </c>
      <c r="B411" s="14" t="s">
        <v>123</v>
      </c>
      <c r="C411" s="14" t="s">
        <v>130</v>
      </c>
      <c r="D411" s="14">
        <v>7</v>
      </c>
      <c r="E411" s="14">
        <v>2</v>
      </c>
      <c r="F411" s="14">
        <v>26</v>
      </c>
      <c r="G411" s="14">
        <v>3</v>
      </c>
      <c r="H411" s="14" t="s">
        <v>5</v>
      </c>
      <c r="I411" s="15">
        <v>42276</v>
      </c>
      <c r="J411" s="14" t="s">
        <v>128</v>
      </c>
      <c r="K411" s="14">
        <v>679</v>
      </c>
      <c r="L411" s="14">
        <v>376</v>
      </c>
      <c r="M411" s="14">
        <v>77</v>
      </c>
      <c r="N411" s="14">
        <v>174</v>
      </c>
      <c r="O411" s="14">
        <v>51.9</v>
      </c>
      <c r="P411" s="10"/>
      <c r="Q411" s="10"/>
      <c r="R411" s="26"/>
      <c r="T411" s="16"/>
      <c r="AD411" s="3">
        <v>42247</v>
      </c>
      <c r="AE411" s="16">
        <v>271.25</v>
      </c>
      <c r="AF411">
        <v>126.5</v>
      </c>
      <c r="AG411">
        <v>145</v>
      </c>
      <c r="AJ411">
        <v>15.17445</v>
      </c>
      <c r="AK411">
        <v>6.2426499999999994</v>
      </c>
      <c r="AN411" t="str">
        <f t="shared" si="28"/>
        <v>Temora</v>
      </c>
      <c r="AO411">
        <f t="shared" si="29"/>
        <v>2015</v>
      </c>
      <c r="AP411" t="str">
        <f t="shared" si="30"/>
        <v>Hartog</v>
      </c>
      <c r="AQ411" t="str">
        <f t="shared" si="31"/>
        <v>Temora2015CvHartog</v>
      </c>
      <c r="AV411" s="3">
        <v>42247</v>
      </c>
      <c r="AW411" s="16">
        <v>64.14761621967466</v>
      </c>
      <c r="AX411">
        <v>35.707142142714247</v>
      </c>
      <c r="AY411">
        <v>28.855964143772194</v>
      </c>
      <c r="BB411">
        <v>3.520713395984775</v>
      </c>
      <c r="BC411">
        <v>4.9011013173911575</v>
      </c>
    </row>
    <row r="412" spans="1:55" x14ac:dyDescent="0.25">
      <c r="A412" s="14">
        <v>2015</v>
      </c>
      <c r="B412" s="14" t="s">
        <v>123</v>
      </c>
      <c r="C412" s="14" t="s">
        <v>130</v>
      </c>
      <c r="D412" s="14">
        <v>7</v>
      </c>
      <c r="E412" s="14">
        <v>3</v>
      </c>
      <c r="F412" s="14">
        <v>27</v>
      </c>
      <c r="G412" s="14">
        <v>3</v>
      </c>
      <c r="H412" s="14" t="s">
        <v>3</v>
      </c>
      <c r="I412" s="15">
        <v>42276</v>
      </c>
      <c r="J412" s="14" t="s">
        <v>128</v>
      </c>
      <c r="K412" s="14">
        <v>742</v>
      </c>
      <c r="L412" s="14">
        <v>413</v>
      </c>
      <c r="M412" s="14">
        <v>99</v>
      </c>
      <c r="N412" s="14">
        <v>171</v>
      </c>
      <c r="O412" s="14">
        <v>58.6</v>
      </c>
      <c r="P412" s="10"/>
      <c r="Q412" s="10"/>
      <c r="R412" s="26"/>
      <c r="T412" s="16"/>
      <c r="AD412" s="3">
        <v>42264</v>
      </c>
      <c r="AE412" s="16">
        <v>561</v>
      </c>
      <c r="AF412">
        <v>337.5</v>
      </c>
      <c r="AG412">
        <v>224</v>
      </c>
      <c r="AJ412">
        <v>19.648500000000002</v>
      </c>
      <c r="AK412">
        <v>50.871899999999997</v>
      </c>
      <c r="AN412" t="str">
        <f t="shared" si="28"/>
        <v>Temora</v>
      </c>
      <c r="AO412">
        <f t="shared" si="29"/>
        <v>2015</v>
      </c>
      <c r="AP412" t="str">
        <f t="shared" si="30"/>
        <v>Hartog</v>
      </c>
      <c r="AQ412" t="str">
        <f t="shared" si="31"/>
        <v>Temora2015CvHartog</v>
      </c>
      <c r="AV412" s="3">
        <v>42264</v>
      </c>
      <c r="AW412" s="16">
        <v>58.42944463196617</v>
      </c>
      <c r="AX412">
        <v>34.837719022155667</v>
      </c>
      <c r="AY412">
        <v>31.123410267299864</v>
      </c>
      <c r="BB412">
        <v>4.4554402595777907</v>
      </c>
      <c r="BC412">
        <v>15.130892603104</v>
      </c>
    </row>
    <row r="413" spans="1:55" x14ac:dyDescent="0.25">
      <c r="A413" s="14">
        <v>2015</v>
      </c>
      <c r="B413" s="14" t="s">
        <v>123</v>
      </c>
      <c r="C413" s="14" t="s">
        <v>130</v>
      </c>
      <c r="D413" s="14">
        <v>7</v>
      </c>
      <c r="E413" s="14">
        <v>4</v>
      </c>
      <c r="F413" s="14">
        <v>28</v>
      </c>
      <c r="G413" s="14">
        <v>3</v>
      </c>
      <c r="H413" s="14" t="s">
        <v>8</v>
      </c>
      <c r="I413" s="15">
        <v>42276</v>
      </c>
      <c r="J413" s="14" t="s">
        <v>128</v>
      </c>
      <c r="K413" s="14">
        <v>886</v>
      </c>
      <c r="L413" s="14">
        <v>519</v>
      </c>
      <c r="M413" s="14">
        <v>114</v>
      </c>
      <c r="N413" s="14">
        <v>224</v>
      </c>
      <c r="O413" s="14">
        <v>29.7</v>
      </c>
      <c r="P413" s="10"/>
      <c r="Q413" s="10"/>
      <c r="R413" s="26"/>
      <c r="T413" s="16"/>
      <c r="AD413" s="3">
        <v>42293</v>
      </c>
      <c r="AE413" s="16">
        <v>1223</v>
      </c>
      <c r="AF413">
        <v>669.75</v>
      </c>
      <c r="AG413">
        <v>126.5</v>
      </c>
      <c r="AH413">
        <v>355</v>
      </c>
      <c r="AI413">
        <v>72</v>
      </c>
      <c r="AJ413">
        <v>20.953050000000001</v>
      </c>
      <c r="AK413">
        <v>182.82119999999998</v>
      </c>
      <c r="AN413" t="str">
        <f t="shared" si="28"/>
        <v>Temora</v>
      </c>
      <c r="AO413">
        <f t="shared" si="29"/>
        <v>2015</v>
      </c>
      <c r="AP413" t="str">
        <f t="shared" si="30"/>
        <v>Hartog</v>
      </c>
      <c r="AQ413" t="str">
        <f t="shared" si="31"/>
        <v>Temora2015CvHartog</v>
      </c>
      <c r="AV413" s="3">
        <v>42293</v>
      </c>
      <c r="AW413" s="16">
        <v>87.795216270591879</v>
      </c>
      <c r="AX413">
        <v>64.783614183423467</v>
      </c>
      <c r="AY413">
        <v>14.200938936093861</v>
      </c>
      <c r="AZ413">
        <v>40.521599178709621</v>
      </c>
      <c r="BA413">
        <v>8.8317608663278477</v>
      </c>
      <c r="BB413">
        <v>2.4000360073687848</v>
      </c>
      <c r="BC413">
        <v>31.979693539911807</v>
      </c>
    </row>
    <row r="414" spans="1:55" x14ac:dyDescent="0.25">
      <c r="A414" s="14">
        <v>2015</v>
      </c>
      <c r="B414" s="14" t="s">
        <v>123</v>
      </c>
      <c r="C414" s="14" t="s">
        <v>130</v>
      </c>
      <c r="D414" s="14">
        <v>8</v>
      </c>
      <c r="E414" s="14">
        <v>4</v>
      </c>
      <c r="F414" s="14">
        <v>29</v>
      </c>
      <c r="G414" s="14">
        <v>3</v>
      </c>
      <c r="H414" s="14" t="s">
        <v>13</v>
      </c>
      <c r="I414" s="15">
        <v>42276</v>
      </c>
      <c r="J414" s="14" t="s">
        <v>128</v>
      </c>
      <c r="K414" s="14">
        <v>571</v>
      </c>
      <c r="L414" s="14">
        <v>301</v>
      </c>
      <c r="M414" s="14">
        <v>97</v>
      </c>
      <c r="N414" s="14">
        <v>158</v>
      </c>
      <c r="O414" s="14">
        <v>15.2</v>
      </c>
      <c r="P414" s="10"/>
      <c r="Q414" s="10"/>
      <c r="R414" s="26"/>
      <c r="T414" s="16"/>
      <c r="AD414" s="3">
        <v>42361</v>
      </c>
      <c r="AE414" s="16">
        <v>931.25</v>
      </c>
      <c r="AF414">
        <v>371</v>
      </c>
      <c r="AH414">
        <v>479.25</v>
      </c>
      <c r="AI414">
        <v>81.25</v>
      </c>
      <c r="AN414" t="str">
        <f t="shared" si="28"/>
        <v>Temora</v>
      </c>
      <c r="AO414">
        <f t="shared" si="29"/>
        <v>2015</v>
      </c>
      <c r="AP414" t="str">
        <f t="shared" si="30"/>
        <v>Hartog</v>
      </c>
      <c r="AQ414" t="str">
        <f t="shared" si="31"/>
        <v>Temora2015CvHartog</v>
      </c>
      <c r="AV414" s="3">
        <v>42361</v>
      </c>
      <c r="AW414" s="16">
        <v>102.63974214049189</v>
      </c>
      <c r="AX414">
        <v>53.216538782600281</v>
      </c>
      <c r="AZ414">
        <v>37.641953544770587</v>
      </c>
      <c r="BA414">
        <v>23.542514733987108</v>
      </c>
    </row>
    <row r="415" spans="1:55" x14ac:dyDescent="0.25">
      <c r="A415" s="14">
        <v>2015</v>
      </c>
      <c r="B415" s="14" t="s">
        <v>123</v>
      </c>
      <c r="C415" s="14" t="s">
        <v>130</v>
      </c>
      <c r="D415" s="14">
        <v>8</v>
      </c>
      <c r="E415" s="14">
        <v>3</v>
      </c>
      <c r="F415" s="14">
        <v>30</v>
      </c>
      <c r="G415" s="14">
        <v>3</v>
      </c>
      <c r="H415" s="14" t="s">
        <v>7</v>
      </c>
      <c r="I415" s="15">
        <v>42276</v>
      </c>
      <c r="J415" s="14" t="s">
        <v>128</v>
      </c>
      <c r="K415" s="14">
        <v>454</v>
      </c>
      <c r="L415" s="14">
        <v>242</v>
      </c>
      <c r="M415" s="14">
        <v>58</v>
      </c>
      <c r="N415" s="14">
        <v>138</v>
      </c>
      <c r="O415" s="14">
        <v>17.100000000000001</v>
      </c>
      <c r="P415" s="10"/>
      <c r="Q415" s="10"/>
      <c r="R415" s="26"/>
      <c r="T415" s="16"/>
      <c r="AC415" t="s">
        <v>2</v>
      </c>
      <c r="AD415" s="3">
        <v>42214</v>
      </c>
      <c r="AE415" s="16">
        <v>66.75</v>
      </c>
      <c r="AJ415">
        <v>3.6950500000000002</v>
      </c>
      <c r="AK415">
        <v>3.5097500000000004</v>
      </c>
      <c r="AN415" t="str">
        <f t="shared" si="28"/>
        <v>Temora</v>
      </c>
      <c r="AO415">
        <f t="shared" si="29"/>
        <v>2015</v>
      </c>
      <c r="AP415" t="str">
        <f t="shared" si="30"/>
        <v>Mace</v>
      </c>
      <c r="AQ415" t="str">
        <f t="shared" si="31"/>
        <v>Temora2015CvMace</v>
      </c>
      <c r="AU415" t="s">
        <v>2</v>
      </c>
      <c r="AV415" s="3">
        <v>42214</v>
      </c>
      <c r="AW415" s="16">
        <v>10.3400515794974</v>
      </c>
      <c r="BB415">
        <v>0.82127815223183276</v>
      </c>
      <c r="BC415">
        <v>0.74336706276240017</v>
      </c>
    </row>
    <row r="416" spans="1:55" x14ac:dyDescent="0.25">
      <c r="A416" s="14">
        <v>2015</v>
      </c>
      <c r="B416" s="14" t="s">
        <v>123</v>
      </c>
      <c r="C416" s="14" t="s">
        <v>130</v>
      </c>
      <c r="D416" s="14">
        <v>8</v>
      </c>
      <c r="E416" s="14">
        <v>2</v>
      </c>
      <c r="F416" s="14">
        <v>31</v>
      </c>
      <c r="G416" s="14">
        <v>3</v>
      </c>
      <c r="H416" s="14" t="s">
        <v>6</v>
      </c>
      <c r="I416" s="15">
        <v>42276</v>
      </c>
      <c r="J416" s="14" t="s">
        <v>128</v>
      </c>
      <c r="K416" s="14">
        <v>830</v>
      </c>
      <c r="L416" s="14">
        <v>475</v>
      </c>
      <c r="M416" s="14">
        <v>117</v>
      </c>
      <c r="N416" s="14">
        <v>202</v>
      </c>
      <c r="O416" s="14">
        <v>36.1</v>
      </c>
      <c r="P416" s="10"/>
      <c r="Q416" s="10"/>
      <c r="R416" s="26"/>
      <c r="T416" s="16"/>
      <c r="AD416" s="3">
        <v>42247</v>
      </c>
      <c r="AE416" s="16">
        <v>321.25</v>
      </c>
      <c r="AF416">
        <v>159</v>
      </c>
      <c r="AG416">
        <v>162.25</v>
      </c>
      <c r="AJ416">
        <v>15.204625</v>
      </c>
      <c r="AK416">
        <v>17.072649999999999</v>
      </c>
      <c r="AN416" t="str">
        <f t="shared" si="28"/>
        <v>Temora</v>
      </c>
      <c r="AO416">
        <f t="shared" si="29"/>
        <v>2015</v>
      </c>
      <c r="AP416" t="str">
        <f t="shared" si="30"/>
        <v>Mace</v>
      </c>
      <c r="AQ416" t="str">
        <f t="shared" si="31"/>
        <v>Temora2015CvMace</v>
      </c>
      <c r="AV416" s="3">
        <v>42247</v>
      </c>
      <c r="AW416" s="16">
        <v>86.688619014647287</v>
      </c>
      <c r="AX416">
        <v>56.868268832451726</v>
      </c>
      <c r="AY416">
        <v>31.478828864280619</v>
      </c>
      <c r="BB416">
        <v>2.4467562899684152</v>
      </c>
      <c r="BC416">
        <v>7.4834932077205805</v>
      </c>
    </row>
    <row r="417" spans="1:55" x14ac:dyDescent="0.25">
      <c r="A417" s="14">
        <v>2015</v>
      </c>
      <c r="B417" s="14" t="s">
        <v>123</v>
      </c>
      <c r="C417" s="14" t="s">
        <v>130</v>
      </c>
      <c r="D417" s="14">
        <v>8</v>
      </c>
      <c r="E417" s="14">
        <v>1</v>
      </c>
      <c r="F417" s="14">
        <v>32</v>
      </c>
      <c r="G417" s="14">
        <v>3</v>
      </c>
      <c r="H417" s="14" t="s">
        <v>10</v>
      </c>
      <c r="I417" s="15">
        <v>42276</v>
      </c>
      <c r="J417" s="14" t="s">
        <v>128</v>
      </c>
      <c r="K417" s="14">
        <v>721</v>
      </c>
      <c r="L417" s="14">
        <v>387</v>
      </c>
      <c r="M417" s="14">
        <v>92</v>
      </c>
      <c r="N417" s="14">
        <v>204</v>
      </c>
      <c r="O417" s="14">
        <v>38</v>
      </c>
      <c r="P417" s="10"/>
      <c r="Q417" s="10"/>
      <c r="R417" s="26"/>
      <c r="T417" s="16"/>
      <c r="AD417" s="3">
        <v>42264</v>
      </c>
      <c r="AE417" s="16">
        <v>654.5</v>
      </c>
      <c r="AF417">
        <v>431.75</v>
      </c>
      <c r="AG417">
        <v>223</v>
      </c>
      <c r="AJ417">
        <v>19.519500000000001</v>
      </c>
      <c r="AK417">
        <v>77.394424999999998</v>
      </c>
      <c r="AN417" t="str">
        <f t="shared" si="28"/>
        <v>Temora</v>
      </c>
      <c r="AO417">
        <f t="shared" si="29"/>
        <v>2015</v>
      </c>
      <c r="AP417" t="str">
        <f t="shared" si="30"/>
        <v>Mace</v>
      </c>
      <c r="AQ417" t="str">
        <f t="shared" si="31"/>
        <v>Temora2015CvMace</v>
      </c>
      <c r="AV417" s="3">
        <v>42264</v>
      </c>
      <c r="AW417" s="16">
        <v>33.965668941839887</v>
      </c>
      <c r="AX417">
        <v>30.48906907948049</v>
      </c>
      <c r="AY417">
        <v>5.41602560309064</v>
      </c>
      <c r="BB417">
        <v>1.2372583265699617</v>
      </c>
      <c r="BC417">
        <v>17.890201578587678</v>
      </c>
    </row>
    <row r="418" spans="1:55" x14ac:dyDescent="0.25">
      <c r="A418" s="14">
        <v>2015</v>
      </c>
      <c r="B418" s="14" t="s">
        <v>123</v>
      </c>
      <c r="C418" s="14" t="s">
        <v>130</v>
      </c>
      <c r="D418" s="14">
        <v>9</v>
      </c>
      <c r="E418" s="14">
        <v>1</v>
      </c>
      <c r="F418" s="14">
        <v>33</v>
      </c>
      <c r="G418" s="14">
        <v>3</v>
      </c>
      <c r="H418" s="14" t="s">
        <v>2</v>
      </c>
      <c r="I418" s="15">
        <v>42276</v>
      </c>
      <c r="J418" s="14" t="s">
        <v>128</v>
      </c>
      <c r="K418" s="14">
        <v>839</v>
      </c>
      <c r="L418" s="14">
        <v>423</v>
      </c>
      <c r="M418" s="14">
        <v>120</v>
      </c>
      <c r="N418" s="14">
        <v>209</v>
      </c>
      <c r="O418" s="14">
        <v>86.5</v>
      </c>
      <c r="P418" s="10"/>
      <c r="Q418" s="10"/>
      <c r="R418" s="26"/>
      <c r="T418" s="16"/>
      <c r="AD418" s="3">
        <v>42291</v>
      </c>
      <c r="AE418" s="16">
        <v>1182.25</v>
      </c>
      <c r="AF418">
        <v>663</v>
      </c>
      <c r="AG418">
        <v>109.75</v>
      </c>
      <c r="AH418">
        <v>337.25</v>
      </c>
      <c r="AI418">
        <v>72.25</v>
      </c>
      <c r="AJ418">
        <v>20.071550000000002</v>
      </c>
      <c r="AK418">
        <v>185.59264999999999</v>
      </c>
      <c r="AN418" t="str">
        <f t="shared" si="28"/>
        <v>Temora</v>
      </c>
      <c r="AO418">
        <f t="shared" si="29"/>
        <v>2015</v>
      </c>
      <c r="AP418" t="str">
        <f t="shared" si="30"/>
        <v>Mace</v>
      </c>
      <c r="AQ418" t="str">
        <f t="shared" si="31"/>
        <v>Temora2015CvMace</v>
      </c>
      <c r="AV418" s="3">
        <v>42291</v>
      </c>
      <c r="AW418" s="16">
        <v>57.244359256320323</v>
      </c>
      <c r="AX418">
        <v>31.347514521356658</v>
      </c>
      <c r="AY418">
        <v>21.234798484249072</v>
      </c>
      <c r="AZ418">
        <v>18.589871794429712</v>
      </c>
      <c r="BA418">
        <v>17.969882210706523</v>
      </c>
      <c r="BB418">
        <v>2.792351000501184</v>
      </c>
      <c r="BC418">
        <v>39.791723127094357</v>
      </c>
    </row>
    <row r="419" spans="1:55" x14ac:dyDescent="0.25">
      <c r="A419" s="14">
        <v>2015</v>
      </c>
      <c r="B419" s="14" t="s">
        <v>123</v>
      </c>
      <c r="C419" s="14" t="s">
        <v>130</v>
      </c>
      <c r="D419" s="14">
        <v>9</v>
      </c>
      <c r="E419" s="14">
        <v>2</v>
      </c>
      <c r="F419" s="14">
        <v>34</v>
      </c>
      <c r="G419" s="14">
        <v>3</v>
      </c>
      <c r="H419" s="14" t="s">
        <v>4</v>
      </c>
      <c r="I419" s="15">
        <v>42276</v>
      </c>
      <c r="J419" s="14" t="s">
        <v>128</v>
      </c>
      <c r="K419" s="14">
        <v>1053</v>
      </c>
      <c r="L419" s="14">
        <v>590</v>
      </c>
      <c r="M419" s="14">
        <v>108</v>
      </c>
      <c r="N419" s="14">
        <v>284</v>
      </c>
      <c r="O419" s="14">
        <v>71.5</v>
      </c>
      <c r="P419" s="10"/>
      <c r="Q419" s="10"/>
      <c r="R419" s="26"/>
      <c r="T419" s="16"/>
      <c r="AD419" s="3">
        <v>42361</v>
      </c>
      <c r="AE419" s="16">
        <v>1202.75</v>
      </c>
      <c r="AF419">
        <v>413.75</v>
      </c>
      <c r="AH419">
        <v>710.5</v>
      </c>
      <c r="AI419">
        <v>78.75</v>
      </c>
      <c r="AN419" t="str">
        <f t="shared" si="28"/>
        <v>Temora</v>
      </c>
      <c r="AO419">
        <f t="shared" si="29"/>
        <v>2015</v>
      </c>
      <c r="AP419" t="str">
        <f t="shared" si="30"/>
        <v>Mace</v>
      </c>
      <c r="AQ419" t="str">
        <f t="shared" si="31"/>
        <v>Temora2015CvMace</v>
      </c>
      <c r="AV419" s="3">
        <v>42361</v>
      </c>
      <c r="AW419" s="16">
        <v>85.951051961760967</v>
      </c>
      <c r="AX419">
        <v>36.664015055637321</v>
      </c>
      <c r="AZ419">
        <v>59.354865007006801</v>
      </c>
      <c r="BA419">
        <v>9.2870878105033547</v>
      </c>
    </row>
    <row r="420" spans="1:55" x14ac:dyDescent="0.25">
      <c r="A420" s="14">
        <v>2015</v>
      </c>
      <c r="B420" s="14" t="s">
        <v>123</v>
      </c>
      <c r="C420" s="14" t="s">
        <v>130</v>
      </c>
      <c r="D420" s="14">
        <v>9</v>
      </c>
      <c r="E420" s="14">
        <v>3</v>
      </c>
      <c r="F420" s="14">
        <v>35</v>
      </c>
      <c r="G420" s="14">
        <v>3</v>
      </c>
      <c r="H420" s="14" t="s">
        <v>14</v>
      </c>
      <c r="I420" s="15">
        <v>42276</v>
      </c>
      <c r="J420" s="14" t="s">
        <v>128</v>
      </c>
      <c r="K420" s="14">
        <v>766</v>
      </c>
      <c r="L420" s="14">
        <v>415</v>
      </c>
      <c r="M420" s="14">
        <v>88</v>
      </c>
      <c r="N420" s="14">
        <v>208</v>
      </c>
      <c r="O420" s="14">
        <v>55.1</v>
      </c>
      <c r="P420" s="10"/>
      <c r="Q420" s="10"/>
      <c r="R420" s="26"/>
      <c r="T420" s="16"/>
      <c r="AC420" t="s">
        <v>3</v>
      </c>
      <c r="AD420" s="3">
        <v>42214</v>
      </c>
      <c r="AE420" s="16">
        <v>61</v>
      </c>
      <c r="AJ420">
        <v>3.4291499999999999</v>
      </c>
      <c r="AK420">
        <v>3.1094999999999997</v>
      </c>
      <c r="AN420" t="str">
        <f t="shared" si="28"/>
        <v>Temora</v>
      </c>
      <c r="AO420">
        <f t="shared" si="29"/>
        <v>2015</v>
      </c>
      <c r="AP420" t="str">
        <f t="shared" si="30"/>
        <v>Scout</v>
      </c>
      <c r="AQ420" t="str">
        <f t="shared" si="31"/>
        <v>Temora2015CvScout</v>
      </c>
      <c r="AU420" t="s">
        <v>3</v>
      </c>
      <c r="AV420" s="3">
        <v>42214</v>
      </c>
      <c r="AW420" s="16">
        <v>20.992061991778385</v>
      </c>
      <c r="BB420">
        <v>1.1376592181609868</v>
      </c>
      <c r="BC420">
        <v>1.2955477554558408</v>
      </c>
    </row>
    <row r="421" spans="1:55" x14ac:dyDescent="0.25">
      <c r="A421" s="14">
        <v>2015</v>
      </c>
      <c r="B421" s="14" t="s">
        <v>123</v>
      </c>
      <c r="C421" s="14" t="s">
        <v>130</v>
      </c>
      <c r="D421" s="14">
        <v>9</v>
      </c>
      <c r="E421" s="14">
        <v>4</v>
      </c>
      <c r="F421" s="14">
        <v>36</v>
      </c>
      <c r="G421" s="14">
        <v>3</v>
      </c>
      <c r="H421" s="14" t="s">
        <v>12</v>
      </c>
      <c r="I421" s="15">
        <v>42276</v>
      </c>
      <c r="J421" s="14" t="s">
        <v>128</v>
      </c>
      <c r="K421" s="14">
        <v>800</v>
      </c>
      <c r="L421" s="14">
        <v>470</v>
      </c>
      <c r="M421" s="14">
        <v>126</v>
      </c>
      <c r="N421" s="14">
        <v>178</v>
      </c>
      <c r="O421" s="14">
        <v>26.7</v>
      </c>
      <c r="P421" s="10"/>
      <c r="Q421" s="10"/>
      <c r="R421" s="26"/>
      <c r="T421" s="16"/>
      <c r="AD421" s="3">
        <v>42247</v>
      </c>
      <c r="AE421" s="16">
        <v>241</v>
      </c>
      <c r="AF421">
        <v>108.75</v>
      </c>
      <c r="AG421">
        <v>132.25</v>
      </c>
      <c r="AJ421">
        <v>11.921200000000001</v>
      </c>
      <c r="AK421">
        <v>12.02355</v>
      </c>
      <c r="AN421" t="str">
        <f t="shared" si="28"/>
        <v>Temora</v>
      </c>
      <c r="AO421">
        <f t="shared" si="29"/>
        <v>2015</v>
      </c>
      <c r="AP421" t="str">
        <f t="shared" si="30"/>
        <v>Scout</v>
      </c>
      <c r="AQ421" t="str">
        <f t="shared" si="31"/>
        <v>Temora2015CvScout</v>
      </c>
      <c r="AV421" s="3">
        <v>42247</v>
      </c>
      <c r="AW421" s="16">
        <v>38.729833462074168</v>
      </c>
      <c r="AX421">
        <v>21.437894797142125</v>
      </c>
      <c r="AY421">
        <v>22.5</v>
      </c>
      <c r="BB421">
        <v>1.64731694582432</v>
      </c>
      <c r="BC421">
        <v>3.9907033778520784</v>
      </c>
    </row>
    <row r="422" spans="1:55" x14ac:dyDescent="0.25">
      <c r="A422" s="14">
        <v>2015</v>
      </c>
      <c r="B422" s="14" t="s">
        <v>123</v>
      </c>
      <c r="C422" s="14" t="s">
        <v>130</v>
      </c>
      <c r="D422" s="14">
        <v>10</v>
      </c>
      <c r="E422" s="14">
        <v>4</v>
      </c>
      <c r="F422" s="14">
        <v>37</v>
      </c>
      <c r="G422" s="14">
        <v>4</v>
      </c>
      <c r="H422" s="14" t="s">
        <v>9</v>
      </c>
      <c r="I422" s="15">
        <v>42276</v>
      </c>
      <c r="J422" s="14" t="s">
        <v>128</v>
      </c>
      <c r="K422" s="14">
        <v>747</v>
      </c>
      <c r="L422" s="14">
        <v>390</v>
      </c>
      <c r="M422" s="14">
        <v>115</v>
      </c>
      <c r="N422" s="14">
        <v>196</v>
      </c>
      <c r="O422" s="14">
        <v>47</v>
      </c>
      <c r="P422" s="10"/>
      <c r="Q422" s="10"/>
      <c r="R422" s="26"/>
      <c r="T422" s="16"/>
      <c r="AD422" s="3">
        <v>42264</v>
      </c>
      <c r="AE422" s="16">
        <v>553.5</v>
      </c>
      <c r="AF422">
        <v>328.5</v>
      </c>
      <c r="AG422">
        <v>225.25</v>
      </c>
      <c r="AJ422">
        <v>18.35445</v>
      </c>
      <c r="AK422">
        <v>61.631824999999999</v>
      </c>
      <c r="AN422" t="str">
        <f t="shared" si="28"/>
        <v>Temora</v>
      </c>
      <c r="AO422">
        <f t="shared" si="29"/>
        <v>2015</v>
      </c>
      <c r="AP422" t="str">
        <f t="shared" si="30"/>
        <v>Scout</v>
      </c>
      <c r="AQ422" t="str">
        <f t="shared" si="31"/>
        <v>Temora2015CvScout</v>
      </c>
      <c r="AV422" s="3">
        <v>42264</v>
      </c>
      <c r="AW422" s="16">
        <v>97.394387244166523</v>
      </c>
      <c r="AX422">
        <v>60.346223300772238</v>
      </c>
      <c r="AY422">
        <v>40.036441733334229</v>
      </c>
      <c r="BB422">
        <v>3.6315870851002203</v>
      </c>
      <c r="BC422">
        <v>4.7794115874759742</v>
      </c>
    </row>
    <row r="423" spans="1:55" x14ac:dyDescent="0.25">
      <c r="A423" s="14">
        <v>2015</v>
      </c>
      <c r="B423" s="14" t="s">
        <v>123</v>
      </c>
      <c r="C423" s="14" t="s">
        <v>130</v>
      </c>
      <c r="D423" s="14">
        <v>10</v>
      </c>
      <c r="E423" s="14">
        <v>3</v>
      </c>
      <c r="F423" s="14">
        <v>38</v>
      </c>
      <c r="G423" s="14">
        <v>4</v>
      </c>
      <c r="H423" s="14" t="s">
        <v>2</v>
      </c>
      <c r="I423" s="15">
        <v>42276</v>
      </c>
      <c r="J423" s="14" t="s">
        <v>128</v>
      </c>
      <c r="K423" s="14">
        <v>891</v>
      </c>
      <c r="L423" s="14">
        <v>487</v>
      </c>
      <c r="M423" s="14">
        <v>94</v>
      </c>
      <c r="N423" s="14">
        <v>244</v>
      </c>
      <c r="O423" s="14">
        <v>65.8</v>
      </c>
      <c r="P423" s="10"/>
      <c r="Q423" s="10"/>
      <c r="R423" s="26"/>
      <c r="T423" s="16"/>
      <c r="AD423" s="3">
        <v>42291</v>
      </c>
      <c r="AE423" s="16">
        <v>1044.75</v>
      </c>
      <c r="AF423">
        <v>578.75</v>
      </c>
      <c r="AG423">
        <v>142.5</v>
      </c>
      <c r="AH423">
        <v>269.5</v>
      </c>
      <c r="AI423">
        <v>54.25</v>
      </c>
      <c r="AJ423">
        <v>21.223750000000003</v>
      </c>
      <c r="AK423">
        <v>165.63185000000001</v>
      </c>
      <c r="AN423" t="str">
        <f t="shared" si="28"/>
        <v>Temora</v>
      </c>
      <c r="AO423">
        <f t="shared" si="29"/>
        <v>2015</v>
      </c>
      <c r="AP423" t="str">
        <f t="shared" si="30"/>
        <v>Scout</v>
      </c>
      <c r="AQ423" t="str">
        <f t="shared" si="31"/>
        <v>Temora2015CvScout</v>
      </c>
      <c r="AV423" s="3">
        <v>42291</v>
      </c>
      <c r="AW423" s="16">
        <v>47.18315377335432</v>
      </c>
      <c r="AX423">
        <v>25.421447637772321</v>
      </c>
      <c r="AY423">
        <v>12.369316876852981</v>
      </c>
      <c r="AZ423">
        <v>18.119970566569176</v>
      </c>
      <c r="BA423">
        <v>8.8835053141576203</v>
      </c>
      <c r="BB423">
        <v>2.0440524805721489</v>
      </c>
      <c r="BC423">
        <v>30.189868954722691</v>
      </c>
    </row>
    <row r="424" spans="1:55" x14ac:dyDescent="0.25">
      <c r="A424" s="14">
        <v>2015</v>
      </c>
      <c r="B424" s="14" t="s">
        <v>123</v>
      </c>
      <c r="C424" s="14" t="s">
        <v>130</v>
      </c>
      <c r="D424" s="14">
        <v>10</v>
      </c>
      <c r="E424" s="14">
        <v>2</v>
      </c>
      <c r="F424" s="14">
        <v>39</v>
      </c>
      <c r="G424" s="14">
        <v>4</v>
      </c>
      <c r="H424" s="14" t="s">
        <v>12</v>
      </c>
      <c r="I424" s="15">
        <v>42276</v>
      </c>
      <c r="J424" s="14" t="s">
        <v>128</v>
      </c>
      <c r="K424" s="14">
        <v>995</v>
      </c>
      <c r="L424" s="14">
        <v>565</v>
      </c>
      <c r="M424" s="14">
        <v>122</v>
      </c>
      <c r="N424" s="14">
        <v>250</v>
      </c>
      <c r="O424" s="14">
        <v>58.6</v>
      </c>
      <c r="P424" s="10"/>
      <c r="Q424" s="10"/>
      <c r="R424" s="26"/>
      <c r="T424" s="16"/>
      <c r="AD424" s="3">
        <v>42361</v>
      </c>
      <c r="AE424" s="16">
        <v>1142.5</v>
      </c>
      <c r="AF424">
        <v>413.5</v>
      </c>
      <c r="AH424">
        <v>624.25</v>
      </c>
      <c r="AI424">
        <v>104.75</v>
      </c>
      <c r="AN424" t="str">
        <f t="shared" si="28"/>
        <v>Temora</v>
      </c>
      <c r="AO424">
        <f t="shared" si="29"/>
        <v>2015</v>
      </c>
      <c r="AP424" t="str">
        <f t="shared" si="30"/>
        <v>Scout</v>
      </c>
      <c r="AQ424" t="str">
        <f t="shared" si="31"/>
        <v>Temora2015CvScout</v>
      </c>
      <c r="AV424" s="3">
        <v>42361</v>
      </c>
      <c r="AW424" s="16">
        <v>21.079215671683169</v>
      </c>
      <c r="AX424">
        <v>30.490435658853198</v>
      </c>
      <c r="AZ424">
        <v>28.894924583162812</v>
      </c>
      <c r="BA424">
        <v>16.479785597310826</v>
      </c>
    </row>
    <row r="425" spans="1:55" x14ac:dyDescent="0.25">
      <c r="A425" s="14">
        <v>2015</v>
      </c>
      <c r="B425" s="14" t="s">
        <v>123</v>
      </c>
      <c r="C425" s="14" t="s">
        <v>130</v>
      </c>
      <c r="D425" s="14">
        <v>10</v>
      </c>
      <c r="E425" s="14">
        <v>1</v>
      </c>
      <c r="F425" s="14">
        <v>40</v>
      </c>
      <c r="G425" s="14">
        <v>4</v>
      </c>
      <c r="H425" s="14" t="s">
        <v>13</v>
      </c>
      <c r="I425" s="15">
        <v>42276</v>
      </c>
      <c r="J425" s="14" t="s">
        <v>128</v>
      </c>
      <c r="K425" s="14">
        <v>817</v>
      </c>
      <c r="L425" s="14">
        <v>442</v>
      </c>
      <c r="M425" s="14">
        <v>141</v>
      </c>
      <c r="N425" s="14">
        <v>181</v>
      </c>
      <c r="O425" s="14">
        <v>53</v>
      </c>
      <c r="P425" s="10"/>
      <c r="Q425" s="10"/>
      <c r="R425" s="26"/>
      <c r="T425" s="16"/>
      <c r="AC425" t="s">
        <v>5</v>
      </c>
      <c r="AD425" s="3">
        <v>42214</v>
      </c>
      <c r="AE425" s="16">
        <v>55</v>
      </c>
      <c r="AJ425">
        <v>3.1361499999999998</v>
      </c>
      <c r="AK425">
        <v>2.8931499999999994</v>
      </c>
      <c r="AN425" t="str">
        <f t="shared" si="28"/>
        <v>Temora</v>
      </c>
      <c r="AO425">
        <f t="shared" si="29"/>
        <v>2015</v>
      </c>
      <c r="AP425" t="str">
        <f t="shared" si="30"/>
        <v>Spitfire</v>
      </c>
      <c r="AQ425" t="str">
        <f t="shared" si="31"/>
        <v>Temora2015CvSpitfire</v>
      </c>
      <c r="AU425" t="s">
        <v>5</v>
      </c>
      <c r="AV425" s="3">
        <v>42214</v>
      </c>
      <c r="AW425" s="16">
        <v>6.4807406984078604</v>
      </c>
      <c r="BB425">
        <v>0.26963923428660808</v>
      </c>
      <c r="BC425">
        <v>0.38702235508215282</v>
      </c>
    </row>
    <row r="426" spans="1:55" x14ac:dyDescent="0.25">
      <c r="A426" s="14">
        <v>2015</v>
      </c>
      <c r="B426" s="14" t="s">
        <v>123</v>
      </c>
      <c r="C426" s="14" t="s">
        <v>130</v>
      </c>
      <c r="D426" s="14">
        <v>11</v>
      </c>
      <c r="E426" s="14">
        <v>1</v>
      </c>
      <c r="F426" s="14">
        <v>41</v>
      </c>
      <c r="G426" s="14">
        <v>4</v>
      </c>
      <c r="H426" s="14" t="s">
        <v>4</v>
      </c>
      <c r="I426" s="15">
        <v>42276</v>
      </c>
      <c r="J426" s="14" t="s">
        <v>128</v>
      </c>
      <c r="K426" s="14">
        <v>925</v>
      </c>
      <c r="L426" s="14">
        <v>524</v>
      </c>
      <c r="M426" s="14">
        <v>118</v>
      </c>
      <c r="N426" s="14">
        <v>242</v>
      </c>
      <c r="O426" s="14">
        <v>41.2</v>
      </c>
      <c r="P426" s="10"/>
      <c r="Q426" s="10"/>
      <c r="R426" s="26"/>
      <c r="T426" s="16"/>
      <c r="AD426" s="3">
        <v>42247</v>
      </c>
      <c r="AE426" s="16">
        <v>238.5</v>
      </c>
      <c r="AF426">
        <v>107.75</v>
      </c>
      <c r="AG426">
        <v>130.25</v>
      </c>
      <c r="AJ426">
        <v>12.378900000000002</v>
      </c>
      <c r="AK426">
        <v>10.750449999999999</v>
      </c>
      <c r="AN426" t="str">
        <f t="shared" si="28"/>
        <v>Temora</v>
      </c>
      <c r="AO426">
        <f t="shared" si="29"/>
        <v>2015</v>
      </c>
      <c r="AP426" t="str">
        <f t="shared" si="30"/>
        <v>Spitfire</v>
      </c>
      <c r="AQ426" t="str">
        <f t="shared" si="31"/>
        <v>Temora2015CvSpitfire</v>
      </c>
      <c r="AV426" s="3">
        <v>42247</v>
      </c>
      <c r="AW426" s="16">
        <v>40.269922605670189</v>
      </c>
      <c r="AX426">
        <v>21.777281740382566</v>
      </c>
      <c r="AY426">
        <v>19.619293225462194</v>
      </c>
      <c r="BB426">
        <v>2.3594837443813819</v>
      </c>
      <c r="BC426">
        <v>1.1993251783121064</v>
      </c>
    </row>
    <row r="427" spans="1:55" x14ac:dyDescent="0.25">
      <c r="A427" s="14">
        <v>2015</v>
      </c>
      <c r="B427" s="14" t="s">
        <v>123</v>
      </c>
      <c r="C427" s="14" t="s">
        <v>130</v>
      </c>
      <c r="D427" s="14">
        <v>11</v>
      </c>
      <c r="E427" s="14">
        <v>2</v>
      </c>
      <c r="F427" s="14">
        <v>42</v>
      </c>
      <c r="G427" s="14">
        <v>4</v>
      </c>
      <c r="H427" s="14" t="s">
        <v>3</v>
      </c>
      <c r="I427" s="15">
        <v>42276</v>
      </c>
      <c r="J427" s="14" t="s">
        <v>128</v>
      </c>
      <c r="K427" s="14">
        <v>796</v>
      </c>
      <c r="L427" s="14">
        <v>435</v>
      </c>
      <c r="M427" s="14">
        <v>120</v>
      </c>
      <c r="N427" s="14">
        <v>198</v>
      </c>
      <c r="O427" s="14">
        <v>42.9</v>
      </c>
      <c r="P427" s="10"/>
      <c r="Q427" s="10"/>
      <c r="R427" s="26"/>
      <c r="T427" s="16"/>
      <c r="AD427" s="3">
        <v>42264</v>
      </c>
      <c r="AE427" s="16">
        <v>579</v>
      </c>
      <c r="AF427">
        <v>350.5</v>
      </c>
      <c r="AG427">
        <v>229</v>
      </c>
      <c r="AJ427">
        <v>18.969450000000002</v>
      </c>
      <c r="AK427">
        <v>62.048400000000001</v>
      </c>
      <c r="AN427" t="str">
        <f t="shared" si="28"/>
        <v>Temora</v>
      </c>
      <c r="AO427">
        <f t="shared" si="29"/>
        <v>2015</v>
      </c>
      <c r="AP427" t="str">
        <f t="shared" si="30"/>
        <v>Spitfire</v>
      </c>
      <c r="AQ427" t="str">
        <f t="shared" si="31"/>
        <v>Temora2015CvSpitfire</v>
      </c>
      <c r="AV427" s="3">
        <v>42264</v>
      </c>
      <c r="AW427" s="16">
        <v>26.658332030842939</v>
      </c>
      <c r="AX427">
        <v>7.8528126595931642</v>
      </c>
      <c r="AY427">
        <v>19.629909152447276</v>
      </c>
      <c r="BB427">
        <v>2.0071461755437587</v>
      </c>
      <c r="BC427">
        <v>12.992041817461413</v>
      </c>
    </row>
    <row r="428" spans="1:55" x14ac:dyDescent="0.25">
      <c r="A428" s="14">
        <v>2015</v>
      </c>
      <c r="B428" s="14" t="s">
        <v>123</v>
      </c>
      <c r="C428" s="14" t="s">
        <v>130</v>
      </c>
      <c r="D428" s="14">
        <v>11</v>
      </c>
      <c r="E428" s="14">
        <v>3</v>
      </c>
      <c r="F428" s="14">
        <v>43</v>
      </c>
      <c r="G428" s="14">
        <v>4</v>
      </c>
      <c r="H428" s="14" t="s">
        <v>6</v>
      </c>
      <c r="I428" s="15">
        <v>42276</v>
      </c>
      <c r="J428" s="14" t="s">
        <v>128</v>
      </c>
      <c r="K428" s="14">
        <v>1055</v>
      </c>
      <c r="L428" s="14">
        <v>605</v>
      </c>
      <c r="M428" s="14">
        <v>179</v>
      </c>
      <c r="N428" s="14">
        <v>227</v>
      </c>
      <c r="O428" s="14">
        <v>43.8</v>
      </c>
      <c r="P428" s="10"/>
      <c r="Q428" s="10"/>
      <c r="R428" s="26"/>
      <c r="T428" s="16"/>
      <c r="AD428" s="3">
        <v>42291</v>
      </c>
      <c r="AE428" s="16">
        <v>1112.75</v>
      </c>
      <c r="AF428">
        <v>603.5</v>
      </c>
      <c r="AG428">
        <v>122.5</v>
      </c>
      <c r="AH428">
        <v>315</v>
      </c>
      <c r="AI428">
        <v>72</v>
      </c>
      <c r="AJ428">
        <v>21.739899999999999</v>
      </c>
      <c r="AK428">
        <v>158.91097500000001</v>
      </c>
      <c r="AN428" t="str">
        <f t="shared" si="28"/>
        <v>Temora</v>
      </c>
      <c r="AO428">
        <f t="shared" si="29"/>
        <v>2015</v>
      </c>
      <c r="AP428" t="str">
        <f t="shared" si="30"/>
        <v>Spitfire</v>
      </c>
      <c r="AQ428" t="str">
        <f t="shared" si="31"/>
        <v>Temora2015CvSpitfire</v>
      </c>
      <c r="AV428" s="3">
        <v>42291</v>
      </c>
      <c r="AW428" s="16">
        <v>47.408684155261405</v>
      </c>
      <c r="AX428">
        <v>21.794494717703369</v>
      </c>
      <c r="AY428">
        <v>10.344080432788601</v>
      </c>
      <c r="AZ428">
        <v>23.664319132398465</v>
      </c>
      <c r="BA428">
        <v>11.16542281629615</v>
      </c>
      <c r="BB428">
        <v>2.5844062761106548</v>
      </c>
      <c r="BC428">
        <v>20.907153705589831</v>
      </c>
    </row>
    <row r="429" spans="1:55" x14ac:dyDescent="0.25">
      <c r="A429" s="14">
        <v>2015</v>
      </c>
      <c r="B429" s="14" t="s">
        <v>123</v>
      </c>
      <c r="C429" s="14" t="s">
        <v>130</v>
      </c>
      <c r="D429" s="14">
        <v>11</v>
      </c>
      <c r="E429" s="14">
        <v>4</v>
      </c>
      <c r="F429" s="14">
        <v>44</v>
      </c>
      <c r="G429" s="14">
        <v>4</v>
      </c>
      <c r="H429" s="14" t="s">
        <v>14</v>
      </c>
      <c r="I429" s="15">
        <v>42276</v>
      </c>
      <c r="J429" s="14" t="s">
        <v>128</v>
      </c>
      <c r="K429" s="14">
        <v>826</v>
      </c>
      <c r="L429" s="14">
        <v>437</v>
      </c>
      <c r="M429" s="14">
        <v>82</v>
      </c>
      <c r="N429" s="14">
        <v>260</v>
      </c>
      <c r="O429" s="14">
        <v>46.2</v>
      </c>
      <c r="P429" s="10"/>
      <c r="Q429" s="10"/>
      <c r="R429" s="26"/>
      <c r="T429" s="16"/>
      <c r="AD429" s="3">
        <v>42361</v>
      </c>
      <c r="AE429" s="16">
        <v>1085.5</v>
      </c>
      <c r="AF429">
        <v>343.5</v>
      </c>
      <c r="AH429">
        <v>650.5</v>
      </c>
      <c r="AI429">
        <v>91</v>
      </c>
      <c r="AN429" t="str">
        <f t="shared" si="28"/>
        <v>Temora</v>
      </c>
      <c r="AO429">
        <f t="shared" si="29"/>
        <v>2015</v>
      </c>
      <c r="AP429" t="str">
        <f t="shared" si="30"/>
        <v>Spitfire</v>
      </c>
      <c r="AQ429" t="str">
        <f t="shared" si="31"/>
        <v>Temora2015CvSpitfire</v>
      </c>
      <c r="AV429" s="3">
        <v>42361</v>
      </c>
      <c r="AW429" s="16">
        <v>31.806707887907333</v>
      </c>
      <c r="AX429">
        <v>6.8556546004010439</v>
      </c>
      <c r="AZ429">
        <v>43.285871444001991</v>
      </c>
      <c r="BA429">
        <v>6.6833125519211407</v>
      </c>
    </row>
    <row r="430" spans="1:55" x14ac:dyDescent="0.25">
      <c r="A430" s="14">
        <v>2015</v>
      </c>
      <c r="B430" s="14" t="s">
        <v>123</v>
      </c>
      <c r="C430" s="14" t="s">
        <v>130</v>
      </c>
      <c r="D430" s="14">
        <v>12</v>
      </c>
      <c r="E430" s="14">
        <v>4</v>
      </c>
      <c r="F430" s="14">
        <v>45</v>
      </c>
      <c r="G430" s="14">
        <v>4</v>
      </c>
      <c r="H430" s="14" t="s">
        <v>5</v>
      </c>
      <c r="I430" s="15">
        <v>42276</v>
      </c>
      <c r="J430" s="14" t="s">
        <v>128</v>
      </c>
      <c r="K430" s="14">
        <v>665</v>
      </c>
      <c r="L430" s="14">
        <v>371</v>
      </c>
      <c r="M430" s="14">
        <v>94</v>
      </c>
      <c r="N430" s="14">
        <v>164</v>
      </c>
      <c r="O430" s="14">
        <v>36.5</v>
      </c>
      <c r="P430" s="10"/>
      <c r="Q430" s="10"/>
      <c r="R430" s="26"/>
      <c r="T430" s="16"/>
      <c r="AC430" t="s">
        <v>9</v>
      </c>
      <c r="AD430" s="3">
        <v>42214</v>
      </c>
      <c r="AE430" s="16">
        <v>54</v>
      </c>
      <c r="AJ430">
        <v>3.2520500000000001</v>
      </c>
      <c r="AK430">
        <v>1.7824499999999999</v>
      </c>
      <c r="AN430" t="str">
        <f t="shared" si="28"/>
        <v>Temora</v>
      </c>
      <c r="AO430">
        <f t="shared" si="29"/>
        <v>2015</v>
      </c>
      <c r="AP430" t="str">
        <f t="shared" si="30"/>
        <v>Sunbee</v>
      </c>
      <c r="AQ430" t="str">
        <f t="shared" si="31"/>
        <v>Temora2015CvSunbee</v>
      </c>
      <c r="AU430" t="s">
        <v>9</v>
      </c>
      <c r="AV430" s="3">
        <v>42214</v>
      </c>
      <c r="AW430" s="16">
        <v>7.3936910042729442</v>
      </c>
      <c r="BB430">
        <v>0.57572038641456069</v>
      </c>
      <c r="BC430">
        <v>0.49630947670447245</v>
      </c>
    </row>
    <row r="431" spans="1:55" x14ac:dyDescent="0.25">
      <c r="A431" s="14">
        <v>2015</v>
      </c>
      <c r="B431" s="14" t="s">
        <v>123</v>
      </c>
      <c r="C431" s="14" t="s">
        <v>130</v>
      </c>
      <c r="D431" s="14">
        <v>12</v>
      </c>
      <c r="E431" s="14">
        <v>3</v>
      </c>
      <c r="F431" s="14">
        <v>46</v>
      </c>
      <c r="G431" s="14">
        <v>4</v>
      </c>
      <c r="H431" s="14" t="s">
        <v>8</v>
      </c>
      <c r="I431" s="15">
        <v>42276</v>
      </c>
      <c r="J431" s="14" t="s">
        <v>128</v>
      </c>
      <c r="K431" s="14">
        <v>957</v>
      </c>
      <c r="L431" s="14">
        <v>548</v>
      </c>
      <c r="M431" s="14">
        <v>124</v>
      </c>
      <c r="N431" s="14">
        <v>232</v>
      </c>
      <c r="O431" s="14">
        <v>53.8</v>
      </c>
      <c r="P431" s="10"/>
      <c r="Q431" s="10"/>
      <c r="R431" s="26"/>
      <c r="T431" s="16"/>
      <c r="AD431" s="3">
        <v>42247</v>
      </c>
      <c r="AE431" s="16">
        <v>277.75</v>
      </c>
      <c r="AF431">
        <v>128.75</v>
      </c>
      <c r="AG431">
        <v>149.25</v>
      </c>
      <c r="AJ431">
        <v>15.219175000000002</v>
      </c>
      <c r="AK431">
        <v>4.9047499999999999</v>
      </c>
      <c r="AN431" t="str">
        <f t="shared" si="28"/>
        <v>Temora</v>
      </c>
      <c r="AO431">
        <f t="shared" si="29"/>
        <v>2015</v>
      </c>
      <c r="AP431" t="str">
        <f t="shared" si="30"/>
        <v>Sunbee</v>
      </c>
      <c r="AQ431" t="str">
        <f t="shared" si="31"/>
        <v>Temora2015CvSunbee</v>
      </c>
      <c r="AV431" s="3">
        <v>42247</v>
      </c>
      <c r="AW431" s="16">
        <v>27.83732506306356</v>
      </c>
      <c r="AX431">
        <v>11.354147553500733</v>
      </c>
      <c r="AY431">
        <v>17.250603854165028</v>
      </c>
      <c r="BB431">
        <v>1.6630103554999172</v>
      </c>
      <c r="BC431">
        <v>1.611903805028907</v>
      </c>
    </row>
    <row r="432" spans="1:55" x14ac:dyDescent="0.25">
      <c r="A432" s="14">
        <v>2015</v>
      </c>
      <c r="B432" s="14" t="s">
        <v>123</v>
      </c>
      <c r="C432" s="14" t="s">
        <v>130</v>
      </c>
      <c r="D432" s="14">
        <v>12</v>
      </c>
      <c r="E432" s="14">
        <v>2</v>
      </c>
      <c r="F432" s="14">
        <v>47</v>
      </c>
      <c r="G432" s="14">
        <v>4</v>
      </c>
      <c r="H432" s="14" t="s">
        <v>10</v>
      </c>
      <c r="I432" s="15">
        <v>42276</v>
      </c>
      <c r="J432" s="14" t="s">
        <v>128</v>
      </c>
      <c r="K432" s="14">
        <v>761</v>
      </c>
      <c r="L432" s="14">
        <v>407</v>
      </c>
      <c r="M432" s="14">
        <v>125</v>
      </c>
      <c r="N432" s="14">
        <v>196</v>
      </c>
      <c r="O432" s="14">
        <v>33.1</v>
      </c>
      <c r="P432" s="10"/>
      <c r="Q432" s="10"/>
      <c r="R432" s="26"/>
      <c r="T432" s="16"/>
      <c r="AD432" s="3">
        <v>42264</v>
      </c>
      <c r="AE432" s="16">
        <v>547</v>
      </c>
      <c r="AF432">
        <v>327</v>
      </c>
      <c r="AG432">
        <v>220.25</v>
      </c>
      <c r="AJ432">
        <v>20.662475000000001</v>
      </c>
      <c r="AK432">
        <v>44.155875000000002</v>
      </c>
      <c r="AN432" t="str">
        <f t="shared" si="28"/>
        <v>Temora</v>
      </c>
      <c r="AO432">
        <f t="shared" si="29"/>
        <v>2015</v>
      </c>
      <c r="AP432" t="str">
        <f t="shared" si="30"/>
        <v>Sunbee</v>
      </c>
      <c r="AQ432" t="str">
        <f t="shared" si="31"/>
        <v>Temora2015CvSunbee</v>
      </c>
      <c r="AV432" s="3">
        <v>42264</v>
      </c>
      <c r="AW432" s="16">
        <v>59.648973168026956</v>
      </c>
      <c r="AX432">
        <v>41.70531540863027</v>
      </c>
      <c r="AY432">
        <v>19.241881404893856</v>
      </c>
      <c r="BB432">
        <v>2.2918934288414738</v>
      </c>
      <c r="BC432">
        <v>12.060252974509559</v>
      </c>
    </row>
    <row r="433" spans="1:55" x14ac:dyDescent="0.25">
      <c r="A433" s="14">
        <v>2015</v>
      </c>
      <c r="B433" s="14" t="s">
        <v>123</v>
      </c>
      <c r="C433" s="14" t="s">
        <v>130</v>
      </c>
      <c r="D433" s="14">
        <v>12</v>
      </c>
      <c r="E433" s="14">
        <v>1</v>
      </c>
      <c r="F433" s="14">
        <v>48</v>
      </c>
      <c r="G433" s="14">
        <v>4</v>
      </c>
      <c r="H433" s="14" t="s">
        <v>7</v>
      </c>
      <c r="I433" s="15">
        <v>42276</v>
      </c>
      <c r="J433" s="14" t="s">
        <v>128</v>
      </c>
      <c r="K433" s="14">
        <v>873</v>
      </c>
      <c r="L433" s="14">
        <v>394</v>
      </c>
      <c r="M433" s="14">
        <v>99</v>
      </c>
      <c r="N433" s="14">
        <v>349</v>
      </c>
      <c r="O433" s="14">
        <v>30.7</v>
      </c>
      <c r="P433" s="10"/>
      <c r="Q433" s="10"/>
      <c r="R433" s="26"/>
      <c r="T433" s="16"/>
      <c r="AD433" s="3">
        <v>42293</v>
      </c>
      <c r="AE433" s="16">
        <v>1189.25</v>
      </c>
      <c r="AF433">
        <v>656</v>
      </c>
      <c r="AG433">
        <v>124.75</v>
      </c>
      <c r="AH433">
        <v>331.5</v>
      </c>
      <c r="AI433">
        <v>77</v>
      </c>
      <c r="AJ433">
        <v>23.0624</v>
      </c>
      <c r="AK433">
        <v>136.908175</v>
      </c>
      <c r="AN433" t="str">
        <f t="shared" si="28"/>
        <v>Temora</v>
      </c>
      <c r="AO433">
        <f t="shared" si="29"/>
        <v>2015</v>
      </c>
      <c r="AP433" t="str">
        <f t="shared" si="30"/>
        <v>Sunbee</v>
      </c>
      <c r="AQ433" t="str">
        <f t="shared" si="31"/>
        <v>Temora2015CvSunbee</v>
      </c>
      <c r="AV433" s="3">
        <v>42293</v>
      </c>
      <c r="AW433" s="16">
        <v>98.766981662226911</v>
      </c>
      <c r="AX433">
        <v>44.877611344633749</v>
      </c>
      <c r="AY433">
        <v>17.5</v>
      </c>
      <c r="AZ433">
        <v>37.704995248198436</v>
      </c>
      <c r="BA433">
        <v>14.023789311975086</v>
      </c>
      <c r="BB433">
        <v>5.2681097856188677</v>
      </c>
      <c r="BC433">
        <v>20.222367335926872</v>
      </c>
    </row>
    <row r="434" spans="1:55" x14ac:dyDescent="0.25">
      <c r="A434" s="14">
        <v>2015</v>
      </c>
      <c r="B434" s="14" t="s">
        <v>123</v>
      </c>
      <c r="C434" s="14" t="s">
        <v>130</v>
      </c>
      <c r="D434" s="14">
        <v>1</v>
      </c>
      <c r="E434" s="14">
        <v>1</v>
      </c>
      <c r="F434" s="14">
        <v>1</v>
      </c>
      <c r="G434" s="14">
        <v>1</v>
      </c>
      <c r="H434" s="14" t="s">
        <v>5</v>
      </c>
      <c r="I434" s="15">
        <v>42306</v>
      </c>
      <c r="J434" s="14" t="s">
        <v>129</v>
      </c>
      <c r="K434" s="14">
        <v>834</v>
      </c>
      <c r="L434" s="14">
        <v>282</v>
      </c>
      <c r="M434" s="14"/>
      <c r="N434" s="14">
        <v>471</v>
      </c>
      <c r="O434" s="14">
        <v>77.5</v>
      </c>
      <c r="P434" s="10"/>
      <c r="Q434" s="10"/>
      <c r="R434" s="26"/>
      <c r="T434" s="16"/>
      <c r="AD434" s="3">
        <v>42361</v>
      </c>
      <c r="AE434" s="16">
        <v>997</v>
      </c>
      <c r="AF434">
        <v>414.75</v>
      </c>
      <c r="AH434">
        <v>499.5</v>
      </c>
      <c r="AI434">
        <v>82.75</v>
      </c>
      <c r="AN434" t="str">
        <f t="shared" si="28"/>
        <v>Temora</v>
      </c>
      <c r="AO434">
        <f t="shared" si="29"/>
        <v>2015</v>
      </c>
      <c r="AP434" t="str">
        <f t="shared" si="30"/>
        <v>Sunbee</v>
      </c>
      <c r="AQ434" t="str">
        <f t="shared" si="31"/>
        <v>Temora2015CvSunbee</v>
      </c>
      <c r="AV434" s="3">
        <v>42361</v>
      </c>
      <c r="AW434" s="16">
        <v>54.09867527644893</v>
      </c>
      <c r="AX434">
        <v>11.84271928232701</v>
      </c>
      <c r="AZ434">
        <v>50.770726473694133</v>
      </c>
      <c r="BA434">
        <v>11.146748404803978</v>
      </c>
    </row>
    <row r="435" spans="1:55" x14ac:dyDescent="0.25">
      <c r="A435" s="14">
        <v>2015</v>
      </c>
      <c r="B435" s="14" t="s">
        <v>123</v>
      </c>
      <c r="C435" s="14" t="s">
        <v>130</v>
      </c>
      <c r="D435" s="14">
        <v>1</v>
      </c>
      <c r="E435" s="14">
        <v>2</v>
      </c>
      <c r="F435" s="14">
        <v>2</v>
      </c>
      <c r="G435" s="14">
        <v>1</v>
      </c>
      <c r="H435" s="14" t="s">
        <v>13</v>
      </c>
      <c r="I435" s="15">
        <v>42306</v>
      </c>
      <c r="J435" s="14" t="s">
        <v>129</v>
      </c>
      <c r="K435" s="14">
        <v>963</v>
      </c>
      <c r="L435" s="14">
        <v>349</v>
      </c>
      <c r="M435" s="14"/>
      <c r="N435" s="14">
        <v>528</v>
      </c>
      <c r="O435" s="14">
        <v>91.6</v>
      </c>
      <c r="P435" s="10"/>
      <c r="Q435" s="10"/>
      <c r="R435" s="26"/>
      <c r="T435" s="16"/>
      <c r="AC435" t="s">
        <v>6</v>
      </c>
      <c r="AD435" s="3">
        <v>42214</v>
      </c>
      <c r="AE435" s="16">
        <v>62.5</v>
      </c>
      <c r="AJ435">
        <v>3.66655</v>
      </c>
      <c r="AK435">
        <v>2.3624000000000001</v>
      </c>
      <c r="AN435" t="str">
        <f t="shared" si="28"/>
        <v>Temora</v>
      </c>
      <c r="AO435">
        <f t="shared" si="29"/>
        <v>2015</v>
      </c>
      <c r="AP435" t="str">
        <f t="shared" si="30"/>
        <v>Sunstate</v>
      </c>
      <c r="AQ435" t="str">
        <f t="shared" si="31"/>
        <v>Temora2015CvSunstate</v>
      </c>
      <c r="AU435" t="s">
        <v>6</v>
      </c>
      <c r="AV435" s="3">
        <v>42214</v>
      </c>
      <c r="AW435" s="16">
        <v>10.246950765959598</v>
      </c>
      <c r="BB435">
        <v>0.63685710328142031</v>
      </c>
      <c r="BC435">
        <v>0.34659671089033445</v>
      </c>
    </row>
    <row r="436" spans="1:55" x14ac:dyDescent="0.25">
      <c r="A436" s="14">
        <v>2015</v>
      </c>
      <c r="B436" s="14" t="s">
        <v>123</v>
      </c>
      <c r="C436" s="14" t="s">
        <v>130</v>
      </c>
      <c r="D436" s="14">
        <v>1</v>
      </c>
      <c r="E436" s="14">
        <v>3</v>
      </c>
      <c r="F436" s="14">
        <v>3</v>
      </c>
      <c r="G436" s="14">
        <v>1</v>
      </c>
      <c r="H436" s="14" t="s">
        <v>4</v>
      </c>
      <c r="I436" s="15">
        <v>42306</v>
      </c>
      <c r="J436" s="14" t="s">
        <v>129</v>
      </c>
      <c r="K436" s="14">
        <v>987</v>
      </c>
      <c r="L436" s="14">
        <v>335</v>
      </c>
      <c r="M436" s="14"/>
      <c r="N436" s="14">
        <v>538</v>
      </c>
      <c r="O436" s="14">
        <v>85.2</v>
      </c>
      <c r="P436" s="10"/>
      <c r="Q436" s="10"/>
      <c r="R436" s="26"/>
      <c r="T436" s="16"/>
      <c r="AD436" s="3">
        <v>42247</v>
      </c>
      <c r="AE436" s="16">
        <v>313.25</v>
      </c>
      <c r="AF436">
        <v>144.75</v>
      </c>
      <c r="AG436">
        <v>168.5</v>
      </c>
      <c r="AJ436">
        <v>17.9529</v>
      </c>
      <c r="AK436">
        <v>5.9572500000000002</v>
      </c>
      <c r="AN436" t="str">
        <f t="shared" si="28"/>
        <v>Temora</v>
      </c>
      <c r="AO436">
        <f t="shared" si="29"/>
        <v>2015</v>
      </c>
      <c r="AP436" t="str">
        <f t="shared" si="30"/>
        <v>Sunstate</v>
      </c>
      <c r="AQ436" t="str">
        <f t="shared" si="31"/>
        <v>Temora2015CvSunstate</v>
      </c>
      <c r="AV436" s="3">
        <v>42247</v>
      </c>
      <c r="AW436" s="16">
        <v>26.849891371599004</v>
      </c>
      <c r="AX436">
        <v>14.384598244882151</v>
      </c>
      <c r="AY436">
        <v>13.988090172238191</v>
      </c>
      <c r="BB436">
        <v>1.200315675145518</v>
      </c>
      <c r="BC436">
        <v>4.1904999331821982</v>
      </c>
    </row>
    <row r="437" spans="1:55" x14ac:dyDescent="0.25">
      <c r="A437" s="14">
        <v>2015</v>
      </c>
      <c r="B437" s="14" t="s">
        <v>123</v>
      </c>
      <c r="C437" s="14" t="s">
        <v>130</v>
      </c>
      <c r="D437" s="14">
        <v>1</v>
      </c>
      <c r="E437" s="14">
        <v>4</v>
      </c>
      <c r="F437" s="14">
        <v>4</v>
      </c>
      <c r="G437" s="14">
        <v>1</v>
      </c>
      <c r="H437" s="14" t="s">
        <v>6</v>
      </c>
      <c r="I437" s="15">
        <v>42306</v>
      </c>
      <c r="J437" s="14" t="s">
        <v>129</v>
      </c>
      <c r="K437" s="14">
        <v>829</v>
      </c>
      <c r="L437" s="14">
        <v>292</v>
      </c>
      <c r="M437" s="14"/>
      <c r="N437" s="14">
        <v>446</v>
      </c>
      <c r="O437" s="14">
        <v>90.1</v>
      </c>
      <c r="P437" s="10"/>
      <c r="Q437" s="10"/>
      <c r="R437" s="26"/>
      <c r="T437" s="16"/>
      <c r="AD437" s="3">
        <v>42264</v>
      </c>
      <c r="AE437" s="16">
        <v>572</v>
      </c>
      <c r="AF437">
        <v>319</v>
      </c>
      <c r="AG437">
        <v>252.75</v>
      </c>
      <c r="AJ437">
        <v>21.792449999999999</v>
      </c>
      <c r="AK437">
        <v>45.206775</v>
      </c>
      <c r="AN437" t="str">
        <f t="shared" si="28"/>
        <v>Temora</v>
      </c>
      <c r="AO437">
        <f t="shared" si="29"/>
        <v>2015</v>
      </c>
      <c r="AP437" t="str">
        <f t="shared" si="30"/>
        <v>Sunstate</v>
      </c>
      <c r="AQ437" t="str">
        <f t="shared" si="31"/>
        <v>Temora2015CvSunstate</v>
      </c>
      <c r="AV437" s="3">
        <v>42264</v>
      </c>
      <c r="AW437" s="16">
        <v>42.70050741306634</v>
      </c>
      <c r="AX437">
        <v>65.822994968830358</v>
      </c>
      <c r="AY437">
        <v>51.272962335588396</v>
      </c>
      <c r="BB437">
        <v>2.3677137390317924</v>
      </c>
      <c r="BC437">
        <v>13.874625163555471</v>
      </c>
    </row>
    <row r="438" spans="1:55" x14ac:dyDescent="0.25">
      <c r="A438" s="14">
        <v>2015</v>
      </c>
      <c r="B438" s="14" t="s">
        <v>123</v>
      </c>
      <c r="C438" s="14" t="s">
        <v>130</v>
      </c>
      <c r="D438" s="14">
        <v>2</v>
      </c>
      <c r="E438" s="14">
        <v>4</v>
      </c>
      <c r="F438" s="14">
        <v>5</v>
      </c>
      <c r="G438" s="14">
        <v>1</v>
      </c>
      <c r="H438" s="14" t="s">
        <v>7</v>
      </c>
      <c r="I438" s="15">
        <v>42306</v>
      </c>
      <c r="J438" s="14" t="s">
        <v>129</v>
      </c>
      <c r="K438" s="14">
        <v>876</v>
      </c>
      <c r="L438" s="14">
        <v>328</v>
      </c>
      <c r="M438" s="14"/>
      <c r="N438" s="14">
        <v>459</v>
      </c>
      <c r="O438" s="14">
        <v>88.6</v>
      </c>
      <c r="P438" s="10"/>
      <c r="Q438" s="10"/>
      <c r="R438" s="26"/>
      <c r="T438" s="16"/>
      <c r="AD438" s="3">
        <v>42293</v>
      </c>
      <c r="AE438" s="16">
        <v>1112.5</v>
      </c>
      <c r="AF438">
        <v>608.75</v>
      </c>
      <c r="AG438">
        <v>115.75</v>
      </c>
      <c r="AH438">
        <v>310.25</v>
      </c>
      <c r="AI438">
        <v>77.5</v>
      </c>
      <c r="AJ438">
        <v>22.735225</v>
      </c>
      <c r="AK438">
        <v>135.8656</v>
      </c>
      <c r="AN438" t="str">
        <f t="shared" si="28"/>
        <v>Temora</v>
      </c>
      <c r="AO438">
        <f t="shared" si="29"/>
        <v>2015</v>
      </c>
      <c r="AP438" t="str">
        <f t="shared" si="30"/>
        <v>Sunstate</v>
      </c>
      <c r="AQ438" t="str">
        <f t="shared" si="31"/>
        <v>Temora2015CvSunstate</v>
      </c>
      <c r="AV438" s="3">
        <v>42293</v>
      </c>
      <c r="AW438" s="16">
        <v>76.526683799399891</v>
      </c>
      <c r="AX438">
        <v>21.093047827819163</v>
      </c>
      <c r="AY438">
        <v>24.240118261537699</v>
      </c>
      <c r="AZ438">
        <v>29.747548918636415</v>
      </c>
      <c r="BA438">
        <v>7.8528126595931642</v>
      </c>
      <c r="BB438">
        <v>5.7513122887302774</v>
      </c>
      <c r="BC438">
        <v>9.8672051635707927</v>
      </c>
    </row>
    <row r="439" spans="1:55" x14ac:dyDescent="0.25">
      <c r="A439" s="14">
        <v>2015</v>
      </c>
      <c r="B439" s="14" t="s">
        <v>123</v>
      </c>
      <c r="C439" s="14" t="s">
        <v>130</v>
      </c>
      <c r="D439" s="14">
        <v>2</v>
      </c>
      <c r="E439" s="14">
        <v>3</v>
      </c>
      <c r="F439" s="14">
        <v>6</v>
      </c>
      <c r="G439" s="14">
        <v>1</v>
      </c>
      <c r="H439" s="14" t="s">
        <v>9</v>
      </c>
      <c r="I439" s="15">
        <v>42306</v>
      </c>
      <c r="J439" s="14" t="s">
        <v>129</v>
      </c>
      <c r="K439" s="14">
        <v>983</v>
      </c>
      <c r="L439" s="14">
        <v>349</v>
      </c>
      <c r="M439" s="14"/>
      <c r="N439" s="14">
        <v>519</v>
      </c>
      <c r="O439" s="14">
        <v>106.9</v>
      </c>
      <c r="P439" s="10"/>
      <c r="Q439" s="10"/>
      <c r="R439" s="26"/>
      <c r="T439" s="16"/>
      <c r="AD439" s="3">
        <v>42361</v>
      </c>
      <c r="AE439" s="16">
        <v>1065.75</v>
      </c>
      <c r="AF439">
        <v>412.5</v>
      </c>
      <c r="AH439">
        <v>562.25</v>
      </c>
      <c r="AI439">
        <v>91</v>
      </c>
      <c r="AN439" t="str">
        <f t="shared" si="28"/>
        <v>Temora</v>
      </c>
      <c r="AO439">
        <f t="shared" si="29"/>
        <v>2015</v>
      </c>
      <c r="AP439" t="str">
        <f t="shared" si="30"/>
        <v>Sunstate</v>
      </c>
      <c r="AQ439" t="str">
        <f t="shared" si="31"/>
        <v>Temora2015CvSunstate</v>
      </c>
      <c r="AV439" s="3">
        <v>42361</v>
      </c>
      <c r="AW439" s="16">
        <v>98.286570801915758</v>
      </c>
      <c r="AX439">
        <v>36.152454965050438</v>
      </c>
      <c r="AZ439">
        <v>68.050838838817171</v>
      </c>
      <c r="BA439">
        <v>9.966610925150702</v>
      </c>
    </row>
    <row r="440" spans="1:55" x14ac:dyDescent="0.25">
      <c r="A440" s="14">
        <v>2015</v>
      </c>
      <c r="B440" s="14" t="s">
        <v>123</v>
      </c>
      <c r="C440" s="14" t="s">
        <v>130</v>
      </c>
      <c r="D440" s="14">
        <v>2</v>
      </c>
      <c r="E440" s="14">
        <v>2</v>
      </c>
      <c r="F440" s="14">
        <v>7</v>
      </c>
      <c r="G440" s="14">
        <v>1</v>
      </c>
      <c r="H440" s="14" t="s">
        <v>14</v>
      </c>
      <c r="I440" s="15">
        <v>42306</v>
      </c>
      <c r="J440" s="14" t="s">
        <v>129</v>
      </c>
      <c r="K440" s="14">
        <v>796</v>
      </c>
      <c r="L440" s="14">
        <v>271</v>
      </c>
      <c r="M440" s="14"/>
      <c r="N440" s="14">
        <v>422</v>
      </c>
      <c r="O440" s="14">
        <v>83.4</v>
      </c>
      <c r="P440" s="10"/>
      <c r="Q440" s="10"/>
      <c r="R440" s="26"/>
      <c r="T440" s="16"/>
    </row>
    <row r="441" spans="1:55" x14ac:dyDescent="0.25">
      <c r="A441" s="14">
        <v>2015</v>
      </c>
      <c r="B441" s="14" t="s">
        <v>123</v>
      </c>
      <c r="C441" s="14" t="s">
        <v>130</v>
      </c>
      <c r="D441" s="14">
        <v>2</v>
      </c>
      <c r="E441" s="14">
        <v>1</v>
      </c>
      <c r="F441" s="14">
        <v>8</v>
      </c>
      <c r="G441" s="14">
        <v>1</v>
      </c>
      <c r="H441" s="14" t="s">
        <v>3</v>
      </c>
      <c r="I441" s="15">
        <v>42306</v>
      </c>
      <c r="J441" s="14" t="s">
        <v>129</v>
      </c>
      <c r="K441" s="14">
        <v>1029</v>
      </c>
      <c r="L441" s="14">
        <v>371</v>
      </c>
      <c r="M441" s="14"/>
      <c r="N441" s="14">
        <v>570</v>
      </c>
      <c r="O441" s="14">
        <v>84.4</v>
      </c>
      <c r="P441" s="10"/>
      <c r="Q441" s="10"/>
      <c r="R441" s="26"/>
      <c r="T441" s="16"/>
    </row>
    <row r="442" spans="1:55" x14ac:dyDescent="0.25">
      <c r="A442" s="14">
        <v>2015</v>
      </c>
      <c r="B442" s="14" t="s">
        <v>123</v>
      </c>
      <c r="C442" s="14" t="s">
        <v>130</v>
      </c>
      <c r="D442" s="14">
        <v>3</v>
      </c>
      <c r="E442" s="14">
        <v>1</v>
      </c>
      <c r="F442" s="14">
        <v>9</v>
      </c>
      <c r="G442" s="14">
        <v>1</v>
      </c>
      <c r="H442" s="14" t="s">
        <v>8</v>
      </c>
      <c r="I442" s="15">
        <v>42306</v>
      </c>
      <c r="J442" s="14" t="s">
        <v>129</v>
      </c>
      <c r="K442" s="14">
        <v>1141</v>
      </c>
      <c r="L442" s="14">
        <v>356</v>
      </c>
      <c r="M442" s="14"/>
      <c r="N442" s="14">
        <v>645</v>
      </c>
      <c r="O442" s="14">
        <v>125.7</v>
      </c>
      <c r="P442" s="10"/>
      <c r="Q442" s="10"/>
      <c r="R442" s="26"/>
      <c r="T442" s="16"/>
    </row>
    <row r="443" spans="1:55" x14ac:dyDescent="0.25">
      <c r="A443" s="14">
        <v>2015</v>
      </c>
      <c r="B443" s="14" t="s">
        <v>123</v>
      </c>
      <c r="C443" s="14" t="s">
        <v>130</v>
      </c>
      <c r="D443" s="14">
        <v>3</v>
      </c>
      <c r="E443" s="14">
        <v>2</v>
      </c>
      <c r="F443" s="14">
        <v>10</v>
      </c>
      <c r="G443" s="14">
        <v>1</v>
      </c>
      <c r="H443" s="14" t="s">
        <v>2</v>
      </c>
      <c r="I443" s="15">
        <v>42306</v>
      </c>
      <c r="J443" s="14" t="s">
        <v>129</v>
      </c>
      <c r="K443" s="14">
        <v>867</v>
      </c>
      <c r="L443" s="14">
        <v>312</v>
      </c>
      <c r="M443" s="14"/>
      <c r="N443" s="14">
        <v>462</v>
      </c>
      <c r="O443" s="14">
        <v>91.1</v>
      </c>
      <c r="P443" s="10"/>
      <c r="Q443" s="10"/>
      <c r="R443" s="26"/>
      <c r="T443" s="16"/>
    </row>
    <row r="444" spans="1:55" x14ac:dyDescent="0.25">
      <c r="A444" s="14">
        <v>2015</v>
      </c>
      <c r="B444" s="14" t="s">
        <v>123</v>
      </c>
      <c r="C444" s="14" t="s">
        <v>130</v>
      </c>
      <c r="D444" s="14">
        <v>3</v>
      </c>
      <c r="E444" s="14">
        <v>3</v>
      </c>
      <c r="F444" s="14">
        <v>11</v>
      </c>
      <c r="G444" s="14">
        <v>1</v>
      </c>
      <c r="H444" s="14" t="s">
        <v>12</v>
      </c>
      <c r="I444" s="15">
        <v>42306</v>
      </c>
      <c r="J444" s="14" t="s">
        <v>129</v>
      </c>
      <c r="K444" s="14">
        <v>1015</v>
      </c>
      <c r="L444" s="14">
        <v>335</v>
      </c>
      <c r="M444" s="14"/>
      <c r="N444" s="14">
        <v>551</v>
      </c>
      <c r="O444" s="14">
        <v>119.1</v>
      </c>
      <c r="P444" s="10"/>
      <c r="Q444" s="10"/>
      <c r="R444" s="26"/>
      <c r="T444" s="16"/>
    </row>
    <row r="445" spans="1:55" x14ac:dyDescent="0.25">
      <c r="A445" s="14">
        <v>2015</v>
      </c>
      <c r="B445" s="14" t="s">
        <v>123</v>
      </c>
      <c r="C445" s="14" t="s">
        <v>130</v>
      </c>
      <c r="D445" s="14">
        <v>3</v>
      </c>
      <c r="E445" s="14">
        <v>4</v>
      </c>
      <c r="F445" s="14">
        <v>12</v>
      </c>
      <c r="G445" s="14">
        <v>1</v>
      </c>
      <c r="H445" s="14" t="s">
        <v>10</v>
      </c>
      <c r="I445" s="15">
        <v>42306</v>
      </c>
      <c r="J445" s="14" t="s">
        <v>129</v>
      </c>
      <c r="K445" s="14">
        <v>1036</v>
      </c>
      <c r="L445" s="14">
        <v>380</v>
      </c>
      <c r="M445" s="14"/>
      <c r="N445" s="14">
        <v>528</v>
      </c>
      <c r="O445" s="14">
        <v>121.6</v>
      </c>
      <c r="P445" s="10"/>
      <c r="Q445" s="10"/>
      <c r="R445" s="26"/>
      <c r="T445" s="16"/>
    </row>
    <row r="446" spans="1:55" x14ac:dyDescent="0.25">
      <c r="A446" s="14">
        <v>2015</v>
      </c>
      <c r="B446" s="14" t="s">
        <v>123</v>
      </c>
      <c r="C446" s="14" t="s">
        <v>130</v>
      </c>
      <c r="D446" s="14">
        <v>4</v>
      </c>
      <c r="E446" s="14">
        <v>4</v>
      </c>
      <c r="F446" s="14">
        <v>13</v>
      </c>
      <c r="G446" s="14">
        <v>2</v>
      </c>
      <c r="H446" s="14" t="s">
        <v>4</v>
      </c>
      <c r="I446" s="15">
        <v>42306</v>
      </c>
      <c r="J446" s="14" t="s">
        <v>129</v>
      </c>
      <c r="K446" s="14">
        <v>925</v>
      </c>
      <c r="L446" s="14">
        <v>328</v>
      </c>
      <c r="M446" s="14"/>
      <c r="N446" s="14">
        <v>526</v>
      </c>
      <c r="O446" s="14">
        <v>65.3</v>
      </c>
      <c r="P446" s="10"/>
      <c r="Q446" s="10"/>
      <c r="R446" s="26"/>
      <c r="T446" s="16"/>
    </row>
    <row r="447" spans="1:55" x14ac:dyDescent="0.25">
      <c r="A447" s="14">
        <v>2015</v>
      </c>
      <c r="B447" s="14" t="s">
        <v>123</v>
      </c>
      <c r="C447" s="14" t="s">
        <v>130</v>
      </c>
      <c r="D447" s="14">
        <v>4</v>
      </c>
      <c r="E447" s="14">
        <v>3</v>
      </c>
      <c r="F447" s="14">
        <v>14</v>
      </c>
      <c r="G447" s="14">
        <v>2</v>
      </c>
      <c r="H447" s="14" t="s">
        <v>10</v>
      </c>
      <c r="I447" s="15">
        <v>42306</v>
      </c>
      <c r="J447" s="14" t="s">
        <v>129</v>
      </c>
      <c r="K447" s="14">
        <v>991</v>
      </c>
      <c r="L447" s="14">
        <v>345</v>
      </c>
      <c r="M447" s="14"/>
      <c r="N447" s="14">
        <v>526</v>
      </c>
      <c r="O447" s="14">
        <v>114.8</v>
      </c>
      <c r="P447" s="10"/>
      <c r="Q447" s="10"/>
      <c r="R447" s="26"/>
      <c r="T447" s="16"/>
    </row>
    <row r="448" spans="1:55" x14ac:dyDescent="0.25">
      <c r="A448" s="14">
        <v>2015</v>
      </c>
      <c r="B448" s="14" t="s">
        <v>123</v>
      </c>
      <c r="C448" s="14" t="s">
        <v>130</v>
      </c>
      <c r="D448" s="14">
        <v>4</v>
      </c>
      <c r="E448" s="14">
        <v>2</v>
      </c>
      <c r="F448" s="14">
        <v>15</v>
      </c>
      <c r="G448" s="14">
        <v>2</v>
      </c>
      <c r="H448" s="14" t="s">
        <v>8</v>
      </c>
      <c r="I448" s="15">
        <v>42306</v>
      </c>
      <c r="J448" s="14" t="s">
        <v>129</v>
      </c>
      <c r="K448" s="14">
        <v>1040</v>
      </c>
      <c r="L448" s="14">
        <v>326</v>
      </c>
      <c r="M448" s="14"/>
      <c r="N448" s="14">
        <v>639</v>
      </c>
      <c r="O448" s="14">
        <v>72.8</v>
      </c>
      <c r="P448" s="10"/>
      <c r="Q448" s="10"/>
      <c r="R448" s="26"/>
      <c r="T448" s="16"/>
    </row>
    <row r="449" spans="1:20" x14ac:dyDescent="0.25">
      <c r="A449" s="14">
        <v>2015</v>
      </c>
      <c r="B449" s="14" t="s">
        <v>123</v>
      </c>
      <c r="C449" s="14" t="s">
        <v>130</v>
      </c>
      <c r="D449" s="14">
        <v>4</v>
      </c>
      <c r="E449" s="14">
        <v>1</v>
      </c>
      <c r="F449" s="14">
        <v>16</v>
      </c>
      <c r="G449" s="14">
        <v>2</v>
      </c>
      <c r="H449" s="14" t="s">
        <v>14</v>
      </c>
      <c r="I449" s="15">
        <v>42306</v>
      </c>
      <c r="J449" s="14" t="s">
        <v>129</v>
      </c>
      <c r="K449" s="14">
        <v>1052</v>
      </c>
      <c r="L449" s="14">
        <v>374</v>
      </c>
      <c r="M449" s="14"/>
      <c r="N449" s="14">
        <v>558</v>
      </c>
      <c r="O449" s="14">
        <v>113.2</v>
      </c>
      <c r="P449" s="10"/>
      <c r="Q449" s="10"/>
      <c r="R449" s="26"/>
      <c r="T449" s="16"/>
    </row>
    <row r="450" spans="1:20" x14ac:dyDescent="0.25">
      <c r="A450" s="14">
        <v>2015</v>
      </c>
      <c r="B450" s="14" t="s">
        <v>123</v>
      </c>
      <c r="C450" s="14" t="s">
        <v>130</v>
      </c>
      <c r="D450" s="14">
        <v>5</v>
      </c>
      <c r="E450" s="14">
        <v>1</v>
      </c>
      <c r="F450" s="14">
        <v>17</v>
      </c>
      <c r="G450" s="14">
        <v>2</v>
      </c>
      <c r="H450" s="14" t="s">
        <v>12</v>
      </c>
      <c r="I450" s="15">
        <v>42306</v>
      </c>
      <c r="J450" s="14" t="s">
        <v>129</v>
      </c>
      <c r="K450" s="14">
        <v>902</v>
      </c>
      <c r="L450" s="14">
        <v>327</v>
      </c>
      <c r="M450" s="14"/>
      <c r="N450" s="14">
        <v>458</v>
      </c>
      <c r="O450" s="14">
        <v>103.5</v>
      </c>
      <c r="P450" s="10"/>
      <c r="Q450" s="10"/>
      <c r="R450" s="26"/>
      <c r="T450" s="16"/>
    </row>
    <row r="451" spans="1:20" x14ac:dyDescent="0.25">
      <c r="A451" s="14">
        <v>2015</v>
      </c>
      <c r="B451" s="14" t="s">
        <v>123</v>
      </c>
      <c r="C451" s="14" t="s">
        <v>130</v>
      </c>
      <c r="D451" s="14">
        <v>5</v>
      </c>
      <c r="E451" s="14">
        <v>2</v>
      </c>
      <c r="F451" s="14">
        <v>18</v>
      </c>
      <c r="G451" s="14">
        <v>2</v>
      </c>
      <c r="H451" s="14" t="s">
        <v>7</v>
      </c>
      <c r="I451" s="15">
        <v>42306</v>
      </c>
      <c r="J451" s="14" t="s">
        <v>129</v>
      </c>
      <c r="K451" s="14">
        <v>904</v>
      </c>
      <c r="L451" s="14">
        <v>341</v>
      </c>
      <c r="M451" s="14"/>
      <c r="N451" s="14">
        <v>482</v>
      </c>
      <c r="O451" s="14">
        <v>80.599999999999994</v>
      </c>
      <c r="P451" s="10"/>
      <c r="Q451" s="10"/>
      <c r="R451" s="26"/>
      <c r="T451" s="16"/>
    </row>
    <row r="452" spans="1:20" x14ac:dyDescent="0.25">
      <c r="A452" s="14">
        <v>2015</v>
      </c>
      <c r="B452" s="14" t="s">
        <v>123</v>
      </c>
      <c r="C452" s="14" t="s">
        <v>130</v>
      </c>
      <c r="D452" s="14">
        <v>5</v>
      </c>
      <c r="E452" s="14">
        <v>3</v>
      </c>
      <c r="F452" s="14">
        <v>19</v>
      </c>
      <c r="G452" s="14">
        <v>2</v>
      </c>
      <c r="H452" s="14" t="s">
        <v>5</v>
      </c>
      <c r="I452" s="15">
        <v>42306</v>
      </c>
      <c r="J452" s="14" t="s">
        <v>129</v>
      </c>
      <c r="K452" s="14">
        <v>952</v>
      </c>
      <c r="L452" s="14">
        <v>300</v>
      </c>
      <c r="M452" s="14"/>
      <c r="N452" s="14">
        <v>521</v>
      </c>
      <c r="O452" s="14">
        <v>125.9</v>
      </c>
      <c r="P452" s="10"/>
      <c r="Q452" s="10"/>
      <c r="R452" s="26"/>
      <c r="T452" s="16"/>
    </row>
    <row r="453" spans="1:20" x14ac:dyDescent="0.25">
      <c r="A453" s="14">
        <v>2015</v>
      </c>
      <c r="B453" s="14" t="s">
        <v>123</v>
      </c>
      <c r="C453" s="14" t="s">
        <v>130</v>
      </c>
      <c r="D453" s="14">
        <v>5</v>
      </c>
      <c r="E453" s="14">
        <v>4</v>
      </c>
      <c r="F453" s="14">
        <v>20</v>
      </c>
      <c r="G453" s="14">
        <v>2</v>
      </c>
      <c r="H453" s="14" t="s">
        <v>2</v>
      </c>
      <c r="I453" s="15">
        <v>42306</v>
      </c>
      <c r="J453" s="14" t="s">
        <v>129</v>
      </c>
      <c r="K453" s="14">
        <v>962</v>
      </c>
      <c r="L453" s="14">
        <v>371</v>
      </c>
      <c r="M453" s="14"/>
      <c r="N453" s="14">
        <v>480</v>
      </c>
      <c r="O453" s="14">
        <v>102.7</v>
      </c>
      <c r="P453" s="10"/>
      <c r="Q453" s="10"/>
      <c r="R453" s="26"/>
      <c r="T453" s="16"/>
    </row>
    <row r="454" spans="1:20" x14ac:dyDescent="0.25">
      <c r="A454" s="14">
        <v>2015</v>
      </c>
      <c r="B454" s="14" t="s">
        <v>123</v>
      </c>
      <c r="C454" s="14" t="s">
        <v>130</v>
      </c>
      <c r="D454" s="14">
        <v>6</v>
      </c>
      <c r="E454" s="14">
        <v>4</v>
      </c>
      <c r="F454" s="14">
        <v>21</v>
      </c>
      <c r="G454" s="14">
        <v>2</v>
      </c>
      <c r="H454" s="14" t="s">
        <v>3</v>
      </c>
      <c r="I454" s="15">
        <v>42306</v>
      </c>
      <c r="J454" s="14" t="s">
        <v>129</v>
      </c>
      <c r="K454" s="14">
        <v>872</v>
      </c>
      <c r="L454" s="14">
        <v>289</v>
      </c>
      <c r="M454" s="14"/>
      <c r="N454" s="14">
        <v>462</v>
      </c>
      <c r="O454" s="14">
        <v>119.8</v>
      </c>
      <c r="P454" s="10"/>
      <c r="Q454" s="10"/>
      <c r="R454" s="26"/>
      <c r="T454" s="16"/>
    </row>
    <row r="455" spans="1:20" x14ac:dyDescent="0.25">
      <c r="A455" s="14">
        <v>2015</v>
      </c>
      <c r="B455" s="14" t="s">
        <v>123</v>
      </c>
      <c r="C455" s="14" t="s">
        <v>130</v>
      </c>
      <c r="D455" s="14">
        <v>6</v>
      </c>
      <c r="E455" s="14">
        <v>3</v>
      </c>
      <c r="F455" s="14">
        <v>22</v>
      </c>
      <c r="G455" s="14">
        <v>2</v>
      </c>
      <c r="H455" s="14" t="s">
        <v>13</v>
      </c>
      <c r="I455" s="15">
        <v>42306</v>
      </c>
      <c r="J455" s="14" t="s">
        <v>129</v>
      </c>
      <c r="K455" s="14">
        <v>918</v>
      </c>
      <c r="L455" s="14">
        <v>318</v>
      </c>
      <c r="M455" s="14"/>
      <c r="N455" s="14">
        <v>386</v>
      </c>
      <c r="O455" s="14">
        <v>113.1</v>
      </c>
      <c r="P455" s="10"/>
      <c r="Q455" s="10"/>
      <c r="R455" s="26"/>
      <c r="T455" s="16"/>
    </row>
    <row r="456" spans="1:20" x14ac:dyDescent="0.25">
      <c r="A456" s="14">
        <v>2015</v>
      </c>
      <c r="B456" s="14" t="s">
        <v>123</v>
      </c>
      <c r="C456" s="14" t="s">
        <v>130</v>
      </c>
      <c r="D456" s="14">
        <v>6</v>
      </c>
      <c r="E456" s="14">
        <v>2</v>
      </c>
      <c r="F456" s="14">
        <v>23</v>
      </c>
      <c r="G456" s="14">
        <v>2</v>
      </c>
      <c r="H456" s="14" t="s">
        <v>9</v>
      </c>
      <c r="I456" s="15">
        <v>42306</v>
      </c>
      <c r="J456" s="14" t="s">
        <v>129</v>
      </c>
      <c r="K456" s="14">
        <v>1130</v>
      </c>
      <c r="L456" s="14">
        <v>375</v>
      </c>
      <c r="M456" s="14"/>
      <c r="N456" s="14">
        <v>558</v>
      </c>
      <c r="O456" s="14">
        <v>170.3</v>
      </c>
      <c r="P456" s="10"/>
      <c r="Q456" s="10"/>
      <c r="R456" s="26"/>
      <c r="T456" s="16"/>
    </row>
    <row r="457" spans="1:20" x14ac:dyDescent="0.25">
      <c r="A457" s="14">
        <v>2015</v>
      </c>
      <c r="B457" s="14" t="s">
        <v>123</v>
      </c>
      <c r="C457" s="14" t="s">
        <v>130</v>
      </c>
      <c r="D457" s="14">
        <v>6</v>
      </c>
      <c r="E457" s="14">
        <v>1</v>
      </c>
      <c r="F457" s="14">
        <v>24</v>
      </c>
      <c r="G457" s="14">
        <v>2</v>
      </c>
      <c r="H457" s="14" t="s">
        <v>6</v>
      </c>
      <c r="I457" s="15">
        <v>42306</v>
      </c>
      <c r="J457" s="14" t="s">
        <v>129</v>
      </c>
      <c r="K457" s="14">
        <v>973</v>
      </c>
      <c r="L457" s="14">
        <v>280</v>
      </c>
      <c r="M457" s="14"/>
      <c r="N457" s="14">
        <v>609</v>
      </c>
      <c r="O457" s="14">
        <v>83.6</v>
      </c>
      <c r="P457" s="10"/>
      <c r="Q457" s="10"/>
      <c r="R457" s="26"/>
      <c r="T457" s="16"/>
    </row>
    <row r="458" spans="1:20" x14ac:dyDescent="0.25">
      <c r="A458" s="14">
        <v>2015</v>
      </c>
      <c r="B458" s="14" t="s">
        <v>123</v>
      </c>
      <c r="C458" s="14" t="s">
        <v>130</v>
      </c>
      <c r="D458" s="14">
        <v>7</v>
      </c>
      <c r="E458" s="14">
        <v>1</v>
      </c>
      <c r="F458" s="14">
        <v>25</v>
      </c>
      <c r="G458" s="14">
        <v>3</v>
      </c>
      <c r="H458" s="14" t="s">
        <v>9</v>
      </c>
      <c r="I458" s="15">
        <v>42306</v>
      </c>
      <c r="J458" s="14" t="s">
        <v>129</v>
      </c>
      <c r="K458" s="14">
        <v>995</v>
      </c>
      <c r="L458" s="14">
        <v>312</v>
      </c>
      <c r="M458" s="14"/>
      <c r="N458" s="14">
        <v>569</v>
      </c>
      <c r="O458" s="14">
        <v>108.4</v>
      </c>
      <c r="P458" s="10"/>
      <c r="Q458" s="10"/>
      <c r="R458" s="26"/>
      <c r="T458" s="16"/>
    </row>
    <row r="459" spans="1:20" x14ac:dyDescent="0.25">
      <c r="A459" s="14">
        <v>2015</v>
      </c>
      <c r="B459" s="14" t="s">
        <v>123</v>
      </c>
      <c r="C459" s="14" t="s">
        <v>130</v>
      </c>
      <c r="D459" s="14">
        <v>7</v>
      </c>
      <c r="E459" s="14">
        <v>2</v>
      </c>
      <c r="F459" s="14">
        <v>26</v>
      </c>
      <c r="G459" s="14">
        <v>3</v>
      </c>
      <c r="H459" s="14" t="s">
        <v>5</v>
      </c>
      <c r="I459" s="15">
        <v>42306</v>
      </c>
      <c r="J459" s="14" t="s">
        <v>129</v>
      </c>
      <c r="K459" s="14">
        <v>882</v>
      </c>
      <c r="L459" s="14">
        <v>316</v>
      </c>
      <c r="M459" s="14"/>
      <c r="N459" s="14">
        <v>458</v>
      </c>
      <c r="O459" s="14">
        <v>92.1</v>
      </c>
      <c r="P459" s="10"/>
      <c r="Q459" s="10"/>
      <c r="R459" s="26"/>
      <c r="T459" s="16"/>
    </row>
    <row r="460" spans="1:20" x14ac:dyDescent="0.25">
      <c r="A460" s="14">
        <v>2015</v>
      </c>
      <c r="B460" s="14" t="s">
        <v>123</v>
      </c>
      <c r="C460" s="14" t="s">
        <v>130</v>
      </c>
      <c r="D460" s="14">
        <v>7</v>
      </c>
      <c r="E460" s="14">
        <v>3</v>
      </c>
      <c r="F460" s="14">
        <v>27</v>
      </c>
      <c r="G460" s="14">
        <v>3</v>
      </c>
      <c r="H460" s="14" t="s">
        <v>3</v>
      </c>
      <c r="I460" s="15">
        <v>42306</v>
      </c>
      <c r="J460" s="14" t="s">
        <v>129</v>
      </c>
      <c r="K460" s="14">
        <v>861</v>
      </c>
      <c r="L460" s="14">
        <v>298</v>
      </c>
      <c r="M460" s="14"/>
      <c r="N460" s="14">
        <v>438</v>
      </c>
      <c r="O460" s="14">
        <v>117.7</v>
      </c>
      <c r="P460" s="10"/>
      <c r="Q460" s="10"/>
      <c r="R460" s="26"/>
      <c r="T460" s="16"/>
    </row>
    <row r="461" spans="1:20" x14ac:dyDescent="0.25">
      <c r="A461" s="14">
        <v>2015</v>
      </c>
      <c r="B461" s="14" t="s">
        <v>123</v>
      </c>
      <c r="C461" s="14" t="s">
        <v>130</v>
      </c>
      <c r="D461" s="14">
        <v>7</v>
      </c>
      <c r="E461" s="14">
        <v>4</v>
      </c>
      <c r="F461" s="14">
        <v>28</v>
      </c>
      <c r="G461" s="14">
        <v>3</v>
      </c>
      <c r="H461" s="14" t="s">
        <v>8</v>
      </c>
      <c r="I461" s="15">
        <v>42306</v>
      </c>
      <c r="J461" s="14" t="s">
        <v>129</v>
      </c>
      <c r="K461" s="14">
        <v>1009</v>
      </c>
      <c r="L461" s="14">
        <v>338</v>
      </c>
      <c r="M461" s="14"/>
      <c r="N461" s="14">
        <v>574</v>
      </c>
      <c r="O461" s="14">
        <v>81.599999999999994</v>
      </c>
      <c r="P461" s="10"/>
      <c r="Q461" s="10"/>
      <c r="R461" s="26"/>
      <c r="T461" s="16"/>
    </row>
    <row r="462" spans="1:20" x14ac:dyDescent="0.25">
      <c r="A462" s="14">
        <v>2015</v>
      </c>
      <c r="B462" s="14" t="s">
        <v>123</v>
      </c>
      <c r="C462" s="14" t="s">
        <v>130</v>
      </c>
      <c r="D462" s="14">
        <v>8</v>
      </c>
      <c r="E462" s="14">
        <v>4</v>
      </c>
      <c r="F462" s="14">
        <v>29</v>
      </c>
      <c r="G462" s="14">
        <v>3</v>
      </c>
      <c r="H462" s="14" t="s">
        <v>13</v>
      </c>
      <c r="I462" s="15">
        <v>42306</v>
      </c>
      <c r="J462" s="14" t="s">
        <v>129</v>
      </c>
      <c r="K462" s="14">
        <v>877</v>
      </c>
      <c r="L462" s="14">
        <v>289</v>
      </c>
      <c r="M462" s="14"/>
      <c r="N462" s="14">
        <v>484</v>
      </c>
      <c r="O462" s="14">
        <v>103.3</v>
      </c>
      <c r="P462" s="10"/>
      <c r="Q462" s="10"/>
      <c r="R462" s="26"/>
      <c r="T462" s="16"/>
    </row>
    <row r="463" spans="1:20" x14ac:dyDescent="0.25">
      <c r="A463" s="14">
        <v>2015</v>
      </c>
      <c r="B463" s="14" t="s">
        <v>123</v>
      </c>
      <c r="C463" s="14" t="s">
        <v>130</v>
      </c>
      <c r="D463" s="14">
        <v>8</v>
      </c>
      <c r="E463" s="14">
        <v>3</v>
      </c>
      <c r="F463" s="14">
        <v>30</v>
      </c>
      <c r="G463" s="14">
        <v>3</v>
      </c>
      <c r="H463" s="14" t="s">
        <v>7</v>
      </c>
      <c r="I463" s="15">
        <v>42306</v>
      </c>
      <c r="J463" s="14" t="s">
        <v>129</v>
      </c>
      <c r="K463" s="14">
        <v>797</v>
      </c>
      <c r="L463" s="14">
        <v>272</v>
      </c>
      <c r="M463" s="14"/>
      <c r="N463" s="14">
        <v>465</v>
      </c>
      <c r="O463" s="14">
        <v>48.9</v>
      </c>
      <c r="P463" s="10"/>
      <c r="Q463" s="10"/>
      <c r="R463" s="26"/>
      <c r="T463" s="16"/>
    </row>
    <row r="464" spans="1:20" x14ac:dyDescent="0.25">
      <c r="A464" s="14">
        <v>2015</v>
      </c>
      <c r="B464" s="14" t="s">
        <v>123</v>
      </c>
      <c r="C464" s="14" t="s">
        <v>130</v>
      </c>
      <c r="D464" s="14">
        <v>8</v>
      </c>
      <c r="E464" s="14">
        <v>2</v>
      </c>
      <c r="F464" s="14">
        <v>31</v>
      </c>
      <c r="G464" s="14">
        <v>3</v>
      </c>
      <c r="H464" s="14" t="s">
        <v>6</v>
      </c>
      <c r="I464" s="15">
        <v>42306</v>
      </c>
      <c r="J464" s="14" t="s">
        <v>129</v>
      </c>
      <c r="K464" s="14">
        <v>1005</v>
      </c>
      <c r="L464" s="14">
        <v>353</v>
      </c>
      <c r="M464" s="14"/>
      <c r="N464" s="14">
        <v>565</v>
      </c>
      <c r="O464" s="14">
        <v>86.2</v>
      </c>
      <c r="P464" s="10"/>
      <c r="Q464" s="10"/>
      <c r="R464" s="26"/>
      <c r="T464" s="16"/>
    </row>
    <row r="465" spans="1:20" x14ac:dyDescent="0.25">
      <c r="A465" s="14">
        <v>2015</v>
      </c>
      <c r="B465" s="14" t="s">
        <v>123</v>
      </c>
      <c r="C465" s="14" t="s">
        <v>130</v>
      </c>
      <c r="D465" s="14">
        <v>8</v>
      </c>
      <c r="E465" s="14">
        <v>1</v>
      </c>
      <c r="F465" s="14">
        <v>32</v>
      </c>
      <c r="G465" s="14">
        <v>3</v>
      </c>
      <c r="H465" s="14" t="s">
        <v>10</v>
      </c>
      <c r="I465" s="15">
        <v>42306</v>
      </c>
      <c r="J465" s="14" t="s">
        <v>129</v>
      </c>
      <c r="K465" s="14">
        <v>962</v>
      </c>
      <c r="L465" s="14">
        <v>357</v>
      </c>
      <c r="M465" s="14"/>
      <c r="N465" s="14">
        <v>512</v>
      </c>
      <c r="O465" s="14">
        <v>91.6</v>
      </c>
      <c r="P465" s="10"/>
      <c r="Q465" s="10"/>
      <c r="R465" s="26"/>
      <c r="T465" s="16"/>
    </row>
    <row r="466" spans="1:20" x14ac:dyDescent="0.25">
      <c r="A466" s="14">
        <v>2015</v>
      </c>
      <c r="B466" s="14" t="s">
        <v>123</v>
      </c>
      <c r="C466" s="14" t="s">
        <v>130</v>
      </c>
      <c r="D466" s="14">
        <v>9</v>
      </c>
      <c r="E466" s="14">
        <v>1</v>
      </c>
      <c r="F466" s="14">
        <v>33</v>
      </c>
      <c r="G466" s="14">
        <v>3</v>
      </c>
      <c r="H466" s="14" t="s">
        <v>2</v>
      </c>
      <c r="I466" s="15">
        <v>42306</v>
      </c>
      <c r="J466" s="14" t="s">
        <v>129</v>
      </c>
      <c r="K466" s="14">
        <v>940</v>
      </c>
      <c r="L466" s="14">
        <v>330</v>
      </c>
      <c r="M466" s="14"/>
      <c r="N466" s="14">
        <v>501</v>
      </c>
      <c r="O466" s="14">
        <v>96.8</v>
      </c>
      <c r="P466" s="10"/>
      <c r="Q466" s="10"/>
      <c r="R466" s="26"/>
      <c r="T466" s="16"/>
    </row>
    <row r="467" spans="1:20" x14ac:dyDescent="0.25">
      <c r="A467" s="14">
        <v>2015</v>
      </c>
      <c r="B467" s="14" t="s">
        <v>123</v>
      </c>
      <c r="C467" s="14" t="s">
        <v>130</v>
      </c>
      <c r="D467" s="14">
        <v>9</v>
      </c>
      <c r="E467" s="14">
        <v>2</v>
      </c>
      <c r="F467" s="14">
        <v>34</v>
      </c>
      <c r="G467" s="14">
        <v>3</v>
      </c>
      <c r="H467" s="14" t="s">
        <v>4</v>
      </c>
      <c r="I467" s="15">
        <v>42306</v>
      </c>
      <c r="J467" s="14" t="s">
        <v>129</v>
      </c>
      <c r="K467" s="14">
        <v>1120</v>
      </c>
      <c r="L467" s="14">
        <v>395</v>
      </c>
      <c r="M467" s="14"/>
      <c r="N467" s="14">
        <v>600</v>
      </c>
      <c r="O467" s="14">
        <v>111.9</v>
      </c>
      <c r="P467" s="10"/>
      <c r="Q467" s="10"/>
      <c r="R467" s="26"/>
      <c r="T467" s="16"/>
    </row>
    <row r="468" spans="1:20" x14ac:dyDescent="0.25">
      <c r="A468" s="14">
        <v>2015</v>
      </c>
      <c r="B468" s="14" t="s">
        <v>123</v>
      </c>
      <c r="C468" s="14" t="s">
        <v>130</v>
      </c>
      <c r="D468" s="14">
        <v>9</v>
      </c>
      <c r="E468" s="14">
        <v>3</v>
      </c>
      <c r="F468" s="14">
        <v>35</v>
      </c>
      <c r="G468" s="14">
        <v>3</v>
      </c>
      <c r="H468" s="14" t="s">
        <v>14</v>
      </c>
      <c r="I468" s="15">
        <v>42306</v>
      </c>
      <c r="J468" s="14" t="s">
        <v>129</v>
      </c>
      <c r="K468" s="14">
        <v>949</v>
      </c>
      <c r="L468" s="14">
        <v>347</v>
      </c>
      <c r="M468" s="14"/>
      <c r="N468" s="14">
        <v>503</v>
      </c>
      <c r="O468" s="14">
        <v>93.8</v>
      </c>
      <c r="P468" s="10"/>
      <c r="Q468" s="10"/>
      <c r="R468" s="26"/>
      <c r="T468" s="16"/>
    </row>
    <row r="469" spans="1:20" x14ac:dyDescent="0.25">
      <c r="A469" s="14">
        <v>2015</v>
      </c>
      <c r="B469" s="14" t="s">
        <v>123</v>
      </c>
      <c r="C469" s="14" t="s">
        <v>130</v>
      </c>
      <c r="D469" s="14">
        <v>9</v>
      </c>
      <c r="E469" s="14">
        <v>4</v>
      </c>
      <c r="F469" s="14">
        <v>36</v>
      </c>
      <c r="G469" s="14">
        <v>3</v>
      </c>
      <c r="H469" s="14" t="s">
        <v>12</v>
      </c>
      <c r="I469" s="15">
        <v>42306</v>
      </c>
      <c r="J469" s="14" t="s">
        <v>129</v>
      </c>
      <c r="K469" s="14">
        <v>925</v>
      </c>
      <c r="L469" s="14">
        <v>320</v>
      </c>
      <c r="M469" s="14"/>
      <c r="N469" s="14">
        <v>486</v>
      </c>
      <c r="O469" s="14">
        <v>115.5</v>
      </c>
      <c r="P469" s="10"/>
      <c r="Q469" s="10"/>
      <c r="R469" s="26"/>
      <c r="T469" s="16"/>
    </row>
    <row r="470" spans="1:20" x14ac:dyDescent="0.25">
      <c r="A470" s="14">
        <v>2015</v>
      </c>
      <c r="B470" s="14" t="s">
        <v>123</v>
      </c>
      <c r="C470" s="14" t="s">
        <v>130</v>
      </c>
      <c r="D470" s="14">
        <v>10</v>
      </c>
      <c r="E470" s="14">
        <v>4</v>
      </c>
      <c r="F470" s="14">
        <v>37</v>
      </c>
      <c r="G470" s="14">
        <v>4</v>
      </c>
      <c r="H470" s="14" t="s">
        <v>9</v>
      </c>
      <c r="I470" s="15">
        <v>42306</v>
      </c>
      <c r="J470" s="14" t="s">
        <v>129</v>
      </c>
      <c r="K470" s="14">
        <v>781</v>
      </c>
      <c r="L470" s="14">
        <v>257</v>
      </c>
      <c r="M470" s="14"/>
      <c r="N470" s="14">
        <v>446</v>
      </c>
      <c r="O470" s="14">
        <v>66.5</v>
      </c>
      <c r="P470" s="10"/>
      <c r="Q470" s="10"/>
      <c r="R470" s="26"/>
      <c r="T470" s="16"/>
    </row>
    <row r="471" spans="1:20" x14ac:dyDescent="0.25">
      <c r="A471" s="14">
        <v>2015</v>
      </c>
      <c r="B471" s="14" t="s">
        <v>123</v>
      </c>
      <c r="C471" s="14" t="s">
        <v>130</v>
      </c>
      <c r="D471" s="14">
        <v>10</v>
      </c>
      <c r="E471" s="14">
        <v>3</v>
      </c>
      <c r="F471" s="14">
        <v>38</v>
      </c>
      <c r="G471" s="14">
        <v>4</v>
      </c>
      <c r="H471" s="14" t="s">
        <v>2</v>
      </c>
      <c r="I471" s="15">
        <v>42306</v>
      </c>
      <c r="J471" s="14" t="s">
        <v>129</v>
      </c>
      <c r="K471" s="14">
        <v>912</v>
      </c>
      <c r="L471" s="14">
        <v>332</v>
      </c>
      <c r="M471" s="14"/>
      <c r="N471" s="14">
        <v>490</v>
      </c>
      <c r="O471" s="14">
        <v>77.900000000000006</v>
      </c>
      <c r="P471" s="10"/>
      <c r="Q471" s="10"/>
      <c r="R471" s="26"/>
      <c r="T471" s="16"/>
    </row>
    <row r="472" spans="1:20" x14ac:dyDescent="0.25">
      <c r="A472" s="14">
        <v>2015</v>
      </c>
      <c r="B472" s="14" t="s">
        <v>123</v>
      </c>
      <c r="C472" s="14" t="s">
        <v>130</v>
      </c>
      <c r="D472" s="14">
        <v>10</v>
      </c>
      <c r="E472" s="14">
        <v>2</v>
      </c>
      <c r="F472" s="14">
        <v>39</v>
      </c>
      <c r="G472" s="14">
        <v>4</v>
      </c>
      <c r="H472" s="14" t="s">
        <v>12</v>
      </c>
      <c r="I472" s="15">
        <v>42306</v>
      </c>
      <c r="J472" s="14" t="s">
        <v>129</v>
      </c>
      <c r="K472" s="14">
        <v>1173</v>
      </c>
      <c r="L472" s="14">
        <v>357</v>
      </c>
      <c r="M472" s="14"/>
      <c r="N472" s="14">
        <v>741</v>
      </c>
      <c r="O472" s="14">
        <v>73.5</v>
      </c>
      <c r="P472" s="10"/>
      <c r="Q472" s="10"/>
      <c r="R472" s="26"/>
      <c r="T472" s="16"/>
    </row>
    <row r="473" spans="1:20" x14ac:dyDescent="0.25">
      <c r="A473" s="14">
        <v>2015</v>
      </c>
      <c r="B473" s="14" t="s">
        <v>123</v>
      </c>
      <c r="C473" s="14" t="s">
        <v>130</v>
      </c>
      <c r="D473" s="14">
        <v>10</v>
      </c>
      <c r="E473" s="14">
        <v>1</v>
      </c>
      <c r="F473" s="14">
        <v>40</v>
      </c>
      <c r="G473" s="14">
        <v>4</v>
      </c>
      <c r="H473" s="14" t="s">
        <v>13</v>
      </c>
      <c r="I473" s="15">
        <v>42306</v>
      </c>
      <c r="J473" s="14" t="s">
        <v>129</v>
      </c>
      <c r="K473" s="14">
        <v>987</v>
      </c>
      <c r="L473" s="14">
        <v>344</v>
      </c>
      <c r="M473" s="14"/>
      <c r="N473" s="14">
        <v>543</v>
      </c>
      <c r="O473" s="14">
        <v>91.6</v>
      </c>
      <c r="P473" s="10"/>
      <c r="Q473" s="10"/>
      <c r="R473" s="26"/>
      <c r="T473" s="16"/>
    </row>
    <row r="474" spans="1:20" x14ac:dyDescent="0.25">
      <c r="A474" s="14">
        <v>2015</v>
      </c>
      <c r="B474" s="14" t="s">
        <v>123</v>
      </c>
      <c r="C474" s="14" t="s">
        <v>130</v>
      </c>
      <c r="D474" s="14">
        <v>11</v>
      </c>
      <c r="E474" s="14">
        <v>1</v>
      </c>
      <c r="F474" s="14">
        <v>41</v>
      </c>
      <c r="G474" s="14">
        <v>4</v>
      </c>
      <c r="H474" s="14" t="s">
        <v>4</v>
      </c>
      <c r="I474" s="15">
        <v>42306</v>
      </c>
      <c r="J474" s="14" t="s">
        <v>129</v>
      </c>
      <c r="K474" s="14">
        <v>1125</v>
      </c>
      <c r="L474" s="14">
        <v>372</v>
      </c>
      <c r="M474" s="14"/>
      <c r="N474" s="14">
        <v>652</v>
      </c>
      <c r="O474" s="14">
        <v>99.9</v>
      </c>
      <c r="P474" s="10"/>
      <c r="Q474" s="10"/>
      <c r="R474" s="26"/>
      <c r="T474" s="16"/>
    </row>
    <row r="475" spans="1:20" x14ac:dyDescent="0.25">
      <c r="A475" s="14">
        <v>2015</v>
      </c>
      <c r="B475" s="14" t="s">
        <v>123</v>
      </c>
      <c r="C475" s="14" t="s">
        <v>130</v>
      </c>
      <c r="D475" s="14">
        <v>11</v>
      </c>
      <c r="E475" s="14">
        <v>2</v>
      </c>
      <c r="F475" s="14">
        <v>42</v>
      </c>
      <c r="G475" s="14">
        <v>4</v>
      </c>
      <c r="H475" s="14" t="s">
        <v>3</v>
      </c>
      <c r="I475" s="15">
        <v>42306</v>
      </c>
      <c r="J475" s="14" t="s">
        <v>129</v>
      </c>
      <c r="K475" s="14">
        <v>1017</v>
      </c>
      <c r="L475" s="14">
        <v>322</v>
      </c>
      <c r="M475" s="14"/>
      <c r="N475" s="14">
        <v>590</v>
      </c>
      <c r="O475" s="14">
        <v>83.5</v>
      </c>
      <c r="P475" s="10"/>
      <c r="Q475" s="10"/>
      <c r="R475" s="26"/>
      <c r="T475" s="16"/>
    </row>
    <row r="476" spans="1:20" x14ac:dyDescent="0.25">
      <c r="A476" s="14">
        <v>2015</v>
      </c>
      <c r="B476" s="14" t="s">
        <v>123</v>
      </c>
      <c r="C476" s="14" t="s">
        <v>130</v>
      </c>
      <c r="D476" s="14">
        <v>11</v>
      </c>
      <c r="E476" s="14">
        <v>3</v>
      </c>
      <c r="F476" s="14">
        <v>43</v>
      </c>
      <c r="G476" s="14">
        <v>4</v>
      </c>
      <c r="H476" s="14" t="s">
        <v>6</v>
      </c>
      <c r="I476" s="15">
        <v>42306</v>
      </c>
      <c r="J476" s="14" t="s">
        <v>129</v>
      </c>
      <c r="K476" s="14">
        <v>1111</v>
      </c>
      <c r="L476" s="14">
        <v>383</v>
      </c>
      <c r="M476" s="14"/>
      <c r="N476" s="14">
        <v>507</v>
      </c>
      <c r="O476" s="14">
        <v>124.4</v>
      </c>
      <c r="P476" s="10"/>
      <c r="Q476" s="10"/>
      <c r="R476" s="26"/>
      <c r="T476" s="16"/>
    </row>
    <row r="477" spans="1:20" x14ac:dyDescent="0.25">
      <c r="A477" s="14">
        <v>2015</v>
      </c>
      <c r="B477" s="14" t="s">
        <v>123</v>
      </c>
      <c r="C477" s="14" t="s">
        <v>130</v>
      </c>
      <c r="D477" s="14">
        <v>11</v>
      </c>
      <c r="E477" s="14">
        <v>4</v>
      </c>
      <c r="F477" s="14">
        <v>44</v>
      </c>
      <c r="G477" s="14">
        <v>4</v>
      </c>
      <c r="H477" s="14" t="s">
        <v>14</v>
      </c>
      <c r="I477" s="15">
        <v>42306</v>
      </c>
      <c r="J477" s="14" t="s">
        <v>129</v>
      </c>
      <c r="K477" s="14">
        <v>1010</v>
      </c>
      <c r="L477" s="14">
        <v>381</v>
      </c>
      <c r="M477" s="14"/>
      <c r="N477" s="14">
        <v>537</v>
      </c>
      <c r="O477" s="14">
        <v>91.3</v>
      </c>
      <c r="P477" s="10"/>
      <c r="Q477" s="10"/>
      <c r="R477" s="26"/>
      <c r="T477" s="16"/>
    </row>
    <row r="478" spans="1:20" x14ac:dyDescent="0.25">
      <c r="A478" s="14">
        <v>2015</v>
      </c>
      <c r="B478" s="14" t="s">
        <v>123</v>
      </c>
      <c r="C478" s="14" t="s">
        <v>130</v>
      </c>
      <c r="D478" s="14">
        <v>12</v>
      </c>
      <c r="E478" s="14">
        <v>4</v>
      </c>
      <c r="F478" s="14">
        <v>45</v>
      </c>
      <c r="G478" s="14">
        <v>4</v>
      </c>
      <c r="H478" s="14" t="s">
        <v>5</v>
      </c>
      <c r="I478" s="15">
        <v>42306</v>
      </c>
      <c r="J478" s="14" t="s">
        <v>129</v>
      </c>
      <c r="K478" s="14">
        <v>896</v>
      </c>
      <c r="L478" s="14">
        <v>328</v>
      </c>
      <c r="M478" s="14"/>
      <c r="N478" s="14">
        <v>461</v>
      </c>
      <c r="O478" s="14">
        <v>101.3</v>
      </c>
      <c r="P478" s="10"/>
      <c r="Q478" s="10"/>
      <c r="R478" s="26"/>
      <c r="T478" s="16"/>
    </row>
    <row r="479" spans="1:20" x14ac:dyDescent="0.25">
      <c r="A479" s="14">
        <v>2015</v>
      </c>
      <c r="B479" s="14" t="s">
        <v>123</v>
      </c>
      <c r="C479" s="14" t="s">
        <v>130</v>
      </c>
      <c r="D479" s="14">
        <v>12</v>
      </c>
      <c r="E479" s="14">
        <v>3</v>
      </c>
      <c r="F479" s="14">
        <v>46</v>
      </c>
      <c r="G479" s="14">
        <v>4</v>
      </c>
      <c r="H479" s="14" t="s">
        <v>8</v>
      </c>
      <c r="I479" s="15">
        <v>42306</v>
      </c>
      <c r="J479" s="14" t="s">
        <v>129</v>
      </c>
      <c r="K479" s="14">
        <v>1110</v>
      </c>
      <c r="L479" s="14">
        <v>413</v>
      </c>
      <c r="M479" s="14"/>
      <c r="N479" s="14">
        <v>572</v>
      </c>
      <c r="O479" s="14">
        <v>98.4</v>
      </c>
      <c r="P479" s="10"/>
      <c r="Q479" s="10"/>
      <c r="R479" s="26"/>
      <c r="T479" s="16"/>
    </row>
    <row r="480" spans="1:20" x14ac:dyDescent="0.25">
      <c r="A480" s="14">
        <v>2015</v>
      </c>
      <c r="B480" s="14" t="s">
        <v>123</v>
      </c>
      <c r="C480" s="14" t="s">
        <v>130</v>
      </c>
      <c r="D480" s="14">
        <v>12</v>
      </c>
      <c r="E480" s="14">
        <v>2</v>
      </c>
      <c r="F480" s="14">
        <v>47</v>
      </c>
      <c r="G480" s="14">
        <v>4</v>
      </c>
      <c r="H480" s="14" t="s">
        <v>10</v>
      </c>
      <c r="I480" s="15">
        <v>42306</v>
      </c>
      <c r="J480" s="14" t="s">
        <v>129</v>
      </c>
      <c r="K480" s="14">
        <v>931</v>
      </c>
      <c r="L480" s="14">
        <v>331</v>
      </c>
      <c r="M480" s="14"/>
      <c r="N480" s="14">
        <v>511</v>
      </c>
      <c r="O480" s="14">
        <v>83.9</v>
      </c>
      <c r="P480" s="10"/>
      <c r="Q480" s="10"/>
      <c r="R480" s="26"/>
      <c r="T480" s="16"/>
    </row>
    <row r="481" spans="1:20" x14ac:dyDescent="0.25">
      <c r="A481" s="14">
        <v>2015</v>
      </c>
      <c r="B481" s="14" t="s">
        <v>123</v>
      </c>
      <c r="C481" s="14" t="s">
        <v>130</v>
      </c>
      <c r="D481" s="14">
        <v>12</v>
      </c>
      <c r="E481" s="14">
        <v>1</v>
      </c>
      <c r="F481" s="14">
        <v>48</v>
      </c>
      <c r="G481" s="14">
        <v>4</v>
      </c>
      <c r="H481" s="14" t="s">
        <v>7</v>
      </c>
      <c r="I481" s="15">
        <v>42306</v>
      </c>
      <c r="J481" s="14" t="s">
        <v>129</v>
      </c>
      <c r="K481" s="14">
        <v>1108</v>
      </c>
      <c r="L481" s="14">
        <v>351</v>
      </c>
      <c r="M481" s="14"/>
      <c r="N481" s="14">
        <v>652</v>
      </c>
      <c r="O481" s="14">
        <v>90.2</v>
      </c>
      <c r="P481" s="10"/>
      <c r="Q481" s="10"/>
      <c r="R481" s="26"/>
      <c r="T481" s="16"/>
    </row>
    <row r="482" spans="1:20" x14ac:dyDescent="0.25">
      <c r="A482" s="14">
        <v>2015</v>
      </c>
      <c r="B482" s="14" t="s">
        <v>131</v>
      </c>
      <c r="C482" s="14" t="s">
        <v>132</v>
      </c>
      <c r="D482" s="14">
        <v>1</v>
      </c>
      <c r="E482" s="14">
        <v>1</v>
      </c>
      <c r="F482" s="14">
        <v>1</v>
      </c>
      <c r="G482" s="14">
        <v>1</v>
      </c>
      <c r="H482" s="14" t="s">
        <v>9</v>
      </c>
      <c r="I482" s="15">
        <v>42214</v>
      </c>
      <c r="J482" s="14" t="s">
        <v>125</v>
      </c>
      <c r="K482" s="14">
        <v>55</v>
      </c>
      <c r="L482" s="21"/>
      <c r="M482" s="21"/>
      <c r="N482" s="21"/>
      <c r="O482" s="24"/>
      <c r="P482" s="10">
        <v>-25.99</v>
      </c>
      <c r="Q482" s="25">
        <v>57.4</v>
      </c>
      <c r="R482" s="10">
        <v>30.8</v>
      </c>
      <c r="S482" s="16">
        <f t="shared" ref="S482:S545" si="32">K482*Q482/1000</f>
        <v>3.157</v>
      </c>
      <c r="T482" s="16">
        <f t="shared" ref="T482:T514" si="33">K482*R482/1000</f>
        <v>1.694</v>
      </c>
    </row>
    <row r="483" spans="1:20" x14ac:dyDescent="0.25">
      <c r="A483" s="14">
        <v>2015</v>
      </c>
      <c r="B483" s="14" t="s">
        <v>131</v>
      </c>
      <c r="C483" s="14" t="s">
        <v>132</v>
      </c>
      <c r="D483" s="14">
        <v>1</v>
      </c>
      <c r="E483" s="14">
        <v>2</v>
      </c>
      <c r="F483" s="14">
        <v>2</v>
      </c>
      <c r="G483" s="14">
        <v>1</v>
      </c>
      <c r="H483" s="14" t="s">
        <v>5</v>
      </c>
      <c r="I483" s="15">
        <v>42214</v>
      </c>
      <c r="J483" s="14" t="s">
        <v>125</v>
      </c>
      <c r="K483" s="14">
        <v>52</v>
      </c>
      <c r="L483" s="21"/>
      <c r="M483" s="21"/>
      <c r="N483" s="21"/>
      <c r="O483" s="24"/>
      <c r="P483" s="10">
        <v>-25.36</v>
      </c>
      <c r="Q483" s="25">
        <v>58.9</v>
      </c>
      <c r="R483" s="10">
        <v>51.2</v>
      </c>
      <c r="S483" s="16">
        <f t="shared" si="32"/>
        <v>3.0627999999999997</v>
      </c>
      <c r="T483" s="16">
        <f t="shared" si="33"/>
        <v>2.6623999999999999</v>
      </c>
    </row>
    <row r="484" spans="1:20" x14ac:dyDescent="0.25">
      <c r="A484" s="14">
        <v>2015</v>
      </c>
      <c r="B484" s="14" t="s">
        <v>131</v>
      </c>
      <c r="C484" s="14" t="s">
        <v>132</v>
      </c>
      <c r="D484" s="14">
        <v>1</v>
      </c>
      <c r="E484" s="14">
        <v>3</v>
      </c>
      <c r="F484" s="14">
        <v>3</v>
      </c>
      <c r="G484" s="14">
        <v>1</v>
      </c>
      <c r="H484" s="14" t="s">
        <v>13</v>
      </c>
      <c r="I484" s="15">
        <v>42214</v>
      </c>
      <c r="J484" s="14" t="s">
        <v>125</v>
      </c>
      <c r="K484" s="14">
        <v>82</v>
      </c>
      <c r="L484" s="21"/>
      <c r="M484" s="21"/>
      <c r="N484" s="21"/>
      <c r="O484" s="24"/>
      <c r="P484" s="10">
        <v>-25.83</v>
      </c>
      <c r="Q484" s="25">
        <v>61</v>
      </c>
      <c r="R484" s="10">
        <v>14.4</v>
      </c>
      <c r="S484" s="16">
        <f t="shared" si="32"/>
        <v>5.0019999999999998</v>
      </c>
      <c r="T484" s="16">
        <f t="shared" si="33"/>
        <v>1.1807999999999998</v>
      </c>
    </row>
    <row r="485" spans="1:20" x14ac:dyDescent="0.25">
      <c r="A485" s="14">
        <v>2015</v>
      </c>
      <c r="B485" s="14" t="s">
        <v>131</v>
      </c>
      <c r="C485" s="14" t="s">
        <v>132</v>
      </c>
      <c r="D485" s="14">
        <v>1</v>
      </c>
      <c r="E485" s="14">
        <v>4</v>
      </c>
      <c r="F485" s="14">
        <v>4</v>
      </c>
      <c r="G485" s="14">
        <v>1</v>
      </c>
      <c r="H485" s="14" t="s">
        <v>7</v>
      </c>
      <c r="I485" s="15">
        <v>42214</v>
      </c>
      <c r="J485" s="14" t="s">
        <v>125</v>
      </c>
      <c r="K485" s="14">
        <v>59</v>
      </c>
      <c r="L485" s="21"/>
      <c r="M485" s="21"/>
      <c r="N485" s="21"/>
      <c r="O485" s="24"/>
      <c r="P485" s="10">
        <v>-25.68</v>
      </c>
      <c r="Q485" s="25">
        <v>53.8</v>
      </c>
      <c r="R485" s="10">
        <v>33.1</v>
      </c>
      <c r="S485" s="16">
        <f t="shared" si="32"/>
        <v>3.1741999999999999</v>
      </c>
      <c r="T485" s="16">
        <f t="shared" si="33"/>
        <v>1.9529000000000001</v>
      </c>
    </row>
    <row r="486" spans="1:20" x14ac:dyDescent="0.25">
      <c r="A486" s="14">
        <v>2015</v>
      </c>
      <c r="B486" s="14" t="s">
        <v>131</v>
      </c>
      <c r="C486" s="14" t="s">
        <v>132</v>
      </c>
      <c r="D486" s="14">
        <v>2</v>
      </c>
      <c r="E486" s="14">
        <v>4</v>
      </c>
      <c r="F486" s="14">
        <v>5</v>
      </c>
      <c r="G486" s="14">
        <v>1</v>
      </c>
      <c r="H486" s="14" t="s">
        <v>12</v>
      </c>
      <c r="I486" s="15">
        <v>42214</v>
      </c>
      <c r="J486" s="14" t="s">
        <v>125</v>
      </c>
      <c r="K486" s="14">
        <v>65</v>
      </c>
      <c r="L486" s="21"/>
      <c r="M486" s="21"/>
      <c r="N486" s="21"/>
      <c r="O486" s="24"/>
      <c r="P486" s="10">
        <v>-25.7</v>
      </c>
      <c r="Q486" s="25">
        <v>57.9</v>
      </c>
      <c r="R486" s="10">
        <v>28.6</v>
      </c>
      <c r="S486" s="16">
        <f t="shared" si="32"/>
        <v>3.7635000000000001</v>
      </c>
      <c r="T486" s="16">
        <f t="shared" si="33"/>
        <v>1.859</v>
      </c>
    </row>
    <row r="487" spans="1:20" x14ac:dyDescent="0.25">
      <c r="A487" s="14">
        <v>2015</v>
      </c>
      <c r="B487" s="14" t="s">
        <v>131</v>
      </c>
      <c r="C487" s="14" t="s">
        <v>132</v>
      </c>
      <c r="D487" s="14">
        <v>2</v>
      </c>
      <c r="E487" s="14">
        <v>3</v>
      </c>
      <c r="F487" s="14">
        <v>6</v>
      </c>
      <c r="G487" s="14">
        <v>1</v>
      </c>
      <c r="H487" s="14" t="s">
        <v>10</v>
      </c>
      <c r="I487" s="15">
        <v>42214</v>
      </c>
      <c r="J487" s="14" t="s">
        <v>125</v>
      </c>
      <c r="K487" s="14">
        <v>68</v>
      </c>
      <c r="L487" s="21"/>
      <c r="M487" s="21"/>
      <c r="N487" s="21"/>
      <c r="O487" s="24"/>
      <c r="P487" s="10">
        <v>-25.72</v>
      </c>
      <c r="Q487" s="25">
        <v>62.7</v>
      </c>
      <c r="R487" s="10">
        <v>17.7</v>
      </c>
      <c r="S487" s="16">
        <f t="shared" si="32"/>
        <v>4.2636000000000003</v>
      </c>
      <c r="T487" s="16">
        <f t="shared" si="33"/>
        <v>1.2036</v>
      </c>
    </row>
    <row r="488" spans="1:20" x14ac:dyDescent="0.25">
      <c r="A488" s="14">
        <v>2015</v>
      </c>
      <c r="B488" s="14" t="s">
        <v>131</v>
      </c>
      <c r="C488" s="14" t="s">
        <v>132</v>
      </c>
      <c r="D488" s="14">
        <v>2</v>
      </c>
      <c r="E488" s="14">
        <v>2</v>
      </c>
      <c r="F488" s="14">
        <v>7</v>
      </c>
      <c r="G488" s="14">
        <v>1</v>
      </c>
      <c r="H488" s="14" t="s">
        <v>6</v>
      </c>
      <c r="I488" s="15">
        <v>42214</v>
      </c>
      <c r="J488" s="14" t="s">
        <v>125</v>
      </c>
      <c r="K488" s="14">
        <v>48</v>
      </c>
      <c r="L488" s="21"/>
      <c r="M488" s="21"/>
      <c r="N488" s="21"/>
      <c r="O488" s="24"/>
      <c r="P488" s="10">
        <v>-25.43</v>
      </c>
      <c r="Q488" s="25">
        <v>58.2</v>
      </c>
      <c r="R488" s="10">
        <v>50.5</v>
      </c>
      <c r="S488" s="16">
        <f t="shared" si="32"/>
        <v>2.7936000000000005</v>
      </c>
      <c r="T488" s="16">
        <f t="shared" si="33"/>
        <v>2.4239999999999999</v>
      </c>
    </row>
    <row r="489" spans="1:20" x14ac:dyDescent="0.25">
      <c r="A489" s="14">
        <v>2015</v>
      </c>
      <c r="B489" s="14" t="s">
        <v>131</v>
      </c>
      <c r="C489" s="14" t="s">
        <v>132</v>
      </c>
      <c r="D489" s="14">
        <v>2</v>
      </c>
      <c r="E489" s="14">
        <v>1</v>
      </c>
      <c r="F489" s="14">
        <v>8</v>
      </c>
      <c r="G489" s="14">
        <v>1</v>
      </c>
      <c r="H489" s="14" t="s">
        <v>8</v>
      </c>
      <c r="I489" s="15">
        <v>42214</v>
      </c>
      <c r="J489" s="14" t="s">
        <v>125</v>
      </c>
      <c r="K489" s="14">
        <v>50</v>
      </c>
      <c r="L489" s="21"/>
      <c r="M489" s="21"/>
      <c r="N489" s="21"/>
      <c r="O489" s="24"/>
      <c r="P489" s="10">
        <v>-25.21</v>
      </c>
      <c r="Q489" s="25">
        <v>55.6</v>
      </c>
      <c r="R489" s="10">
        <v>48.8</v>
      </c>
      <c r="S489" s="16">
        <f t="shared" si="32"/>
        <v>2.78</v>
      </c>
      <c r="T489" s="16">
        <f t="shared" si="33"/>
        <v>2.44</v>
      </c>
    </row>
    <row r="490" spans="1:20" x14ac:dyDescent="0.25">
      <c r="A490" s="14">
        <v>2015</v>
      </c>
      <c r="B490" s="14" t="s">
        <v>131</v>
      </c>
      <c r="C490" s="14" t="s">
        <v>132</v>
      </c>
      <c r="D490" s="14">
        <v>3</v>
      </c>
      <c r="E490" s="14">
        <v>1</v>
      </c>
      <c r="F490" s="14">
        <v>9</v>
      </c>
      <c r="G490" s="14">
        <v>1</v>
      </c>
      <c r="H490" s="14" t="s">
        <v>4</v>
      </c>
      <c r="I490" s="15">
        <v>42214</v>
      </c>
      <c r="J490" s="14" t="s">
        <v>125</v>
      </c>
      <c r="K490" s="14">
        <v>38</v>
      </c>
      <c r="L490" s="21"/>
      <c r="M490" s="21"/>
      <c r="N490" s="21"/>
      <c r="O490" s="24"/>
      <c r="P490" s="10">
        <v>-25.44</v>
      </c>
      <c r="Q490" s="25">
        <v>51.9</v>
      </c>
      <c r="R490" s="10">
        <v>51</v>
      </c>
      <c r="S490" s="16">
        <f t="shared" si="32"/>
        <v>1.9722</v>
      </c>
      <c r="T490" s="16">
        <f t="shared" si="33"/>
        <v>1.9379999999999999</v>
      </c>
    </row>
    <row r="491" spans="1:20" x14ac:dyDescent="0.25">
      <c r="A491" s="14">
        <v>2015</v>
      </c>
      <c r="B491" s="14" t="s">
        <v>131</v>
      </c>
      <c r="C491" s="14" t="s">
        <v>132</v>
      </c>
      <c r="D491" s="14">
        <v>3</v>
      </c>
      <c r="E491" s="14">
        <v>2</v>
      </c>
      <c r="F491" s="14">
        <v>10</v>
      </c>
      <c r="G491" s="14">
        <v>1</v>
      </c>
      <c r="H491" s="14" t="s">
        <v>14</v>
      </c>
      <c r="I491" s="15">
        <v>42214</v>
      </c>
      <c r="J491" s="14" t="s">
        <v>125</v>
      </c>
      <c r="K491" s="14">
        <v>47</v>
      </c>
      <c r="L491" s="21"/>
      <c r="M491" s="21"/>
      <c r="N491" s="21"/>
      <c r="O491" s="24"/>
      <c r="P491" s="10">
        <v>-25.61</v>
      </c>
      <c r="Q491" s="25">
        <v>58.4</v>
      </c>
      <c r="R491" s="10">
        <v>32.9</v>
      </c>
      <c r="S491" s="16">
        <f t="shared" si="32"/>
        <v>2.7447999999999997</v>
      </c>
      <c r="T491" s="16">
        <f t="shared" si="33"/>
        <v>1.5463</v>
      </c>
    </row>
    <row r="492" spans="1:20" x14ac:dyDescent="0.25">
      <c r="A492" s="14">
        <v>2015</v>
      </c>
      <c r="B492" s="14" t="s">
        <v>131</v>
      </c>
      <c r="C492" s="14" t="s">
        <v>132</v>
      </c>
      <c r="D492" s="14">
        <v>3</v>
      </c>
      <c r="E492" s="14">
        <v>3</v>
      </c>
      <c r="F492" s="14">
        <v>11</v>
      </c>
      <c r="G492" s="14">
        <v>1</v>
      </c>
      <c r="H492" s="14" t="s">
        <v>3</v>
      </c>
      <c r="I492" s="15">
        <v>42214</v>
      </c>
      <c r="J492" s="14" t="s">
        <v>125</v>
      </c>
      <c r="K492" s="14">
        <v>55</v>
      </c>
      <c r="L492" s="21"/>
      <c r="M492" s="21"/>
      <c r="N492" s="21"/>
      <c r="O492" s="24"/>
      <c r="P492" s="10">
        <v>-25.5</v>
      </c>
      <c r="Q492" s="25">
        <v>58.7</v>
      </c>
      <c r="R492" s="10">
        <v>36</v>
      </c>
      <c r="S492" s="16">
        <f t="shared" si="32"/>
        <v>3.2284999999999999</v>
      </c>
      <c r="T492" s="16">
        <f t="shared" si="33"/>
        <v>1.98</v>
      </c>
    </row>
    <row r="493" spans="1:20" x14ac:dyDescent="0.25">
      <c r="A493" s="14">
        <v>2015</v>
      </c>
      <c r="B493" s="14" t="s">
        <v>131</v>
      </c>
      <c r="C493" s="14" t="s">
        <v>132</v>
      </c>
      <c r="D493" s="14">
        <v>3</v>
      </c>
      <c r="E493" s="14">
        <v>4</v>
      </c>
      <c r="F493" s="14">
        <v>12</v>
      </c>
      <c r="G493" s="14">
        <v>1</v>
      </c>
      <c r="H493" s="14" t="s">
        <v>2</v>
      </c>
      <c r="I493" s="15">
        <v>42214</v>
      </c>
      <c r="J493" s="14" t="s">
        <v>125</v>
      </c>
      <c r="K493" s="14">
        <v>62</v>
      </c>
      <c r="L493" s="21"/>
      <c r="M493" s="21"/>
      <c r="N493" s="21"/>
      <c r="O493" s="24"/>
      <c r="P493" s="10">
        <v>-25.11</v>
      </c>
      <c r="Q493" s="25">
        <v>50.5</v>
      </c>
      <c r="R493" s="10">
        <v>71.7</v>
      </c>
      <c r="S493" s="16">
        <f t="shared" si="32"/>
        <v>3.1309999999999998</v>
      </c>
      <c r="T493" s="16">
        <f t="shared" si="33"/>
        <v>4.4454000000000002</v>
      </c>
    </row>
    <row r="494" spans="1:20" x14ac:dyDescent="0.25">
      <c r="A494" s="14">
        <v>2015</v>
      </c>
      <c r="B494" s="14" t="s">
        <v>131</v>
      </c>
      <c r="C494" s="14" t="s">
        <v>132</v>
      </c>
      <c r="D494" s="14">
        <v>4</v>
      </c>
      <c r="E494" s="14">
        <v>4</v>
      </c>
      <c r="F494" s="14">
        <v>13</v>
      </c>
      <c r="G494" s="14">
        <v>2</v>
      </c>
      <c r="H494" s="14" t="s">
        <v>4</v>
      </c>
      <c r="I494" s="15">
        <v>42214</v>
      </c>
      <c r="J494" s="14" t="s">
        <v>125</v>
      </c>
      <c r="K494" s="14">
        <v>37</v>
      </c>
      <c r="L494" s="21"/>
      <c r="M494" s="21"/>
      <c r="N494" s="21"/>
      <c r="O494" s="24"/>
      <c r="P494" s="10">
        <v>-25.27</v>
      </c>
      <c r="Q494" s="25">
        <v>51.7</v>
      </c>
      <c r="R494" s="10">
        <v>64.400000000000006</v>
      </c>
      <c r="S494" s="16">
        <f t="shared" si="32"/>
        <v>1.9129</v>
      </c>
      <c r="T494" s="16">
        <f t="shared" si="33"/>
        <v>2.3828</v>
      </c>
    </row>
    <row r="495" spans="1:20" x14ac:dyDescent="0.25">
      <c r="A495" s="14">
        <v>2015</v>
      </c>
      <c r="B495" s="14" t="s">
        <v>131</v>
      </c>
      <c r="C495" s="14" t="s">
        <v>132</v>
      </c>
      <c r="D495" s="14">
        <v>4</v>
      </c>
      <c r="E495" s="14">
        <v>3</v>
      </c>
      <c r="F495" s="14">
        <v>14</v>
      </c>
      <c r="G495" s="14">
        <v>2</v>
      </c>
      <c r="H495" s="14" t="s">
        <v>9</v>
      </c>
      <c r="I495" s="15">
        <v>42214</v>
      </c>
      <c r="J495" s="14" t="s">
        <v>125</v>
      </c>
      <c r="K495" s="14">
        <v>53</v>
      </c>
      <c r="L495" s="21"/>
      <c r="M495" s="21"/>
      <c r="N495" s="21"/>
      <c r="O495" s="24"/>
      <c r="P495" s="10">
        <v>-25.54</v>
      </c>
      <c r="Q495" s="25">
        <v>62.3</v>
      </c>
      <c r="R495" s="10">
        <v>31.7</v>
      </c>
      <c r="S495" s="16">
        <f t="shared" si="32"/>
        <v>3.3018999999999998</v>
      </c>
      <c r="T495" s="16">
        <f t="shared" si="33"/>
        <v>1.6800999999999999</v>
      </c>
    </row>
    <row r="496" spans="1:20" x14ac:dyDescent="0.25">
      <c r="A496" s="14">
        <v>2015</v>
      </c>
      <c r="B496" s="14" t="s">
        <v>131</v>
      </c>
      <c r="C496" s="14" t="s">
        <v>132</v>
      </c>
      <c r="D496" s="14">
        <v>4</v>
      </c>
      <c r="E496" s="14">
        <v>2</v>
      </c>
      <c r="F496" s="14">
        <v>15</v>
      </c>
      <c r="G496" s="14">
        <v>2</v>
      </c>
      <c r="H496" s="14" t="s">
        <v>3</v>
      </c>
      <c r="I496" s="15">
        <v>42214</v>
      </c>
      <c r="J496" s="14" t="s">
        <v>125</v>
      </c>
      <c r="K496" s="14">
        <v>56</v>
      </c>
      <c r="L496" s="21"/>
      <c r="M496" s="21"/>
      <c r="N496" s="21"/>
      <c r="O496" s="24"/>
      <c r="P496" s="10">
        <v>-25.29</v>
      </c>
      <c r="Q496" s="25">
        <v>55.5</v>
      </c>
      <c r="R496" s="10">
        <v>58.1</v>
      </c>
      <c r="S496" s="16">
        <f t="shared" si="32"/>
        <v>3.1080000000000001</v>
      </c>
      <c r="T496" s="16">
        <f t="shared" si="33"/>
        <v>3.2536</v>
      </c>
    </row>
    <row r="497" spans="1:20" x14ac:dyDescent="0.25">
      <c r="A497" s="14">
        <v>2015</v>
      </c>
      <c r="B497" s="14" t="s">
        <v>131</v>
      </c>
      <c r="C497" s="14" t="s">
        <v>132</v>
      </c>
      <c r="D497" s="14">
        <v>4</v>
      </c>
      <c r="E497" s="14">
        <v>1</v>
      </c>
      <c r="F497" s="14">
        <v>16</v>
      </c>
      <c r="G497" s="14">
        <v>2</v>
      </c>
      <c r="H497" s="14" t="s">
        <v>13</v>
      </c>
      <c r="I497" s="15">
        <v>42214</v>
      </c>
      <c r="J497" s="14" t="s">
        <v>125</v>
      </c>
      <c r="K497" s="14">
        <v>61</v>
      </c>
      <c r="L497" s="21"/>
      <c r="M497" s="21"/>
      <c r="N497" s="21"/>
      <c r="O497" s="24"/>
      <c r="P497" s="10">
        <v>-25.59</v>
      </c>
      <c r="Q497" s="25">
        <v>59.1</v>
      </c>
      <c r="R497" s="10">
        <v>23.4</v>
      </c>
      <c r="S497" s="16">
        <f t="shared" si="32"/>
        <v>3.6050999999999997</v>
      </c>
      <c r="T497" s="16">
        <f t="shared" si="33"/>
        <v>1.4273999999999998</v>
      </c>
    </row>
    <row r="498" spans="1:20" x14ac:dyDescent="0.25">
      <c r="A498" s="14">
        <v>2015</v>
      </c>
      <c r="B498" s="14" t="s">
        <v>131</v>
      </c>
      <c r="C498" s="14" t="s">
        <v>132</v>
      </c>
      <c r="D498" s="14">
        <v>5</v>
      </c>
      <c r="E498" s="14">
        <v>1</v>
      </c>
      <c r="F498" s="14">
        <v>17</v>
      </c>
      <c r="G498" s="14">
        <v>2</v>
      </c>
      <c r="H498" s="14" t="s">
        <v>14</v>
      </c>
      <c r="I498" s="15">
        <v>42214</v>
      </c>
      <c r="J498" s="14" t="s">
        <v>125</v>
      </c>
      <c r="K498" s="14">
        <v>46</v>
      </c>
      <c r="L498" s="21"/>
      <c r="M498" s="21"/>
      <c r="N498" s="21"/>
      <c r="O498" s="24"/>
      <c r="P498" s="10">
        <v>-25.41</v>
      </c>
      <c r="Q498" s="25">
        <v>58.9</v>
      </c>
      <c r="R498" s="10">
        <v>37.200000000000003</v>
      </c>
      <c r="S498" s="16">
        <f t="shared" si="32"/>
        <v>2.7094</v>
      </c>
      <c r="T498" s="16">
        <f t="shared" si="33"/>
        <v>1.7112000000000001</v>
      </c>
    </row>
    <row r="499" spans="1:20" x14ac:dyDescent="0.25">
      <c r="A499" s="14">
        <v>2015</v>
      </c>
      <c r="B499" s="14" t="s">
        <v>131</v>
      </c>
      <c r="C499" s="14" t="s">
        <v>132</v>
      </c>
      <c r="D499" s="14">
        <v>5</v>
      </c>
      <c r="E499" s="14">
        <v>2</v>
      </c>
      <c r="F499" s="14">
        <v>18</v>
      </c>
      <c r="G499" s="14">
        <v>2</v>
      </c>
      <c r="H499" s="14" t="s">
        <v>12</v>
      </c>
      <c r="I499" s="15">
        <v>42214</v>
      </c>
      <c r="J499" s="14" t="s">
        <v>125</v>
      </c>
      <c r="K499" s="14">
        <v>54</v>
      </c>
      <c r="L499" s="21"/>
      <c r="M499" s="21"/>
      <c r="N499" s="21"/>
      <c r="O499" s="24"/>
      <c r="P499" s="10">
        <v>-25.4</v>
      </c>
      <c r="Q499" s="25">
        <v>59.8</v>
      </c>
      <c r="R499" s="10">
        <v>33.299999999999997</v>
      </c>
      <c r="S499" s="16">
        <f t="shared" si="32"/>
        <v>3.2291999999999996</v>
      </c>
      <c r="T499" s="16">
        <f t="shared" si="33"/>
        <v>1.7981999999999998</v>
      </c>
    </row>
    <row r="500" spans="1:20" x14ac:dyDescent="0.25">
      <c r="A500" s="14">
        <v>2015</v>
      </c>
      <c r="B500" s="14" t="s">
        <v>131</v>
      </c>
      <c r="C500" s="14" t="s">
        <v>132</v>
      </c>
      <c r="D500" s="14">
        <v>5</v>
      </c>
      <c r="E500" s="14">
        <v>3</v>
      </c>
      <c r="F500" s="14">
        <v>19</v>
      </c>
      <c r="G500" s="14">
        <v>2</v>
      </c>
      <c r="H500" s="14" t="s">
        <v>2</v>
      </c>
      <c r="I500" s="15">
        <v>42214</v>
      </c>
      <c r="J500" s="14" t="s">
        <v>125</v>
      </c>
      <c r="K500" s="14">
        <v>67</v>
      </c>
      <c r="L500" s="21"/>
      <c r="M500" s="21"/>
      <c r="N500" s="21"/>
      <c r="O500" s="24"/>
      <c r="P500" s="10">
        <v>-25.15</v>
      </c>
      <c r="Q500" s="25">
        <v>56.3</v>
      </c>
      <c r="R500" s="10">
        <v>45.5</v>
      </c>
      <c r="S500" s="16">
        <f t="shared" si="32"/>
        <v>3.7721</v>
      </c>
      <c r="T500" s="16">
        <f t="shared" si="33"/>
        <v>3.0485000000000002</v>
      </c>
    </row>
    <row r="501" spans="1:20" x14ac:dyDescent="0.25">
      <c r="A501" s="14">
        <v>2015</v>
      </c>
      <c r="B501" s="14" t="s">
        <v>131</v>
      </c>
      <c r="C501" s="14" t="s">
        <v>132</v>
      </c>
      <c r="D501" s="14">
        <v>5</v>
      </c>
      <c r="E501" s="14">
        <v>4</v>
      </c>
      <c r="F501" s="14">
        <v>20</v>
      </c>
      <c r="G501" s="14">
        <v>2</v>
      </c>
      <c r="H501" s="14" t="s">
        <v>6</v>
      </c>
      <c r="I501" s="15">
        <v>42214</v>
      </c>
      <c r="J501" s="14" t="s">
        <v>125</v>
      </c>
      <c r="K501" s="14">
        <v>72</v>
      </c>
      <c r="L501" s="21"/>
      <c r="M501" s="21"/>
      <c r="N501" s="21"/>
      <c r="O501" s="24"/>
      <c r="P501" s="10">
        <v>-25.7</v>
      </c>
      <c r="Q501" s="25">
        <v>58.2</v>
      </c>
      <c r="R501" s="10">
        <v>29.9</v>
      </c>
      <c r="S501" s="16">
        <f t="shared" si="32"/>
        <v>4.1904000000000003</v>
      </c>
      <c r="T501" s="16">
        <f t="shared" si="33"/>
        <v>2.1527999999999996</v>
      </c>
    </row>
    <row r="502" spans="1:20" x14ac:dyDescent="0.25">
      <c r="A502" s="14">
        <v>2015</v>
      </c>
      <c r="B502" s="14" t="s">
        <v>131</v>
      </c>
      <c r="C502" s="14" t="s">
        <v>132</v>
      </c>
      <c r="D502" s="14">
        <v>6</v>
      </c>
      <c r="E502" s="14">
        <v>4</v>
      </c>
      <c r="F502" s="14">
        <v>21</v>
      </c>
      <c r="G502" s="14">
        <v>2</v>
      </c>
      <c r="H502" s="14" t="s">
        <v>10</v>
      </c>
      <c r="I502" s="15">
        <v>42214</v>
      </c>
      <c r="J502" s="14" t="s">
        <v>125</v>
      </c>
      <c r="K502" s="14">
        <v>69</v>
      </c>
      <c r="L502" s="21"/>
      <c r="M502" s="21"/>
      <c r="N502" s="21"/>
      <c r="O502" s="24"/>
      <c r="P502" s="10">
        <v>-25.46</v>
      </c>
      <c r="Q502" s="25">
        <v>54.7</v>
      </c>
      <c r="R502" s="10">
        <v>31</v>
      </c>
      <c r="S502" s="16">
        <f t="shared" si="32"/>
        <v>3.7743000000000002</v>
      </c>
      <c r="T502" s="16">
        <f t="shared" si="33"/>
        <v>2.1389999999999998</v>
      </c>
    </row>
    <row r="503" spans="1:20" x14ac:dyDescent="0.25">
      <c r="A503" s="14">
        <v>2015</v>
      </c>
      <c r="B503" s="14" t="s">
        <v>131</v>
      </c>
      <c r="C503" s="14" t="s">
        <v>132</v>
      </c>
      <c r="D503" s="14">
        <v>6</v>
      </c>
      <c r="E503" s="14">
        <v>3</v>
      </c>
      <c r="F503" s="14">
        <v>22</v>
      </c>
      <c r="G503" s="14">
        <v>2</v>
      </c>
      <c r="H503" s="14" t="s">
        <v>5</v>
      </c>
      <c r="I503" s="15">
        <v>42214</v>
      </c>
      <c r="J503" s="14" t="s">
        <v>125</v>
      </c>
      <c r="K503" s="14">
        <v>49</v>
      </c>
      <c r="L503" s="21"/>
      <c r="M503" s="21"/>
      <c r="N503" s="21"/>
      <c r="O503" s="24"/>
      <c r="P503" s="10">
        <v>-25.2</v>
      </c>
      <c r="Q503" s="25">
        <v>57.8</v>
      </c>
      <c r="R503" s="10">
        <v>52.8</v>
      </c>
      <c r="S503" s="16">
        <f t="shared" si="32"/>
        <v>2.8321999999999998</v>
      </c>
      <c r="T503" s="16">
        <f t="shared" si="33"/>
        <v>2.5871999999999997</v>
      </c>
    </row>
    <row r="504" spans="1:20" x14ac:dyDescent="0.25">
      <c r="A504" s="14">
        <v>2015</v>
      </c>
      <c r="B504" s="14" t="s">
        <v>131</v>
      </c>
      <c r="C504" s="14" t="s">
        <v>132</v>
      </c>
      <c r="D504" s="14">
        <v>6</v>
      </c>
      <c r="E504" s="14">
        <v>2</v>
      </c>
      <c r="F504" s="14">
        <v>23</v>
      </c>
      <c r="G504" s="14">
        <v>2</v>
      </c>
      <c r="H504" s="14" t="s">
        <v>8</v>
      </c>
      <c r="I504" s="15">
        <v>42214</v>
      </c>
      <c r="J504" s="14" t="s">
        <v>125</v>
      </c>
      <c r="K504" s="14">
        <v>37</v>
      </c>
      <c r="L504" s="21"/>
      <c r="M504" s="21"/>
      <c r="N504" s="21"/>
      <c r="O504" s="24"/>
      <c r="P504" s="10">
        <v>-24.96</v>
      </c>
      <c r="Q504" s="27">
        <v>50</v>
      </c>
      <c r="R504" s="10">
        <v>76.8</v>
      </c>
      <c r="S504" s="16">
        <f t="shared" si="32"/>
        <v>1.85</v>
      </c>
      <c r="T504" s="16">
        <f t="shared" si="33"/>
        <v>2.8416000000000001</v>
      </c>
    </row>
    <row r="505" spans="1:20" x14ac:dyDescent="0.25">
      <c r="A505" s="14">
        <v>2015</v>
      </c>
      <c r="B505" s="14" t="s">
        <v>131</v>
      </c>
      <c r="C505" s="14" t="s">
        <v>132</v>
      </c>
      <c r="D505" s="14">
        <v>6</v>
      </c>
      <c r="E505" s="14">
        <v>1</v>
      </c>
      <c r="F505" s="14">
        <v>24</v>
      </c>
      <c r="G505" s="14">
        <v>2</v>
      </c>
      <c r="H505" s="14" t="s">
        <v>7</v>
      </c>
      <c r="I505" s="15">
        <v>42214</v>
      </c>
      <c r="J505" s="14" t="s">
        <v>125</v>
      </c>
      <c r="K505" s="14">
        <v>61</v>
      </c>
      <c r="L505" s="21"/>
      <c r="M505" s="21"/>
      <c r="N505" s="21"/>
      <c r="O505" s="24"/>
      <c r="P505" s="10">
        <v>-25.44</v>
      </c>
      <c r="Q505" s="25">
        <v>57.6</v>
      </c>
      <c r="R505" s="10">
        <v>27</v>
      </c>
      <c r="S505" s="16">
        <f t="shared" si="32"/>
        <v>3.5135999999999998</v>
      </c>
      <c r="T505" s="16">
        <f t="shared" si="33"/>
        <v>1.647</v>
      </c>
    </row>
    <row r="506" spans="1:20" x14ac:dyDescent="0.25">
      <c r="A506" s="14">
        <v>2015</v>
      </c>
      <c r="B506" s="14" t="s">
        <v>131</v>
      </c>
      <c r="C506" s="14" t="s">
        <v>132</v>
      </c>
      <c r="D506" s="14">
        <v>7</v>
      </c>
      <c r="E506" s="14">
        <v>1</v>
      </c>
      <c r="F506" s="14">
        <v>25</v>
      </c>
      <c r="G506" s="14">
        <v>3</v>
      </c>
      <c r="H506" s="14" t="s">
        <v>12</v>
      </c>
      <c r="I506" s="15">
        <v>42214</v>
      </c>
      <c r="J506" s="14" t="s">
        <v>125</v>
      </c>
      <c r="K506" s="14">
        <v>44</v>
      </c>
      <c r="L506" s="21"/>
      <c r="M506" s="21"/>
      <c r="N506" s="21"/>
      <c r="O506" s="24"/>
      <c r="P506" s="10">
        <v>-25.67</v>
      </c>
      <c r="Q506" s="25">
        <v>58.5</v>
      </c>
      <c r="R506" s="10">
        <v>40.299999999999997</v>
      </c>
      <c r="S506" s="16">
        <f t="shared" si="32"/>
        <v>2.5739999999999998</v>
      </c>
      <c r="T506" s="16">
        <f t="shared" si="33"/>
        <v>1.7731999999999999</v>
      </c>
    </row>
    <row r="507" spans="1:20" x14ac:dyDescent="0.25">
      <c r="A507" s="14">
        <v>2015</v>
      </c>
      <c r="B507" s="14" t="s">
        <v>131</v>
      </c>
      <c r="C507" s="14" t="s">
        <v>132</v>
      </c>
      <c r="D507" s="14">
        <v>7</v>
      </c>
      <c r="E507" s="14">
        <v>2</v>
      </c>
      <c r="F507" s="14">
        <v>26</v>
      </c>
      <c r="G507" s="14">
        <v>3</v>
      </c>
      <c r="H507" s="14" t="s">
        <v>13</v>
      </c>
      <c r="I507" s="15">
        <v>42214</v>
      </c>
      <c r="J507" s="14" t="s">
        <v>125</v>
      </c>
      <c r="K507" s="14">
        <v>68</v>
      </c>
      <c r="L507" s="21"/>
      <c r="M507" s="21"/>
      <c r="N507" s="21"/>
      <c r="O507" s="24"/>
      <c r="P507" s="10">
        <v>-25.91</v>
      </c>
      <c r="Q507" s="25">
        <v>58</v>
      </c>
      <c r="R507" s="10">
        <v>17.5</v>
      </c>
      <c r="S507" s="16">
        <f t="shared" si="32"/>
        <v>3.944</v>
      </c>
      <c r="T507" s="16">
        <f t="shared" si="33"/>
        <v>1.19</v>
      </c>
    </row>
    <row r="508" spans="1:20" x14ac:dyDescent="0.25">
      <c r="A508" s="14">
        <v>2015</v>
      </c>
      <c r="B508" s="14" t="s">
        <v>131</v>
      </c>
      <c r="C508" s="14" t="s">
        <v>132</v>
      </c>
      <c r="D508" s="14">
        <v>7</v>
      </c>
      <c r="E508" s="14">
        <v>3</v>
      </c>
      <c r="F508" s="14">
        <v>27</v>
      </c>
      <c r="G508" s="14">
        <v>3</v>
      </c>
      <c r="H508" s="14" t="s">
        <v>6</v>
      </c>
      <c r="I508" s="15">
        <v>42214</v>
      </c>
      <c r="J508" s="14" t="s">
        <v>125</v>
      </c>
      <c r="K508" s="14">
        <v>64</v>
      </c>
      <c r="L508" s="21"/>
      <c r="M508" s="21"/>
      <c r="N508" s="21"/>
      <c r="O508" s="24"/>
      <c r="P508" s="10">
        <v>-25.77</v>
      </c>
      <c r="Q508" s="25">
        <v>56.2</v>
      </c>
      <c r="R508" s="10">
        <v>32</v>
      </c>
      <c r="S508" s="16">
        <f t="shared" si="32"/>
        <v>3.5968</v>
      </c>
      <c r="T508" s="16">
        <f t="shared" si="33"/>
        <v>2.048</v>
      </c>
    </row>
    <row r="509" spans="1:20" x14ac:dyDescent="0.25">
      <c r="A509" s="14">
        <v>2015</v>
      </c>
      <c r="B509" s="14" t="s">
        <v>131</v>
      </c>
      <c r="C509" s="14" t="s">
        <v>132</v>
      </c>
      <c r="D509" s="14">
        <v>7</v>
      </c>
      <c r="E509" s="14">
        <v>4</v>
      </c>
      <c r="F509" s="14">
        <v>28</v>
      </c>
      <c r="G509" s="14">
        <v>3</v>
      </c>
      <c r="H509" s="14" t="s">
        <v>9</v>
      </c>
      <c r="I509" s="15">
        <v>42214</v>
      </c>
      <c r="J509" s="14" t="s">
        <v>125</v>
      </c>
      <c r="K509" s="14">
        <v>45</v>
      </c>
      <c r="L509" s="21"/>
      <c r="M509" s="21"/>
      <c r="N509" s="21"/>
      <c r="O509" s="24"/>
      <c r="P509" s="10">
        <v>-25.6</v>
      </c>
      <c r="Q509" s="25">
        <v>57.2</v>
      </c>
      <c r="R509" s="10">
        <v>54.9</v>
      </c>
      <c r="S509" s="16">
        <f t="shared" si="32"/>
        <v>2.5739999999999998</v>
      </c>
      <c r="T509" s="16">
        <f t="shared" si="33"/>
        <v>2.4704999999999999</v>
      </c>
    </row>
    <row r="510" spans="1:20" x14ac:dyDescent="0.25">
      <c r="A510" s="14">
        <v>2015</v>
      </c>
      <c r="B510" s="14" t="s">
        <v>131</v>
      </c>
      <c r="C510" s="14" t="s">
        <v>132</v>
      </c>
      <c r="D510" s="14">
        <v>8</v>
      </c>
      <c r="E510" s="14">
        <v>4</v>
      </c>
      <c r="F510" s="14">
        <v>29</v>
      </c>
      <c r="G510" s="14">
        <v>3</v>
      </c>
      <c r="H510" s="14" t="s">
        <v>14</v>
      </c>
      <c r="I510" s="15">
        <v>42214</v>
      </c>
      <c r="J510" s="14" t="s">
        <v>125</v>
      </c>
      <c r="K510" s="14">
        <v>60</v>
      </c>
      <c r="L510" s="21"/>
      <c r="M510" s="21"/>
      <c r="N510" s="21"/>
      <c r="O510" s="24"/>
      <c r="P510" s="10">
        <v>-25.78</v>
      </c>
      <c r="Q510" s="25">
        <v>54.1</v>
      </c>
      <c r="R510" s="10">
        <v>46.1</v>
      </c>
      <c r="S510" s="16">
        <f t="shared" si="32"/>
        <v>3.246</v>
      </c>
      <c r="T510" s="16">
        <f t="shared" si="33"/>
        <v>2.766</v>
      </c>
    </row>
    <row r="511" spans="1:20" x14ac:dyDescent="0.25">
      <c r="A511" s="14">
        <v>2015</v>
      </c>
      <c r="B511" s="14" t="s">
        <v>131</v>
      </c>
      <c r="C511" s="14" t="s">
        <v>132</v>
      </c>
      <c r="D511" s="14">
        <v>8</v>
      </c>
      <c r="E511" s="14">
        <v>3</v>
      </c>
      <c r="F511" s="14">
        <v>30</v>
      </c>
      <c r="G511" s="14">
        <v>3</v>
      </c>
      <c r="H511" s="14" t="s">
        <v>7</v>
      </c>
      <c r="I511" s="15">
        <v>42214</v>
      </c>
      <c r="J511" s="14" t="s">
        <v>125</v>
      </c>
      <c r="K511" s="14">
        <v>68</v>
      </c>
      <c r="L511" s="21"/>
      <c r="M511" s="21"/>
      <c r="N511" s="21"/>
      <c r="O511" s="24"/>
      <c r="P511" s="10">
        <v>-25.86</v>
      </c>
      <c r="Q511" s="25">
        <v>60.6</v>
      </c>
      <c r="R511" s="10">
        <v>27.6</v>
      </c>
      <c r="S511" s="16">
        <f t="shared" si="32"/>
        <v>4.1208</v>
      </c>
      <c r="T511" s="16">
        <f t="shared" si="33"/>
        <v>1.8768000000000002</v>
      </c>
    </row>
    <row r="512" spans="1:20" x14ac:dyDescent="0.25">
      <c r="A512" s="14">
        <v>2015</v>
      </c>
      <c r="B512" s="14" t="s">
        <v>131</v>
      </c>
      <c r="C512" s="14" t="s">
        <v>132</v>
      </c>
      <c r="D512" s="14">
        <v>8</v>
      </c>
      <c r="E512" s="14">
        <v>2</v>
      </c>
      <c r="F512" s="14">
        <v>31</v>
      </c>
      <c r="G512" s="14">
        <v>3</v>
      </c>
      <c r="H512" s="14" t="s">
        <v>2</v>
      </c>
      <c r="I512" s="15">
        <v>42214</v>
      </c>
      <c r="J512" s="14" t="s">
        <v>125</v>
      </c>
      <c r="K512" s="14">
        <v>57</v>
      </c>
      <c r="L512" s="21"/>
      <c r="M512" s="21"/>
      <c r="N512" s="21"/>
      <c r="O512" s="24"/>
      <c r="P512" s="10">
        <v>-25.09</v>
      </c>
      <c r="Q512" s="25">
        <v>53.5</v>
      </c>
      <c r="R512" s="10">
        <v>65.8</v>
      </c>
      <c r="S512" s="16">
        <f t="shared" si="32"/>
        <v>3.0495000000000001</v>
      </c>
      <c r="T512" s="16">
        <f t="shared" si="33"/>
        <v>3.7505999999999999</v>
      </c>
    </row>
    <row r="513" spans="1:20" x14ac:dyDescent="0.25">
      <c r="A513" s="14">
        <v>2015</v>
      </c>
      <c r="B513" s="14" t="s">
        <v>131</v>
      </c>
      <c r="C513" s="14" t="s">
        <v>132</v>
      </c>
      <c r="D513" s="14">
        <v>8</v>
      </c>
      <c r="E513" s="14">
        <v>1</v>
      </c>
      <c r="F513" s="14">
        <v>32</v>
      </c>
      <c r="G513" s="14">
        <v>3</v>
      </c>
      <c r="H513" s="14" t="s">
        <v>5</v>
      </c>
      <c r="I513" s="15">
        <v>42214</v>
      </c>
      <c r="J513" s="14" t="s">
        <v>125</v>
      </c>
      <c r="K513" s="14">
        <v>55</v>
      </c>
      <c r="L513" s="21"/>
      <c r="M513" s="21"/>
      <c r="N513" s="21"/>
      <c r="O513" s="24"/>
      <c r="P513" s="10">
        <v>-25.25</v>
      </c>
      <c r="Q513" s="25">
        <v>57.6</v>
      </c>
      <c r="R513" s="10">
        <v>62.6</v>
      </c>
      <c r="S513" s="16">
        <f t="shared" si="32"/>
        <v>3.1680000000000001</v>
      </c>
      <c r="T513" s="16">
        <f t="shared" si="33"/>
        <v>3.4430000000000001</v>
      </c>
    </row>
    <row r="514" spans="1:20" x14ac:dyDescent="0.25">
      <c r="A514" s="14">
        <v>2015</v>
      </c>
      <c r="B514" s="14" t="s">
        <v>131</v>
      </c>
      <c r="C514" s="14" t="s">
        <v>132</v>
      </c>
      <c r="D514" s="14">
        <v>9</v>
      </c>
      <c r="E514" s="14">
        <v>1</v>
      </c>
      <c r="F514" s="14">
        <v>33</v>
      </c>
      <c r="G514" s="14">
        <v>3</v>
      </c>
      <c r="H514" s="14" t="s">
        <v>10</v>
      </c>
      <c r="I514" s="15">
        <v>42214</v>
      </c>
      <c r="J514" s="14" t="s">
        <v>125</v>
      </c>
      <c r="K514" s="14">
        <v>46</v>
      </c>
      <c r="L514" s="21"/>
      <c r="M514" s="21"/>
      <c r="N514" s="21"/>
      <c r="O514" s="24"/>
      <c r="P514" s="10">
        <v>-25.57</v>
      </c>
      <c r="Q514" s="25">
        <v>57.6</v>
      </c>
      <c r="R514" s="10">
        <v>39.1</v>
      </c>
      <c r="S514" s="16">
        <f t="shared" si="32"/>
        <v>2.6496</v>
      </c>
      <c r="T514" s="16">
        <f t="shared" si="33"/>
        <v>1.7986000000000002</v>
      </c>
    </row>
    <row r="515" spans="1:20" x14ac:dyDescent="0.25">
      <c r="A515" s="14">
        <v>2015</v>
      </c>
      <c r="B515" s="14" t="s">
        <v>131</v>
      </c>
      <c r="C515" s="14" t="s">
        <v>132</v>
      </c>
      <c r="D515" s="14">
        <v>9</v>
      </c>
      <c r="E515" s="14">
        <v>2</v>
      </c>
      <c r="F515" s="14">
        <v>34</v>
      </c>
      <c r="G515" s="14">
        <v>3</v>
      </c>
      <c r="H515" s="14" t="s">
        <v>4</v>
      </c>
      <c r="I515" s="15">
        <v>42214</v>
      </c>
      <c r="J515" s="14" t="s">
        <v>125</v>
      </c>
      <c r="K515" s="14">
        <v>36</v>
      </c>
      <c r="L515" s="21"/>
      <c r="M515" s="21"/>
      <c r="N515" s="21"/>
      <c r="O515" s="24"/>
      <c r="P515" s="10">
        <v>-25.13</v>
      </c>
      <c r="Q515" s="25">
        <v>51.8</v>
      </c>
      <c r="R515" s="10">
        <v>71.8</v>
      </c>
      <c r="S515" s="16">
        <f t="shared" si="32"/>
        <v>1.8648</v>
      </c>
      <c r="T515" s="16">
        <f t="shared" ref="T515:T578" si="34">K515*R515/1000</f>
        <v>2.5847999999999995</v>
      </c>
    </row>
    <row r="516" spans="1:20" x14ac:dyDescent="0.25">
      <c r="A516" s="14">
        <v>2015</v>
      </c>
      <c r="B516" s="14" t="s">
        <v>131</v>
      </c>
      <c r="C516" s="14" t="s">
        <v>132</v>
      </c>
      <c r="D516" s="14">
        <v>9</v>
      </c>
      <c r="E516" s="14">
        <v>3</v>
      </c>
      <c r="F516" s="14">
        <v>35</v>
      </c>
      <c r="G516" s="14">
        <v>3</v>
      </c>
      <c r="H516" s="14" t="s">
        <v>8</v>
      </c>
      <c r="I516" s="15">
        <v>42214</v>
      </c>
      <c r="J516" s="14" t="s">
        <v>125</v>
      </c>
      <c r="K516" s="14">
        <v>69</v>
      </c>
      <c r="L516" s="21"/>
      <c r="M516" s="21"/>
      <c r="N516" s="21"/>
      <c r="O516" s="24"/>
      <c r="P516" s="10">
        <v>-25.46</v>
      </c>
      <c r="Q516" s="25">
        <v>55.8</v>
      </c>
      <c r="R516" s="10">
        <v>35</v>
      </c>
      <c r="S516" s="16">
        <f t="shared" si="32"/>
        <v>3.8501999999999996</v>
      </c>
      <c r="T516" s="16">
        <f t="shared" si="34"/>
        <v>2.415</v>
      </c>
    </row>
    <row r="517" spans="1:20" x14ac:dyDescent="0.25">
      <c r="A517" s="14">
        <v>2015</v>
      </c>
      <c r="B517" s="14" t="s">
        <v>131</v>
      </c>
      <c r="C517" s="14" t="s">
        <v>132</v>
      </c>
      <c r="D517" s="14">
        <v>9</v>
      </c>
      <c r="E517" s="14">
        <v>4</v>
      </c>
      <c r="F517" s="14">
        <v>36</v>
      </c>
      <c r="G517" s="14">
        <v>3</v>
      </c>
      <c r="H517" s="14" t="s">
        <v>3</v>
      </c>
      <c r="I517" s="15">
        <v>42214</v>
      </c>
      <c r="J517" s="14" t="s">
        <v>125</v>
      </c>
      <c r="K517" s="14">
        <v>91</v>
      </c>
      <c r="L517" s="21"/>
      <c r="M517" s="21"/>
      <c r="N517" s="21"/>
      <c r="O517" s="24"/>
      <c r="P517" s="10">
        <v>-25.43</v>
      </c>
      <c r="Q517" s="25">
        <v>55.3</v>
      </c>
      <c r="R517" s="10">
        <v>53.6</v>
      </c>
      <c r="S517" s="16">
        <f t="shared" si="32"/>
        <v>5.0323000000000002</v>
      </c>
      <c r="T517" s="16">
        <f t="shared" si="34"/>
        <v>4.8776000000000002</v>
      </c>
    </row>
    <row r="518" spans="1:20" x14ac:dyDescent="0.25">
      <c r="A518" s="14">
        <v>2015</v>
      </c>
      <c r="B518" s="14" t="s">
        <v>131</v>
      </c>
      <c r="C518" s="14" t="s">
        <v>132</v>
      </c>
      <c r="D518" s="14">
        <v>10</v>
      </c>
      <c r="E518" s="14">
        <v>4</v>
      </c>
      <c r="F518" s="14">
        <v>37</v>
      </c>
      <c r="G518" s="14">
        <v>4</v>
      </c>
      <c r="H518" s="14" t="s">
        <v>8</v>
      </c>
      <c r="I518" s="15">
        <v>42214</v>
      </c>
      <c r="J518" s="14" t="s">
        <v>125</v>
      </c>
      <c r="K518" s="14">
        <v>72</v>
      </c>
      <c r="L518" s="21"/>
      <c r="M518" s="21"/>
      <c r="N518" s="21"/>
      <c r="O518" s="24"/>
      <c r="P518" s="10">
        <v>-25.13</v>
      </c>
      <c r="Q518" s="25">
        <v>52</v>
      </c>
      <c r="R518" s="10">
        <v>74</v>
      </c>
      <c r="S518" s="16">
        <f t="shared" si="32"/>
        <v>3.7440000000000002</v>
      </c>
      <c r="T518" s="16">
        <f t="shared" si="34"/>
        <v>5.3280000000000003</v>
      </c>
    </row>
    <row r="519" spans="1:20" x14ac:dyDescent="0.25">
      <c r="A519" s="14">
        <v>2015</v>
      </c>
      <c r="B519" s="14" t="s">
        <v>131</v>
      </c>
      <c r="C519" s="14" t="s">
        <v>132</v>
      </c>
      <c r="D519" s="14">
        <v>10</v>
      </c>
      <c r="E519" s="14">
        <v>3</v>
      </c>
      <c r="F519" s="14">
        <v>38</v>
      </c>
      <c r="G519" s="14">
        <v>4</v>
      </c>
      <c r="H519" s="14" t="s">
        <v>14</v>
      </c>
      <c r="I519" s="15">
        <v>42214</v>
      </c>
      <c r="J519" s="14" t="s">
        <v>125</v>
      </c>
      <c r="K519" s="14">
        <v>57</v>
      </c>
      <c r="L519" s="21"/>
      <c r="M519" s="21"/>
      <c r="N519" s="21"/>
      <c r="O519" s="24"/>
      <c r="P519" s="10">
        <v>-25.36</v>
      </c>
      <c r="Q519" s="25">
        <v>58.9</v>
      </c>
      <c r="R519" s="10">
        <v>40.1</v>
      </c>
      <c r="S519" s="16">
        <f t="shared" si="32"/>
        <v>3.3572999999999995</v>
      </c>
      <c r="T519" s="16">
        <f t="shared" si="34"/>
        <v>2.2857000000000003</v>
      </c>
    </row>
    <row r="520" spans="1:20" x14ac:dyDescent="0.25">
      <c r="A520" s="14">
        <v>2015</v>
      </c>
      <c r="B520" s="14" t="s">
        <v>131</v>
      </c>
      <c r="C520" s="14" t="s">
        <v>132</v>
      </c>
      <c r="D520" s="14">
        <v>10</v>
      </c>
      <c r="E520" s="14">
        <v>2</v>
      </c>
      <c r="F520" s="14">
        <v>39</v>
      </c>
      <c r="G520" s="14">
        <v>4</v>
      </c>
      <c r="H520" s="14" t="s">
        <v>10</v>
      </c>
      <c r="I520" s="15">
        <v>42214</v>
      </c>
      <c r="J520" s="14" t="s">
        <v>125</v>
      </c>
      <c r="K520" s="14">
        <v>71</v>
      </c>
      <c r="L520" s="21"/>
      <c r="M520" s="21"/>
      <c r="N520" s="21"/>
      <c r="O520" s="24"/>
      <c r="P520" s="10">
        <v>-25.28</v>
      </c>
      <c r="Q520" s="25">
        <v>57.4</v>
      </c>
      <c r="R520" s="10">
        <v>37.9</v>
      </c>
      <c r="S520" s="16">
        <f t="shared" si="32"/>
        <v>4.0754000000000001</v>
      </c>
      <c r="T520" s="16">
        <f t="shared" si="34"/>
        <v>2.6909000000000001</v>
      </c>
    </row>
    <row r="521" spans="1:20" x14ac:dyDescent="0.25">
      <c r="A521" s="14">
        <v>2015</v>
      </c>
      <c r="B521" s="14" t="s">
        <v>131</v>
      </c>
      <c r="C521" s="14" t="s">
        <v>132</v>
      </c>
      <c r="D521" s="14">
        <v>10</v>
      </c>
      <c r="E521" s="14">
        <v>1</v>
      </c>
      <c r="F521" s="14">
        <v>40</v>
      </c>
      <c r="G521" s="14">
        <v>4</v>
      </c>
      <c r="H521" s="14" t="s">
        <v>2</v>
      </c>
      <c r="I521" s="15">
        <v>42214</v>
      </c>
      <c r="J521" s="14" t="s">
        <v>125</v>
      </c>
      <c r="K521" s="14">
        <v>81</v>
      </c>
      <c r="L521" s="21"/>
      <c r="M521" s="21"/>
      <c r="N521" s="21"/>
      <c r="O521" s="24"/>
      <c r="P521" s="10">
        <v>-25.33</v>
      </c>
      <c r="Q521" s="25">
        <v>59.6</v>
      </c>
      <c r="R521" s="10">
        <v>34.5</v>
      </c>
      <c r="S521" s="16">
        <f t="shared" si="32"/>
        <v>4.8276000000000003</v>
      </c>
      <c r="T521" s="16">
        <f t="shared" si="34"/>
        <v>2.7945000000000002</v>
      </c>
    </row>
    <row r="522" spans="1:20" x14ac:dyDescent="0.25">
      <c r="A522" s="14">
        <v>2015</v>
      </c>
      <c r="B522" s="14" t="s">
        <v>131</v>
      </c>
      <c r="C522" s="14" t="s">
        <v>132</v>
      </c>
      <c r="D522" s="14">
        <v>11</v>
      </c>
      <c r="E522" s="14">
        <v>1</v>
      </c>
      <c r="F522" s="14">
        <v>41</v>
      </c>
      <c r="G522" s="14">
        <v>4</v>
      </c>
      <c r="H522" s="14" t="s">
        <v>3</v>
      </c>
      <c r="I522" s="15">
        <v>42214</v>
      </c>
      <c r="J522" s="14" t="s">
        <v>125</v>
      </c>
      <c r="K522" s="14">
        <v>42</v>
      </c>
      <c r="L522" s="21"/>
      <c r="M522" s="21"/>
      <c r="N522" s="21"/>
      <c r="O522" s="24"/>
      <c r="P522" s="10">
        <v>-25.38</v>
      </c>
      <c r="Q522" s="25">
        <v>55.9</v>
      </c>
      <c r="R522" s="10">
        <v>55.4</v>
      </c>
      <c r="S522" s="16">
        <f t="shared" si="32"/>
        <v>2.3477999999999999</v>
      </c>
      <c r="T522" s="16">
        <f t="shared" si="34"/>
        <v>2.3267999999999995</v>
      </c>
    </row>
    <row r="523" spans="1:20" x14ac:dyDescent="0.25">
      <c r="A523" s="14">
        <v>2015</v>
      </c>
      <c r="B523" s="14" t="s">
        <v>131</v>
      </c>
      <c r="C523" s="14" t="s">
        <v>132</v>
      </c>
      <c r="D523" s="14">
        <v>11</v>
      </c>
      <c r="E523" s="14">
        <v>2</v>
      </c>
      <c r="F523" s="14">
        <v>42</v>
      </c>
      <c r="G523" s="14">
        <v>4</v>
      </c>
      <c r="H523" s="14" t="s">
        <v>7</v>
      </c>
      <c r="I523" s="15">
        <v>42214</v>
      </c>
      <c r="J523" s="14" t="s">
        <v>125</v>
      </c>
      <c r="K523" s="14">
        <v>70</v>
      </c>
      <c r="L523" s="21"/>
      <c r="M523" s="21"/>
      <c r="N523" s="21"/>
      <c r="O523" s="24"/>
      <c r="P523" s="10">
        <v>-25.46</v>
      </c>
      <c r="Q523" s="25">
        <v>60.3</v>
      </c>
      <c r="R523" s="10">
        <v>46.7</v>
      </c>
      <c r="S523" s="16">
        <f t="shared" si="32"/>
        <v>4.2210000000000001</v>
      </c>
      <c r="T523" s="16">
        <f t="shared" si="34"/>
        <v>3.2690000000000001</v>
      </c>
    </row>
    <row r="524" spans="1:20" x14ac:dyDescent="0.25">
      <c r="A524" s="14">
        <v>2015</v>
      </c>
      <c r="B524" s="14" t="s">
        <v>131</v>
      </c>
      <c r="C524" s="14" t="s">
        <v>132</v>
      </c>
      <c r="D524" s="14">
        <v>11</v>
      </c>
      <c r="E524" s="14">
        <v>3</v>
      </c>
      <c r="F524" s="14">
        <v>43</v>
      </c>
      <c r="G524" s="14">
        <v>4</v>
      </c>
      <c r="H524" s="14" t="s">
        <v>4</v>
      </c>
      <c r="I524" s="15">
        <v>42214</v>
      </c>
      <c r="J524" s="14" t="s">
        <v>125</v>
      </c>
      <c r="K524" s="14">
        <v>43</v>
      </c>
      <c r="L524" s="21"/>
      <c r="M524" s="21"/>
      <c r="N524" s="21"/>
      <c r="O524" s="24"/>
      <c r="P524" s="10">
        <v>-25.2</v>
      </c>
      <c r="Q524" s="25">
        <v>54.6</v>
      </c>
      <c r="R524" s="10">
        <v>64.599999999999994</v>
      </c>
      <c r="S524" s="16">
        <f t="shared" si="32"/>
        <v>2.3478000000000003</v>
      </c>
      <c r="T524" s="16">
        <f t="shared" si="34"/>
        <v>2.7777999999999996</v>
      </c>
    </row>
    <row r="525" spans="1:20" x14ac:dyDescent="0.25">
      <c r="A525" s="14">
        <v>2015</v>
      </c>
      <c r="B525" s="14" t="s">
        <v>131</v>
      </c>
      <c r="C525" s="14" t="s">
        <v>132</v>
      </c>
      <c r="D525" s="14">
        <v>11</v>
      </c>
      <c r="E525" s="14">
        <v>4</v>
      </c>
      <c r="F525" s="14">
        <v>44</v>
      </c>
      <c r="G525" s="14">
        <v>4</v>
      </c>
      <c r="H525" s="14" t="s">
        <v>5</v>
      </c>
      <c r="I525" s="15">
        <v>42214</v>
      </c>
      <c r="J525" s="14" t="s">
        <v>125</v>
      </c>
      <c r="K525" s="14">
        <v>64</v>
      </c>
      <c r="L525" s="21"/>
      <c r="M525" s="21"/>
      <c r="N525" s="21"/>
      <c r="O525" s="24"/>
      <c r="P525" s="10">
        <v>-25.52</v>
      </c>
      <c r="Q525" s="25">
        <v>54.4</v>
      </c>
      <c r="R525" s="10">
        <v>45</v>
      </c>
      <c r="S525" s="16">
        <f t="shared" si="32"/>
        <v>3.4815999999999998</v>
      </c>
      <c r="T525" s="16">
        <f t="shared" si="34"/>
        <v>2.88</v>
      </c>
    </row>
    <row r="526" spans="1:20" x14ac:dyDescent="0.25">
      <c r="A526" s="14">
        <v>2015</v>
      </c>
      <c r="B526" s="14" t="s">
        <v>131</v>
      </c>
      <c r="C526" s="14" t="s">
        <v>132</v>
      </c>
      <c r="D526" s="14">
        <v>12</v>
      </c>
      <c r="E526" s="14">
        <v>4</v>
      </c>
      <c r="F526" s="14">
        <v>45</v>
      </c>
      <c r="G526" s="14">
        <v>4</v>
      </c>
      <c r="H526" s="14" t="s">
        <v>13</v>
      </c>
      <c r="I526" s="15">
        <v>42214</v>
      </c>
      <c r="J526" s="14" t="s">
        <v>125</v>
      </c>
      <c r="K526" s="14">
        <v>68</v>
      </c>
      <c r="L526" s="21"/>
      <c r="M526" s="21"/>
      <c r="N526" s="21"/>
      <c r="O526" s="24"/>
      <c r="P526" s="10">
        <v>-25.64</v>
      </c>
      <c r="Q526" s="25">
        <v>58.9</v>
      </c>
      <c r="R526" s="10">
        <v>34.799999999999997</v>
      </c>
      <c r="S526" s="16">
        <f t="shared" si="32"/>
        <v>4.0051999999999994</v>
      </c>
      <c r="T526" s="16">
        <f t="shared" si="34"/>
        <v>2.3663999999999996</v>
      </c>
    </row>
    <row r="527" spans="1:20" x14ac:dyDescent="0.25">
      <c r="A527" s="14">
        <v>2015</v>
      </c>
      <c r="B527" s="14" t="s">
        <v>131</v>
      </c>
      <c r="C527" s="14" t="s">
        <v>132</v>
      </c>
      <c r="D527" s="14">
        <v>12</v>
      </c>
      <c r="E527" s="14">
        <v>3</v>
      </c>
      <c r="F527" s="14">
        <v>46</v>
      </c>
      <c r="G527" s="14">
        <v>4</v>
      </c>
      <c r="H527" s="14" t="s">
        <v>12</v>
      </c>
      <c r="I527" s="15">
        <v>42214</v>
      </c>
      <c r="J527" s="14" t="s">
        <v>125</v>
      </c>
      <c r="K527" s="14">
        <v>49</v>
      </c>
      <c r="L527" s="21"/>
      <c r="M527" s="21"/>
      <c r="N527" s="21"/>
      <c r="O527" s="24"/>
      <c r="P527" s="10">
        <v>-25.6</v>
      </c>
      <c r="Q527" s="25">
        <v>61.2</v>
      </c>
      <c r="R527" s="10">
        <v>37.5</v>
      </c>
      <c r="S527" s="16">
        <f t="shared" si="32"/>
        <v>2.9988000000000001</v>
      </c>
      <c r="T527" s="16">
        <f t="shared" si="34"/>
        <v>1.8374999999999999</v>
      </c>
    </row>
    <row r="528" spans="1:20" x14ac:dyDescent="0.25">
      <c r="A528" s="14">
        <v>2015</v>
      </c>
      <c r="B528" s="14" t="s">
        <v>131</v>
      </c>
      <c r="C528" s="14" t="s">
        <v>132</v>
      </c>
      <c r="D528" s="14">
        <v>12</v>
      </c>
      <c r="E528" s="14">
        <v>2</v>
      </c>
      <c r="F528" s="14">
        <v>47</v>
      </c>
      <c r="G528" s="14">
        <v>4</v>
      </c>
      <c r="H528" s="14" t="s">
        <v>9</v>
      </c>
      <c r="I528" s="15">
        <v>42214</v>
      </c>
      <c r="J528" s="14" t="s">
        <v>125</v>
      </c>
      <c r="K528" s="14">
        <v>63</v>
      </c>
      <c r="L528" s="21"/>
      <c r="M528" s="21"/>
      <c r="N528" s="21"/>
      <c r="O528" s="24"/>
      <c r="P528" s="10">
        <v>-25.72</v>
      </c>
      <c r="Q528" s="25">
        <v>63.1</v>
      </c>
      <c r="R528" s="10">
        <v>20.399999999999999</v>
      </c>
      <c r="S528" s="16">
        <f t="shared" si="32"/>
        <v>3.9753000000000003</v>
      </c>
      <c r="T528" s="16">
        <f t="shared" si="34"/>
        <v>1.2851999999999999</v>
      </c>
    </row>
    <row r="529" spans="1:20" x14ac:dyDescent="0.25">
      <c r="A529" s="14">
        <v>2015</v>
      </c>
      <c r="B529" s="14" t="s">
        <v>131</v>
      </c>
      <c r="C529" s="14" t="s">
        <v>132</v>
      </c>
      <c r="D529" s="14">
        <v>12</v>
      </c>
      <c r="E529" s="14">
        <v>1</v>
      </c>
      <c r="F529" s="14">
        <v>48</v>
      </c>
      <c r="G529" s="14">
        <v>4</v>
      </c>
      <c r="H529" s="14" t="s">
        <v>6</v>
      </c>
      <c r="I529" s="15">
        <v>42214</v>
      </c>
      <c r="J529" s="14" t="s">
        <v>125</v>
      </c>
      <c r="K529" s="14">
        <v>66</v>
      </c>
      <c r="L529" s="21"/>
      <c r="M529" s="21"/>
      <c r="N529" s="21"/>
      <c r="O529" s="24"/>
      <c r="P529" s="10">
        <v>-25.55</v>
      </c>
      <c r="Q529" s="25">
        <v>61.9</v>
      </c>
      <c r="R529" s="10">
        <v>42.8</v>
      </c>
      <c r="S529" s="16">
        <f t="shared" si="32"/>
        <v>4.0853999999999999</v>
      </c>
      <c r="T529" s="16">
        <f t="shared" si="34"/>
        <v>2.8247999999999998</v>
      </c>
    </row>
    <row r="530" spans="1:20" x14ac:dyDescent="0.25">
      <c r="A530" s="14">
        <v>2015</v>
      </c>
      <c r="B530" s="14" t="s">
        <v>131</v>
      </c>
      <c r="C530" s="14" t="s">
        <v>132</v>
      </c>
      <c r="D530" s="14">
        <v>1</v>
      </c>
      <c r="E530" s="14">
        <v>1</v>
      </c>
      <c r="F530" s="14">
        <v>1</v>
      </c>
      <c r="G530" s="14">
        <v>1</v>
      </c>
      <c r="H530" s="14" t="s">
        <v>9</v>
      </c>
      <c r="I530" s="15">
        <v>42247</v>
      </c>
      <c r="J530" s="14" t="s">
        <v>126</v>
      </c>
      <c r="K530" s="14">
        <v>275</v>
      </c>
      <c r="L530" s="14">
        <v>132</v>
      </c>
      <c r="M530" s="14">
        <v>143</v>
      </c>
      <c r="N530" s="14"/>
      <c r="O530" s="24"/>
      <c r="P530" s="10">
        <v>-26.24</v>
      </c>
      <c r="Q530" s="10">
        <v>48.9</v>
      </c>
      <c r="R530" s="10">
        <v>23.8</v>
      </c>
      <c r="S530" s="16">
        <f t="shared" si="32"/>
        <v>13.4475</v>
      </c>
      <c r="T530" s="16">
        <f t="shared" si="34"/>
        <v>6.5449999999999999</v>
      </c>
    </row>
    <row r="531" spans="1:20" x14ac:dyDescent="0.25">
      <c r="A531" s="14">
        <v>2015</v>
      </c>
      <c r="B531" s="14" t="s">
        <v>131</v>
      </c>
      <c r="C531" s="14" t="s">
        <v>132</v>
      </c>
      <c r="D531" s="14">
        <v>1</v>
      </c>
      <c r="E531" s="14">
        <v>2</v>
      </c>
      <c r="F531" s="14">
        <v>2</v>
      </c>
      <c r="G531" s="14">
        <v>1</v>
      </c>
      <c r="H531" s="14" t="s">
        <v>5</v>
      </c>
      <c r="I531" s="15">
        <v>42247</v>
      </c>
      <c r="J531" s="14" t="s">
        <v>126</v>
      </c>
      <c r="K531" s="14">
        <v>224</v>
      </c>
      <c r="L531" s="14">
        <v>95</v>
      </c>
      <c r="M531" s="14">
        <v>129</v>
      </c>
      <c r="N531" s="14"/>
      <c r="O531" s="24"/>
      <c r="P531" s="10">
        <v>-25.73</v>
      </c>
      <c r="Q531" s="10">
        <v>53.7</v>
      </c>
      <c r="R531" s="10">
        <v>42.1</v>
      </c>
      <c r="S531" s="16">
        <f t="shared" si="32"/>
        <v>12.0288</v>
      </c>
      <c r="T531" s="16">
        <f t="shared" si="34"/>
        <v>9.4303999999999988</v>
      </c>
    </row>
    <row r="532" spans="1:20" x14ac:dyDescent="0.25">
      <c r="A532" s="14">
        <v>2015</v>
      </c>
      <c r="B532" s="14" t="s">
        <v>131</v>
      </c>
      <c r="C532" s="14" t="s">
        <v>132</v>
      </c>
      <c r="D532" s="14">
        <v>1</v>
      </c>
      <c r="E532" s="14">
        <v>3</v>
      </c>
      <c r="F532" s="14">
        <v>3</v>
      </c>
      <c r="G532" s="14">
        <v>1</v>
      </c>
      <c r="H532" s="14" t="s">
        <v>13</v>
      </c>
      <c r="I532" s="15">
        <v>42247</v>
      </c>
      <c r="J532" s="14" t="s">
        <v>126</v>
      </c>
      <c r="K532" s="14">
        <v>309</v>
      </c>
      <c r="L532" s="14">
        <v>142</v>
      </c>
      <c r="M532" s="14">
        <v>167</v>
      </c>
      <c r="N532" s="14"/>
      <c r="O532" s="24"/>
      <c r="P532" s="10">
        <v>-25.96</v>
      </c>
      <c r="Q532" s="10">
        <v>57.6</v>
      </c>
      <c r="R532" s="10">
        <v>23</v>
      </c>
      <c r="S532" s="16">
        <f t="shared" si="32"/>
        <v>17.798400000000001</v>
      </c>
      <c r="T532" s="16">
        <f t="shared" si="34"/>
        <v>7.1070000000000002</v>
      </c>
    </row>
    <row r="533" spans="1:20" x14ac:dyDescent="0.25">
      <c r="A533" s="14">
        <v>2015</v>
      </c>
      <c r="B533" s="14" t="s">
        <v>131</v>
      </c>
      <c r="C533" s="14" t="s">
        <v>132</v>
      </c>
      <c r="D533" s="14">
        <v>1</v>
      </c>
      <c r="E533" s="14">
        <v>4</v>
      </c>
      <c r="F533" s="14">
        <v>4</v>
      </c>
      <c r="G533" s="14">
        <v>1</v>
      </c>
      <c r="H533" s="14" t="s">
        <v>7</v>
      </c>
      <c r="I533" s="15">
        <v>42247</v>
      </c>
      <c r="J533" s="14" t="s">
        <v>126</v>
      </c>
      <c r="K533" s="14">
        <v>320</v>
      </c>
      <c r="L533" s="14">
        <v>156</v>
      </c>
      <c r="M533" s="14">
        <v>164</v>
      </c>
      <c r="N533" s="14"/>
      <c r="O533" s="24"/>
      <c r="P533" s="10">
        <v>-25.82</v>
      </c>
      <c r="Q533" s="10">
        <v>59.5</v>
      </c>
      <c r="R533" s="10">
        <v>22</v>
      </c>
      <c r="S533" s="16">
        <f t="shared" si="32"/>
        <v>19.04</v>
      </c>
      <c r="T533" s="16">
        <f t="shared" si="34"/>
        <v>7.04</v>
      </c>
    </row>
    <row r="534" spans="1:20" x14ac:dyDescent="0.25">
      <c r="A534" s="14">
        <v>2015</v>
      </c>
      <c r="B534" s="14" t="s">
        <v>131</v>
      </c>
      <c r="C534" s="14" t="s">
        <v>132</v>
      </c>
      <c r="D534" s="14">
        <v>2</v>
      </c>
      <c r="E534" s="14">
        <v>4</v>
      </c>
      <c r="F534" s="14">
        <v>5</v>
      </c>
      <c r="G534" s="14">
        <v>1</v>
      </c>
      <c r="H534" s="14" t="s">
        <v>12</v>
      </c>
      <c r="I534" s="15">
        <v>42247</v>
      </c>
      <c r="J534" s="14" t="s">
        <v>126</v>
      </c>
      <c r="K534" s="14">
        <v>268</v>
      </c>
      <c r="L534" s="14">
        <v>135</v>
      </c>
      <c r="M534" s="14">
        <v>133</v>
      </c>
      <c r="N534" s="14"/>
      <c r="O534" s="24"/>
      <c r="P534" s="10">
        <v>-26.13</v>
      </c>
      <c r="Q534" s="10">
        <v>59.4</v>
      </c>
      <c r="R534" s="10">
        <v>12.3</v>
      </c>
      <c r="S534" s="16">
        <f t="shared" si="32"/>
        <v>15.919199999999998</v>
      </c>
      <c r="T534" s="16">
        <f t="shared" si="34"/>
        <v>3.2964000000000002</v>
      </c>
    </row>
    <row r="535" spans="1:20" x14ac:dyDescent="0.25">
      <c r="A535" s="14">
        <v>2015</v>
      </c>
      <c r="B535" s="14" t="s">
        <v>131</v>
      </c>
      <c r="C535" s="14" t="s">
        <v>132</v>
      </c>
      <c r="D535" s="14">
        <v>2</v>
      </c>
      <c r="E535" s="14">
        <v>3</v>
      </c>
      <c r="F535" s="14">
        <v>6</v>
      </c>
      <c r="G535" s="14">
        <v>1</v>
      </c>
      <c r="H535" s="14" t="s">
        <v>10</v>
      </c>
      <c r="I535" s="15">
        <v>42247</v>
      </c>
      <c r="J535" s="14" t="s">
        <v>126</v>
      </c>
      <c r="K535" s="14">
        <v>292</v>
      </c>
      <c r="L535" s="14">
        <v>137</v>
      </c>
      <c r="M535" s="14">
        <v>155</v>
      </c>
      <c r="N535" s="14"/>
      <c r="O535" s="24"/>
      <c r="P535" s="10">
        <v>-25.77</v>
      </c>
      <c r="Q535" s="10">
        <v>53.2</v>
      </c>
      <c r="R535" s="10">
        <v>33.700000000000003</v>
      </c>
      <c r="S535" s="16">
        <f t="shared" si="32"/>
        <v>15.534400000000002</v>
      </c>
      <c r="T535" s="16">
        <f t="shared" si="34"/>
        <v>9.8404000000000007</v>
      </c>
    </row>
    <row r="536" spans="1:20" x14ac:dyDescent="0.25">
      <c r="A536" s="14">
        <v>2015</v>
      </c>
      <c r="B536" s="14" t="s">
        <v>131</v>
      </c>
      <c r="C536" s="14" t="s">
        <v>132</v>
      </c>
      <c r="D536" s="14">
        <v>2</v>
      </c>
      <c r="E536" s="14">
        <v>2</v>
      </c>
      <c r="F536" s="14">
        <v>7</v>
      </c>
      <c r="G536" s="14">
        <v>1</v>
      </c>
      <c r="H536" s="14" t="s">
        <v>6</v>
      </c>
      <c r="I536" s="15">
        <v>42247</v>
      </c>
      <c r="J536" s="14" t="s">
        <v>126</v>
      </c>
      <c r="K536" s="14">
        <v>336</v>
      </c>
      <c r="L536" s="14">
        <v>151</v>
      </c>
      <c r="M536" s="14">
        <v>185</v>
      </c>
      <c r="N536" s="14"/>
      <c r="O536" s="24"/>
      <c r="P536" s="10">
        <v>-26.31</v>
      </c>
      <c r="Q536" s="10">
        <v>55.2</v>
      </c>
      <c r="R536" s="10">
        <v>10.1</v>
      </c>
      <c r="S536" s="16">
        <f t="shared" si="32"/>
        <v>18.5472</v>
      </c>
      <c r="T536" s="16">
        <f t="shared" si="34"/>
        <v>3.3935999999999997</v>
      </c>
    </row>
    <row r="537" spans="1:20" x14ac:dyDescent="0.25">
      <c r="A537" s="14">
        <v>2015</v>
      </c>
      <c r="B537" s="14" t="s">
        <v>131</v>
      </c>
      <c r="C537" s="14" t="s">
        <v>132</v>
      </c>
      <c r="D537" s="14">
        <v>2</v>
      </c>
      <c r="E537" s="14">
        <v>1</v>
      </c>
      <c r="F537" s="14">
        <v>8</v>
      </c>
      <c r="G537" s="14">
        <v>1</v>
      </c>
      <c r="H537" s="14" t="s">
        <v>8</v>
      </c>
      <c r="I537" s="15">
        <v>42247</v>
      </c>
      <c r="J537" s="14" t="s">
        <v>126</v>
      </c>
      <c r="K537" s="14">
        <v>280</v>
      </c>
      <c r="L537" s="14">
        <v>128</v>
      </c>
      <c r="M537" s="14">
        <v>152</v>
      </c>
      <c r="N537" s="14"/>
      <c r="O537" s="24"/>
      <c r="P537" s="10">
        <v>-25.59</v>
      </c>
      <c r="Q537" s="10">
        <v>56.6</v>
      </c>
      <c r="R537" s="10">
        <v>37</v>
      </c>
      <c r="S537" s="16">
        <f t="shared" si="32"/>
        <v>15.848000000000001</v>
      </c>
      <c r="T537" s="16">
        <f t="shared" si="34"/>
        <v>10.36</v>
      </c>
    </row>
    <row r="538" spans="1:20" x14ac:dyDescent="0.25">
      <c r="A538" s="14">
        <v>2015</v>
      </c>
      <c r="B538" s="14" t="s">
        <v>131</v>
      </c>
      <c r="C538" s="14" t="s">
        <v>132</v>
      </c>
      <c r="D538" s="14">
        <v>3</v>
      </c>
      <c r="E538" s="14">
        <v>1</v>
      </c>
      <c r="F538" s="14">
        <v>9</v>
      </c>
      <c r="G538" s="14">
        <v>1</v>
      </c>
      <c r="H538" s="14" t="s">
        <v>4</v>
      </c>
      <c r="I538" s="15">
        <v>42247</v>
      </c>
      <c r="J538" s="14" t="s">
        <v>126</v>
      </c>
      <c r="K538" s="14">
        <v>183</v>
      </c>
      <c r="L538" s="14">
        <v>80</v>
      </c>
      <c r="M538" s="14">
        <v>103</v>
      </c>
      <c r="N538" s="14"/>
      <c r="O538" s="24"/>
      <c r="P538" s="10">
        <v>-25.83</v>
      </c>
      <c r="Q538" s="10">
        <v>58.8</v>
      </c>
      <c r="R538" s="10">
        <v>21.3</v>
      </c>
      <c r="S538" s="16">
        <f t="shared" si="32"/>
        <v>10.760399999999999</v>
      </c>
      <c r="T538" s="16">
        <f t="shared" si="34"/>
        <v>3.8978999999999999</v>
      </c>
    </row>
    <row r="539" spans="1:20" x14ac:dyDescent="0.25">
      <c r="A539" s="14">
        <v>2015</v>
      </c>
      <c r="B539" s="14" t="s">
        <v>131</v>
      </c>
      <c r="C539" s="14" t="s">
        <v>132</v>
      </c>
      <c r="D539" s="14">
        <v>3</v>
      </c>
      <c r="E539" s="14">
        <v>2</v>
      </c>
      <c r="F539" s="14">
        <v>10</v>
      </c>
      <c r="G539" s="14">
        <v>1</v>
      </c>
      <c r="H539" s="14" t="s">
        <v>14</v>
      </c>
      <c r="I539" s="15">
        <v>42247</v>
      </c>
      <c r="J539" s="14" t="s">
        <v>126</v>
      </c>
      <c r="K539" s="14">
        <v>185</v>
      </c>
      <c r="L539" s="14">
        <v>70</v>
      </c>
      <c r="M539" s="14">
        <v>115</v>
      </c>
      <c r="N539" s="14"/>
      <c r="O539" s="24"/>
      <c r="P539" s="10">
        <v>-26.17</v>
      </c>
      <c r="Q539" s="10">
        <v>61.5</v>
      </c>
      <c r="R539" s="10">
        <v>1.2</v>
      </c>
      <c r="S539" s="16">
        <f t="shared" si="32"/>
        <v>11.3775</v>
      </c>
      <c r="T539" s="16">
        <f t="shared" si="34"/>
        <v>0.222</v>
      </c>
    </row>
    <row r="540" spans="1:20" x14ac:dyDescent="0.25">
      <c r="A540" s="14">
        <v>2015</v>
      </c>
      <c r="B540" s="14" t="s">
        <v>131</v>
      </c>
      <c r="C540" s="14" t="s">
        <v>132</v>
      </c>
      <c r="D540" s="14">
        <v>3</v>
      </c>
      <c r="E540" s="14">
        <v>3</v>
      </c>
      <c r="F540" s="14">
        <v>11</v>
      </c>
      <c r="G540" s="14">
        <v>1</v>
      </c>
      <c r="H540" s="14" t="s">
        <v>3</v>
      </c>
      <c r="I540" s="15">
        <v>42247</v>
      </c>
      <c r="J540" s="14" t="s">
        <v>126</v>
      </c>
      <c r="K540" s="14">
        <v>184</v>
      </c>
      <c r="L540" s="14">
        <v>82</v>
      </c>
      <c r="M540" s="14">
        <v>101</v>
      </c>
      <c r="N540" s="14"/>
      <c r="O540" s="24"/>
      <c r="P540" s="10">
        <v>-25.66</v>
      </c>
      <c r="Q540" s="10">
        <v>53.2</v>
      </c>
      <c r="R540" s="10">
        <v>34.799999999999997</v>
      </c>
      <c r="S540" s="16">
        <f t="shared" si="32"/>
        <v>9.7888000000000019</v>
      </c>
      <c r="T540" s="16">
        <f t="shared" si="34"/>
        <v>6.4032</v>
      </c>
    </row>
    <row r="541" spans="1:20" x14ac:dyDescent="0.25">
      <c r="A541" s="14">
        <v>2015</v>
      </c>
      <c r="B541" s="14" t="s">
        <v>131</v>
      </c>
      <c r="C541" s="14" t="s">
        <v>132</v>
      </c>
      <c r="D541" s="14">
        <v>3</v>
      </c>
      <c r="E541" s="14">
        <v>4</v>
      </c>
      <c r="F541" s="14">
        <v>12</v>
      </c>
      <c r="G541" s="14">
        <v>1</v>
      </c>
      <c r="H541" s="14" t="s">
        <v>2</v>
      </c>
      <c r="I541" s="15">
        <v>42247</v>
      </c>
      <c r="J541" s="14" t="s">
        <v>126</v>
      </c>
      <c r="K541" s="14">
        <v>393</v>
      </c>
      <c r="L541" s="14">
        <v>215</v>
      </c>
      <c r="M541" s="14">
        <v>178</v>
      </c>
      <c r="N541" s="14"/>
      <c r="O541" s="24"/>
      <c r="P541" s="10">
        <v>-25.89</v>
      </c>
      <c r="Q541" s="10">
        <v>41.1</v>
      </c>
      <c r="R541" s="10">
        <v>61.5</v>
      </c>
      <c r="S541" s="16">
        <f t="shared" si="32"/>
        <v>16.1523</v>
      </c>
      <c r="T541" s="16">
        <f t="shared" si="34"/>
        <v>24.169499999999999</v>
      </c>
    </row>
    <row r="542" spans="1:20" x14ac:dyDescent="0.25">
      <c r="A542" s="14">
        <v>2015</v>
      </c>
      <c r="B542" s="14" t="s">
        <v>131</v>
      </c>
      <c r="C542" s="14" t="s">
        <v>132</v>
      </c>
      <c r="D542" s="14">
        <v>4</v>
      </c>
      <c r="E542" s="14">
        <v>4</v>
      </c>
      <c r="F542" s="14">
        <v>13</v>
      </c>
      <c r="G542" s="14">
        <v>2</v>
      </c>
      <c r="H542" s="14" t="s">
        <v>4</v>
      </c>
      <c r="I542" s="15">
        <v>42247</v>
      </c>
      <c r="J542" s="14" t="s">
        <v>126</v>
      </c>
      <c r="K542" s="14">
        <v>214</v>
      </c>
      <c r="L542" s="14">
        <v>102</v>
      </c>
      <c r="M542" s="14">
        <v>112</v>
      </c>
      <c r="N542" s="14"/>
      <c r="O542" s="24"/>
      <c r="P542" s="10">
        <v>-25.74</v>
      </c>
      <c r="Q542" s="10">
        <v>50.4</v>
      </c>
      <c r="R542" s="10">
        <v>55.6</v>
      </c>
      <c r="S542" s="16">
        <f t="shared" si="32"/>
        <v>10.785600000000001</v>
      </c>
      <c r="T542" s="16">
        <f t="shared" si="34"/>
        <v>11.898399999999999</v>
      </c>
    </row>
    <row r="543" spans="1:20" x14ac:dyDescent="0.25">
      <c r="A543" s="14">
        <v>2015</v>
      </c>
      <c r="B543" s="14" t="s">
        <v>131</v>
      </c>
      <c r="C543" s="14" t="s">
        <v>132</v>
      </c>
      <c r="D543" s="14">
        <v>4</v>
      </c>
      <c r="E543" s="14">
        <v>3</v>
      </c>
      <c r="F543" s="14">
        <v>14</v>
      </c>
      <c r="G543" s="14">
        <v>2</v>
      </c>
      <c r="H543" s="14" t="s">
        <v>9</v>
      </c>
      <c r="I543" s="15">
        <v>42247</v>
      </c>
      <c r="J543" s="14" t="s">
        <v>126</v>
      </c>
      <c r="K543" s="14">
        <v>312</v>
      </c>
      <c r="L543" s="14">
        <v>140</v>
      </c>
      <c r="M543" s="14">
        <v>172</v>
      </c>
      <c r="N543" s="14"/>
      <c r="O543" s="24"/>
      <c r="P543" s="10">
        <v>-26.23</v>
      </c>
      <c r="Q543" s="10">
        <v>55.7</v>
      </c>
      <c r="R543" s="10">
        <v>17.899999999999999</v>
      </c>
      <c r="S543" s="16">
        <f t="shared" si="32"/>
        <v>17.378400000000003</v>
      </c>
      <c r="T543" s="16">
        <f t="shared" si="34"/>
        <v>5.5847999999999995</v>
      </c>
    </row>
    <row r="544" spans="1:20" x14ac:dyDescent="0.25">
      <c r="A544" s="14">
        <v>2015</v>
      </c>
      <c r="B544" s="14" t="s">
        <v>131</v>
      </c>
      <c r="C544" s="14" t="s">
        <v>132</v>
      </c>
      <c r="D544" s="14">
        <v>4</v>
      </c>
      <c r="E544" s="14">
        <v>2</v>
      </c>
      <c r="F544" s="14">
        <v>15</v>
      </c>
      <c r="G544" s="14">
        <v>2</v>
      </c>
      <c r="H544" s="14" t="s">
        <v>3</v>
      </c>
      <c r="I544" s="15">
        <v>42247</v>
      </c>
      <c r="J544" s="14" t="s">
        <v>126</v>
      </c>
      <c r="K544" s="14">
        <v>252</v>
      </c>
      <c r="L544" s="14">
        <v>101</v>
      </c>
      <c r="M544" s="14">
        <v>151</v>
      </c>
      <c r="N544" s="14"/>
      <c r="O544" s="24"/>
      <c r="P544" s="10">
        <v>-26.08</v>
      </c>
      <c r="Q544" s="10">
        <v>46.4</v>
      </c>
      <c r="R544" s="10">
        <v>52.8</v>
      </c>
      <c r="S544" s="16">
        <f t="shared" si="32"/>
        <v>11.6928</v>
      </c>
      <c r="T544" s="16">
        <f t="shared" si="34"/>
        <v>13.305599999999998</v>
      </c>
    </row>
    <row r="545" spans="1:20" x14ac:dyDescent="0.25">
      <c r="A545" s="14">
        <v>2015</v>
      </c>
      <c r="B545" s="14" t="s">
        <v>131</v>
      </c>
      <c r="C545" s="14" t="s">
        <v>132</v>
      </c>
      <c r="D545" s="14">
        <v>4</v>
      </c>
      <c r="E545" s="14">
        <v>1</v>
      </c>
      <c r="F545" s="14">
        <v>16</v>
      </c>
      <c r="G545" s="14">
        <v>2</v>
      </c>
      <c r="H545" s="14" t="s">
        <v>13</v>
      </c>
      <c r="I545" s="15">
        <v>42247</v>
      </c>
      <c r="J545" s="14" t="s">
        <v>126</v>
      </c>
      <c r="K545" s="14">
        <v>257</v>
      </c>
      <c r="L545" s="14">
        <v>120</v>
      </c>
      <c r="M545" s="14">
        <v>137</v>
      </c>
      <c r="N545" s="14"/>
      <c r="O545" s="24"/>
      <c r="P545" s="10">
        <v>-25.89</v>
      </c>
      <c r="Q545" s="10">
        <v>54.4</v>
      </c>
      <c r="R545" s="10">
        <v>18.8</v>
      </c>
      <c r="S545" s="16">
        <f t="shared" si="32"/>
        <v>13.980799999999999</v>
      </c>
      <c r="T545" s="16">
        <f t="shared" si="34"/>
        <v>4.8316000000000008</v>
      </c>
    </row>
    <row r="546" spans="1:20" x14ac:dyDescent="0.25">
      <c r="A546" s="14">
        <v>2015</v>
      </c>
      <c r="B546" s="14" t="s">
        <v>131</v>
      </c>
      <c r="C546" s="14" t="s">
        <v>132</v>
      </c>
      <c r="D546" s="14">
        <v>5</v>
      </c>
      <c r="E546" s="14">
        <v>1</v>
      </c>
      <c r="F546" s="14">
        <v>17</v>
      </c>
      <c r="G546" s="14">
        <v>2</v>
      </c>
      <c r="H546" s="14" t="s">
        <v>14</v>
      </c>
      <c r="I546" s="15">
        <v>42247</v>
      </c>
      <c r="J546" s="14" t="s">
        <v>126</v>
      </c>
      <c r="K546" s="14">
        <v>256</v>
      </c>
      <c r="L546" s="14">
        <v>115</v>
      </c>
      <c r="M546" s="14">
        <v>141</v>
      </c>
      <c r="N546" s="14"/>
      <c r="O546" s="24"/>
      <c r="P546" s="10">
        <v>-26.17</v>
      </c>
      <c r="Q546" s="10">
        <v>55.6</v>
      </c>
      <c r="R546" s="10">
        <v>23.6</v>
      </c>
      <c r="S546" s="16">
        <f t="shared" ref="S546:S609" si="35">K546*Q546/1000</f>
        <v>14.233600000000001</v>
      </c>
      <c r="T546" s="16">
        <f t="shared" si="34"/>
        <v>6.0416000000000007</v>
      </c>
    </row>
    <row r="547" spans="1:20" x14ac:dyDescent="0.25">
      <c r="A547" s="14">
        <v>2015</v>
      </c>
      <c r="B547" s="14" t="s">
        <v>131</v>
      </c>
      <c r="C547" s="14" t="s">
        <v>132</v>
      </c>
      <c r="D547" s="14">
        <v>5</v>
      </c>
      <c r="E547" s="14">
        <v>2</v>
      </c>
      <c r="F547" s="14">
        <v>18</v>
      </c>
      <c r="G547" s="14">
        <v>2</v>
      </c>
      <c r="H547" s="14" t="s">
        <v>12</v>
      </c>
      <c r="I547" s="15">
        <v>42247</v>
      </c>
      <c r="J547" s="14" t="s">
        <v>126</v>
      </c>
      <c r="K547" s="14">
        <v>179</v>
      </c>
      <c r="L547" s="14">
        <v>70</v>
      </c>
      <c r="M547" s="14">
        <v>110</v>
      </c>
      <c r="N547" s="14"/>
      <c r="O547" s="24"/>
      <c r="P547" s="10">
        <v>-26.05</v>
      </c>
      <c r="Q547" s="10">
        <v>57.5</v>
      </c>
      <c r="R547" s="10">
        <v>26.4</v>
      </c>
      <c r="S547" s="16">
        <f t="shared" si="35"/>
        <v>10.2925</v>
      </c>
      <c r="T547" s="16">
        <f t="shared" si="34"/>
        <v>4.7255999999999991</v>
      </c>
    </row>
    <row r="548" spans="1:20" x14ac:dyDescent="0.25">
      <c r="A548" s="14">
        <v>2015</v>
      </c>
      <c r="B548" s="14" t="s">
        <v>131</v>
      </c>
      <c r="C548" s="14" t="s">
        <v>132</v>
      </c>
      <c r="D548" s="14">
        <v>5</v>
      </c>
      <c r="E548" s="14">
        <v>3</v>
      </c>
      <c r="F548" s="14">
        <v>19</v>
      </c>
      <c r="G548" s="14">
        <v>2</v>
      </c>
      <c r="H548" s="14" t="s">
        <v>2</v>
      </c>
      <c r="I548" s="15">
        <v>42247</v>
      </c>
      <c r="J548" s="14" t="s">
        <v>126</v>
      </c>
      <c r="K548" s="14">
        <v>286</v>
      </c>
      <c r="L548" s="14">
        <v>138</v>
      </c>
      <c r="M548" s="14">
        <v>148</v>
      </c>
      <c r="N548" s="14"/>
      <c r="O548" s="24"/>
      <c r="P548" s="10">
        <v>-25.91</v>
      </c>
      <c r="Q548" s="10">
        <v>50.8</v>
      </c>
      <c r="R548" s="10">
        <v>55.5</v>
      </c>
      <c r="S548" s="16">
        <f t="shared" si="35"/>
        <v>14.528799999999999</v>
      </c>
      <c r="T548" s="16">
        <f t="shared" si="34"/>
        <v>15.872999999999999</v>
      </c>
    </row>
    <row r="549" spans="1:20" x14ac:dyDescent="0.25">
      <c r="A549" s="14">
        <v>2015</v>
      </c>
      <c r="B549" s="14" t="s">
        <v>131</v>
      </c>
      <c r="C549" s="14" t="s">
        <v>132</v>
      </c>
      <c r="D549" s="14">
        <v>5</v>
      </c>
      <c r="E549" s="14">
        <v>4</v>
      </c>
      <c r="F549" s="14">
        <v>20</v>
      </c>
      <c r="G549" s="14">
        <v>2</v>
      </c>
      <c r="H549" s="14" t="s">
        <v>6</v>
      </c>
      <c r="I549" s="15">
        <v>42247</v>
      </c>
      <c r="J549" s="14" t="s">
        <v>126</v>
      </c>
      <c r="K549" s="14">
        <v>337</v>
      </c>
      <c r="L549" s="14">
        <v>162</v>
      </c>
      <c r="M549" s="14">
        <v>175</v>
      </c>
      <c r="N549" s="14"/>
      <c r="O549" s="24"/>
      <c r="P549" s="10">
        <v>-26</v>
      </c>
      <c r="Q549" s="10">
        <v>57.2</v>
      </c>
      <c r="R549" s="10">
        <v>36.200000000000003</v>
      </c>
      <c r="S549" s="16">
        <f t="shared" si="35"/>
        <v>19.276400000000002</v>
      </c>
      <c r="T549" s="16">
        <f t="shared" si="34"/>
        <v>12.199400000000001</v>
      </c>
    </row>
    <row r="550" spans="1:20" x14ac:dyDescent="0.25">
      <c r="A550" s="14">
        <v>2015</v>
      </c>
      <c r="B550" s="14" t="s">
        <v>131</v>
      </c>
      <c r="C550" s="14" t="s">
        <v>132</v>
      </c>
      <c r="D550" s="14">
        <v>6</v>
      </c>
      <c r="E550" s="14">
        <v>4</v>
      </c>
      <c r="F550" s="14">
        <v>21</v>
      </c>
      <c r="G550" s="14">
        <v>2</v>
      </c>
      <c r="H550" s="14" t="s">
        <v>10</v>
      </c>
      <c r="I550" s="15">
        <v>42247</v>
      </c>
      <c r="J550" s="14" t="s">
        <v>126</v>
      </c>
      <c r="K550" s="14">
        <v>324</v>
      </c>
      <c r="L550" s="14">
        <v>163</v>
      </c>
      <c r="M550" s="14">
        <v>161</v>
      </c>
      <c r="N550" s="14"/>
      <c r="O550" s="24"/>
      <c r="P550" s="10">
        <v>-25.85</v>
      </c>
      <c r="Q550" s="10">
        <v>48.1</v>
      </c>
      <c r="R550" s="10">
        <v>52.1</v>
      </c>
      <c r="S550" s="16">
        <f t="shared" si="35"/>
        <v>15.5844</v>
      </c>
      <c r="T550" s="16">
        <f t="shared" si="34"/>
        <v>16.880400000000002</v>
      </c>
    </row>
    <row r="551" spans="1:20" x14ac:dyDescent="0.25">
      <c r="A551" s="14">
        <v>2015</v>
      </c>
      <c r="B551" s="14" t="s">
        <v>131</v>
      </c>
      <c r="C551" s="14" t="s">
        <v>132</v>
      </c>
      <c r="D551" s="14">
        <v>6</v>
      </c>
      <c r="E551" s="14">
        <v>3</v>
      </c>
      <c r="F551" s="14">
        <v>22</v>
      </c>
      <c r="G551" s="14">
        <v>2</v>
      </c>
      <c r="H551" s="14" t="s">
        <v>5</v>
      </c>
      <c r="I551" s="15">
        <v>42247</v>
      </c>
      <c r="J551" s="14" t="s">
        <v>126</v>
      </c>
      <c r="K551" s="14">
        <v>205</v>
      </c>
      <c r="L551" s="14">
        <v>91</v>
      </c>
      <c r="M551" s="14">
        <v>113</v>
      </c>
      <c r="N551" s="14"/>
      <c r="O551" s="24"/>
      <c r="P551" s="10">
        <v>-25.81</v>
      </c>
      <c r="Q551" s="10">
        <v>48.9</v>
      </c>
      <c r="R551" s="10">
        <v>49.1</v>
      </c>
      <c r="S551" s="16">
        <f t="shared" si="35"/>
        <v>10.0245</v>
      </c>
      <c r="T551" s="16">
        <f t="shared" si="34"/>
        <v>10.0655</v>
      </c>
    </row>
    <row r="552" spans="1:20" x14ac:dyDescent="0.25">
      <c r="A552" s="14">
        <v>2015</v>
      </c>
      <c r="B552" s="14" t="s">
        <v>131</v>
      </c>
      <c r="C552" s="14" t="s">
        <v>132</v>
      </c>
      <c r="D552" s="14">
        <v>6</v>
      </c>
      <c r="E552" s="14">
        <v>2</v>
      </c>
      <c r="F552" s="14">
        <v>23</v>
      </c>
      <c r="G552" s="14">
        <v>2</v>
      </c>
      <c r="H552" s="14" t="s">
        <v>8</v>
      </c>
      <c r="I552" s="15">
        <v>42247</v>
      </c>
      <c r="J552" s="14" t="s">
        <v>126</v>
      </c>
      <c r="K552" s="14">
        <v>245</v>
      </c>
      <c r="L552" s="14">
        <v>103</v>
      </c>
      <c r="M552" s="14">
        <v>141</v>
      </c>
      <c r="N552" s="14"/>
      <c r="O552" s="24"/>
      <c r="P552" s="10">
        <v>-26.21</v>
      </c>
      <c r="Q552" s="10">
        <v>44.7</v>
      </c>
      <c r="R552" s="10">
        <v>52.6</v>
      </c>
      <c r="S552" s="16">
        <f t="shared" si="35"/>
        <v>10.951499999999999</v>
      </c>
      <c r="T552" s="16">
        <f t="shared" si="34"/>
        <v>12.887</v>
      </c>
    </row>
    <row r="553" spans="1:20" x14ac:dyDescent="0.25">
      <c r="A553" s="14">
        <v>2015</v>
      </c>
      <c r="B553" s="14" t="s">
        <v>131</v>
      </c>
      <c r="C553" s="14" t="s">
        <v>132</v>
      </c>
      <c r="D553" s="14">
        <v>6</v>
      </c>
      <c r="E553" s="14">
        <v>1</v>
      </c>
      <c r="F553" s="14">
        <v>24</v>
      </c>
      <c r="G553" s="14">
        <v>2</v>
      </c>
      <c r="H553" s="14" t="s">
        <v>7</v>
      </c>
      <c r="I553" s="15">
        <v>42247</v>
      </c>
      <c r="J553" s="14" t="s">
        <v>126</v>
      </c>
      <c r="K553" s="14">
        <v>289</v>
      </c>
      <c r="L553" s="14">
        <v>132</v>
      </c>
      <c r="M553" s="14">
        <v>157</v>
      </c>
      <c r="N553" s="14"/>
      <c r="O553" s="24"/>
      <c r="P553" s="10">
        <v>-26.14</v>
      </c>
      <c r="Q553" s="10">
        <v>56.1</v>
      </c>
      <c r="R553" s="10">
        <v>9.9</v>
      </c>
      <c r="S553" s="16">
        <f t="shared" si="35"/>
        <v>16.212900000000001</v>
      </c>
      <c r="T553" s="16">
        <f t="shared" si="34"/>
        <v>2.8611</v>
      </c>
    </row>
    <row r="554" spans="1:20" x14ac:dyDescent="0.25">
      <c r="A554" s="14">
        <v>2015</v>
      </c>
      <c r="B554" s="14" t="s">
        <v>131</v>
      </c>
      <c r="C554" s="14" t="s">
        <v>132</v>
      </c>
      <c r="D554" s="14">
        <v>7</v>
      </c>
      <c r="E554" s="14">
        <v>1</v>
      </c>
      <c r="F554" s="14">
        <v>25</v>
      </c>
      <c r="G554" s="14">
        <v>3</v>
      </c>
      <c r="H554" s="14" t="s">
        <v>12</v>
      </c>
      <c r="I554" s="15">
        <v>42247</v>
      </c>
      <c r="J554" s="14" t="s">
        <v>126</v>
      </c>
      <c r="K554" s="14">
        <v>202</v>
      </c>
      <c r="L554" s="14">
        <v>89</v>
      </c>
      <c r="M554" s="14">
        <v>112</v>
      </c>
      <c r="N554" s="14"/>
      <c r="O554" s="24"/>
      <c r="P554" s="10">
        <v>-26.27</v>
      </c>
      <c r="Q554" s="10">
        <v>64.7</v>
      </c>
      <c r="R554" s="10"/>
      <c r="S554" s="16">
        <f t="shared" si="35"/>
        <v>13.069400000000002</v>
      </c>
      <c r="T554" s="16"/>
    </row>
    <row r="555" spans="1:20" x14ac:dyDescent="0.25">
      <c r="A555" s="14">
        <v>2015</v>
      </c>
      <c r="B555" s="14" t="s">
        <v>131</v>
      </c>
      <c r="C555" s="14" t="s">
        <v>132</v>
      </c>
      <c r="D555" s="14">
        <v>7</v>
      </c>
      <c r="E555" s="14">
        <v>2</v>
      </c>
      <c r="F555" s="14">
        <v>26</v>
      </c>
      <c r="G555" s="14">
        <v>3</v>
      </c>
      <c r="H555" s="14" t="s">
        <v>13</v>
      </c>
      <c r="I555" s="15">
        <v>42247</v>
      </c>
      <c r="J555" s="14" t="s">
        <v>126</v>
      </c>
      <c r="K555" s="14">
        <v>223</v>
      </c>
      <c r="L555" s="14">
        <v>93</v>
      </c>
      <c r="M555" s="14">
        <v>130</v>
      </c>
      <c r="N555" s="14"/>
      <c r="O555" s="24"/>
      <c r="P555" s="10">
        <v>-26.41</v>
      </c>
      <c r="Q555" s="10">
        <v>55.5</v>
      </c>
      <c r="R555" s="10">
        <v>5.4</v>
      </c>
      <c r="S555" s="16">
        <f t="shared" si="35"/>
        <v>12.3765</v>
      </c>
      <c r="T555" s="16">
        <f t="shared" si="34"/>
        <v>1.2041999999999999</v>
      </c>
    </row>
    <row r="556" spans="1:20" x14ac:dyDescent="0.25">
      <c r="A556" s="14">
        <v>2015</v>
      </c>
      <c r="B556" s="14" t="s">
        <v>131</v>
      </c>
      <c r="C556" s="14" t="s">
        <v>132</v>
      </c>
      <c r="D556" s="14">
        <v>7</v>
      </c>
      <c r="E556" s="14">
        <v>3</v>
      </c>
      <c r="F556" s="14">
        <v>27</v>
      </c>
      <c r="G556" s="14">
        <v>3</v>
      </c>
      <c r="H556" s="14" t="s">
        <v>6</v>
      </c>
      <c r="I556" s="15">
        <v>42247</v>
      </c>
      <c r="J556" s="14" t="s">
        <v>126</v>
      </c>
      <c r="K556" s="14">
        <v>290</v>
      </c>
      <c r="L556" s="14">
        <v>135</v>
      </c>
      <c r="M556" s="14">
        <v>155</v>
      </c>
      <c r="N556" s="14"/>
      <c r="O556" s="24"/>
      <c r="P556" s="10">
        <v>-26.18</v>
      </c>
      <c r="Q556" s="10">
        <v>57.1</v>
      </c>
      <c r="R556" s="10">
        <v>15.7</v>
      </c>
      <c r="S556" s="16">
        <f t="shared" si="35"/>
        <v>16.559000000000001</v>
      </c>
      <c r="T556" s="16">
        <f t="shared" si="34"/>
        <v>4.5529999999999999</v>
      </c>
    </row>
    <row r="557" spans="1:20" x14ac:dyDescent="0.25">
      <c r="A557" s="14">
        <v>2015</v>
      </c>
      <c r="B557" s="14" t="s">
        <v>131</v>
      </c>
      <c r="C557" s="14" t="s">
        <v>132</v>
      </c>
      <c r="D557" s="14">
        <v>7</v>
      </c>
      <c r="E557" s="14">
        <v>4</v>
      </c>
      <c r="F557" s="14">
        <v>28</v>
      </c>
      <c r="G557" s="14">
        <v>3</v>
      </c>
      <c r="H557" s="14" t="s">
        <v>9</v>
      </c>
      <c r="I557" s="15">
        <v>42247</v>
      </c>
      <c r="J557" s="14" t="s">
        <v>126</v>
      </c>
      <c r="K557" s="14">
        <v>280</v>
      </c>
      <c r="L557" s="14">
        <v>130</v>
      </c>
      <c r="M557" s="14">
        <v>151</v>
      </c>
      <c r="N557" s="14"/>
      <c r="O557" s="24"/>
      <c r="P557" s="10">
        <v>-25.96</v>
      </c>
      <c r="Q557" s="10">
        <v>55.3</v>
      </c>
      <c r="R557" s="10">
        <v>16.899999999999999</v>
      </c>
      <c r="S557" s="16">
        <f t="shared" si="35"/>
        <v>15.484</v>
      </c>
      <c r="T557" s="16">
        <f t="shared" si="34"/>
        <v>4.7320000000000002</v>
      </c>
    </row>
    <row r="558" spans="1:20" x14ac:dyDescent="0.25">
      <c r="A558" s="14">
        <v>2015</v>
      </c>
      <c r="B558" s="14" t="s">
        <v>131</v>
      </c>
      <c r="C558" s="14" t="s">
        <v>132</v>
      </c>
      <c r="D558" s="14">
        <v>8</v>
      </c>
      <c r="E558" s="14">
        <v>4</v>
      </c>
      <c r="F558" s="14">
        <v>29</v>
      </c>
      <c r="G558" s="14">
        <v>3</v>
      </c>
      <c r="H558" s="14" t="s">
        <v>14</v>
      </c>
      <c r="I558" s="15">
        <v>42247</v>
      </c>
      <c r="J558" s="14" t="s">
        <v>126</v>
      </c>
      <c r="K558" s="14">
        <v>274</v>
      </c>
      <c r="L558" s="14">
        <v>128</v>
      </c>
      <c r="M558" s="14">
        <v>146</v>
      </c>
      <c r="N558" s="14"/>
      <c r="O558" s="24"/>
      <c r="P558" s="10">
        <v>-25.97</v>
      </c>
      <c r="Q558" s="10">
        <v>59.6</v>
      </c>
      <c r="R558" s="10">
        <v>24.7</v>
      </c>
      <c r="S558" s="16">
        <f t="shared" si="35"/>
        <v>16.330400000000001</v>
      </c>
      <c r="T558" s="16">
        <f t="shared" si="34"/>
        <v>6.7678000000000003</v>
      </c>
    </row>
    <row r="559" spans="1:20" x14ac:dyDescent="0.25">
      <c r="A559" s="14">
        <v>2015</v>
      </c>
      <c r="B559" s="14" t="s">
        <v>131</v>
      </c>
      <c r="C559" s="14" t="s">
        <v>132</v>
      </c>
      <c r="D559" s="14">
        <v>8</v>
      </c>
      <c r="E559" s="14">
        <v>3</v>
      </c>
      <c r="F559" s="14">
        <v>30</v>
      </c>
      <c r="G559" s="14">
        <v>3</v>
      </c>
      <c r="H559" s="14" t="s">
        <v>7</v>
      </c>
      <c r="I559" s="15">
        <v>42247</v>
      </c>
      <c r="J559" s="14" t="s">
        <v>126</v>
      </c>
      <c r="K559" s="14">
        <v>177</v>
      </c>
      <c r="L559" s="14">
        <v>75</v>
      </c>
      <c r="M559" s="14">
        <v>102</v>
      </c>
      <c r="N559" s="14"/>
      <c r="O559" s="24"/>
      <c r="P559" s="10">
        <v>-26.2</v>
      </c>
      <c r="Q559" s="10">
        <v>59.8</v>
      </c>
      <c r="R559" s="10">
        <v>12.5</v>
      </c>
      <c r="S559" s="16">
        <f t="shared" si="35"/>
        <v>10.5846</v>
      </c>
      <c r="T559" s="16">
        <f t="shared" si="34"/>
        <v>2.2124999999999999</v>
      </c>
    </row>
    <row r="560" spans="1:20" x14ac:dyDescent="0.25">
      <c r="A560" s="14">
        <v>2015</v>
      </c>
      <c r="B560" s="14" t="s">
        <v>131</v>
      </c>
      <c r="C560" s="14" t="s">
        <v>132</v>
      </c>
      <c r="D560" s="14">
        <v>8</v>
      </c>
      <c r="E560" s="14">
        <v>2</v>
      </c>
      <c r="F560" s="14">
        <v>31</v>
      </c>
      <c r="G560" s="14">
        <v>3</v>
      </c>
      <c r="H560" s="14" t="s">
        <v>2</v>
      </c>
      <c r="I560" s="15">
        <v>42247</v>
      </c>
      <c r="J560" s="14" t="s">
        <v>126</v>
      </c>
      <c r="K560" s="14">
        <v>215</v>
      </c>
      <c r="L560" s="14">
        <v>89</v>
      </c>
      <c r="M560" s="14">
        <v>126</v>
      </c>
      <c r="N560" s="14"/>
      <c r="O560" s="24"/>
      <c r="P560" s="10">
        <v>-25.75</v>
      </c>
      <c r="Q560" s="10">
        <v>56.7</v>
      </c>
      <c r="R560" s="10">
        <v>33</v>
      </c>
      <c r="S560" s="16">
        <f t="shared" si="35"/>
        <v>12.1905</v>
      </c>
      <c r="T560" s="16">
        <f t="shared" si="34"/>
        <v>7.0949999999999998</v>
      </c>
    </row>
    <row r="561" spans="1:20" x14ac:dyDescent="0.25">
      <c r="A561" s="14">
        <v>2015</v>
      </c>
      <c r="B561" s="14" t="s">
        <v>131</v>
      </c>
      <c r="C561" s="14" t="s">
        <v>132</v>
      </c>
      <c r="D561" s="14">
        <v>8</v>
      </c>
      <c r="E561" s="14">
        <v>1</v>
      </c>
      <c r="F561" s="14">
        <v>32</v>
      </c>
      <c r="G561" s="14">
        <v>3</v>
      </c>
      <c r="H561" s="14" t="s">
        <v>5</v>
      </c>
      <c r="I561" s="15">
        <v>42247</v>
      </c>
      <c r="J561" s="14" t="s">
        <v>126</v>
      </c>
      <c r="K561" s="14">
        <v>297</v>
      </c>
      <c r="L561" s="14">
        <v>139</v>
      </c>
      <c r="M561" s="14">
        <v>158</v>
      </c>
      <c r="N561" s="14"/>
      <c r="O561" s="24"/>
      <c r="P561" s="10">
        <v>-25.89</v>
      </c>
      <c r="Q561" s="10">
        <v>52.7</v>
      </c>
      <c r="R561" s="10">
        <v>40.299999999999997</v>
      </c>
      <c r="S561" s="16">
        <f t="shared" si="35"/>
        <v>15.651900000000001</v>
      </c>
      <c r="T561" s="16">
        <f t="shared" si="34"/>
        <v>11.969099999999999</v>
      </c>
    </row>
    <row r="562" spans="1:20" x14ac:dyDescent="0.25">
      <c r="A562" s="14">
        <v>2015</v>
      </c>
      <c r="B562" s="14" t="s">
        <v>131</v>
      </c>
      <c r="C562" s="14" t="s">
        <v>132</v>
      </c>
      <c r="D562" s="14">
        <v>9</v>
      </c>
      <c r="E562" s="14">
        <v>1</v>
      </c>
      <c r="F562" s="14">
        <v>33</v>
      </c>
      <c r="G562" s="14">
        <v>3</v>
      </c>
      <c r="H562" s="14" t="s">
        <v>10</v>
      </c>
      <c r="I562" s="15">
        <v>42247</v>
      </c>
      <c r="J562" s="14" t="s">
        <v>126</v>
      </c>
      <c r="K562" s="14">
        <v>335</v>
      </c>
      <c r="L562" s="14">
        <v>180</v>
      </c>
      <c r="M562" s="14">
        <v>155</v>
      </c>
      <c r="N562" s="14"/>
      <c r="O562" s="24"/>
      <c r="P562" s="10">
        <v>-25.89</v>
      </c>
      <c r="Q562" s="10">
        <v>46.8</v>
      </c>
      <c r="R562" s="10">
        <v>47.8</v>
      </c>
      <c r="S562" s="16">
        <f t="shared" si="35"/>
        <v>15.677999999999999</v>
      </c>
      <c r="T562" s="16">
        <f t="shared" si="34"/>
        <v>16.012999999999998</v>
      </c>
    </row>
    <row r="563" spans="1:20" x14ac:dyDescent="0.25">
      <c r="A563" s="14">
        <v>2015</v>
      </c>
      <c r="B563" s="14" t="s">
        <v>131</v>
      </c>
      <c r="C563" s="14" t="s">
        <v>132</v>
      </c>
      <c r="D563" s="14">
        <v>9</v>
      </c>
      <c r="E563" s="14">
        <v>2</v>
      </c>
      <c r="F563" s="14">
        <v>34</v>
      </c>
      <c r="G563" s="14">
        <v>3</v>
      </c>
      <c r="H563" s="14" t="s">
        <v>4</v>
      </c>
      <c r="I563" s="15">
        <v>42247</v>
      </c>
      <c r="J563" s="14" t="s">
        <v>126</v>
      </c>
      <c r="K563" s="14">
        <v>171</v>
      </c>
      <c r="L563" s="14">
        <v>69</v>
      </c>
      <c r="M563" s="14">
        <v>102</v>
      </c>
      <c r="N563" s="14"/>
      <c r="O563" s="24"/>
      <c r="P563" s="10">
        <v>-26.03</v>
      </c>
      <c r="Q563" s="10">
        <v>56.7</v>
      </c>
      <c r="R563" s="10">
        <v>16.100000000000001</v>
      </c>
      <c r="S563" s="16">
        <f t="shared" si="35"/>
        <v>9.6957000000000004</v>
      </c>
      <c r="T563" s="16">
        <f t="shared" si="34"/>
        <v>2.7531000000000003</v>
      </c>
    </row>
    <row r="564" spans="1:20" x14ac:dyDescent="0.25">
      <c r="A564" s="14">
        <v>2015</v>
      </c>
      <c r="B564" s="14" t="s">
        <v>131</v>
      </c>
      <c r="C564" s="14" t="s">
        <v>132</v>
      </c>
      <c r="D564" s="14">
        <v>9</v>
      </c>
      <c r="E564" s="14">
        <v>3</v>
      </c>
      <c r="F564" s="14">
        <v>35</v>
      </c>
      <c r="G564" s="14">
        <v>3</v>
      </c>
      <c r="H564" s="14" t="s">
        <v>8</v>
      </c>
      <c r="I564" s="15">
        <v>42247</v>
      </c>
      <c r="J564" s="14" t="s">
        <v>126</v>
      </c>
      <c r="K564" s="14">
        <v>228</v>
      </c>
      <c r="L564" s="14">
        <v>110</v>
      </c>
      <c r="M564" s="14">
        <v>118</v>
      </c>
      <c r="N564" s="14"/>
      <c r="O564" s="24"/>
      <c r="P564" s="10">
        <v>-25.73</v>
      </c>
      <c r="Q564" s="10">
        <v>52.7</v>
      </c>
      <c r="R564" s="10">
        <v>48.9</v>
      </c>
      <c r="S564" s="16">
        <f t="shared" si="35"/>
        <v>12.015600000000001</v>
      </c>
      <c r="T564" s="16">
        <f t="shared" si="34"/>
        <v>11.149199999999999</v>
      </c>
    </row>
    <row r="565" spans="1:20" x14ac:dyDescent="0.25">
      <c r="A565" s="14">
        <v>2015</v>
      </c>
      <c r="B565" s="14" t="s">
        <v>131</v>
      </c>
      <c r="C565" s="14" t="s">
        <v>132</v>
      </c>
      <c r="D565" s="14">
        <v>9</v>
      </c>
      <c r="E565" s="14">
        <v>4</v>
      </c>
      <c r="F565" s="14">
        <v>36</v>
      </c>
      <c r="G565" s="14">
        <v>3</v>
      </c>
      <c r="H565" s="14" t="s">
        <v>3</v>
      </c>
      <c r="I565" s="15">
        <v>42247</v>
      </c>
      <c r="J565" s="14" t="s">
        <v>126</v>
      </c>
      <c r="K565" s="14">
        <v>258</v>
      </c>
      <c r="L565" s="14">
        <v>128</v>
      </c>
      <c r="M565" s="14">
        <v>131</v>
      </c>
      <c r="N565" s="14"/>
      <c r="O565" s="24"/>
      <c r="P565" s="10">
        <v>-25.77</v>
      </c>
      <c r="Q565" s="10">
        <v>48.4</v>
      </c>
      <c r="R565" s="10">
        <v>48.8</v>
      </c>
      <c r="S565" s="16">
        <f t="shared" si="35"/>
        <v>12.4872</v>
      </c>
      <c r="T565" s="16">
        <f t="shared" si="34"/>
        <v>12.590399999999999</v>
      </c>
    </row>
    <row r="566" spans="1:20" x14ac:dyDescent="0.25">
      <c r="A566" s="14">
        <v>2015</v>
      </c>
      <c r="B566" s="14" t="s">
        <v>131</v>
      </c>
      <c r="C566" s="14" t="s">
        <v>132</v>
      </c>
      <c r="D566" s="14">
        <v>10</v>
      </c>
      <c r="E566" s="14">
        <v>4</v>
      </c>
      <c r="F566" s="14">
        <v>37</v>
      </c>
      <c r="G566" s="14">
        <v>4</v>
      </c>
      <c r="H566" s="14" t="s">
        <v>8</v>
      </c>
      <c r="I566" s="15">
        <v>42247</v>
      </c>
      <c r="J566" s="14" t="s">
        <v>126</v>
      </c>
      <c r="K566" s="14">
        <v>304</v>
      </c>
      <c r="L566" s="14">
        <v>141</v>
      </c>
      <c r="M566" s="14">
        <v>163</v>
      </c>
      <c r="N566" s="14"/>
      <c r="O566" s="24"/>
      <c r="P566" s="10">
        <v>-25.8</v>
      </c>
      <c r="Q566" s="10">
        <v>52</v>
      </c>
      <c r="R566" s="10">
        <v>40.6</v>
      </c>
      <c r="S566" s="16">
        <f t="shared" si="35"/>
        <v>15.808</v>
      </c>
      <c r="T566" s="16">
        <f t="shared" si="34"/>
        <v>12.3424</v>
      </c>
    </row>
    <row r="567" spans="1:20" x14ac:dyDescent="0.25">
      <c r="A567" s="14">
        <v>2015</v>
      </c>
      <c r="B567" s="14" t="s">
        <v>131</v>
      </c>
      <c r="C567" s="14" t="s">
        <v>132</v>
      </c>
      <c r="D567" s="14">
        <v>10</v>
      </c>
      <c r="E567" s="14">
        <v>3</v>
      </c>
      <c r="F567" s="14">
        <v>38</v>
      </c>
      <c r="G567" s="14">
        <v>4</v>
      </c>
      <c r="H567" s="14" t="s">
        <v>14</v>
      </c>
      <c r="I567" s="15">
        <v>42247</v>
      </c>
      <c r="J567" s="14" t="s">
        <v>126</v>
      </c>
      <c r="K567" s="14">
        <v>197</v>
      </c>
      <c r="L567" s="14">
        <v>82</v>
      </c>
      <c r="M567" s="14">
        <v>115</v>
      </c>
      <c r="N567" s="14"/>
      <c r="O567" s="24"/>
      <c r="P567" s="10">
        <v>-26.39</v>
      </c>
      <c r="Q567" s="10">
        <v>64.599999999999994</v>
      </c>
      <c r="R567" s="10">
        <v>5</v>
      </c>
      <c r="S567" s="16">
        <f t="shared" si="35"/>
        <v>12.726199999999999</v>
      </c>
      <c r="T567" s="16">
        <f t="shared" si="34"/>
        <v>0.98499999999999999</v>
      </c>
    </row>
    <row r="568" spans="1:20" x14ac:dyDescent="0.25">
      <c r="A568" s="14">
        <v>2015</v>
      </c>
      <c r="B568" s="14" t="s">
        <v>131</v>
      </c>
      <c r="C568" s="14" t="s">
        <v>132</v>
      </c>
      <c r="D568" s="14">
        <v>10</v>
      </c>
      <c r="E568" s="14">
        <v>2</v>
      </c>
      <c r="F568" s="14">
        <v>39</v>
      </c>
      <c r="G568" s="14">
        <v>4</v>
      </c>
      <c r="H568" s="14" t="s">
        <v>10</v>
      </c>
      <c r="I568" s="15">
        <v>42247</v>
      </c>
      <c r="J568" s="14" t="s">
        <v>126</v>
      </c>
      <c r="K568" s="14">
        <v>302</v>
      </c>
      <c r="L568" s="14">
        <v>148</v>
      </c>
      <c r="M568" s="14">
        <v>154</v>
      </c>
      <c r="N568" s="14"/>
      <c r="O568" s="24"/>
      <c r="P568" s="10">
        <v>-25.8</v>
      </c>
      <c r="Q568" s="10">
        <v>48.4</v>
      </c>
      <c r="R568" s="10">
        <v>47.6</v>
      </c>
      <c r="S568" s="16">
        <f t="shared" si="35"/>
        <v>14.6168</v>
      </c>
      <c r="T568" s="16">
        <f t="shared" si="34"/>
        <v>14.375200000000001</v>
      </c>
    </row>
    <row r="569" spans="1:20" x14ac:dyDescent="0.25">
      <c r="A569" s="14">
        <v>2015</v>
      </c>
      <c r="B569" s="14" t="s">
        <v>131</v>
      </c>
      <c r="C569" s="14" t="s">
        <v>132</v>
      </c>
      <c r="D569" s="14">
        <v>10</v>
      </c>
      <c r="E569" s="14">
        <v>1</v>
      </c>
      <c r="F569" s="14">
        <v>40</v>
      </c>
      <c r="G569" s="14">
        <v>4</v>
      </c>
      <c r="H569" s="14" t="s">
        <v>2</v>
      </c>
      <c r="I569" s="15">
        <v>42247</v>
      </c>
      <c r="J569" s="14" t="s">
        <v>126</v>
      </c>
      <c r="K569" s="14">
        <v>391</v>
      </c>
      <c r="L569" s="14">
        <v>194</v>
      </c>
      <c r="M569" s="14">
        <v>197</v>
      </c>
      <c r="N569" s="14"/>
      <c r="O569" s="24"/>
      <c r="P569" s="10">
        <v>-25.83</v>
      </c>
      <c r="Q569" s="10">
        <v>45.9</v>
      </c>
      <c r="R569" s="10">
        <v>54.1</v>
      </c>
      <c r="S569" s="16">
        <f t="shared" si="35"/>
        <v>17.946899999999999</v>
      </c>
      <c r="T569" s="16">
        <f t="shared" si="34"/>
        <v>21.153100000000002</v>
      </c>
    </row>
    <row r="570" spans="1:20" x14ac:dyDescent="0.25">
      <c r="A570" s="14">
        <v>2015</v>
      </c>
      <c r="B570" s="14" t="s">
        <v>131</v>
      </c>
      <c r="C570" s="14" t="s">
        <v>132</v>
      </c>
      <c r="D570" s="14">
        <v>11</v>
      </c>
      <c r="E570" s="14">
        <v>1</v>
      </c>
      <c r="F570" s="14">
        <v>41</v>
      </c>
      <c r="G570" s="14">
        <v>4</v>
      </c>
      <c r="H570" s="14" t="s">
        <v>3</v>
      </c>
      <c r="I570" s="15">
        <v>42247</v>
      </c>
      <c r="J570" s="14" t="s">
        <v>126</v>
      </c>
      <c r="K570" s="14">
        <v>270</v>
      </c>
      <c r="L570" s="14">
        <v>124</v>
      </c>
      <c r="M570" s="14">
        <v>146</v>
      </c>
      <c r="N570" s="14"/>
      <c r="O570" s="24"/>
      <c r="P570" s="10">
        <v>-25.9</v>
      </c>
      <c r="Q570" s="10">
        <v>50.8</v>
      </c>
      <c r="R570" s="10">
        <v>58.5</v>
      </c>
      <c r="S570" s="16">
        <f t="shared" si="35"/>
        <v>13.715999999999999</v>
      </c>
      <c r="T570" s="16">
        <f t="shared" si="34"/>
        <v>15.795</v>
      </c>
    </row>
    <row r="571" spans="1:20" x14ac:dyDescent="0.25">
      <c r="A571" s="14">
        <v>2015</v>
      </c>
      <c r="B571" s="14" t="s">
        <v>131</v>
      </c>
      <c r="C571" s="14" t="s">
        <v>132</v>
      </c>
      <c r="D571" s="14">
        <v>11</v>
      </c>
      <c r="E571" s="14">
        <v>2</v>
      </c>
      <c r="F571" s="14">
        <v>42</v>
      </c>
      <c r="G571" s="14">
        <v>4</v>
      </c>
      <c r="H571" s="14" t="s">
        <v>7</v>
      </c>
      <c r="I571" s="15">
        <v>42247</v>
      </c>
      <c r="J571" s="14" t="s">
        <v>126</v>
      </c>
      <c r="K571" s="14">
        <v>299</v>
      </c>
      <c r="L571" s="14">
        <v>143</v>
      </c>
      <c r="M571" s="14">
        <v>157</v>
      </c>
      <c r="N571" s="14"/>
      <c r="O571" s="24"/>
      <c r="P571" s="10">
        <v>-25.88</v>
      </c>
      <c r="Q571" s="10">
        <v>49.7</v>
      </c>
      <c r="R571" s="10">
        <v>43</v>
      </c>
      <c r="S571" s="16">
        <f t="shared" si="35"/>
        <v>14.860300000000001</v>
      </c>
      <c r="T571" s="16">
        <f t="shared" si="34"/>
        <v>12.856999999999999</v>
      </c>
    </row>
    <row r="572" spans="1:20" x14ac:dyDescent="0.25">
      <c r="A572" s="14">
        <v>2015</v>
      </c>
      <c r="B572" s="14" t="s">
        <v>131</v>
      </c>
      <c r="C572" s="14" t="s">
        <v>132</v>
      </c>
      <c r="D572" s="14">
        <v>11</v>
      </c>
      <c r="E572" s="14">
        <v>3</v>
      </c>
      <c r="F572" s="14">
        <v>43</v>
      </c>
      <c r="G572" s="14">
        <v>4</v>
      </c>
      <c r="H572" s="14" t="s">
        <v>4</v>
      </c>
      <c r="I572" s="15">
        <v>42247</v>
      </c>
      <c r="J572" s="14" t="s">
        <v>126</v>
      </c>
      <c r="K572" s="14">
        <v>193</v>
      </c>
      <c r="L572" s="14">
        <v>84</v>
      </c>
      <c r="M572" s="14">
        <v>109</v>
      </c>
      <c r="N572" s="14"/>
      <c r="O572" s="24"/>
      <c r="P572" s="10">
        <v>-26.07</v>
      </c>
      <c r="Q572" s="10">
        <v>52.6</v>
      </c>
      <c r="R572" s="10">
        <v>31.7</v>
      </c>
      <c r="S572" s="16">
        <f t="shared" si="35"/>
        <v>10.151800000000001</v>
      </c>
      <c r="T572" s="16">
        <f t="shared" si="34"/>
        <v>6.1180999999999992</v>
      </c>
    </row>
    <row r="573" spans="1:20" x14ac:dyDescent="0.25">
      <c r="A573" s="14">
        <v>2015</v>
      </c>
      <c r="B573" s="14" t="s">
        <v>131</v>
      </c>
      <c r="C573" s="14" t="s">
        <v>132</v>
      </c>
      <c r="D573" s="14">
        <v>11</v>
      </c>
      <c r="E573" s="14">
        <v>4</v>
      </c>
      <c r="F573" s="14">
        <v>44</v>
      </c>
      <c r="G573" s="14">
        <v>4</v>
      </c>
      <c r="H573" s="14" t="s">
        <v>5</v>
      </c>
      <c r="I573" s="15">
        <v>42247</v>
      </c>
      <c r="J573" s="14" t="s">
        <v>126</v>
      </c>
      <c r="K573" s="14">
        <v>228</v>
      </c>
      <c r="L573" s="14">
        <v>106</v>
      </c>
      <c r="M573" s="14">
        <v>121</v>
      </c>
      <c r="N573" s="14"/>
      <c r="O573" s="24"/>
      <c r="P573" s="10">
        <v>-25.8</v>
      </c>
      <c r="Q573" s="10">
        <v>51.8</v>
      </c>
      <c r="R573" s="10">
        <v>50.6</v>
      </c>
      <c r="S573" s="16">
        <f t="shared" si="35"/>
        <v>11.8104</v>
      </c>
      <c r="T573" s="16">
        <f t="shared" si="34"/>
        <v>11.536800000000001</v>
      </c>
    </row>
    <row r="574" spans="1:20" x14ac:dyDescent="0.25">
      <c r="A574" s="14">
        <v>2015</v>
      </c>
      <c r="B574" s="14" t="s">
        <v>131</v>
      </c>
      <c r="C574" s="14" t="s">
        <v>132</v>
      </c>
      <c r="D574" s="14">
        <v>12</v>
      </c>
      <c r="E574" s="14">
        <v>4</v>
      </c>
      <c r="F574" s="14">
        <v>45</v>
      </c>
      <c r="G574" s="14">
        <v>4</v>
      </c>
      <c r="H574" s="14" t="s">
        <v>13</v>
      </c>
      <c r="I574" s="15">
        <v>42247</v>
      </c>
      <c r="J574" s="14" t="s">
        <v>126</v>
      </c>
      <c r="K574" s="14">
        <v>249</v>
      </c>
      <c r="L574" s="14">
        <v>128</v>
      </c>
      <c r="M574" s="14">
        <v>121</v>
      </c>
      <c r="N574" s="14"/>
      <c r="O574" s="24"/>
      <c r="P574" s="10">
        <v>-26.09</v>
      </c>
      <c r="Q574" s="10">
        <v>44.9</v>
      </c>
      <c r="R574" s="10">
        <v>59.9</v>
      </c>
      <c r="S574" s="16">
        <f t="shared" si="35"/>
        <v>11.180099999999999</v>
      </c>
      <c r="T574" s="16">
        <f t="shared" si="34"/>
        <v>14.915100000000001</v>
      </c>
    </row>
    <row r="575" spans="1:20" x14ac:dyDescent="0.25">
      <c r="A575" s="14">
        <v>2015</v>
      </c>
      <c r="B575" s="14" t="s">
        <v>131</v>
      </c>
      <c r="C575" s="14" t="s">
        <v>132</v>
      </c>
      <c r="D575" s="14">
        <v>12</v>
      </c>
      <c r="E575" s="14">
        <v>3</v>
      </c>
      <c r="F575" s="14">
        <v>46</v>
      </c>
      <c r="G575" s="14">
        <v>4</v>
      </c>
      <c r="H575" s="14" t="s">
        <v>12</v>
      </c>
      <c r="I575" s="15">
        <v>42247</v>
      </c>
      <c r="J575" s="14" t="s">
        <v>126</v>
      </c>
      <c r="K575" s="14">
        <v>229</v>
      </c>
      <c r="L575" s="14">
        <v>110</v>
      </c>
      <c r="M575" s="14">
        <v>120</v>
      </c>
      <c r="N575" s="14"/>
      <c r="O575" s="24"/>
      <c r="P575" s="10">
        <v>-26.04</v>
      </c>
      <c r="Q575" s="10">
        <v>51.1</v>
      </c>
      <c r="R575" s="10">
        <v>45.8</v>
      </c>
      <c r="S575" s="16">
        <f t="shared" si="35"/>
        <v>11.7019</v>
      </c>
      <c r="T575" s="16">
        <f t="shared" si="34"/>
        <v>10.488199999999999</v>
      </c>
    </row>
    <row r="576" spans="1:20" x14ac:dyDescent="0.25">
      <c r="A576" s="14">
        <v>2015</v>
      </c>
      <c r="B576" s="14" t="s">
        <v>131</v>
      </c>
      <c r="C576" s="14" t="s">
        <v>132</v>
      </c>
      <c r="D576" s="14">
        <v>12</v>
      </c>
      <c r="E576" s="14">
        <v>2</v>
      </c>
      <c r="F576" s="14">
        <v>47</v>
      </c>
      <c r="G576" s="14">
        <v>4</v>
      </c>
      <c r="H576" s="14" t="s">
        <v>9</v>
      </c>
      <c r="I576" s="15">
        <v>42247</v>
      </c>
      <c r="J576" s="14" t="s">
        <v>126</v>
      </c>
      <c r="K576" s="14">
        <v>244</v>
      </c>
      <c r="L576" s="14">
        <v>113</v>
      </c>
      <c r="M576" s="14">
        <v>131</v>
      </c>
      <c r="N576" s="14"/>
      <c r="O576" s="24"/>
      <c r="P576" s="10">
        <v>-25.89</v>
      </c>
      <c r="Q576" s="10">
        <v>59.7</v>
      </c>
      <c r="R576" s="10">
        <v>11.3</v>
      </c>
      <c r="S576" s="16">
        <f t="shared" si="35"/>
        <v>14.566800000000001</v>
      </c>
      <c r="T576" s="16">
        <f t="shared" si="34"/>
        <v>2.7572000000000001</v>
      </c>
    </row>
    <row r="577" spans="1:20" x14ac:dyDescent="0.25">
      <c r="A577" s="14">
        <v>2015</v>
      </c>
      <c r="B577" s="14" t="s">
        <v>131</v>
      </c>
      <c r="C577" s="14" t="s">
        <v>132</v>
      </c>
      <c r="D577" s="14">
        <v>12</v>
      </c>
      <c r="E577" s="14">
        <v>1</v>
      </c>
      <c r="F577" s="14">
        <v>48</v>
      </c>
      <c r="G577" s="14">
        <v>4</v>
      </c>
      <c r="H577" s="14" t="s">
        <v>6</v>
      </c>
      <c r="I577" s="15">
        <v>42247</v>
      </c>
      <c r="J577" s="14" t="s">
        <v>126</v>
      </c>
      <c r="K577" s="14">
        <v>290</v>
      </c>
      <c r="L577" s="14">
        <v>131</v>
      </c>
      <c r="M577" s="14">
        <v>159</v>
      </c>
      <c r="N577" s="14"/>
      <c r="O577" s="24"/>
      <c r="P577" s="10">
        <v>-25.84</v>
      </c>
      <c r="Q577" s="10">
        <v>60.1</v>
      </c>
      <c r="R577" s="10">
        <v>12.7</v>
      </c>
      <c r="S577" s="16">
        <f t="shared" si="35"/>
        <v>17.428999999999998</v>
      </c>
      <c r="T577" s="16">
        <f t="shared" si="34"/>
        <v>3.6829999999999998</v>
      </c>
    </row>
    <row r="578" spans="1:20" x14ac:dyDescent="0.25">
      <c r="A578" s="14">
        <v>2015</v>
      </c>
      <c r="B578" s="14" t="s">
        <v>131</v>
      </c>
      <c r="C578" s="14" t="s">
        <v>132</v>
      </c>
      <c r="D578" s="14">
        <v>1</v>
      </c>
      <c r="E578" s="14">
        <v>1</v>
      </c>
      <c r="F578" s="14">
        <v>1</v>
      </c>
      <c r="G578" s="14">
        <v>1</v>
      </c>
      <c r="H578" s="14" t="s">
        <v>9</v>
      </c>
      <c r="I578" s="15">
        <v>42264</v>
      </c>
      <c r="J578" s="14" t="s">
        <v>127</v>
      </c>
      <c r="K578" s="21">
        <v>532</v>
      </c>
      <c r="L578" s="21">
        <v>314</v>
      </c>
      <c r="M578" s="21">
        <v>219</v>
      </c>
      <c r="N578" s="14"/>
      <c r="O578" s="24"/>
      <c r="P578" s="10">
        <v>-26.15</v>
      </c>
      <c r="Q578" s="25">
        <v>37.4</v>
      </c>
      <c r="R578" s="10">
        <v>61.2</v>
      </c>
      <c r="S578" s="16">
        <f t="shared" si="35"/>
        <v>19.896799999999999</v>
      </c>
      <c r="T578" s="16">
        <f t="shared" si="34"/>
        <v>32.558399999999999</v>
      </c>
    </row>
    <row r="579" spans="1:20" x14ac:dyDescent="0.25">
      <c r="A579" s="14">
        <v>2015</v>
      </c>
      <c r="B579" s="14" t="s">
        <v>131</v>
      </c>
      <c r="C579" s="14" t="s">
        <v>132</v>
      </c>
      <c r="D579" s="14">
        <v>1</v>
      </c>
      <c r="E579" s="14">
        <v>2</v>
      </c>
      <c r="F579" s="14">
        <v>2</v>
      </c>
      <c r="G579" s="14">
        <v>1</v>
      </c>
      <c r="H579" s="14" t="s">
        <v>5</v>
      </c>
      <c r="I579" s="15">
        <v>42264</v>
      </c>
      <c r="J579" s="14" t="s">
        <v>127</v>
      </c>
      <c r="K579" s="21">
        <v>604</v>
      </c>
      <c r="L579" s="21">
        <v>359</v>
      </c>
      <c r="M579" s="21">
        <v>246</v>
      </c>
      <c r="N579" s="14"/>
      <c r="O579" s="24"/>
      <c r="P579" s="10">
        <v>-25.88</v>
      </c>
      <c r="Q579" s="25">
        <v>34.5</v>
      </c>
      <c r="R579" s="10">
        <v>79.099999999999994</v>
      </c>
      <c r="S579" s="16">
        <f t="shared" si="35"/>
        <v>20.838000000000001</v>
      </c>
      <c r="T579" s="16">
        <f t="shared" ref="T579:T642" si="36">K579*R579/1000</f>
        <v>47.776399999999995</v>
      </c>
    </row>
    <row r="580" spans="1:20" x14ac:dyDescent="0.25">
      <c r="A580" s="14">
        <v>2015</v>
      </c>
      <c r="B580" s="14" t="s">
        <v>131</v>
      </c>
      <c r="C580" s="14" t="s">
        <v>132</v>
      </c>
      <c r="D580" s="14">
        <v>1</v>
      </c>
      <c r="E580" s="14">
        <v>3</v>
      </c>
      <c r="F580" s="14">
        <v>3</v>
      </c>
      <c r="G580" s="14">
        <v>1</v>
      </c>
      <c r="H580" s="14" t="s">
        <v>13</v>
      </c>
      <c r="I580" s="15">
        <v>42264</v>
      </c>
      <c r="J580" s="14" t="s">
        <v>127</v>
      </c>
      <c r="K580" s="21">
        <v>584</v>
      </c>
      <c r="L580" s="21">
        <v>382</v>
      </c>
      <c r="M580" s="21">
        <v>202</v>
      </c>
      <c r="N580" s="14"/>
      <c r="O580" s="24"/>
      <c r="P580" s="10">
        <v>-25.51</v>
      </c>
      <c r="Q580" s="25">
        <v>33.5</v>
      </c>
      <c r="R580" s="10">
        <v>111.1</v>
      </c>
      <c r="S580" s="16">
        <f t="shared" si="35"/>
        <v>19.564</v>
      </c>
      <c r="T580" s="16">
        <f t="shared" si="36"/>
        <v>64.88239999999999</v>
      </c>
    </row>
    <row r="581" spans="1:20" x14ac:dyDescent="0.25">
      <c r="A581" s="14">
        <v>2015</v>
      </c>
      <c r="B581" s="14" t="s">
        <v>131</v>
      </c>
      <c r="C581" s="14" t="s">
        <v>132</v>
      </c>
      <c r="D581" s="14">
        <v>1</v>
      </c>
      <c r="E581" s="14">
        <v>4</v>
      </c>
      <c r="F581" s="14">
        <v>4</v>
      </c>
      <c r="G581" s="14">
        <v>1</v>
      </c>
      <c r="H581" s="14" t="s">
        <v>7</v>
      </c>
      <c r="I581" s="15">
        <v>42264</v>
      </c>
      <c r="J581" s="14" t="s">
        <v>127</v>
      </c>
      <c r="K581" s="21">
        <v>490</v>
      </c>
      <c r="L581" s="21">
        <v>306</v>
      </c>
      <c r="M581" s="21">
        <v>185</v>
      </c>
      <c r="N581" s="14"/>
      <c r="O581" s="24"/>
      <c r="P581" s="10">
        <v>-25.39</v>
      </c>
      <c r="Q581" s="25">
        <v>31.4</v>
      </c>
      <c r="R581" s="10">
        <v>132.1</v>
      </c>
      <c r="S581" s="16">
        <f t="shared" si="35"/>
        <v>15.385999999999999</v>
      </c>
      <c r="T581" s="16">
        <f t="shared" si="36"/>
        <v>64.728999999999999</v>
      </c>
    </row>
    <row r="582" spans="1:20" x14ac:dyDescent="0.25">
      <c r="A582" s="14">
        <v>2015</v>
      </c>
      <c r="B582" s="14" t="s">
        <v>131</v>
      </c>
      <c r="C582" s="14" t="s">
        <v>132</v>
      </c>
      <c r="D582" s="14">
        <v>2</v>
      </c>
      <c r="E582" s="14">
        <v>4</v>
      </c>
      <c r="F582" s="14">
        <v>5</v>
      </c>
      <c r="G582" s="14">
        <v>1</v>
      </c>
      <c r="H582" s="14" t="s">
        <v>12</v>
      </c>
      <c r="I582" s="15">
        <v>42264</v>
      </c>
      <c r="J582" s="14" t="s">
        <v>127</v>
      </c>
      <c r="K582" s="21">
        <v>540</v>
      </c>
      <c r="L582" s="21">
        <v>325</v>
      </c>
      <c r="M582" s="21">
        <v>216</v>
      </c>
      <c r="N582" s="14"/>
      <c r="O582" s="24"/>
      <c r="P582" s="10">
        <v>-25.78</v>
      </c>
      <c r="Q582" s="25">
        <v>38.200000000000003</v>
      </c>
      <c r="R582" s="10">
        <v>83.6</v>
      </c>
      <c r="S582" s="16">
        <f t="shared" si="35"/>
        <v>20.628</v>
      </c>
      <c r="T582" s="16">
        <f t="shared" si="36"/>
        <v>45.143999999999998</v>
      </c>
    </row>
    <row r="583" spans="1:20" x14ac:dyDescent="0.25">
      <c r="A583" s="14">
        <v>2015</v>
      </c>
      <c r="B583" s="14" t="s">
        <v>131</v>
      </c>
      <c r="C583" s="14" t="s">
        <v>132</v>
      </c>
      <c r="D583" s="14">
        <v>2</v>
      </c>
      <c r="E583" s="14">
        <v>3</v>
      </c>
      <c r="F583" s="14">
        <v>6</v>
      </c>
      <c r="G583" s="14">
        <v>1</v>
      </c>
      <c r="H583" s="14" t="s">
        <v>10</v>
      </c>
      <c r="I583" s="15">
        <v>42264</v>
      </c>
      <c r="J583" s="14" t="s">
        <v>127</v>
      </c>
      <c r="K583" s="21">
        <v>653</v>
      </c>
      <c r="L583" s="21">
        <v>440</v>
      </c>
      <c r="M583" s="21">
        <v>213</v>
      </c>
      <c r="N583" s="14"/>
      <c r="O583" s="24"/>
      <c r="P583" s="10">
        <v>-25.39</v>
      </c>
      <c r="Q583" s="25">
        <v>29.2</v>
      </c>
      <c r="R583" s="10">
        <v>124.8</v>
      </c>
      <c r="S583" s="16">
        <f t="shared" si="35"/>
        <v>19.067599999999999</v>
      </c>
      <c r="T583" s="16">
        <f t="shared" si="36"/>
        <v>81.494399999999999</v>
      </c>
    </row>
    <row r="584" spans="1:20" x14ac:dyDescent="0.25">
      <c r="A584" s="14">
        <v>2015</v>
      </c>
      <c r="B584" s="14" t="s">
        <v>131</v>
      </c>
      <c r="C584" s="14" t="s">
        <v>132</v>
      </c>
      <c r="D584" s="14">
        <v>2</v>
      </c>
      <c r="E584" s="14">
        <v>2</v>
      </c>
      <c r="F584" s="14">
        <v>7</v>
      </c>
      <c r="G584" s="14">
        <v>1</v>
      </c>
      <c r="H584" s="14" t="s">
        <v>6</v>
      </c>
      <c r="I584" s="15">
        <v>42264</v>
      </c>
      <c r="J584" s="14" t="s">
        <v>127</v>
      </c>
      <c r="K584" s="21">
        <v>603</v>
      </c>
      <c r="L584" s="21">
        <v>372</v>
      </c>
      <c r="M584" s="21">
        <v>231</v>
      </c>
      <c r="N584" s="14"/>
      <c r="O584" s="24"/>
      <c r="P584" s="10">
        <v>-25.71</v>
      </c>
      <c r="Q584" s="25">
        <v>33.1</v>
      </c>
      <c r="R584" s="10">
        <v>98.6</v>
      </c>
      <c r="S584" s="16">
        <f t="shared" si="35"/>
        <v>19.959299999999999</v>
      </c>
      <c r="T584" s="16">
        <f t="shared" si="36"/>
        <v>59.455799999999996</v>
      </c>
    </row>
    <row r="585" spans="1:20" x14ac:dyDescent="0.25">
      <c r="A585" s="14">
        <v>2015</v>
      </c>
      <c r="B585" s="14" t="s">
        <v>131</v>
      </c>
      <c r="C585" s="14" t="s">
        <v>132</v>
      </c>
      <c r="D585" s="14">
        <v>2</v>
      </c>
      <c r="E585" s="14">
        <v>1</v>
      </c>
      <c r="F585" s="14">
        <v>8</v>
      </c>
      <c r="G585" s="14">
        <v>1</v>
      </c>
      <c r="H585" s="14" t="s">
        <v>8</v>
      </c>
      <c r="I585" s="15">
        <v>42264</v>
      </c>
      <c r="J585" s="14" t="s">
        <v>127</v>
      </c>
      <c r="K585" s="21">
        <v>530</v>
      </c>
      <c r="L585" s="21">
        <v>324</v>
      </c>
      <c r="M585" s="21">
        <v>206</v>
      </c>
      <c r="N585" s="14"/>
      <c r="O585" s="24"/>
      <c r="P585" s="10">
        <v>-25.3</v>
      </c>
      <c r="Q585" s="25">
        <v>30.4</v>
      </c>
      <c r="R585" s="10">
        <v>120</v>
      </c>
      <c r="S585" s="16">
        <f t="shared" si="35"/>
        <v>16.111999999999998</v>
      </c>
      <c r="T585" s="16">
        <f t="shared" si="36"/>
        <v>63.6</v>
      </c>
    </row>
    <row r="586" spans="1:20" x14ac:dyDescent="0.25">
      <c r="A586" s="14">
        <v>2015</v>
      </c>
      <c r="B586" s="14" t="s">
        <v>131</v>
      </c>
      <c r="C586" s="14" t="s">
        <v>132</v>
      </c>
      <c r="D586" s="14">
        <v>3</v>
      </c>
      <c r="E586" s="14">
        <v>1</v>
      </c>
      <c r="F586" s="14">
        <v>9</v>
      </c>
      <c r="G586" s="14">
        <v>1</v>
      </c>
      <c r="H586" s="14" t="s">
        <v>4</v>
      </c>
      <c r="I586" s="15">
        <v>42264</v>
      </c>
      <c r="J586" s="14" t="s">
        <v>127</v>
      </c>
      <c r="K586" s="21">
        <v>415</v>
      </c>
      <c r="L586" s="21">
        <v>224</v>
      </c>
      <c r="M586" s="21">
        <v>191</v>
      </c>
      <c r="N586" s="14"/>
      <c r="O586" s="24"/>
      <c r="P586" s="10">
        <v>-25.51</v>
      </c>
      <c r="Q586" s="25">
        <v>36.5</v>
      </c>
      <c r="R586" s="10">
        <v>101.6</v>
      </c>
      <c r="S586" s="16">
        <f t="shared" si="35"/>
        <v>15.147500000000001</v>
      </c>
      <c r="T586" s="16">
        <f t="shared" si="36"/>
        <v>42.164000000000001</v>
      </c>
    </row>
    <row r="587" spans="1:20" x14ac:dyDescent="0.25">
      <c r="A587" s="14">
        <v>2015</v>
      </c>
      <c r="B587" s="14" t="s">
        <v>131</v>
      </c>
      <c r="C587" s="14" t="s">
        <v>132</v>
      </c>
      <c r="D587" s="14">
        <v>3</v>
      </c>
      <c r="E587" s="14">
        <v>2</v>
      </c>
      <c r="F587" s="14">
        <v>10</v>
      </c>
      <c r="G587" s="14">
        <v>1</v>
      </c>
      <c r="H587" s="14" t="s">
        <v>14</v>
      </c>
      <c r="I587" s="15">
        <v>42264</v>
      </c>
      <c r="J587" s="14" t="s">
        <v>127</v>
      </c>
      <c r="K587" s="21">
        <v>471</v>
      </c>
      <c r="L587" s="21">
        <v>280</v>
      </c>
      <c r="M587" s="21">
        <v>191</v>
      </c>
      <c r="N587" s="14"/>
      <c r="O587" s="24"/>
      <c r="P587" s="10">
        <v>-26.12</v>
      </c>
      <c r="Q587" s="25">
        <v>41.1</v>
      </c>
      <c r="R587" s="10">
        <v>57.9</v>
      </c>
      <c r="S587" s="16">
        <f t="shared" si="35"/>
        <v>19.358100000000004</v>
      </c>
      <c r="T587" s="16">
        <f t="shared" si="36"/>
        <v>27.270899999999997</v>
      </c>
    </row>
    <row r="588" spans="1:20" x14ac:dyDescent="0.25">
      <c r="A588" s="14">
        <v>2015</v>
      </c>
      <c r="B588" s="14" t="s">
        <v>131</v>
      </c>
      <c r="C588" s="14" t="s">
        <v>132</v>
      </c>
      <c r="D588" s="14">
        <v>3</v>
      </c>
      <c r="E588" s="14">
        <v>3</v>
      </c>
      <c r="F588" s="14">
        <v>11</v>
      </c>
      <c r="G588" s="14">
        <v>1</v>
      </c>
      <c r="H588" s="14" t="s">
        <v>3</v>
      </c>
      <c r="I588" s="15">
        <v>42264</v>
      </c>
      <c r="J588" s="14" t="s">
        <v>127</v>
      </c>
      <c r="K588" s="21">
        <v>412</v>
      </c>
      <c r="L588" s="21">
        <v>246</v>
      </c>
      <c r="M588" s="21">
        <v>166</v>
      </c>
      <c r="N588" s="14"/>
      <c r="O588" s="24"/>
      <c r="P588" s="10">
        <v>-25.21</v>
      </c>
      <c r="Q588" s="25">
        <v>31.9</v>
      </c>
      <c r="R588" s="10">
        <v>145.5</v>
      </c>
      <c r="S588" s="16">
        <f t="shared" si="35"/>
        <v>13.142799999999999</v>
      </c>
      <c r="T588" s="16">
        <f t="shared" si="36"/>
        <v>59.945999999999998</v>
      </c>
    </row>
    <row r="589" spans="1:20" x14ac:dyDescent="0.25">
      <c r="A589" s="14">
        <v>2015</v>
      </c>
      <c r="B589" s="14" t="s">
        <v>131</v>
      </c>
      <c r="C589" s="14" t="s">
        <v>132</v>
      </c>
      <c r="D589" s="14">
        <v>3</v>
      </c>
      <c r="E589" s="14">
        <v>4</v>
      </c>
      <c r="F589" s="14">
        <v>12</v>
      </c>
      <c r="G589" s="14">
        <v>1</v>
      </c>
      <c r="H589" s="14" t="s">
        <v>2</v>
      </c>
      <c r="I589" s="15">
        <v>42264</v>
      </c>
      <c r="J589" s="14" t="s">
        <v>127</v>
      </c>
      <c r="K589" s="21">
        <v>677</v>
      </c>
      <c r="L589" s="21">
        <v>456</v>
      </c>
      <c r="M589" s="21">
        <v>221</v>
      </c>
      <c r="N589" s="14"/>
      <c r="O589" s="24"/>
      <c r="P589" s="10">
        <v>-25.02</v>
      </c>
      <c r="Q589" s="25">
        <v>28.5</v>
      </c>
      <c r="R589" s="10">
        <v>135.9</v>
      </c>
      <c r="S589" s="16">
        <f t="shared" si="35"/>
        <v>19.294499999999999</v>
      </c>
      <c r="T589" s="16">
        <f t="shared" si="36"/>
        <v>92.004300000000001</v>
      </c>
    </row>
    <row r="590" spans="1:20" x14ac:dyDescent="0.25">
      <c r="A590" s="14">
        <v>2015</v>
      </c>
      <c r="B590" s="14" t="s">
        <v>131</v>
      </c>
      <c r="C590" s="14" t="s">
        <v>132</v>
      </c>
      <c r="D590" s="14">
        <v>4</v>
      </c>
      <c r="E590" s="14">
        <v>4</v>
      </c>
      <c r="F590" s="14">
        <v>13</v>
      </c>
      <c r="G590" s="14">
        <v>2</v>
      </c>
      <c r="H590" s="14" t="s">
        <v>4</v>
      </c>
      <c r="I590" s="15">
        <v>42264</v>
      </c>
      <c r="J590" s="14" t="s">
        <v>127</v>
      </c>
      <c r="K590" s="21">
        <v>463</v>
      </c>
      <c r="L590" s="21">
        <v>268</v>
      </c>
      <c r="M590" s="21">
        <v>196</v>
      </c>
      <c r="N590" s="14"/>
      <c r="O590" s="24"/>
      <c r="P590" s="10">
        <v>-25.45</v>
      </c>
      <c r="Q590" s="25">
        <v>37.700000000000003</v>
      </c>
      <c r="R590" s="10">
        <v>119.7</v>
      </c>
      <c r="S590" s="16">
        <f t="shared" si="35"/>
        <v>17.455100000000002</v>
      </c>
      <c r="T590" s="16">
        <f t="shared" si="36"/>
        <v>55.421099999999996</v>
      </c>
    </row>
    <row r="591" spans="1:20" x14ac:dyDescent="0.25">
      <c r="A591" s="14">
        <v>2015</v>
      </c>
      <c r="B591" s="14" t="s">
        <v>131</v>
      </c>
      <c r="C591" s="14" t="s">
        <v>132</v>
      </c>
      <c r="D591" s="14">
        <v>4</v>
      </c>
      <c r="E591" s="14">
        <v>3</v>
      </c>
      <c r="F591" s="14">
        <v>14</v>
      </c>
      <c r="G591" s="14">
        <v>2</v>
      </c>
      <c r="H591" s="14" t="s">
        <v>9</v>
      </c>
      <c r="I591" s="15">
        <v>42264</v>
      </c>
      <c r="J591" s="14" t="s">
        <v>127</v>
      </c>
      <c r="K591" s="21">
        <v>499</v>
      </c>
      <c r="L591" s="21">
        <v>301</v>
      </c>
      <c r="M591" s="21">
        <v>198</v>
      </c>
      <c r="N591" s="14"/>
      <c r="O591" s="24"/>
      <c r="P591" s="10">
        <v>-25.71</v>
      </c>
      <c r="Q591" s="25">
        <v>36.9</v>
      </c>
      <c r="R591" s="10">
        <v>101.1</v>
      </c>
      <c r="S591" s="16">
        <f t="shared" si="35"/>
        <v>18.4131</v>
      </c>
      <c r="T591" s="16">
        <f t="shared" si="36"/>
        <v>50.448899999999995</v>
      </c>
    </row>
    <row r="592" spans="1:20" x14ac:dyDescent="0.25">
      <c r="A592" s="14">
        <v>2015</v>
      </c>
      <c r="B592" s="14" t="s">
        <v>131</v>
      </c>
      <c r="C592" s="14" t="s">
        <v>132</v>
      </c>
      <c r="D592" s="14">
        <v>4</v>
      </c>
      <c r="E592" s="14">
        <v>2</v>
      </c>
      <c r="F592" s="14">
        <v>15</v>
      </c>
      <c r="G592" s="14">
        <v>2</v>
      </c>
      <c r="H592" s="14" t="s">
        <v>3</v>
      </c>
      <c r="I592" s="15">
        <v>42264</v>
      </c>
      <c r="J592" s="14" t="s">
        <v>127</v>
      </c>
      <c r="K592" s="21">
        <v>567</v>
      </c>
      <c r="L592" s="21">
        <v>321</v>
      </c>
      <c r="M592" s="21">
        <v>245</v>
      </c>
      <c r="N592" s="14"/>
      <c r="O592" s="24"/>
      <c r="P592" s="10">
        <v>-25.97</v>
      </c>
      <c r="Q592" s="25">
        <v>32.799999999999997</v>
      </c>
      <c r="R592" s="10">
        <v>112.1</v>
      </c>
      <c r="S592" s="16">
        <f t="shared" si="35"/>
        <v>18.5976</v>
      </c>
      <c r="T592" s="16">
        <f t="shared" si="36"/>
        <v>63.560699999999997</v>
      </c>
    </row>
    <row r="593" spans="1:20" x14ac:dyDescent="0.25">
      <c r="A593" s="14">
        <v>2015</v>
      </c>
      <c r="B593" s="14" t="s">
        <v>131</v>
      </c>
      <c r="C593" s="14" t="s">
        <v>132</v>
      </c>
      <c r="D593" s="14">
        <v>4</v>
      </c>
      <c r="E593" s="14">
        <v>1</v>
      </c>
      <c r="F593" s="14">
        <v>16</v>
      </c>
      <c r="G593" s="14">
        <v>2</v>
      </c>
      <c r="H593" s="14" t="s">
        <v>13</v>
      </c>
      <c r="I593" s="15">
        <v>42264</v>
      </c>
      <c r="J593" s="14" t="s">
        <v>127</v>
      </c>
      <c r="K593" s="21">
        <v>592</v>
      </c>
      <c r="L593" s="21">
        <v>354</v>
      </c>
      <c r="M593" s="21">
        <v>239</v>
      </c>
      <c r="N593" s="14"/>
      <c r="O593" s="24"/>
      <c r="P593" s="10">
        <v>-25.78</v>
      </c>
      <c r="Q593" s="25">
        <v>35.700000000000003</v>
      </c>
      <c r="R593" s="10">
        <v>83.3</v>
      </c>
      <c r="S593" s="16">
        <f t="shared" si="35"/>
        <v>21.134400000000003</v>
      </c>
      <c r="T593" s="16">
        <f t="shared" si="36"/>
        <v>49.313600000000001</v>
      </c>
    </row>
    <row r="594" spans="1:20" x14ac:dyDescent="0.25">
      <c r="A594" s="14">
        <v>2015</v>
      </c>
      <c r="B594" s="14" t="s">
        <v>131</v>
      </c>
      <c r="C594" s="14" t="s">
        <v>132</v>
      </c>
      <c r="D594" s="14">
        <v>5</v>
      </c>
      <c r="E594" s="14">
        <v>1</v>
      </c>
      <c r="F594" s="14">
        <v>17</v>
      </c>
      <c r="G594" s="14">
        <v>2</v>
      </c>
      <c r="H594" s="14" t="s">
        <v>14</v>
      </c>
      <c r="I594" s="15">
        <v>42264</v>
      </c>
      <c r="J594" s="14" t="s">
        <v>127</v>
      </c>
      <c r="K594" s="21">
        <v>591</v>
      </c>
      <c r="L594" s="21">
        <v>357</v>
      </c>
      <c r="M594" s="21">
        <v>234</v>
      </c>
      <c r="N594" s="14"/>
      <c r="O594" s="24"/>
      <c r="P594" s="10">
        <v>-25.78</v>
      </c>
      <c r="Q594" s="25">
        <v>33.4</v>
      </c>
      <c r="R594" s="10">
        <v>92.9</v>
      </c>
      <c r="S594" s="16">
        <f t="shared" si="35"/>
        <v>19.739399999999996</v>
      </c>
      <c r="T594" s="16">
        <f t="shared" si="36"/>
        <v>54.9039</v>
      </c>
    </row>
    <row r="595" spans="1:20" x14ac:dyDescent="0.25">
      <c r="A595" s="14">
        <v>2015</v>
      </c>
      <c r="B595" s="14" t="s">
        <v>131</v>
      </c>
      <c r="C595" s="14" t="s">
        <v>132</v>
      </c>
      <c r="D595" s="14">
        <v>5</v>
      </c>
      <c r="E595" s="14">
        <v>2</v>
      </c>
      <c r="F595" s="14">
        <v>18</v>
      </c>
      <c r="G595" s="14">
        <v>2</v>
      </c>
      <c r="H595" s="14" t="s">
        <v>12</v>
      </c>
      <c r="I595" s="15">
        <v>42264</v>
      </c>
      <c r="J595" s="14" t="s">
        <v>127</v>
      </c>
      <c r="K595" s="21">
        <v>574</v>
      </c>
      <c r="L595" s="21">
        <v>325</v>
      </c>
      <c r="M595" s="21">
        <v>248</v>
      </c>
      <c r="N595" s="14"/>
      <c r="O595" s="24"/>
      <c r="P595" s="10">
        <v>-25.7</v>
      </c>
      <c r="Q595" s="25">
        <v>38.799999999999997</v>
      </c>
      <c r="R595" s="10">
        <v>78.8</v>
      </c>
      <c r="S595" s="16">
        <f t="shared" si="35"/>
        <v>22.271199999999997</v>
      </c>
      <c r="T595" s="16">
        <f t="shared" si="36"/>
        <v>45.231199999999994</v>
      </c>
    </row>
    <row r="596" spans="1:20" x14ac:dyDescent="0.25">
      <c r="A596" s="14">
        <v>2015</v>
      </c>
      <c r="B596" s="14" t="s">
        <v>131</v>
      </c>
      <c r="C596" s="14" t="s">
        <v>132</v>
      </c>
      <c r="D596" s="14">
        <v>5</v>
      </c>
      <c r="E596" s="14">
        <v>3</v>
      </c>
      <c r="F596" s="14">
        <v>19</v>
      </c>
      <c r="G596" s="14">
        <v>2</v>
      </c>
      <c r="H596" s="14" t="s">
        <v>2</v>
      </c>
      <c r="I596" s="15">
        <v>42264</v>
      </c>
      <c r="J596" s="14" t="s">
        <v>127</v>
      </c>
      <c r="K596" s="21">
        <v>688</v>
      </c>
      <c r="L596" s="21">
        <v>457</v>
      </c>
      <c r="M596" s="21">
        <v>231</v>
      </c>
      <c r="N596" s="14"/>
      <c r="O596" s="24"/>
      <c r="P596" s="10">
        <v>-25.14</v>
      </c>
      <c r="Q596" s="25">
        <v>31</v>
      </c>
      <c r="R596" s="10">
        <v>136.1</v>
      </c>
      <c r="S596" s="16">
        <f t="shared" si="35"/>
        <v>21.327999999999999</v>
      </c>
      <c r="T596" s="16">
        <f t="shared" si="36"/>
        <v>93.636800000000008</v>
      </c>
    </row>
    <row r="597" spans="1:20" x14ac:dyDescent="0.25">
      <c r="A597" s="14">
        <v>2015</v>
      </c>
      <c r="B597" s="14" t="s">
        <v>131</v>
      </c>
      <c r="C597" s="14" t="s">
        <v>132</v>
      </c>
      <c r="D597" s="14">
        <v>5</v>
      </c>
      <c r="E597" s="14">
        <v>4</v>
      </c>
      <c r="F597" s="14">
        <v>20</v>
      </c>
      <c r="G597" s="14">
        <v>2</v>
      </c>
      <c r="H597" s="14" t="s">
        <v>6</v>
      </c>
      <c r="I597" s="15">
        <v>42264</v>
      </c>
      <c r="J597" s="14" t="s">
        <v>127</v>
      </c>
      <c r="K597" s="21">
        <v>519</v>
      </c>
      <c r="L597" s="21">
        <v>311</v>
      </c>
      <c r="M597" s="21">
        <v>208</v>
      </c>
      <c r="N597" s="14"/>
      <c r="O597" s="24"/>
      <c r="P597" s="10">
        <v>-26.03</v>
      </c>
      <c r="Q597" s="25">
        <v>37.9</v>
      </c>
      <c r="R597" s="10">
        <v>72.3</v>
      </c>
      <c r="S597" s="16">
        <f t="shared" si="35"/>
        <v>19.670099999999998</v>
      </c>
      <c r="T597" s="16">
        <f t="shared" si="36"/>
        <v>37.523699999999998</v>
      </c>
    </row>
    <row r="598" spans="1:20" x14ac:dyDescent="0.25">
      <c r="A598" s="14">
        <v>2015</v>
      </c>
      <c r="B598" s="14" t="s">
        <v>131</v>
      </c>
      <c r="C598" s="14" t="s">
        <v>132</v>
      </c>
      <c r="D598" s="14">
        <v>6</v>
      </c>
      <c r="E598" s="14">
        <v>4</v>
      </c>
      <c r="F598" s="14">
        <v>21</v>
      </c>
      <c r="G598" s="14">
        <v>2</v>
      </c>
      <c r="H598" s="14" t="s">
        <v>10</v>
      </c>
      <c r="I598" s="15">
        <v>42264</v>
      </c>
      <c r="J598" s="14" t="s">
        <v>127</v>
      </c>
      <c r="K598" s="21">
        <v>645</v>
      </c>
      <c r="L598" s="21">
        <v>437</v>
      </c>
      <c r="M598" s="21">
        <v>208</v>
      </c>
      <c r="N598" s="14"/>
      <c r="O598" s="24"/>
      <c r="P598" s="10">
        <v>-25.33</v>
      </c>
      <c r="Q598" s="25">
        <v>31.1</v>
      </c>
      <c r="R598" s="10">
        <v>135.9</v>
      </c>
      <c r="S598" s="16">
        <f t="shared" si="35"/>
        <v>20.0595</v>
      </c>
      <c r="T598" s="16">
        <f t="shared" si="36"/>
        <v>87.655500000000004</v>
      </c>
    </row>
    <row r="599" spans="1:20" x14ac:dyDescent="0.25">
      <c r="A599" s="14">
        <v>2015</v>
      </c>
      <c r="B599" s="14" t="s">
        <v>131</v>
      </c>
      <c r="C599" s="14" t="s">
        <v>132</v>
      </c>
      <c r="D599" s="14">
        <v>6</v>
      </c>
      <c r="E599" s="14">
        <v>3</v>
      </c>
      <c r="F599" s="14">
        <v>22</v>
      </c>
      <c r="G599" s="14">
        <v>2</v>
      </c>
      <c r="H599" s="14" t="s">
        <v>5</v>
      </c>
      <c r="I599" s="15">
        <v>42264</v>
      </c>
      <c r="J599" s="14" t="s">
        <v>127</v>
      </c>
      <c r="K599" s="21">
        <v>558</v>
      </c>
      <c r="L599" s="21">
        <v>346</v>
      </c>
      <c r="M599" s="21">
        <v>212</v>
      </c>
      <c r="N599" s="14"/>
      <c r="O599" s="24"/>
      <c r="P599" s="10">
        <v>-25.25</v>
      </c>
      <c r="Q599" s="25">
        <v>34.799999999999997</v>
      </c>
      <c r="R599" s="10">
        <v>131.5</v>
      </c>
      <c r="S599" s="16">
        <f t="shared" si="35"/>
        <v>19.418399999999998</v>
      </c>
      <c r="T599" s="16">
        <f t="shared" si="36"/>
        <v>73.376999999999995</v>
      </c>
    </row>
    <row r="600" spans="1:20" x14ac:dyDescent="0.25">
      <c r="A600" s="14">
        <v>2015</v>
      </c>
      <c r="B600" s="14" t="s">
        <v>131</v>
      </c>
      <c r="C600" s="14" t="s">
        <v>132</v>
      </c>
      <c r="D600" s="14">
        <v>6</v>
      </c>
      <c r="E600" s="14">
        <v>2</v>
      </c>
      <c r="F600" s="14">
        <v>23</v>
      </c>
      <c r="G600" s="14">
        <v>2</v>
      </c>
      <c r="H600" s="14" t="s">
        <v>8</v>
      </c>
      <c r="I600" s="15">
        <v>42264</v>
      </c>
      <c r="J600" s="14" t="s">
        <v>127</v>
      </c>
      <c r="K600" s="21">
        <v>537</v>
      </c>
      <c r="L600" s="21">
        <v>316</v>
      </c>
      <c r="M600" s="21">
        <v>221</v>
      </c>
      <c r="N600" s="14"/>
      <c r="O600" s="24"/>
      <c r="P600" s="10">
        <v>-25.88</v>
      </c>
      <c r="Q600" s="25">
        <v>34.5</v>
      </c>
      <c r="R600" s="10">
        <v>87.1</v>
      </c>
      <c r="S600" s="16">
        <f t="shared" si="35"/>
        <v>18.526499999999999</v>
      </c>
      <c r="T600" s="16">
        <f t="shared" si="36"/>
        <v>46.7727</v>
      </c>
    </row>
    <row r="601" spans="1:20" x14ac:dyDescent="0.25">
      <c r="A601" s="14">
        <v>2015</v>
      </c>
      <c r="B601" s="14" t="s">
        <v>131</v>
      </c>
      <c r="C601" s="14" t="s">
        <v>132</v>
      </c>
      <c r="D601" s="14">
        <v>6</v>
      </c>
      <c r="E601" s="14">
        <v>1</v>
      </c>
      <c r="F601" s="14">
        <v>24</v>
      </c>
      <c r="G601" s="14">
        <v>2</v>
      </c>
      <c r="H601" s="14" t="s">
        <v>7</v>
      </c>
      <c r="I601" s="15">
        <v>42264</v>
      </c>
      <c r="J601" s="14" t="s">
        <v>127</v>
      </c>
      <c r="K601" s="21">
        <v>601</v>
      </c>
      <c r="L601" s="21">
        <v>341</v>
      </c>
      <c r="M601" s="21">
        <v>260</v>
      </c>
      <c r="N601" s="14"/>
      <c r="O601" s="24"/>
      <c r="P601" s="10">
        <v>-25.94</v>
      </c>
      <c r="Q601" s="25">
        <v>43</v>
      </c>
      <c r="R601" s="10">
        <v>55.1</v>
      </c>
      <c r="S601" s="16">
        <f t="shared" si="35"/>
        <v>25.843</v>
      </c>
      <c r="T601" s="16">
        <f t="shared" si="36"/>
        <v>33.115099999999998</v>
      </c>
    </row>
    <row r="602" spans="1:20" x14ac:dyDescent="0.25">
      <c r="A602" s="14">
        <v>2015</v>
      </c>
      <c r="B602" s="14" t="s">
        <v>131</v>
      </c>
      <c r="C602" s="14" t="s">
        <v>132</v>
      </c>
      <c r="D602" s="14">
        <v>7</v>
      </c>
      <c r="E602" s="14">
        <v>1</v>
      </c>
      <c r="F602" s="14">
        <v>25</v>
      </c>
      <c r="G602" s="14">
        <v>3</v>
      </c>
      <c r="H602" s="14" t="s">
        <v>12</v>
      </c>
      <c r="I602" s="15">
        <v>42264</v>
      </c>
      <c r="J602" s="14" t="s">
        <v>127</v>
      </c>
      <c r="K602" s="21">
        <v>578</v>
      </c>
      <c r="L602" s="21">
        <v>339</v>
      </c>
      <c r="M602" s="21">
        <v>239</v>
      </c>
      <c r="N602" s="14"/>
      <c r="O602" s="24"/>
      <c r="P602" s="10">
        <v>-25.94</v>
      </c>
      <c r="Q602" s="25">
        <v>39</v>
      </c>
      <c r="R602" s="10">
        <v>66.400000000000006</v>
      </c>
      <c r="S602" s="16">
        <f t="shared" si="35"/>
        <v>22.542000000000002</v>
      </c>
      <c r="T602" s="16">
        <f t="shared" si="36"/>
        <v>38.379200000000004</v>
      </c>
    </row>
    <row r="603" spans="1:20" x14ac:dyDescent="0.25">
      <c r="A603" s="14">
        <v>2015</v>
      </c>
      <c r="B603" s="14" t="s">
        <v>131</v>
      </c>
      <c r="C603" s="14" t="s">
        <v>132</v>
      </c>
      <c r="D603" s="14">
        <v>7</v>
      </c>
      <c r="E603" s="14">
        <v>2</v>
      </c>
      <c r="F603" s="14">
        <v>26</v>
      </c>
      <c r="G603" s="14">
        <v>3</v>
      </c>
      <c r="H603" s="14" t="s">
        <v>13</v>
      </c>
      <c r="I603" s="15">
        <v>42264</v>
      </c>
      <c r="J603" s="14" t="s">
        <v>127</v>
      </c>
      <c r="K603" s="21">
        <v>641</v>
      </c>
      <c r="L603" s="21">
        <v>412</v>
      </c>
      <c r="M603" s="21">
        <v>228</v>
      </c>
      <c r="N603" s="14"/>
      <c r="O603" s="24"/>
      <c r="P603" s="10">
        <v>-25.9</v>
      </c>
      <c r="Q603" s="25">
        <v>34.299999999999997</v>
      </c>
      <c r="R603" s="10">
        <v>79.7</v>
      </c>
      <c r="S603" s="16">
        <f t="shared" si="35"/>
        <v>21.9863</v>
      </c>
      <c r="T603" s="16">
        <f t="shared" si="36"/>
        <v>51.087700000000005</v>
      </c>
    </row>
    <row r="604" spans="1:20" x14ac:dyDescent="0.25">
      <c r="A604" s="14">
        <v>2015</v>
      </c>
      <c r="B604" s="14" t="s">
        <v>131</v>
      </c>
      <c r="C604" s="14" t="s">
        <v>132</v>
      </c>
      <c r="D604" s="14">
        <v>7</v>
      </c>
      <c r="E604" s="14">
        <v>3</v>
      </c>
      <c r="F604" s="14">
        <v>27</v>
      </c>
      <c r="G604" s="14">
        <v>3</v>
      </c>
      <c r="H604" s="14" t="s">
        <v>6</v>
      </c>
      <c r="I604" s="15">
        <v>42264</v>
      </c>
      <c r="J604" s="14" t="s">
        <v>127</v>
      </c>
      <c r="K604" s="21">
        <v>610</v>
      </c>
      <c r="L604" s="21">
        <v>364</v>
      </c>
      <c r="M604" s="21">
        <v>246</v>
      </c>
      <c r="N604" s="14"/>
      <c r="O604" s="24"/>
      <c r="P604" s="10">
        <v>-25.78</v>
      </c>
      <c r="Q604" s="25">
        <v>40.200000000000003</v>
      </c>
      <c r="R604" s="10">
        <v>88.6</v>
      </c>
      <c r="S604" s="16">
        <f t="shared" si="35"/>
        <v>24.521999999999998</v>
      </c>
      <c r="T604" s="16">
        <f t="shared" si="36"/>
        <v>54.045999999999999</v>
      </c>
    </row>
    <row r="605" spans="1:20" x14ac:dyDescent="0.25">
      <c r="A605" s="14">
        <v>2015</v>
      </c>
      <c r="B605" s="14" t="s">
        <v>131</v>
      </c>
      <c r="C605" s="14" t="s">
        <v>132</v>
      </c>
      <c r="D605" s="14">
        <v>7</v>
      </c>
      <c r="E605" s="14">
        <v>4</v>
      </c>
      <c r="F605" s="14">
        <v>28</v>
      </c>
      <c r="G605" s="14">
        <v>3</v>
      </c>
      <c r="H605" s="14" t="s">
        <v>9</v>
      </c>
      <c r="I605" s="15">
        <v>42264</v>
      </c>
      <c r="J605" s="14" t="s">
        <v>127</v>
      </c>
      <c r="K605" s="21">
        <v>634</v>
      </c>
      <c r="L605" s="21">
        <v>389</v>
      </c>
      <c r="M605" s="21">
        <v>245</v>
      </c>
      <c r="N605" s="14"/>
      <c r="O605" s="24"/>
      <c r="P605" s="10">
        <v>-25.54</v>
      </c>
      <c r="Q605" s="25">
        <v>37.6</v>
      </c>
      <c r="R605" s="10">
        <v>91.4</v>
      </c>
      <c r="S605" s="16">
        <f t="shared" si="35"/>
        <v>23.8384</v>
      </c>
      <c r="T605" s="16">
        <f t="shared" si="36"/>
        <v>57.947600000000008</v>
      </c>
    </row>
    <row r="606" spans="1:20" x14ac:dyDescent="0.25">
      <c r="A606" s="14">
        <v>2015</v>
      </c>
      <c r="B606" s="14" t="s">
        <v>131</v>
      </c>
      <c r="C606" s="14" t="s">
        <v>132</v>
      </c>
      <c r="D606" s="14">
        <v>8</v>
      </c>
      <c r="E606" s="14">
        <v>4</v>
      </c>
      <c r="F606" s="14">
        <v>29</v>
      </c>
      <c r="G606" s="14">
        <v>3</v>
      </c>
      <c r="H606" s="14" t="s">
        <v>14</v>
      </c>
      <c r="I606" s="15">
        <v>42264</v>
      </c>
      <c r="J606" s="14" t="s">
        <v>127</v>
      </c>
      <c r="K606" s="21">
        <v>724</v>
      </c>
      <c r="L606" s="21">
        <v>460</v>
      </c>
      <c r="M606" s="21">
        <v>264</v>
      </c>
      <c r="N606" s="14"/>
      <c r="O606" s="24"/>
      <c r="P606" s="10">
        <v>-25.47</v>
      </c>
      <c r="Q606" s="25">
        <v>31.7</v>
      </c>
      <c r="R606" s="10">
        <v>107.7</v>
      </c>
      <c r="S606" s="16">
        <f t="shared" si="35"/>
        <v>22.950800000000001</v>
      </c>
      <c r="T606" s="16">
        <f t="shared" si="36"/>
        <v>77.974800000000002</v>
      </c>
    </row>
    <row r="607" spans="1:20" x14ac:dyDescent="0.25">
      <c r="A607" s="14">
        <v>2015</v>
      </c>
      <c r="B607" s="14" t="s">
        <v>131</v>
      </c>
      <c r="C607" s="14" t="s">
        <v>132</v>
      </c>
      <c r="D607" s="14">
        <v>8</v>
      </c>
      <c r="E607" s="14">
        <v>3</v>
      </c>
      <c r="F607" s="14">
        <v>30</v>
      </c>
      <c r="G607" s="14">
        <v>3</v>
      </c>
      <c r="H607" s="14" t="s">
        <v>7</v>
      </c>
      <c r="I607" s="15">
        <v>42264</v>
      </c>
      <c r="J607" s="14" t="s">
        <v>127</v>
      </c>
      <c r="K607" s="21">
        <v>616</v>
      </c>
      <c r="L607" s="21">
        <v>385</v>
      </c>
      <c r="M607" s="21">
        <v>232</v>
      </c>
      <c r="N607" s="14"/>
      <c r="O607" s="24"/>
      <c r="P607" s="10">
        <v>-25.69</v>
      </c>
      <c r="Q607" s="25">
        <v>29.1</v>
      </c>
      <c r="R607" s="10">
        <v>100.8</v>
      </c>
      <c r="S607" s="16">
        <f t="shared" si="35"/>
        <v>17.925600000000003</v>
      </c>
      <c r="T607" s="16">
        <f t="shared" si="36"/>
        <v>62.092799999999997</v>
      </c>
    </row>
    <row r="608" spans="1:20" x14ac:dyDescent="0.25">
      <c r="A608" s="14">
        <v>2015</v>
      </c>
      <c r="B608" s="14" t="s">
        <v>131</v>
      </c>
      <c r="C608" s="14" t="s">
        <v>132</v>
      </c>
      <c r="D608" s="14">
        <v>8</v>
      </c>
      <c r="E608" s="14">
        <v>2</v>
      </c>
      <c r="F608" s="14">
        <v>31</v>
      </c>
      <c r="G608" s="14">
        <v>3</v>
      </c>
      <c r="H608" s="14" t="s">
        <v>2</v>
      </c>
      <c r="I608" s="15">
        <v>42264</v>
      </c>
      <c r="J608" s="14" t="s">
        <v>127</v>
      </c>
      <c r="K608" s="21">
        <v>638</v>
      </c>
      <c r="L608" s="21">
        <v>420</v>
      </c>
      <c r="M608" s="21">
        <v>219</v>
      </c>
      <c r="N608" s="14"/>
      <c r="O608" s="24"/>
      <c r="P608" s="10">
        <v>-25.7</v>
      </c>
      <c r="Q608" s="25">
        <v>29.5</v>
      </c>
      <c r="R608" s="10">
        <v>94.2</v>
      </c>
      <c r="S608" s="16">
        <f t="shared" si="35"/>
        <v>18.821000000000002</v>
      </c>
      <c r="T608" s="16">
        <f t="shared" si="36"/>
        <v>60.099599999999995</v>
      </c>
    </row>
    <row r="609" spans="1:20" x14ac:dyDescent="0.25">
      <c r="A609" s="14">
        <v>2015</v>
      </c>
      <c r="B609" s="14" t="s">
        <v>131</v>
      </c>
      <c r="C609" s="14" t="s">
        <v>132</v>
      </c>
      <c r="D609" s="14">
        <v>8</v>
      </c>
      <c r="E609" s="14">
        <v>1</v>
      </c>
      <c r="F609" s="14">
        <v>32</v>
      </c>
      <c r="G609" s="14">
        <v>3</v>
      </c>
      <c r="H609" s="14" t="s">
        <v>5</v>
      </c>
      <c r="I609" s="15">
        <v>42264</v>
      </c>
      <c r="J609" s="14" t="s">
        <v>127</v>
      </c>
      <c r="K609" s="21">
        <v>600</v>
      </c>
      <c r="L609" s="21">
        <v>355</v>
      </c>
      <c r="M609" s="21">
        <v>246</v>
      </c>
      <c r="N609" s="14"/>
      <c r="O609" s="24"/>
      <c r="P609" s="10">
        <v>-25.86</v>
      </c>
      <c r="Q609" s="25">
        <v>32.5</v>
      </c>
      <c r="R609" s="10">
        <v>90.5</v>
      </c>
      <c r="S609" s="16">
        <f t="shared" si="35"/>
        <v>19.5</v>
      </c>
      <c r="T609" s="16">
        <f t="shared" si="36"/>
        <v>54.3</v>
      </c>
    </row>
    <row r="610" spans="1:20" x14ac:dyDescent="0.25">
      <c r="A610" s="14">
        <v>2015</v>
      </c>
      <c r="B610" s="14" t="s">
        <v>131</v>
      </c>
      <c r="C610" s="14" t="s">
        <v>132</v>
      </c>
      <c r="D610" s="14">
        <v>9</v>
      </c>
      <c r="E610" s="14">
        <v>1</v>
      </c>
      <c r="F610" s="14">
        <v>33</v>
      </c>
      <c r="G610" s="14">
        <v>3</v>
      </c>
      <c r="H610" s="14" t="s">
        <v>10</v>
      </c>
      <c r="I610" s="15">
        <v>42264</v>
      </c>
      <c r="J610" s="14" t="s">
        <v>127</v>
      </c>
      <c r="K610" s="21">
        <v>701</v>
      </c>
      <c r="L610" s="21">
        <v>481</v>
      </c>
      <c r="M610" s="21">
        <v>220</v>
      </c>
      <c r="N610" s="14"/>
      <c r="O610" s="24"/>
      <c r="P610" s="10">
        <v>-25.57</v>
      </c>
      <c r="Q610" s="25">
        <v>28.9</v>
      </c>
      <c r="R610" s="10">
        <v>117.6</v>
      </c>
      <c r="S610" s="16">
        <f t="shared" ref="S610:S673" si="37">K610*Q610/1000</f>
        <v>20.258899999999997</v>
      </c>
      <c r="T610" s="16">
        <f t="shared" si="36"/>
        <v>82.437599999999989</v>
      </c>
    </row>
    <row r="611" spans="1:20" x14ac:dyDescent="0.25">
      <c r="A611" s="14">
        <v>2015</v>
      </c>
      <c r="B611" s="14" t="s">
        <v>131</v>
      </c>
      <c r="C611" s="14" t="s">
        <v>132</v>
      </c>
      <c r="D611" s="14">
        <v>9</v>
      </c>
      <c r="E611" s="14">
        <v>2</v>
      </c>
      <c r="F611" s="14">
        <v>34</v>
      </c>
      <c r="G611" s="14">
        <v>3</v>
      </c>
      <c r="H611" s="14" t="s">
        <v>4</v>
      </c>
      <c r="I611" s="15">
        <v>42264</v>
      </c>
      <c r="J611" s="14" t="s">
        <v>127</v>
      </c>
      <c r="K611" s="21">
        <v>381</v>
      </c>
      <c r="L611" s="21">
        <v>211</v>
      </c>
      <c r="M611" s="21">
        <v>170</v>
      </c>
      <c r="N611" s="14"/>
      <c r="O611" s="24"/>
      <c r="P611" s="10">
        <v>-25.58</v>
      </c>
      <c r="Q611" s="25">
        <v>38.9</v>
      </c>
      <c r="R611" s="10">
        <v>90.7</v>
      </c>
      <c r="S611" s="16">
        <f t="shared" si="37"/>
        <v>14.8209</v>
      </c>
      <c r="T611" s="16">
        <f t="shared" si="36"/>
        <v>34.556700000000006</v>
      </c>
    </row>
    <row r="612" spans="1:20" x14ac:dyDescent="0.25">
      <c r="A612" s="14">
        <v>2015</v>
      </c>
      <c r="B612" s="14" t="s">
        <v>131</v>
      </c>
      <c r="C612" s="14" t="s">
        <v>132</v>
      </c>
      <c r="D612" s="14">
        <v>9</v>
      </c>
      <c r="E612" s="14">
        <v>3</v>
      </c>
      <c r="F612" s="14">
        <v>35</v>
      </c>
      <c r="G612" s="14">
        <v>3</v>
      </c>
      <c r="H612" s="14" t="s">
        <v>8</v>
      </c>
      <c r="I612" s="15">
        <v>42264</v>
      </c>
      <c r="J612" s="14" t="s">
        <v>127</v>
      </c>
      <c r="K612" s="21">
        <v>603</v>
      </c>
      <c r="L612" s="21">
        <v>359</v>
      </c>
      <c r="M612" s="21">
        <v>244</v>
      </c>
      <c r="N612" s="14"/>
      <c r="O612" s="24"/>
      <c r="P612" s="10">
        <v>-25.46</v>
      </c>
      <c r="Q612" s="25">
        <v>35.799999999999997</v>
      </c>
      <c r="R612" s="10">
        <v>115.8</v>
      </c>
      <c r="S612" s="16">
        <f t="shared" si="37"/>
        <v>21.587399999999999</v>
      </c>
      <c r="T612" s="16">
        <f t="shared" si="36"/>
        <v>69.827399999999997</v>
      </c>
    </row>
    <row r="613" spans="1:20" x14ac:dyDescent="0.25">
      <c r="A613" s="14">
        <v>2015</v>
      </c>
      <c r="B613" s="14" t="s">
        <v>131</v>
      </c>
      <c r="C613" s="14" t="s">
        <v>132</v>
      </c>
      <c r="D613" s="14">
        <v>9</v>
      </c>
      <c r="E613" s="14">
        <v>4</v>
      </c>
      <c r="F613" s="14">
        <v>36</v>
      </c>
      <c r="G613" s="14">
        <v>3</v>
      </c>
      <c r="H613" s="14" t="s">
        <v>3</v>
      </c>
      <c r="I613" s="15">
        <v>42264</v>
      </c>
      <c r="J613" s="14" t="s">
        <v>127</v>
      </c>
      <c r="K613" s="21">
        <v>612</v>
      </c>
      <c r="L613" s="21">
        <v>376</v>
      </c>
      <c r="M613" s="21">
        <v>237</v>
      </c>
      <c r="N613" s="14"/>
      <c r="O613" s="24"/>
      <c r="P613" s="10">
        <v>-25.22</v>
      </c>
      <c r="Q613" s="25">
        <v>34.1</v>
      </c>
      <c r="R613" s="10">
        <v>109.6</v>
      </c>
      <c r="S613" s="16">
        <f t="shared" si="37"/>
        <v>20.869199999999999</v>
      </c>
      <c r="T613" s="16">
        <f t="shared" si="36"/>
        <v>67.075199999999995</v>
      </c>
    </row>
    <row r="614" spans="1:20" x14ac:dyDescent="0.25">
      <c r="A614" s="14">
        <v>2015</v>
      </c>
      <c r="B614" s="14" t="s">
        <v>131</v>
      </c>
      <c r="C614" s="14" t="s">
        <v>132</v>
      </c>
      <c r="D614" s="14">
        <v>10</v>
      </c>
      <c r="E614" s="14">
        <v>4</v>
      </c>
      <c r="F614" s="14">
        <v>37</v>
      </c>
      <c r="G614" s="14">
        <v>4</v>
      </c>
      <c r="H614" s="14" t="s">
        <v>8</v>
      </c>
      <c r="I614" s="15">
        <v>42264</v>
      </c>
      <c r="J614" s="14" t="s">
        <v>127</v>
      </c>
      <c r="K614" s="21">
        <v>638</v>
      </c>
      <c r="L614" s="21">
        <v>409</v>
      </c>
      <c r="M614" s="21">
        <v>229</v>
      </c>
      <c r="N614" s="14"/>
      <c r="O614" s="24"/>
      <c r="P614" s="10">
        <v>-25.47</v>
      </c>
      <c r="Q614" s="25">
        <v>26.5</v>
      </c>
      <c r="R614" s="10">
        <v>136.1</v>
      </c>
      <c r="S614" s="16">
        <f t="shared" si="37"/>
        <v>16.907</v>
      </c>
      <c r="T614" s="16">
        <f t="shared" si="36"/>
        <v>86.831800000000001</v>
      </c>
    </row>
    <row r="615" spans="1:20" x14ac:dyDescent="0.25">
      <c r="A615" s="14">
        <v>2015</v>
      </c>
      <c r="B615" s="14" t="s">
        <v>131</v>
      </c>
      <c r="C615" s="14" t="s">
        <v>132</v>
      </c>
      <c r="D615" s="14">
        <v>10</v>
      </c>
      <c r="E615" s="14">
        <v>3</v>
      </c>
      <c r="F615" s="14">
        <v>38</v>
      </c>
      <c r="G615" s="14">
        <v>4</v>
      </c>
      <c r="H615" s="14" t="s">
        <v>14</v>
      </c>
      <c r="I615" s="15">
        <v>42264</v>
      </c>
      <c r="J615" s="14" t="s">
        <v>127</v>
      </c>
      <c r="K615" s="21">
        <v>478</v>
      </c>
      <c r="L615" s="21">
        <v>281</v>
      </c>
      <c r="M615" s="21">
        <v>197</v>
      </c>
      <c r="N615" s="14"/>
      <c r="O615" s="24"/>
      <c r="P615" s="10">
        <v>-25.92</v>
      </c>
      <c r="Q615" s="25">
        <v>39.700000000000003</v>
      </c>
      <c r="R615" s="10">
        <v>80</v>
      </c>
      <c r="S615" s="16">
        <f t="shared" si="37"/>
        <v>18.976600000000001</v>
      </c>
      <c r="T615" s="16">
        <f t="shared" si="36"/>
        <v>38.24</v>
      </c>
    </row>
    <row r="616" spans="1:20" x14ac:dyDescent="0.25">
      <c r="A616" s="14">
        <v>2015</v>
      </c>
      <c r="B616" s="14" t="s">
        <v>131</v>
      </c>
      <c r="C616" s="14" t="s">
        <v>132</v>
      </c>
      <c r="D616" s="14">
        <v>10</v>
      </c>
      <c r="E616" s="14">
        <v>2</v>
      </c>
      <c r="F616" s="14">
        <v>39</v>
      </c>
      <c r="G616" s="14">
        <v>4</v>
      </c>
      <c r="H616" s="14" t="s">
        <v>10</v>
      </c>
      <c r="I616" s="15">
        <v>42264</v>
      </c>
      <c r="J616" s="14" t="s">
        <v>127</v>
      </c>
      <c r="K616" s="21">
        <v>677</v>
      </c>
      <c r="L616" s="21">
        <v>463</v>
      </c>
      <c r="M616" s="21">
        <v>213</v>
      </c>
      <c r="N616" s="14"/>
      <c r="O616" s="24"/>
      <c r="P616" s="10">
        <v>-25.81</v>
      </c>
      <c r="Q616" s="27">
        <v>38</v>
      </c>
      <c r="R616" s="10">
        <v>114.6</v>
      </c>
      <c r="S616" s="16">
        <f t="shared" si="37"/>
        <v>25.725999999999999</v>
      </c>
      <c r="T616" s="16">
        <f t="shared" si="36"/>
        <v>77.584199999999996</v>
      </c>
    </row>
    <row r="617" spans="1:20" x14ac:dyDescent="0.25">
      <c r="A617" s="14">
        <v>2015</v>
      </c>
      <c r="B617" s="14" t="s">
        <v>131</v>
      </c>
      <c r="C617" s="14" t="s">
        <v>132</v>
      </c>
      <c r="D617" s="14">
        <v>10</v>
      </c>
      <c r="E617" s="14">
        <v>1</v>
      </c>
      <c r="F617" s="14">
        <v>40</v>
      </c>
      <c r="G617" s="14">
        <v>4</v>
      </c>
      <c r="H617" s="14" t="s">
        <v>2</v>
      </c>
      <c r="I617" s="15">
        <v>42264</v>
      </c>
      <c r="J617" s="14" t="s">
        <v>127</v>
      </c>
      <c r="K617" s="21">
        <v>615</v>
      </c>
      <c r="L617" s="21">
        <v>394</v>
      </c>
      <c r="M617" s="21">
        <v>221</v>
      </c>
      <c r="N617" s="14"/>
      <c r="O617" s="24"/>
      <c r="P617" s="10">
        <v>-25.81</v>
      </c>
      <c r="Q617" s="25">
        <v>30.3</v>
      </c>
      <c r="R617" s="10">
        <v>103.8</v>
      </c>
      <c r="S617" s="16">
        <f t="shared" si="37"/>
        <v>18.634499999999999</v>
      </c>
      <c r="T617" s="16">
        <f t="shared" si="36"/>
        <v>63.837000000000003</v>
      </c>
    </row>
    <row r="618" spans="1:20" x14ac:dyDescent="0.25">
      <c r="A618" s="14">
        <v>2015</v>
      </c>
      <c r="B618" s="14" t="s">
        <v>131</v>
      </c>
      <c r="C618" s="14" t="s">
        <v>132</v>
      </c>
      <c r="D618" s="14">
        <v>11</v>
      </c>
      <c r="E618" s="14">
        <v>1</v>
      </c>
      <c r="F618" s="14">
        <v>41</v>
      </c>
      <c r="G618" s="14">
        <v>4</v>
      </c>
      <c r="H618" s="14" t="s">
        <v>3</v>
      </c>
      <c r="I618" s="15">
        <v>42264</v>
      </c>
      <c r="J618" s="14" t="s">
        <v>127</v>
      </c>
      <c r="K618" s="21">
        <v>623</v>
      </c>
      <c r="L618" s="21">
        <v>371</v>
      </c>
      <c r="M618" s="21">
        <v>253</v>
      </c>
      <c r="N618" s="14"/>
      <c r="O618" s="24"/>
      <c r="P618" s="10">
        <v>-25.85</v>
      </c>
      <c r="Q618" s="25">
        <v>33.4</v>
      </c>
      <c r="R618" s="10">
        <v>89.8</v>
      </c>
      <c r="S618" s="16">
        <f t="shared" si="37"/>
        <v>20.808199999999999</v>
      </c>
      <c r="T618" s="16">
        <f t="shared" si="36"/>
        <v>55.945399999999999</v>
      </c>
    </row>
    <row r="619" spans="1:20" x14ac:dyDescent="0.25">
      <c r="A619" s="14">
        <v>2015</v>
      </c>
      <c r="B619" s="14" t="s">
        <v>131</v>
      </c>
      <c r="C619" s="14" t="s">
        <v>132</v>
      </c>
      <c r="D619" s="14">
        <v>11</v>
      </c>
      <c r="E619" s="14">
        <v>2</v>
      </c>
      <c r="F619" s="14">
        <v>42</v>
      </c>
      <c r="G619" s="14">
        <v>4</v>
      </c>
      <c r="H619" s="14" t="s">
        <v>7</v>
      </c>
      <c r="I619" s="15">
        <v>42264</v>
      </c>
      <c r="J619" s="14" t="s">
        <v>127</v>
      </c>
      <c r="K619" s="21">
        <v>537</v>
      </c>
      <c r="L619" s="21">
        <v>318</v>
      </c>
      <c r="M619" s="21">
        <v>219</v>
      </c>
      <c r="N619" s="14"/>
      <c r="O619" s="24"/>
      <c r="P619" s="10">
        <v>-25.86</v>
      </c>
      <c r="Q619" s="25">
        <v>36.200000000000003</v>
      </c>
      <c r="R619" s="10">
        <v>81.099999999999994</v>
      </c>
      <c r="S619" s="16">
        <f t="shared" si="37"/>
        <v>19.439400000000003</v>
      </c>
      <c r="T619" s="16">
        <f t="shared" si="36"/>
        <v>43.550699999999999</v>
      </c>
    </row>
    <row r="620" spans="1:20" x14ac:dyDescent="0.25">
      <c r="A620" s="14">
        <v>2015</v>
      </c>
      <c r="B620" s="14" t="s">
        <v>131</v>
      </c>
      <c r="C620" s="14" t="s">
        <v>132</v>
      </c>
      <c r="D620" s="14">
        <v>11</v>
      </c>
      <c r="E620" s="14">
        <v>3</v>
      </c>
      <c r="F620" s="14">
        <v>43</v>
      </c>
      <c r="G620" s="14">
        <v>4</v>
      </c>
      <c r="H620" s="14" t="s">
        <v>4</v>
      </c>
      <c r="I620" s="15">
        <v>42264</v>
      </c>
      <c r="J620" s="14" t="s">
        <v>127</v>
      </c>
      <c r="K620" s="21">
        <v>508</v>
      </c>
      <c r="L620" s="21">
        <v>284</v>
      </c>
      <c r="M620" s="21">
        <v>224</v>
      </c>
      <c r="N620" s="14"/>
      <c r="O620" s="24"/>
      <c r="P620" s="10">
        <v>-25.74</v>
      </c>
      <c r="Q620" s="25">
        <v>35.4</v>
      </c>
      <c r="R620" s="10">
        <v>103.2</v>
      </c>
      <c r="S620" s="16">
        <f t="shared" si="37"/>
        <v>17.9832</v>
      </c>
      <c r="T620" s="16">
        <f t="shared" si="36"/>
        <v>52.425599999999996</v>
      </c>
    </row>
    <row r="621" spans="1:20" x14ac:dyDescent="0.25">
      <c r="A621" s="14">
        <v>2015</v>
      </c>
      <c r="B621" s="14" t="s">
        <v>131</v>
      </c>
      <c r="C621" s="14" t="s">
        <v>132</v>
      </c>
      <c r="D621" s="14">
        <v>11</v>
      </c>
      <c r="E621" s="14">
        <v>4</v>
      </c>
      <c r="F621" s="14">
        <v>44</v>
      </c>
      <c r="G621" s="14">
        <v>4</v>
      </c>
      <c r="H621" s="14" t="s">
        <v>5</v>
      </c>
      <c r="I621" s="15">
        <v>42264</v>
      </c>
      <c r="J621" s="14" t="s">
        <v>127</v>
      </c>
      <c r="K621" s="21">
        <v>554</v>
      </c>
      <c r="L621" s="21">
        <v>342</v>
      </c>
      <c r="M621" s="21">
        <v>212</v>
      </c>
      <c r="N621" s="21"/>
      <c r="O621" s="24"/>
      <c r="P621" s="10">
        <v>-25.46</v>
      </c>
      <c r="Q621" s="25">
        <v>29.1</v>
      </c>
      <c r="R621" s="10">
        <v>131.30000000000001</v>
      </c>
      <c r="S621" s="16">
        <f t="shared" si="37"/>
        <v>16.121400000000001</v>
      </c>
      <c r="T621" s="16">
        <f t="shared" si="36"/>
        <v>72.740200000000016</v>
      </c>
    </row>
    <row r="622" spans="1:20" x14ac:dyDescent="0.25">
      <c r="A622" s="14">
        <v>2015</v>
      </c>
      <c r="B622" s="14" t="s">
        <v>131</v>
      </c>
      <c r="C622" s="14" t="s">
        <v>132</v>
      </c>
      <c r="D622" s="14">
        <v>12</v>
      </c>
      <c r="E622" s="14">
        <v>4</v>
      </c>
      <c r="F622" s="14">
        <v>45</v>
      </c>
      <c r="G622" s="14">
        <v>4</v>
      </c>
      <c r="H622" s="14" t="s">
        <v>13</v>
      </c>
      <c r="I622" s="15">
        <v>42264</v>
      </c>
      <c r="J622" s="14" t="s">
        <v>127</v>
      </c>
      <c r="K622" s="21">
        <v>607</v>
      </c>
      <c r="L622" s="21">
        <v>402</v>
      </c>
      <c r="M622" s="21">
        <v>205</v>
      </c>
      <c r="N622" s="21"/>
      <c r="O622" s="24"/>
      <c r="P622" s="10">
        <v>-25.89</v>
      </c>
      <c r="Q622" s="25">
        <v>30.6</v>
      </c>
      <c r="R622" s="10">
        <v>100.6</v>
      </c>
      <c r="S622" s="16">
        <f t="shared" si="37"/>
        <v>18.574200000000001</v>
      </c>
      <c r="T622" s="16">
        <f t="shared" si="36"/>
        <v>61.0642</v>
      </c>
    </row>
    <row r="623" spans="1:20" x14ac:dyDescent="0.25">
      <c r="A623" s="14">
        <v>2015</v>
      </c>
      <c r="B623" s="14" t="s">
        <v>131</v>
      </c>
      <c r="C623" s="14" t="s">
        <v>132</v>
      </c>
      <c r="D623" s="14">
        <v>12</v>
      </c>
      <c r="E623" s="14">
        <v>3</v>
      </c>
      <c r="F623" s="14">
        <v>46</v>
      </c>
      <c r="G623" s="14">
        <v>4</v>
      </c>
      <c r="H623" s="14" t="s">
        <v>12</v>
      </c>
      <c r="I623" s="15">
        <v>42264</v>
      </c>
      <c r="J623" s="14" t="s">
        <v>127</v>
      </c>
      <c r="K623" s="21">
        <v>575</v>
      </c>
      <c r="L623" s="21">
        <v>331</v>
      </c>
      <c r="M623" s="21">
        <v>244</v>
      </c>
      <c r="N623" s="21"/>
      <c r="O623" s="24"/>
      <c r="P623" s="10">
        <v>-25.76</v>
      </c>
      <c r="Q623" s="25">
        <v>37.799999999999997</v>
      </c>
      <c r="R623" s="10">
        <v>88.3</v>
      </c>
      <c r="S623" s="16">
        <f t="shared" si="37"/>
        <v>21.734999999999999</v>
      </c>
      <c r="T623" s="16">
        <f t="shared" si="36"/>
        <v>50.772500000000001</v>
      </c>
    </row>
    <row r="624" spans="1:20" x14ac:dyDescent="0.25">
      <c r="A624" s="14">
        <v>2015</v>
      </c>
      <c r="B624" s="14" t="s">
        <v>131</v>
      </c>
      <c r="C624" s="14" t="s">
        <v>132</v>
      </c>
      <c r="D624" s="14">
        <v>12</v>
      </c>
      <c r="E624" s="14">
        <v>2</v>
      </c>
      <c r="F624" s="14">
        <v>47</v>
      </c>
      <c r="G624" s="14">
        <v>4</v>
      </c>
      <c r="H624" s="14" t="s">
        <v>9</v>
      </c>
      <c r="I624" s="15">
        <v>42264</v>
      </c>
      <c r="J624" s="14" t="s">
        <v>127</v>
      </c>
      <c r="K624" s="21">
        <v>523</v>
      </c>
      <c r="L624" s="21">
        <v>304</v>
      </c>
      <c r="M624" s="21">
        <v>219</v>
      </c>
      <c r="N624" s="21"/>
      <c r="O624" s="24"/>
      <c r="P624" s="10">
        <v>-25.75</v>
      </c>
      <c r="Q624" s="25">
        <v>39.200000000000003</v>
      </c>
      <c r="R624" s="10">
        <v>68.2</v>
      </c>
      <c r="S624" s="16">
        <f t="shared" si="37"/>
        <v>20.501600000000003</v>
      </c>
      <c r="T624" s="16">
        <f t="shared" si="36"/>
        <v>35.668599999999998</v>
      </c>
    </row>
    <row r="625" spans="1:20" x14ac:dyDescent="0.25">
      <c r="A625" s="14">
        <v>2015</v>
      </c>
      <c r="B625" s="14" t="s">
        <v>131</v>
      </c>
      <c r="C625" s="14" t="s">
        <v>132</v>
      </c>
      <c r="D625" s="14">
        <v>12</v>
      </c>
      <c r="E625" s="14">
        <v>1</v>
      </c>
      <c r="F625" s="14">
        <v>48</v>
      </c>
      <c r="G625" s="14">
        <v>4</v>
      </c>
      <c r="H625" s="14" t="s">
        <v>6</v>
      </c>
      <c r="I625" s="15">
        <v>42264</v>
      </c>
      <c r="J625" s="14" t="s">
        <v>127</v>
      </c>
      <c r="K625" s="21">
        <v>556</v>
      </c>
      <c r="L625" s="21">
        <v>229</v>
      </c>
      <c r="M625" s="21">
        <v>326</v>
      </c>
      <c r="N625" s="21"/>
      <c r="O625" s="24"/>
      <c r="P625" s="10">
        <v>-26.15</v>
      </c>
      <c r="Q625" s="25">
        <v>41.4</v>
      </c>
      <c r="R625" s="10">
        <v>53.6</v>
      </c>
      <c r="S625" s="16">
        <f t="shared" si="37"/>
        <v>23.018399999999996</v>
      </c>
      <c r="T625" s="16">
        <f t="shared" si="36"/>
        <v>29.801600000000001</v>
      </c>
    </row>
    <row r="626" spans="1:20" x14ac:dyDescent="0.25">
      <c r="A626" s="14">
        <v>2015</v>
      </c>
      <c r="B626" s="14" t="s">
        <v>131</v>
      </c>
      <c r="C626" s="14" t="s">
        <v>132</v>
      </c>
      <c r="D626" s="14">
        <v>1</v>
      </c>
      <c r="E626" s="14">
        <v>1</v>
      </c>
      <c r="F626" s="14">
        <v>1</v>
      </c>
      <c r="G626" s="14">
        <v>1</v>
      </c>
      <c r="H626" s="14" t="s">
        <v>9</v>
      </c>
      <c r="I626" s="15">
        <v>42293</v>
      </c>
      <c r="J626" s="14" t="s">
        <v>128</v>
      </c>
      <c r="K626" s="21">
        <v>1186</v>
      </c>
      <c r="L626" s="14">
        <v>668</v>
      </c>
      <c r="M626" s="14">
        <v>144</v>
      </c>
      <c r="N626" s="14">
        <v>305</v>
      </c>
      <c r="O626" s="21">
        <v>69</v>
      </c>
      <c r="P626" s="10">
        <v>-25.9</v>
      </c>
      <c r="Q626" s="10">
        <v>18.7</v>
      </c>
      <c r="R626" s="10">
        <v>100.3</v>
      </c>
      <c r="S626" s="16">
        <f t="shared" si="37"/>
        <v>22.1782</v>
      </c>
      <c r="T626" s="16">
        <f t="shared" si="36"/>
        <v>118.9558</v>
      </c>
    </row>
    <row r="627" spans="1:20" x14ac:dyDescent="0.25">
      <c r="A627" s="14">
        <v>2015</v>
      </c>
      <c r="B627" s="14" t="s">
        <v>131</v>
      </c>
      <c r="C627" s="14" t="s">
        <v>132</v>
      </c>
      <c r="D627" s="14">
        <v>1</v>
      </c>
      <c r="E627" s="14">
        <v>2</v>
      </c>
      <c r="F627" s="14">
        <v>2</v>
      </c>
      <c r="G627" s="14">
        <v>1</v>
      </c>
      <c r="H627" s="14" t="s">
        <v>5</v>
      </c>
      <c r="I627" s="15">
        <v>42291</v>
      </c>
      <c r="J627" s="14" t="s">
        <v>128</v>
      </c>
      <c r="K627" s="21">
        <v>1119</v>
      </c>
      <c r="L627" s="14">
        <v>610</v>
      </c>
      <c r="M627" s="14">
        <v>135</v>
      </c>
      <c r="N627" s="14">
        <v>297</v>
      </c>
      <c r="O627" s="21">
        <v>77</v>
      </c>
      <c r="P627" s="10">
        <v>-25.3</v>
      </c>
      <c r="Q627" s="10">
        <v>21</v>
      </c>
      <c r="R627" s="10">
        <v>124.9</v>
      </c>
      <c r="S627" s="16">
        <f t="shared" si="37"/>
        <v>23.498999999999999</v>
      </c>
      <c r="T627" s="16">
        <f t="shared" si="36"/>
        <v>139.76310000000001</v>
      </c>
    </row>
    <row r="628" spans="1:20" x14ac:dyDescent="0.25">
      <c r="A628" s="14">
        <v>2015</v>
      </c>
      <c r="B628" s="14" t="s">
        <v>131</v>
      </c>
      <c r="C628" s="14" t="s">
        <v>132</v>
      </c>
      <c r="D628" s="14">
        <v>1</v>
      </c>
      <c r="E628" s="14">
        <v>3</v>
      </c>
      <c r="F628" s="14">
        <v>3</v>
      </c>
      <c r="G628" s="14">
        <v>1</v>
      </c>
      <c r="H628" s="14" t="s">
        <v>13</v>
      </c>
      <c r="I628" s="15">
        <v>42293</v>
      </c>
      <c r="J628" s="14" t="s">
        <v>128</v>
      </c>
      <c r="K628" s="21">
        <v>943</v>
      </c>
      <c r="L628" s="14">
        <v>522</v>
      </c>
      <c r="M628" s="14">
        <v>106</v>
      </c>
      <c r="N628" s="14">
        <v>264</v>
      </c>
      <c r="O628" s="21">
        <v>52</v>
      </c>
      <c r="P628" s="10">
        <v>-25.86</v>
      </c>
      <c r="Q628" s="10">
        <v>17.899999999999999</v>
      </c>
      <c r="R628" s="10">
        <v>127</v>
      </c>
      <c r="S628" s="16">
        <f t="shared" si="37"/>
        <v>16.879699999999996</v>
      </c>
      <c r="T628" s="16">
        <f t="shared" si="36"/>
        <v>119.761</v>
      </c>
    </row>
    <row r="629" spans="1:20" x14ac:dyDescent="0.25">
      <c r="A629" s="14">
        <v>2015</v>
      </c>
      <c r="B629" s="14" t="s">
        <v>131</v>
      </c>
      <c r="C629" s="14" t="s">
        <v>132</v>
      </c>
      <c r="D629" s="14">
        <v>1</v>
      </c>
      <c r="E629" s="14">
        <v>4</v>
      </c>
      <c r="F629" s="14">
        <v>4</v>
      </c>
      <c r="G629" s="14">
        <v>1</v>
      </c>
      <c r="H629" s="14" t="s">
        <v>7</v>
      </c>
      <c r="I629" s="15">
        <v>42293</v>
      </c>
      <c r="J629" s="14" t="s">
        <v>128</v>
      </c>
      <c r="K629" s="21">
        <v>1246</v>
      </c>
      <c r="L629" s="14">
        <v>687</v>
      </c>
      <c r="M629" s="14">
        <v>133</v>
      </c>
      <c r="N629" s="14">
        <v>352</v>
      </c>
      <c r="O629" s="21">
        <v>74</v>
      </c>
      <c r="P629" s="10">
        <v>-25.48</v>
      </c>
      <c r="Q629" s="10">
        <v>19.2</v>
      </c>
      <c r="R629" s="10">
        <v>144.1</v>
      </c>
      <c r="S629" s="16">
        <f t="shared" si="37"/>
        <v>23.923200000000001</v>
      </c>
      <c r="T629" s="16">
        <f t="shared" si="36"/>
        <v>179.54859999999999</v>
      </c>
    </row>
    <row r="630" spans="1:20" x14ac:dyDescent="0.25">
      <c r="A630" s="14">
        <v>2015</v>
      </c>
      <c r="B630" s="14" t="s">
        <v>131</v>
      </c>
      <c r="C630" s="14" t="s">
        <v>132</v>
      </c>
      <c r="D630" s="14">
        <v>2</v>
      </c>
      <c r="E630" s="14">
        <v>4</v>
      </c>
      <c r="F630" s="14">
        <v>5</v>
      </c>
      <c r="G630" s="14">
        <v>1</v>
      </c>
      <c r="H630" s="14" t="s">
        <v>12</v>
      </c>
      <c r="I630" s="15">
        <v>42296</v>
      </c>
      <c r="J630" s="14" t="s">
        <v>128</v>
      </c>
      <c r="K630" s="21">
        <v>849</v>
      </c>
      <c r="L630" s="14">
        <v>460</v>
      </c>
      <c r="M630" s="14">
        <v>52</v>
      </c>
      <c r="N630" s="14">
        <v>243</v>
      </c>
      <c r="O630" s="21">
        <v>94</v>
      </c>
      <c r="P630" s="10">
        <v>-25.37</v>
      </c>
      <c r="Q630" s="10">
        <v>16.5</v>
      </c>
      <c r="R630" s="10">
        <v>138.1</v>
      </c>
      <c r="S630" s="16">
        <f t="shared" si="37"/>
        <v>14.0085</v>
      </c>
      <c r="T630" s="16">
        <f t="shared" si="36"/>
        <v>117.2469</v>
      </c>
    </row>
    <row r="631" spans="1:20" x14ac:dyDescent="0.25">
      <c r="A631" s="14">
        <v>2015</v>
      </c>
      <c r="B631" s="14" t="s">
        <v>131</v>
      </c>
      <c r="C631" s="14" t="s">
        <v>132</v>
      </c>
      <c r="D631" s="14">
        <v>2</v>
      </c>
      <c r="E631" s="14">
        <v>3</v>
      </c>
      <c r="F631" s="14">
        <v>6</v>
      </c>
      <c r="G631" s="14">
        <v>1</v>
      </c>
      <c r="H631" s="14" t="s">
        <v>10</v>
      </c>
      <c r="I631" s="15">
        <v>42291</v>
      </c>
      <c r="J631" s="14" t="s">
        <v>128</v>
      </c>
      <c r="K631" s="21">
        <v>1149</v>
      </c>
      <c r="L631" s="14">
        <v>608</v>
      </c>
      <c r="M631" s="14">
        <v>133</v>
      </c>
      <c r="N631" s="14">
        <v>355</v>
      </c>
      <c r="O631" s="21">
        <v>53</v>
      </c>
      <c r="P631" s="10">
        <v>-25.29</v>
      </c>
      <c r="Q631" s="10">
        <v>17.7</v>
      </c>
      <c r="R631" s="10">
        <v>160.19999999999999</v>
      </c>
      <c r="S631" s="16">
        <f t="shared" si="37"/>
        <v>20.337299999999999</v>
      </c>
      <c r="T631" s="16">
        <f t="shared" si="36"/>
        <v>184.06979999999999</v>
      </c>
    </row>
    <row r="632" spans="1:20" x14ac:dyDescent="0.25">
      <c r="A632" s="14">
        <v>2015</v>
      </c>
      <c r="B632" s="14" t="s">
        <v>131</v>
      </c>
      <c r="C632" s="14" t="s">
        <v>132</v>
      </c>
      <c r="D632" s="14">
        <v>2</v>
      </c>
      <c r="E632" s="14">
        <v>2</v>
      </c>
      <c r="F632" s="14">
        <v>7</v>
      </c>
      <c r="G632" s="14">
        <v>1</v>
      </c>
      <c r="H632" s="14" t="s">
        <v>6</v>
      </c>
      <c r="I632" s="15">
        <v>42293</v>
      </c>
      <c r="J632" s="14" t="s">
        <v>128</v>
      </c>
      <c r="K632" s="21">
        <v>1160</v>
      </c>
      <c r="L632" s="14">
        <v>626</v>
      </c>
      <c r="M632" s="14">
        <v>140</v>
      </c>
      <c r="N632" s="14">
        <v>315</v>
      </c>
      <c r="O632" s="21">
        <v>79</v>
      </c>
      <c r="P632" s="10">
        <v>-25.47</v>
      </c>
      <c r="Q632" s="10">
        <v>21.8</v>
      </c>
      <c r="R632" s="10">
        <v>107.7</v>
      </c>
      <c r="S632" s="16">
        <f t="shared" si="37"/>
        <v>25.288</v>
      </c>
      <c r="T632" s="16">
        <f t="shared" si="36"/>
        <v>124.932</v>
      </c>
    </row>
    <row r="633" spans="1:20" x14ac:dyDescent="0.25">
      <c r="A633" s="14">
        <v>2015</v>
      </c>
      <c r="B633" s="14" t="s">
        <v>131</v>
      </c>
      <c r="C633" s="14" t="s">
        <v>132</v>
      </c>
      <c r="D633" s="14">
        <v>2</v>
      </c>
      <c r="E633" s="14">
        <v>1</v>
      </c>
      <c r="F633" s="14">
        <v>8</v>
      </c>
      <c r="G633" s="14">
        <v>1</v>
      </c>
      <c r="H633" s="14" t="s">
        <v>8</v>
      </c>
      <c r="I633" s="15">
        <v>42293</v>
      </c>
      <c r="J633" s="14" t="s">
        <v>128</v>
      </c>
      <c r="K633" s="21">
        <v>1133</v>
      </c>
      <c r="L633" s="14">
        <v>632</v>
      </c>
      <c r="M633" s="14">
        <v>153</v>
      </c>
      <c r="N633" s="14">
        <v>288</v>
      </c>
      <c r="O633" s="21">
        <v>60</v>
      </c>
      <c r="P633" s="10">
        <v>-25.33</v>
      </c>
      <c r="Q633" s="10">
        <v>15.7</v>
      </c>
      <c r="R633" s="10">
        <v>128.6</v>
      </c>
      <c r="S633" s="16">
        <f t="shared" si="37"/>
        <v>17.7881</v>
      </c>
      <c r="T633" s="16">
        <f t="shared" si="36"/>
        <v>145.7038</v>
      </c>
    </row>
    <row r="634" spans="1:20" x14ac:dyDescent="0.25">
      <c r="A634" s="14">
        <v>2015</v>
      </c>
      <c r="B634" s="14" t="s">
        <v>131</v>
      </c>
      <c r="C634" s="14" t="s">
        <v>132</v>
      </c>
      <c r="D634" s="14">
        <v>3</v>
      </c>
      <c r="E634" s="14">
        <v>1</v>
      </c>
      <c r="F634" s="14">
        <v>9</v>
      </c>
      <c r="G634" s="14">
        <v>1</v>
      </c>
      <c r="H634" s="14" t="s">
        <v>4</v>
      </c>
      <c r="I634" s="15">
        <v>42296</v>
      </c>
      <c r="J634" s="14" t="s">
        <v>128</v>
      </c>
      <c r="K634" s="21">
        <v>985</v>
      </c>
      <c r="L634" s="14">
        <v>511</v>
      </c>
      <c r="M634" s="14">
        <v>107</v>
      </c>
      <c r="N634" s="14">
        <v>313</v>
      </c>
      <c r="O634" s="21">
        <v>53</v>
      </c>
      <c r="P634" s="10">
        <v>-25.36</v>
      </c>
      <c r="Q634" s="10">
        <v>15.4</v>
      </c>
      <c r="R634" s="10">
        <v>161.19999999999999</v>
      </c>
      <c r="S634" s="16">
        <f t="shared" si="37"/>
        <v>15.169</v>
      </c>
      <c r="T634" s="16">
        <f t="shared" si="36"/>
        <v>158.78200000000001</v>
      </c>
    </row>
    <row r="635" spans="1:20" x14ac:dyDescent="0.25">
      <c r="A635" s="14">
        <v>2015</v>
      </c>
      <c r="B635" s="14" t="s">
        <v>131</v>
      </c>
      <c r="C635" s="14" t="s">
        <v>132</v>
      </c>
      <c r="D635" s="14">
        <v>3</v>
      </c>
      <c r="E635" s="14">
        <v>2</v>
      </c>
      <c r="F635" s="14">
        <v>10</v>
      </c>
      <c r="G635" s="14">
        <v>1</v>
      </c>
      <c r="H635" s="14" t="s">
        <v>14</v>
      </c>
      <c r="I635" s="15">
        <v>42293</v>
      </c>
      <c r="J635" s="14" t="s">
        <v>128</v>
      </c>
      <c r="K635" s="21">
        <v>1054</v>
      </c>
      <c r="L635" s="14">
        <v>597</v>
      </c>
      <c r="M635" s="14">
        <v>127</v>
      </c>
      <c r="N635" s="14">
        <v>276</v>
      </c>
      <c r="O635" s="21">
        <v>55</v>
      </c>
      <c r="P635" s="10">
        <v>-25.68</v>
      </c>
      <c r="Q635" s="10">
        <v>18.399999999999999</v>
      </c>
      <c r="R635" s="10">
        <v>109.6</v>
      </c>
      <c r="S635" s="16">
        <f t="shared" si="37"/>
        <v>19.393599999999999</v>
      </c>
      <c r="T635" s="16">
        <f t="shared" si="36"/>
        <v>115.5184</v>
      </c>
    </row>
    <row r="636" spans="1:20" x14ac:dyDescent="0.25">
      <c r="A636" s="14">
        <v>2015</v>
      </c>
      <c r="B636" s="14" t="s">
        <v>131</v>
      </c>
      <c r="C636" s="14" t="s">
        <v>132</v>
      </c>
      <c r="D636" s="14">
        <v>3</v>
      </c>
      <c r="E636" s="14">
        <v>3</v>
      </c>
      <c r="F636" s="14">
        <v>11</v>
      </c>
      <c r="G636" s="14">
        <v>1</v>
      </c>
      <c r="H636" s="14" t="s">
        <v>3</v>
      </c>
      <c r="I636" s="15">
        <v>42291</v>
      </c>
      <c r="J636" s="14" t="s">
        <v>128</v>
      </c>
      <c r="K636" s="21">
        <v>1007</v>
      </c>
      <c r="L636" s="14">
        <v>556</v>
      </c>
      <c r="M636" s="14">
        <v>137</v>
      </c>
      <c r="N636" s="14">
        <v>249</v>
      </c>
      <c r="O636" s="21">
        <v>65</v>
      </c>
      <c r="P636" s="10">
        <v>-25.42</v>
      </c>
      <c r="Q636" s="10">
        <v>21</v>
      </c>
      <c r="R636" s="10">
        <v>131</v>
      </c>
      <c r="S636" s="16">
        <f t="shared" si="37"/>
        <v>21.146999999999998</v>
      </c>
      <c r="T636" s="16">
        <f t="shared" si="36"/>
        <v>131.917</v>
      </c>
    </row>
    <row r="637" spans="1:20" x14ac:dyDescent="0.25">
      <c r="A637" s="14">
        <v>2015</v>
      </c>
      <c r="B637" s="14" t="s">
        <v>131</v>
      </c>
      <c r="C637" s="14" t="s">
        <v>132</v>
      </c>
      <c r="D637" s="14">
        <v>3</v>
      </c>
      <c r="E637" s="14">
        <v>4</v>
      </c>
      <c r="F637" s="14">
        <v>12</v>
      </c>
      <c r="G637" s="14">
        <v>1</v>
      </c>
      <c r="H637" s="14" t="s">
        <v>2</v>
      </c>
      <c r="I637" s="15">
        <v>42291</v>
      </c>
      <c r="J637" s="14" t="s">
        <v>128</v>
      </c>
      <c r="K637" s="21">
        <v>1175</v>
      </c>
      <c r="L637" s="14">
        <v>666</v>
      </c>
      <c r="M637" s="14">
        <v>124</v>
      </c>
      <c r="N637" s="14">
        <v>336</v>
      </c>
      <c r="O637" s="21">
        <v>49</v>
      </c>
      <c r="P637" s="10">
        <v>-25.32</v>
      </c>
      <c r="Q637" s="10">
        <v>15.9</v>
      </c>
      <c r="R637" s="10">
        <v>152.6</v>
      </c>
      <c r="S637" s="16">
        <f t="shared" si="37"/>
        <v>18.682500000000001</v>
      </c>
      <c r="T637" s="16">
        <f t="shared" si="36"/>
        <v>179.30500000000001</v>
      </c>
    </row>
    <row r="638" spans="1:20" x14ac:dyDescent="0.25">
      <c r="A638" s="14">
        <v>2015</v>
      </c>
      <c r="B638" s="14" t="s">
        <v>131</v>
      </c>
      <c r="C638" s="14" t="s">
        <v>132</v>
      </c>
      <c r="D638" s="14">
        <v>4</v>
      </c>
      <c r="E638" s="14">
        <v>4</v>
      </c>
      <c r="F638" s="14">
        <v>13</v>
      </c>
      <c r="G638" s="14">
        <v>2</v>
      </c>
      <c r="H638" s="14" t="s">
        <v>4</v>
      </c>
      <c r="I638" s="15">
        <v>42296</v>
      </c>
      <c r="J638" s="14" t="s">
        <v>128</v>
      </c>
      <c r="K638" s="21">
        <v>942</v>
      </c>
      <c r="L638" s="14">
        <v>489</v>
      </c>
      <c r="M638" s="14">
        <v>106</v>
      </c>
      <c r="N638" s="14">
        <v>302</v>
      </c>
      <c r="O638" s="21">
        <v>44</v>
      </c>
      <c r="P638" s="10">
        <v>-24.71</v>
      </c>
      <c r="Q638" s="10">
        <v>18.7</v>
      </c>
      <c r="R638" s="10">
        <v>188</v>
      </c>
      <c r="S638" s="16">
        <f t="shared" si="37"/>
        <v>17.615399999999998</v>
      </c>
      <c r="T638" s="16">
        <f t="shared" si="36"/>
        <v>177.096</v>
      </c>
    </row>
    <row r="639" spans="1:20" x14ac:dyDescent="0.25">
      <c r="A639" s="14">
        <v>2015</v>
      </c>
      <c r="B639" s="14" t="s">
        <v>131</v>
      </c>
      <c r="C639" s="14" t="s">
        <v>132</v>
      </c>
      <c r="D639" s="14">
        <v>4</v>
      </c>
      <c r="E639" s="14">
        <v>3</v>
      </c>
      <c r="F639" s="14">
        <v>14</v>
      </c>
      <c r="G639" s="14">
        <v>2</v>
      </c>
      <c r="H639" s="14" t="s">
        <v>9</v>
      </c>
      <c r="I639" s="15">
        <v>42293</v>
      </c>
      <c r="J639" s="14" t="s">
        <v>128</v>
      </c>
      <c r="K639" s="21">
        <v>1173</v>
      </c>
      <c r="L639" s="14">
        <v>637</v>
      </c>
      <c r="M639" s="14">
        <v>120</v>
      </c>
      <c r="N639" s="14">
        <v>346</v>
      </c>
      <c r="O639" s="21">
        <v>70</v>
      </c>
      <c r="P639" s="10">
        <v>-25.54</v>
      </c>
      <c r="Q639" s="10">
        <v>18.399999999999999</v>
      </c>
      <c r="R639" s="10">
        <v>112.6</v>
      </c>
      <c r="S639" s="16">
        <f t="shared" si="37"/>
        <v>21.583199999999998</v>
      </c>
      <c r="T639" s="16">
        <f t="shared" si="36"/>
        <v>132.07979999999998</v>
      </c>
    </row>
    <row r="640" spans="1:20" x14ac:dyDescent="0.25">
      <c r="A640" s="14">
        <v>2015</v>
      </c>
      <c r="B640" s="14" t="s">
        <v>131</v>
      </c>
      <c r="C640" s="14" t="s">
        <v>132</v>
      </c>
      <c r="D640" s="14">
        <v>4</v>
      </c>
      <c r="E640" s="14">
        <v>2</v>
      </c>
      <c r="F640" s="14">
        <v>15</v>
      </c>
      <c r="G640" s="14">
        <v>2</v>
      </c>
      <c r="H640" s="14" t="s">
        <v>3</v>
      </c>
      <c r="I640" s="15">
        <v>42291</v>
      </c>
      <c r="J640" s="14" t="s">
        <v>128</v>
      </c>
      <c r="K640" s="21">
        <v>1100</v>
      </c>
      <c r="L640" s="14">
        <v>592</v>
      </c>
      <c r="M640" s="14">
        <v>161</v>
      </c>
      <c r="N640" s="14">
        <v>290</v>
      </c>
      <c r="O640" s="21">
        <v>58</v>
      </c>
      <c r="P640" s="10">
        <v>-25.55</v>
      </c>
      <c r="Q640" s="10">
        <v>17.2</v>
      </c>
      <c r="R640" s="10">
        <v>137.4</v>
      </c>
      <c r="S640" s="16">
        <f t="shared" si="37"/>
        <v>18.920000000000002</v>
      </c>
      <c r="T640" s="16">
        <f t="shared" si="36"/>
        <v>151.13999999999999</v>
      </c>
    </row>
    <row r="641" spans="1:20" x14ac:dyDescent="0.25">
      <c r="A641" s="14">
        <v>2015</v>
      </c>
      <c r="B641" s="14" t="s">
        <v>131</v>
      </c>
      <c r="C641" s="14" t="s">
        <v>132</v>
      </c>
      <c r="D641" s="14">
        <v>4</v>
      </c>
      <c r="E641" s="14">
        <v>1</v>
      </c>
      <c r="F641" s="14">
        <v>16</v>
      </c>
      <c r="G641" s="14">
        <v>2</v>
      </c>
      <c r="H641" s="14" t="s">
        <v>13</v>
      </c>
      <c r="I641" s="15">
        <v>42293</v>
      </c>
      <c r="J641" s="14" t="s">
        <v>128</v>
      </c>
      <c r="K641" s="21">
        <v>1080</v>
      </c>
      <c r="L641" s="14">
        <v>588</v>
      </c>
      <c r="M641" s="14">
        <v>113</v>
      </c>
      <c r="N641" s="14">
        <v>312</v>
      </c>
      <c r="O641" s="21">
        <v>66</v>
      </c>
      <c r="P641" s="10">
        <v>-25.61</v>
      </c>
      <c r="Q641" s="10">
        <v>16.2</v>
      </c>
      <c r="R641" s="10">
        <v>137.30000000000001</v>
      </c>
      <c r="S641" s="16">
        <f t="shared" si="37"/>
        <v>17.495999999999999</v>
      </c>
      <c r="T641" s="16">
        <f t="shared" si="36"/>
        <v>148.28399999999999</v>
      </c>
    </row>
    <row r="642" spans="1:20" x14ac:dyDescent="0.25">
      <c r="A642" s="14">
        <v>2015</v>
      </c>
      <c r="B642" s="14" t="s">
        <v>131</v>
      </c>
      <c r="C642" s="14" t="s">
        <v>132</v>
      </c>
      <c r="D642" s="14">
        <v>5</v>
      </c>
      <c r="E642" s="14">
        <v>1</v>
      </c>
      <c r="F642" s="14">
        <v>17</v>
      </c>
      <c r="G642" s="14">
        <v>2</v>
      </c>
      <c r="H642" s="14" t="s">
        <v>14</v>
      </c>
      <c r="I642" s="15">
        <v>42293</v>
      </c>
      <c r="J642" s="14" t="s">
        <v>128</v>
      </c>
      <c r="K642" s="21">
        <v>1188</v>
      </c>
      <c r="L642" s="14">
        <v>660</v>
      </c>
      <c r="M642" s="14">
        <v>149</v>
      </c>
      <c r="N642" s="14">
        <v>320</v>
      </c>
      <c r="O642" s="21">
        <v>58</v>
      </c>
      <c r="P642" s="10">
        <v>-25.39</v>
      </c>
      <c r="Q642" s="10">
        <v>17.600000000000001</v>
      </c>
      <c r="R642" s="10">
        <v>142.5</v>
      </c>
      <c r="S642" s="16">
        <f t="shared" si="37"/>
        <v>20.908800000000003</v>
      </c>
      <c r="T642" s="16">
        <f t="shared" si="36"/>
        <v>169.29</v>
      </c>
    </row>
    <row r="643" spans="1:20" x14ac:dyDescent="0.25">
      <c r="A643" s="14">
        <v>2015</v>
      </c>
      <c r="B643" s="14" t="s">
        <v>131</v>
      </c>
      <c r="C643" s="14" t="s">
        <v>132</v>
      </c>
      <c r="D643" s="14">
        <v>5</v>
      </c>
      <c r="E643" s="14">
        <v>2</v>
      </c>
      <c r="F643" s="14">
        <v>18</v>
      </c>
      <c r="G643" s="14">
        <v>2</v>
      </c>
      <c r="H643" s="14" t="s">
        <v>12</v>
      </c>
      <c r="I643" s="15">
        <v>42296</v>
      </c>
      <c r="J643" s="14" t="s">
        <v>128</v>
      </c>
      <c r="K643" s="21">
        <v>1329</v>
      </c>
      <c r="L643" s="14">
        <v>722</v>
      </c>
      <c r="M643" s="14">
        <v>136</v>
      </c>
      <c r="N643" s="14">
        <v>392</v>
      </c>
      <c r="O643" s="21">
        <v>79</v>
      </c>
      <c r="P643" s="10">
        <v>-25.5</v>
      </c>
      <c r="Q643" s="10">
        <v>17</v>
      </c>
      <c r="R643" s="10">
        <v>123.7</v>
      </c>
      <c r="S643" s="16">
        <f t="shared" si="37"/>
        <v>22.593</v>
      </c>
      <c r="T643" s="16">
        <f t="shared" ref="T643:T673" si="38">K643*R643/1000</f>
        <v>164.39730000000003</v>
      </c>
    </row>
    <row r="644" spans="1:20" x14ac:dyDescent="0.25">
      <c r="A644" s="14">
        <v>2015</v>
      </c>
      <c r="B644" s="14" t="s">
        <v>131</v>
      </c>
      <c r="C644" s="14" t="s">
        <v>132</v>
      </c>
      <c r="D644" s="14">
        <v>5</v>
      </c>
      <c r="E644" s="14">
        <v>3</v>
      </c>
      <c r="F644" s="14">
        <v>19</v>
      </c>
      <c r="G644" s="14">
        <v>2</v>
      </c>
      <c r="H644" s="14" t="s">
        <v>2</v>
      </c>
      <c r="I644" s="15">
        <v>42291</v>
      </c>
      <c r="J644" s="14" t="s">
        <v>128</v>
      </c>
      <c r="K644" s="21">
        <v>1104</v>
      </c>
      <c r="L644" s="14">
        <v>636</v>
      </c>
      <c r="M644" s="14">
        <v>80</v>
      </c>
      <c r="N644" s="14">
        <v>319</v>
      </c>
      <c r="O644" s="21">
        <v>70</v>
      </c>
      <c r="P644" s="10">
        <v>-25.59</v>
      </c>
      <c r="Q644" s="10">
        <v>15.3</v>
      </c>
      <c r="R644" s="10">
        <v>151.4</v>
      </c>
      <c r="S644" s="16">
        <f t="shared" si="37"/>
        <v>16.891200000000001</v>
      </c>
      <c r="T644" s="16">
        <f t="shared" si="38"/>
        <v>167.1456</v>
      </c>
    </row>
    <row r="645" spans="1:20" x14ac:dyDescent="0.25">
      <c r="A645" s="14">
        <v>2015</v>
      </c>
      <c r="B645" s="14" t="s">
        <v>131</v>
      </c>
      <c r="C645" s="14" t="s">
        <v>132</v>
      </c>
      <c r="D645" s="14">
        <v>5</v>
      </c>
      <c r="E645" s="14">
        <v>4</v>
      </c>
      <c r="F645" s="14">
        <v>20</v>
      </c>
      <c r="G645" s="14">
        <v>2</v>
      </c>
      <c r="H645" s="14" t="s">
        <v>6</v>
      </c>
      <c r="I645" s="15">
        <v>42293</v>
      </c>
      <c r="J645" s="14" t="s">
        <v>128</v>
      </c>
      <c r="K645" s="21">
        <v>1083</v>
      </c>
      <c r="L645" s="14">
        <v>591</v>
      </c>
      <c r="M645" s="14">
        <v>105</v>
      </c>
      <c r="N645" s="14">
        <v>317</v>
      </c>
      <c r="O645" s="21">
        <v>71</v>
      </c>
      <c r="P645" s="10">
        <v>-25.5</v>
      </c>
      <c r="Q645" s="10">
        <v>17.5</v>
      </c>
      <c r="R645" s="10">
        <v>137.5</v>
      </c>
      <c r="S645" s="16">
        <f t="shared" si="37"/>
        <v>18.952500000000001</v>
      </c>
      <c r="T645" s="16">
        <f t="shared" si="38"/>
        <v>148.91249999999999</v>
      </c>
    </row>
    <row r="646" spans="1:20" x14ac:dyDescent="0.25">
      <c r="A646" s="14">
        <v>2015</v>
      </c>
      <c r="B646" s="14" t="s">
        <v>131</v>
      </c>
      <c r="C646" s="14" t="s">
        <v>132</v>
      </c>
      <c r="D646" s="14">
        <v>6</v>
      </c>
      <c r="E646" s="14">
        <v>4</v>
      </c>
      <c r="F646" s="14">
        <v>21</v>
      </c>
      <c r="G646" s="14">
        <v>2</v>
      </c>
      <c r="H646" s="14" t="s">
        <v>10</v>
      </c>
      <c r="I646" s="15">
        <v>42291</v>
      </c>
      <c r="J646" s="14" t="s">
        <v>128</v>
      </c>
      <c r="K646" s="21">
        <v>1292</v>
      </c>
      <c r="L646" s="14">
        <v>685</v>
      </c>
      <c r="M646" s="14">
        <v>121</v>
      </c>
      <c r="N646" s="14">
        <v>434</v>
      </c>
      <c r="O646" s="21">
        <v>52</v>
      </c>
      <c r="P646" s="10">
        <v>-25.14</v>
      </c>
      <c r="Q646" s="10">
        <v>18.2</v>
      </c>
      <c r="R646" s="10">
        <v>171.3</v>
      </c>
      <c r="S646" s="16">
        <f t="shared" si="37"/>
        <v>23.514399999999998</v>
      </c>
      <c r="T646" s="16">
        <f t="shared" si="38"/>
        <v>221.31960000000001</v>
      </c>
    </row>
    <row r="647" spans="1:20" x14ac:dyDescent="0.25">
      <c r="A647" s="14">
        <v>2015</v>
      </c>
      <c r="B647" s="14" t="s">
        <v>131</v>
      </c>
      <c r="C647" s="14" t="s">
        <v>132</v>
      </c>
      <c r="D647" s="14">
        <v>6</v>
      </c>
      <c r="E647" s="14">
        <v>3</v>
      </c>
      <c r="F647" s="14">
        <v>22</v>
      </c>
      <c r="G647" s="14">
        <v>2</v>
      </c>
      <c r="H647" s="14" t="s">
        <v>5</v>
      </c>
      <c r="I647" s="15">
        <v>42291</v>
      </c>
      <c r="J647" s="14" t="s">
        <v>128</v>
      </c>
      <c r="K647" s="21">
        <v>1048</v>
      </c>
      <c r="L647" s="14">
        <v>577</v>
      </c>
      <c r="M647" s="14">
        <v>111</v>
      </c>
      <c r="N647" s="14">
        <v>301</v>
      </c>
      <c r="O647" s="21">
        <v>60</v>
      </c>
      <c r="P647" s="10">
        <v>-25.36</v>
      </c>
      <c r="Q647" s="10">
        <v>17.100000000000001</v>
      </c>
      <c r="R647" s="10">
        <v>170.2</v>
      </c>
      <c r="S647" s="16">
        <f t="shared" si="37"/>
        <v>17.920800000000003</v>
      </c>
      <c r="T647" s="16">
        <f t="shared" si="38"/>
        <v>178.36959999999996</v>
      </c>
    </row>
    <row r="648" spans="1:20" x14ac:dyDescent="0.25">
      <c r="A648" s="14">
        <v>2015</v>
      </c>
      <c r="B648" s="14" t="s">
        <v>131</v>
      </c>
      <c r="C648" s="14" t="s">
        <v>132</v>
      </c>
      <c r="D648" s="14">
        <v>6</v>
      </c>
      <c r="E648" s="14">
        <v>2</v>
      </c>
      <c r="F648" s="14">
        <v>23</v>
      </c>
      <c r="G648" s="14">
        <v>2</v>
      </c>
      <c r="H648" s="14" t="s">
        <v>8</v>
      </c>
      <c r="I648" s="15">
        <v>42293</v>
      </c>
      <c r="J648" s="14" t="s">
        <v>128</v>
      </c>
      <c r="K648" s="21">
        <v>1192</v>
      </c>
      <c r="L648" s="14">
        <v>639</v>
      </c>
      <c r="M648" s="14">
        <v>181</v>
      </c>
      <c r="N648" s="14">
        <v>307</v>
      </c>
      <c r="O648" s="21">
        <v>66</v>
      </c>
      <c r="P648" s="10">
        <v>-25.61</v>
      </c>
      <c r="Q648" s="10">
        <v>17</v>
      </c>
      <c r="R648" s="10">
        <v>105.5</v>
      </c>
      <c r="S648" s="16">
        <f t="shared" si="37"/>
        <v>20.263999999999999</v>
      </c>
      <c r="T648" s="16">
        <f t="shared" si="38"/>
        <v>125.756</v>
      </c>
    </row>
    <row r="649" spans="1:20" x14ac:dyDescent="0.25">
      <c r="A649" s="14">
        <v>2015</v>
      </c>
      <c r="B649" s="14" t="s">
        <v>131</v>
      </c>
      <c r="C649" s="14" t="s">
        <v>132</v>
      </c>
      <c r="D649" s="14">
        <v>6</v>
      </c>
      <c r="E649" s="14">
        <v>1</v>
      </c>
      <c r="F649" s="14">
        <v>24</v>
      </c>
      <c r="G649" s="14">
        <v>2</v>
      </c>
      <c r="H649" s="14" t="s">
        <v>7</v>
      </c>
      <c r="I649" s="15">
        <v>42293</v>
      </c>
      <c r="J649" s="14" t="s">
        <v>128</v>
      </c>
      <c r="K649" s="21">
        <v>1138</v>
      </c>
      <c r="L649" s="14">
        <v>592</v>
      </c>
      <c r="M649" s="14">
        <v>140</v>
      </c>
      <c r="N649" s="14">
        <v>323</v>
      </c>
      <c r="O649" s="21">
        <v>83</v>
      </c>
      <c r="P649" s="10">
        <v>-25.25</v>
      </c>
      <c r="Q649" s="10">
        <v>16.100000000000001</v>
      </c>
      <c r="R649" s="10">
        <v>134.69999999999999</v>
      </c>
      <c r="S649" s="16">
        <f t="shared" si="37"/>
        <v>18.321800000000003</v>
      </c>
      <c r="T649" s="16">
        <f t="shared" si="38"/>
        <v>153.28859999999997</v>
      </c>
    </row>
    <row r="650" spans="1:20" x14ac:dyDescent="0.25">
      <c r="A650" s="14">
        <v>2015</v>
      </c>
      <c r="B650" s="14" t="s">
        <v>131</v>
      </c>
      <c r="C650" s="14" t="s">
        <v>132</v>
      </c>
      <c r="D650" s="14">
        <v>7</v>
      </c>
      <c r="E650" s="14">
        <v>1</v>
      </c>
      <c r="F650" s="14">
        <v>25</v>
      </c>
      <c r="G650" s="14">
        <v>3</v>
      </c>
      <c r="H650" s="14" t="s">
        <v>12</v>
      </c>
      <c r="I650" s="15">
        <v>42296</v>
      </c>
      <c r="J650" s="14" t="s">
        <v>128</v>
      </c>
      <c r="K650" s="21">
        <v>1046</v>
      </c>
      <c r="L650" s="14">
        <v>578</v>
      </c>
      <c r="M650" s="14">
        <v>66</v>
      </c>
      <c r="N650" s="14">
        <v>286</v>
      </c>
      <c r="O650" s="21">
        <v>116</v>
      </c>
      <c r="P650" s="10">
        <v>-25.34</v>
      </c>
      <c r="Q650" s="10">
        <v>15.8</v>
      </c>
      <c r="R650" s="10">
        <v>134.80000000000001</v>
      </c>
      <c r="S650" s="16">
        <f t="shared" si="37"/>
        <v>16.526799999999998</v>
      </c>
      <c r="T650" s="16">
        <f t="shared" si="38"/>
        <v>141.00080000000003</v>
      </c>
    </row>
    <row r="651" spans="1:20" x14ac:dyDescent="0.25">
      <c r="A651" s="14">
        <v>2015</v>
      </c>
      <c r="B651" s="14" t="s">
        <v>131</v>
      </c>
      <c r="C651" s="14" t="s">
        <v>132</v>
      </c>
      <c r="D651" s="14">
        <v>7</v>
      </c>
      <c r="E651" s="14">
        <v>2</v>
      </c>
      <c r="F651" s="14">
        <v>26</v>
      </c>
      <c r="G651" s="14">
        <v>3</v>
      </c>
      <c r="H651" s="14" t="s">
        <v>13</v>
      </c>
      <c r="I651" s="15">
        <v>42293</v>
      </c>
      <c r="J651" s="14" t="s">
        <v>128</v>
      </c>
      <c r="K651" s="21">
        <v>1199</v>
      </c>
      <c r="L651" s="14">
        <v>659</v>
      </c>
      <c r="M651" s="14">
        <v>102</v>
      </c>
      <c r="N651" s="14">
        <v>379</v>
      </c>
      <c r="O651" s="21">
        <v>59</v>
      </c>
      <c r="P651" s="10">
        <v>-25.46</v>
      </c>
      <c r="Q651" s="10">
        <v>16.5</v>
      </c>
      <c r="R651" s="10">
        <v>134</v>
      </c>
      <c r="S651" s="16">
        <f t="shared" si="37"/>
        <v>19.7835</v>
      </c>
      <c r="T651" s="16">
        <f t="shared" si="38"/>
        <v>160.666</v>
      </c>
    </row>
    <row r="652" spans="1:20" x14ac:dyDescent="0.25">
      <c r="A652" s="14">
        <v>2015</v>
      </c>
      <c r="B652" s="14" t="s">
        <v>131</v>
      </c>
      <c r="C652" s="14" t="s">
        <v>132</v>
      </c>
      <c r="D652" s="14">
        <v>7</v>
      </c>
      <c r="E652" s="14">
        <v>3</v>
      </c>
      <c r="F652" s="14">
        <v>27</v>
      </c>
      <c r="G652" s="14">
        <v>3</v>
      </c>
      <c r="H652" s="14" t="s">
        <v>6</v>
      </c>
      <c r="I652" s="15">
        <v>42293</v>
      </c>
      <c r="J652" s="14" t="s">
        <v>128</v>
      </c>
      <c r="K652" s="21">
        <v>1019</v>
      </c>
      <c r="L652" s="14">
        <v>590</v>
      </c>
      <c r="M652" s="14">
        <v>87</v>
      </c>
      <c r="N652" s="14">
        <v>269</v>
      </c>
      <c r="O652" s="21">
        <v>72</v>
      </c>
      <c r="P652" s="10">
        <v>-25.58</v>
      </c>
      <c r="Q652" s="10">
        <v>16.8</v>
      </c>
      <c r="R652" s="10">
        <v>132.5</v>
      </c>
      <c r="S652" s="16">
        <f t="shared" si="37"/>
        <v>17.119199999999999</v>
      </c>
      <c r="T652" s="16">
        <f t="shared" si="38"/>
        <v>135.01750000000001</v>
      </c>
    </row>
    <row r="653" spans="1:20" x14ac:dyDescent="0.25">
      <c r="A653" s="14">
        <v>2015</v>
      </c>
      <c r="B653" s="14" t="s">
        <v>131</v>
      </c>
      <c r="C653" s="14" t="s">
        <v>132</v>
      </c>
      <c r="D653" s="14">
        <v>7</v>
      </c>
      <c r="E653" s="14">
        <v>4</v>
      </c>
      <c r="F653" s="14">
        <v>28</v>
      </c>
      <c r="G653" s="14">
        <v>3</v>
      </c>
      <c r="H653" s="14" t="s">
        <v>9</v>
      </c>
      <c r="I653" s="15">
        <v>42293</v>
      </c>
      <c r="J653" s="14" t="s">
        <v>128</v>
      </c>
      <c r="K653" s="21">
        <v>1079</v>
      </c>
      <c r="L653" s="14">
        <v>607</v>
      </c>
      <c r="M653" s="14">
        <v>103</v>
      </c>
      <c r="N653" s="14">
        <v>297</v>
      </c>
      <c r="O653" s="21">
        <v>71</v>
      </c>
      <c r="P653" s="10">
        <v>-25.45</v>
      </c>
      <c r="Q653" s="10">
        <v>16.7</v>
      </c>
      <c r="R653" s="10">
        <v>121.1</v>
      </c>
      <c r="S653" s="16">
        <f t="shared" si="37"/>
        <v>18.019299999999998</v>
      </c>
      <c r="T653" s="16">
        <f t="shared" si="38"/>
        <v>130.6669</v>
      </c>
    </row>
    <row r="654" spans="1:20" x14ac:dyDescent="0.25">
      <c r="A654" s="14">
        <v>2015</v>
      </c>
      <c r="B654" s="14" t="s">
        <v>131</v>
      </c>
      <c r="C654" s="14" t="s">
        <v>132</v>
      </c>
      <c r="D654" s="14">
        <v>8</v>
      </c>
      <c r="E654" s="14">
        <v>4</v>
      </c>
      <c r="F654" s="14">
        <v>29</v>
      </c>
      <c r="G654" s="14">
        <v>3</v>
      </c>
      <c r="H654" s="14" t="s">
        <v>14</v>
      </c>
      <c r="I654" s="15">
        <v>42293</v>
      </c>
      <c r="J654" s="14" t="s">
        <v>128</v>
      </c>
      <c r="K654" s="21">
        <v>1071</v>
      </c>
      <c r="L654" s="14">
        <v>572</v>
      </c>
      <c r="M654" s="14">
        <v>131</v>
      </c>
      <c r="N654" s="14">
        <v>308</v>
      </c>
      <c r="O654" s="21">
        <v>59</v>
      </c>
      <c r="P654" s="10">
        <v>-25.54</v>
      </c>
      <c r="Q654" s="10">
        <v>19.5</v>
      </c>
      <c r="R654" s="10">
        <v>137.69999999999999</v>
      </c>
      <c r="S654" s="16">
        <f t="shared" si="37"/>
        <v>20.884499999999999</v>
      </c>
      <c r="T654" s="16">
        <f t="shared" si="38"/>
        <v>147.47669999999999</v>
      </c>
    </row>
    <row r="655" spans="1:20" x14ac:dyDescent="0.25">
      <c r="A655" s="14">
        <v>2015</v>
      </c>
      <c r="B655" s="14" t="s">
        <v>131</v>
      </c>
      <c r="C655" s="14" t="s">
        <v>132</v>
      </c>
      <c r="D655" s="14">
        <v>8</v>
      </c>
      <c r="E655" s="14">
        <v>3</v>
      </c>
      <c r="F655" s="14">
        <v>30</v>
      </c>
      <c r="G655" s="14">
        <v>3</v>
      </c>
      <c r="H655" s="14" t="s">
        <v>7</v>
      </c>
      <c r="I655" s="15">
        <v>42293</v>
      </c>
      <c r="J655" s="14" t="s">
        <v>128</v>
      </c>
      <c r="K655" s="21">
        <v>1172</v>
      </c>
      <c r="L655" s="14">
        <v>653</v>
      </c>
      <c r="M655" s="14">
        <v>126</v>
      </c>
      <c r="N655" s="14">
        <v>332</v>
      </c>
      <c r="O655" s="21">
        <v>62</v>
      </c>
      <c r="P655" s="10">
        <v>-25.46</v>
      </c>
      <c r="Q655" s="10">
        <v>17</v>
      </c>
      <c r="R655" s="10">
        <v>145.5</v>
      </c>
      <c r="S655" s="16">
        <f t="shared" si="37"/>
        <v>19.923999999999999</v>
      </c>
      <c r="T655" s="16">
        <f t="shared" si="38"/>
        <v>170.52600000000001</v>
      </c>
    </row>
    <row r="656" spans="1:20" x14ac:dyDescent="0.25">
      <c r="A656" s="14">
        <v>2015</v>
      </c>
      <c r="B656" s="14" t="s">
        <v>131</v>
      </c>
      <c r="C656" s="14" t="s">
        <v>132</v>
      </c>
      <c r="D656" s="14">
        <v>8</v>
      </c>
      <c r="E656" s="14">
        <v>2</v>
      </c>
      <c r="F656" s="14">
        <v>31</v>
      </c>
      <c r="G656" s="14">
        <v>3</v>
      </c>
      <c r="H656" s="14" t="s">
        <v>2</v>
      </c>
      <c r="I656" s="15">
        <v>42291</v>
      </c>
      <c r="J656" s="14" t="s">
        <v>128</v>
      </c>
      <c r="K656" s="21">
        <v>1225</v>
      </c>
      <c r="L656" s="14">
        <v>644</v>
      </c>
      <c r="M656" s="14">
        <v>126</v>
      </c>
      <c r="N656" s="14">
        <v>363</v>
      </c>
      <c r="O656" s="21">
        <v>92</v>
      </c>
      <c r="P656" s="10">
        <v>-25.39</v>
      </c>
      <c r="Q656" s="10">
        <v>17.7</v>
      </c>
      <c r="R656" s="10">
        <v>124.8</v>
      </c>
      <c r="S656" s="16">
        <f t="shared" si="37"/>
        <v>21.682500000000001</v>
      </c>
      <c r="T656" s="16">
        <f t="shared" si="38"/>
        <v>152.88</v>
      </c>
    </row>
    <row r="657" spans="1:20" x14ac:dyDescent="0.25">
      <c r="A657" s="14">
        <v>2015</v>
      </c>
      <c r="B657" s="14" t="s">
        <v>131</v>
      </c>
      <c r="C657" s="14" t="s">
        <v>132</v>
      </c>
      <c r="D657" s="14">
        <v>8</v>
      </c>
      <c r="E657" s="14">
        <v>1</v>
      </c>
      <c r="F657" s="14">
        <v>32</v>
      </c>
      <c r="G657" s="14">
        <v>3</v>
      </c>
      <c r="H657" s="14" t="s">
        <v>5</v>
      </c>
      <c r="I657" s="15">
        <v>42291</v>
      </c>
      <c r="J657" s="14" t="s">
        <v>128</v>
      </c>
      <c r="K657" s="21">
        <v>1122</v>
      </c>
      <c r="L657" s="14">
        <v>598</v>
      </c>
      <c r="M657" s="14">
        <v>126</v>
      </c>
      <c r="N657" s="14">
        <v>313</v>
      </c>
      <c r="O657" s="21">
        <v>85</v>
      </c>
      <c r="P657" s="10">
        <v>-25.55</v>
      </c>
      <c r="Q657" s="10">
        <v>20.6</v>
      </c>
      <c r="R657" s="10">
        <v>126.5</v>
      </c>
      <c r="S657" s="16">
        <f t="shared" si="37"/>
        <v>23.113199999999999</v>
      </c>
      <c r="T657" s="16">
        <f t="shared" si="38"/>
        <v>141.93299999999999</v>
      </c>
    </row>
    <row r="658" spans="1:20" x14ac:dyDescent="0.25">
      <c r="A658" s="14">
        <v>2015</v>
      </c>
      <c r="B658" s="14" t="s">
        <v>131</v>
      </c>
      <c r="C658" s="14" t="s">
        <v>132</v>
      </c>
      <c r="D658" s="14">
        <v>9</v>
      </c>
      <c r="E658" s="14">
        <v>1</v>
      </c>
      <c r="F658" s="14">
        <v>33</v>
      </c>
      <c r="G658" s="14">
        <v>3</v>
      </c>
      <c r="H658" s="14" t="s">
        <v>10</v>
      </c>
      <c r="I658" s="15">
        <v>42291</v>
      </c>
      <c r="J658" s="14" t="s">
        <v>128</v>
      </c>
      <c r="K658" s="21">
        <v>1282</v>
      </c>
      <c r="L658" s="14">
        <v>671</v>
      </c>
      <c r="M658" s="14">
        <v>155</v>
      </c>
      <c r="N658" s="14">
        <v>411</v>
      </c>
      <c r="O658" s="21">
        <v>45</v>
      </c>
      <c r="P658" s="10">
        <v>-25.1</v>
      </c>
      <c r="Q658" s="10">
        <v>19.899999999999999</v>
      </c>
      <c r="R658" s="10">
        <v>166.8</v>
      </c>
      <c r="S658" s="16">
        <f t="shared" si="37"/>
        <v>25.511800000000001</v>
      </c>
      <c r="T658" s="16">
        <f t="shared" si="38"/>
        <v>213.83760000000001</v>
      </c>
    </row>
    <row r="659" spans="1:20" x14ac:dyDescent="0.25">
      <c r="A659" s="14">
        <v>2015</v>
      </c>
      <c r="B659" s="14" t="s">
        <v>131</v>
      </c>
      <c r="C659" s="14" t="s">
        <v>132</v>
      </c>
      <c r="D659" s="14">
        <v>9</v>
      </c>
      <c r="E659" s="14">
        <v>2</v>
      </c>
      <c r="F659" s="14">
        <v>34</v>
      </c>
      <c r="G659" s="14">
        <v>3</v>
      </c>
      <c r="H659" s="14" t="s">
        <v>4</v>
      </c>
      <c r="I659" s="15">
        <v>42296</v>
      </c>
      <c r="J659" s="14" t="s">
        <v>128</v>
      </c>
      <c r="K659" s="21">
        <v>1125</v>
      </c>
      <c r="L659" s="14">
        <v>605</v>
      </c>
      <c r="M659" s="14">
        <v>130</v>
      </c>
      <c r="N659" s="14">
        <v>353</v>
      </c>
      <c r="O659" s="21">
        <v>37</v>
      </c>
      <c r="P659" s="10">
        <v>-25.01</v>
      </c>
      <c r="Q659" s="10">
        <v>16.2</v>
      </c>
      <c r="R659" s="10">
        <v>185.1</v>
      </c>
      <c r="S659" s="16">
        <f t="shared" si="37"/>
        <v>18.225000000000001</v>
      </c>
      <c r="T659" s="16">
        <f t="shared" si="38"/>
        <v>208.23750000000001</v>
      </c>
    </row>
    <row r="660" spans="1:20" x14ac:dyDescent="0.25">
      <c r="A660" s="14">
        <v>2015</v>
      </c>
      <c r="B660" s="14" t="s">
        <v>131</v>
      </c>
      <c r="C660" s="14" t="s">
        <v>132</v>
      </c>
      <c r="D660" s="14">
        <v>9</v>
      </c>
      <c r="E660" s="14">
        <v>3</v>
      </c>
      <c r="F660" s="14">
        <v>35</v>
      </c>
      <c r="G660" s="14">
        <v>3</v>
      </c>
      <c r="H660" s="14" t="s">
        <v>8</v>
      </c>
      <c r="I660" s="15">
        <v>42293</v>
      </c>
      <c r="J660" s="14" t="s">
        <v>128</v>
      </c>
      <c r="K660" s="21">
        <v>1212</v>
      </c>
      <c r="L660" s="14">
        <v>711</v>
      </c>
      <c r="M660" s="14">
        <v>170</v>
      </c>
      <c r="N660" s="14">
        <v>281</v>
      </c>
      <c r="O660" s="21">
        <v>50</v>
      </c>
      <c r="P660" s="10">
        <v>-25.35</v>
      </c>
      <c r="Q660" s="10">
        <v>14.7</v>
      </c>
      <c r="R660" s="10">
        <v>147.9</v>
      </c>
      <c r="S660" s="16">
        <f t="shared" si="37"/>
        <v>17.816399999999998</v>
      </c>
      <c r="T660" s="16">
        <f t="shared" si="38"/>
        <v>179.25480000000002</v>
      </c>
    </row>
    <row r="661" spans="1:20" x14ac:dyDescent="0.25">
      <c r="A661" s="14">
        <v>2015</v>
      </c>
      <c r="B661" s="14" t="s">
        <v>131</v>
      </c>
      <c r="C661" s="14" t="s">
        <v>132</v>
      </c>
      <c r="D661" s="14">
        <v>9</v>
      </c>
      <c r="E661" s="14">
        <v>4</v>
      </c>
      <c r="F661" s="14">
        <v>36</v>
      </c>
      <c r="G661" s="14">
        <v>3</v>
      </c>
      <c r="H661" s="14" t="s">
        <v>3</v>
      </c>
      <c r="I661" s="15">
        <v>42291</v>
      </c>
      <c r="J661" s="14" t="s">
        <v>128</v>
      </c>
      <c r="K661" s="21">
        <v>1068</v>
      </c>
      <c r="L661" s="14">
        <v>608</v>
      </c>
      <c r="M661" s="14">
        <v>135</v>
      </c>
      <c r="N661" s="14">
        <v>278</v>
      </c>
      <c r="O661" s="21">
        <v>46</v>
      </c>
      <c r="P661" s="10">
        <v>-24.96</v>
      </c>
      <c r="Q661" s="10">
        <v>19.600000000000001</v>
      </c>
      <c r="R661" s="10">
        <v>187.6</v>
      </c>
      <c r="S661" s="16">
        <f t="shared" si="37"/>
        <v>20.932800000000004</v>
      </c>
      <c r="T661" s="16">
        <f t="shared" si="38"/>
        <v>200.35679999999999</v>
      </c>
    </row>
    <row r="662" spans="1:20" x14ac:dyDescent="0.25">
      <c r="A662" s="14">
        <v>2015</v>
      </c>
      <c r="B662" s="14" t="s">
        <v>131</v>
      </c>
      <c r="C662" s="14" t="s">
        <v>132</v>
      </c>
      <c r="D662" s="14">
        <v>10</v>
      </c>
      <c r="E662" s="14">
        <v>4</v>
      </c>
      <c r="F662" s="14">
        <v>37</v>
      </c>
      <c r="G662" s="14">
        <v>4</v>
      </c>
      <c r="H662" s="14" t="s">
        <v>8</v>
      </c>
      <c r="I662" s="15">
        <v>42293</v>
      </c>
      <c r="J662" s="14" t="s">
        <v>128</v>
      </c>
      <c r="K662" s="21">
        <v>1309</v>
      </c>
      <c r="L662" s="14">
        <v>729</v>
      </c>
      <c r="M662" s="14">
        <v>172</v>
      </c>
      <c r="N662" s="14">
        <v>354</v>
      </c>
      <c r="O662" s="21">
        <v>54</v>
      </c>
      <c r="P662" s="10">
        <v>-25.25</v>
      </c>
      <c r="Q662" s="10">
        <v>23</v>
      </c>
      <c r="R662" s="10">
        <v>132.6</v>
      </c>
      <c r="S662" s="16">
        <f t="shared" si="37"/>
        <v>30.106999999999999</v>
      </c>
      <c r="T662" s="16">
        <f t="shared" si="38"/>
        <v>173.57339999999999</v>
      </c>
    </row>
    <row r="663" spans="1:20" x14ac:dyDescent="0.25">
      <c r="A663" s="14">
        <v>2015</v>
      </c>
      <c r="B663" s="14" t="s">
        <v>131</v>
      </c>
      <c r="C663" s="14" t="s">
        <v>132</v>
      </c>
      <c r="D663" s="14">
        <v>10</v>
      </c>
      <c r="E663" s="14">
        <v>3</v>
      </c>
      <c r="F663" s="14">
        <v>38</v>
      </c>
      <c r="G663" s="14">
        <v>4</v>
      </c>
      <c r="H663" s="14" t="s">
        <v>14</v>
      </c>
      <c r="I663" s="15">
        <v>42293</v>
      </c>
      <c r="J663" s="14" t="s">
        <v>128</v>
      </c>
      <c r="K663" s="21">
        <v>1275</v>
      </c>
      <c r="L663" s="14">
        <v>708</v>
      </c>
      <c r="M663" s="14">
        <v>153</v>
      </c>
      <c r="N663" s="14">
        <v>339</v>
      </c>
      <c r="O663" s="21">
        <v>75</v>
      </c>
      <c r="P663" s="10">
        <v>-25.65</v>
      </c>
      <c r="Q663" s="10">
        <v>26.5</v>
      </c>
      <c r="R663" s="10">
        <v>98.8</v>
      </c>
      <c r="S663" s="16">
        <f t="shared" si="37"/>
        <v>33.787500000000001</v>
      </c>
      <c r="T663" s="16">
        <f t="shared" si="38"/>
        <v>125.97</v>
      </c>
    </row>
    <row r="664" spans="1:20" x14ac:dyDescent="0.25">
      <c r="A664" s="14">
        <v>2015</v>
      </c>
      <c r="B664" s="14" t="s">
        <v>131</v>
      </c>
      <c r="C664" s="14" t="s">
        <v>132</v>
      </c>
      <c r="D664" s="14">
        <v>10</v>
      </c>
      <c r="E664" s="14">
        <v>2</v>
      </c>
      <c r="F664" s="14">
        <v>39</v>
      </c>
      <c r="G664" s="14">
        <v>4</v>
      </c>
      <c r="H664" s="14" t="s">
        <v>10</v>
      </c>
      <c r="I664" s="15">
        <v>42291</v>
      </c>
      <c r="J664" s="14" t="s">
        <v>128</v>
      </c>
      <c r="K664" s="21">
        <v>1402</v>
      </c>
      <c r="L664" s="14">
        <v>779</v>
      </c>
      <c r="M664" s="14">
        <v>107</v>
      </c>
      <c r="N664" s="14">
        <v>433</v>
      </c>
      <c r="O664" s="21">
        <v>83</v>
      </c>
      <c r="P664" s="10">
        <v>-25.43</v>
      </c>
      <c r="Q664" s="10">
        <v>18.7</v>
      </c>
      <c r="R664" s="10">
        <v>173.1</v>
      </c>
      <c r="S664" s="16">
        <f t="shared" si="37"/>
        <v>26.217399999999998</v>
      </c>
      <c r="T664" s="16">
        <f t="shared" si="38"/>
        <v>242.68619999999999</v>
      </c>
    </row>
    <row r="665" spans="1:20" x14ac:dyDescent="0.25">
      <c r="A665" s="14">
        <v>2015</v>
      </c>
      <c r="B665" s="14" t="s">
        <v>131</v>
      </c>
      <c r="C665" s="14" t="s">
        <v>132</v>
      </c>
      <c r="D665" s="14">
        <v>10</v>
      </c>
      <c r="E665" s="14">
        <v>1</v>
      </c>
      <c r="F665" s="14">
        <v>40</v>
      </c>
      <c r="G665" s="14">
        <v>4</v>
      </c>
      <c r="H665" s="14" t="s">
        <v>2</v>
      </c>
      <c r="I665" s="15">
        <v>42291</v>
      </c>
      <c r="J665" s="14" t="s">
        <v>128</v>
      </c>
      <c r="K665" s="21">
        <v>1225</v>
      </c>
      <c r="L665" s="14">
        <v>706</v>
      </c>
      <c r="M665" s="14">
        <v>109</v>
      </c>
      <c r="N665" s="14">
        <v>331</v>
      </c>
      <c r="O665" s="21">
        <v>78</v>
      </c>
      <c r="P665" s="10">
        <v>-25.19</v>
      </c>
      <c r="Q665" s="10">
        <v>18.8</v>
      </c>
      <c r="R665" s="10">
        <v>198.4</v>
      </c>
      <c r="S665" s="16">
        <f t="shared" si="37"/>
        <v>23.03</v>
      </c>
      <c r="T665" s="16">
        <f t="shared" si="38"/>
        <v>243.04</v>
      </c>
    </row>
    <row r="666" spans="1:20" x14ac:dyDescent="0.25">
      <c r="A666" s="14">
        <v>2015</v>
      </c>
      <c r="B666" s="14" t="s">
        <v>131</v>
      </c>
      <c r="C666" s="14" t="s">
        <v>132</v>
      </c>
      <c r="D666" s="14">
        <v>11</v>
      </c>
      <c r="E666" s="14">
        <v>1</v>
      </c>
      <c r="F666" s="14">
        <v>41</v>
      </c>
      <c r="G666" s="14">
        <v>4</v>
      </c>
      <c r="H666" s="14" t="s">
        <v>3</v>
      </c>
      <c r="I666" s="15">
        <v>42291</v>
      </c>
      <c r="J666" s="14" t="s">
        <v>128</v>
      </c>
      <c r="K666" s="21">
        <v>1004</v>
      </c>
      <c r="L666" s="14">
        <v>559</v>
      </c>
      <c r="M666" s="14">
        <v>137</v>
      </c>
      <c r="N666" s="14">
        <v>261</v>
      </c>
      <c r="O666" s="21">
        <v>48</v>
      </c>
      <c r="P666" s="10">
        <v>-25.06</v>
      </c>
      <c r="Q666" s="10">
        <v>23.8</v>
      </c>
      <c r="R666" s="10">
        <v>178.4</v>
      </c>
      <c r="S666" s="16">
        <f t="shared" si="37"/>
        <v>23.895199999999999</v>
      </c>
      <c r="T666" s="16">
        <f t="shared" si="38"/>
        <v>179.11360000000002</v>
      </c>
    </row>
    <row r="667" spans="1:20" x14ac:dyDescent="0.25">
      <c r="A667" s="14">
        <v>2015</v>
      </c>
      <c r="B667" s="14" t="s">
        <v>131</v>
      </c>
      <c r="C667" s="14" t="s">
        <v>132</v>
      </c>
      <c r="D667" s="14">
        <v>11</v>
      </c>
      <c r="E667" s="14">
        <v>2</v>
      </c>
      <c r="F667" s="14">
        <v>42</v>
      </c>
      <c r="G667" s="14">
        <v>4</v>
      </c>
      <c r="H667" s="14" t="s">
        <v>7</v>
      </c>
      <c r="I667" s="15">
        <v>42293</v>
      </c>
      <c r="J667" s="14" t="s">
        <v>128</v>
      </c>
      <c r="K667" s="21">
        <v>1336</v>
      </c>
      <c r="L667" s="14">
        <v>747</v>
      </c>
      <c r="M667" s="14">
        <v>107</v>
      </c>
      <c r="N667" s="14">
        <v>413</v>
      </c>
      <c r="O667" s="21">
        <v>69</v>
      </c>
      <c r="P667" s="10">
        <v>-25.58</v>
      </c>
      <c r="Q667" s="10">
        <v>16.2</v>
      </c>
      <c r="R667" s="10">
        <v>170.6</v>
      </c>
      <c r="S667" s="16">
        <f t="shared" si="37"/>
        <v>21.6432</v>
      </c>
      <c r="T667" s="16">
        <f t="shared" si="38"/>
        <v>227.92160000000001</v>
      </c>
    </row>
    <row r="668" spans="1:20" x14ac:dyDescent="0.25">
      <c r="A668" s="14">
        <v>2015</v>
      </c>
      <c r="B668" s="14" t="s">
        <v>131</v>
      </c>
      <c r="C668" s="14" t="s">
        <v>132</v>
      </c>
      <c r="D668" s="14">
        <v>11</v>
      </c>
      <c r="E668" s="14">
        <v>3</v>
      </c>
      <c r="F668" s="14">
        <v>43</v>
      </c>
      <c r="G668" s="14">
        <v>4</v>
      </c>
      <c r="H668" s="14" t="s">
        <v>4</v>
      </c>
      <c r="I668" s="15">
        <v>42296</v>
      </c>
      <c r="J668" s="14" t="s">
        <v>128</v>
      </c>
      <c r="K668" s="21">
        <v>971</v>
      </c>
      <c r="L668" s="14">
        <v>522</v>
      </c>
      <c r="M668" s="14">
        <v>132</v>
      </c>
      <c r="N668" s="14">
        <v>279</v>
      </c>
      <c r="O668" s="21">
        <v>38</v>
      </c>
      <c r="P668" s="10">
        <v>-25.39</v>
      </c>
      <c r="Q668" s="10">
        <v>18.600000000000001</v>
      </c>
      <c r="R668" s="10">
        <v>162.1</v>
      </c>
      <c r="S668" s="16">
        <f t="shared" si="37"/>
        <v>18.060600000000001</v>
      </c>
      <c r="T668" s="16">
        <f t="shared" si="38"/>
        <v>157.3991</v>
      </c>
    </row>
    <row r="669" spans="1:20" x14ac:dyDescent="0.25">
      <c r="A669" s="14">
        <v>2015</v>
      </c>
      <c r="B669" s="14" t="s">
        <v>131</v>
      </c>
      <c r="C669" s="14" t="s">
        <v>132</v>
      </c>
      <c r="D669" s="14">
        <v>11</v>
      </c>
      <c r="E669" s="14">
        <v>4</v>
      </c>
      <c r="F669" s="14">
        <v>44</v>
      </c>
      <c r="G669" s="14">
        <v>4</v>
      </c>
      <c r="H669" s="14" t="s">
        <v>5</v>
      </c>
      <c r="I669" s="15">
        <v>42291</v>
      </c>
      <c r="J669" s="14" t="s">
        <v>128</v>
      </c>
      <c r="K669" s="21">
        <v>1162</v>
      </c>
      <c r="L669" s="14">
        <v>629</v>
      </c>
      <c r="M669" s="14">
        <v>118</v>
      </c>
      <c r="N669" s="14">
        <v>349</v>
      </c>
      <c r="O669" s="21">
        <v>66</v>
      </c>
      <c r="P669" s="10">
        <v>-25.6</v>
      </c>
      <c r="Q669" s="10">
        <v>19.3</v>
      </c>
      <c r="R669" s="10">
        <v>151.1</v>
      </c>
      <c r="S669" s="16">
        <f t="shared" si="37"/>
        <v>22.426600000000001</v>
      </c>
      <c r="T669" s="16">
        <f t="shared" si="38"/>
        <v>175.57819999999998</v>
      </c>
    </row>
    <row r="670" spans="1:20" x14ac:dyDescent="0.25">
      <c r="A670" s="14">
        <v>2015</v>
      </c>
      <c r="B670" s="14" t="s">
        <v>131</v>
      </c>
      <c r="C670" s="14" t="s">
        <v>132</v>
      </c>
      <c r="D670" s="14">
        <v>12</v>
      </c>
      <c r="E670" s="14">
        <v>4</v>
      </c>
      <c r="F670" s="14">
        <v>45</v>
      </c>
      <c r="G670" s="14">
        <v>4</v>
      </c>
      <c r="H670" s="14" t="s">
        <v>13</v>
      </c>
      <c r="I670" s="15">
        <v>42293</v>
      </c>
      <c r="J670" s="14" t="s">
        <v>128</v>
      </c>
      <c r="K670" s="21">
        <v>1074</v>
      </c>
      <c r="L670" s="14">
        <v>609</v>
      </c>
      <c r="M670" s="14">
        <v>74</v>
      </c>
      <c r="N670" s="14">
        <v>339</v>
      </c>
      <c r="O670" s="21">
        <v>52</v>
      </c>
      <c r="P670" s="10">
        <v>-26.02</v>
      </c>
      <c r="Q670" s="10">
        <v>17.399999999999999</v>
      </c>
      <c r="R670" s="10">
        <v>135.6</v>
      </c>
      <c r="S670" s="16">
        <f t="shared" si="37"/>
        <v>18.6876</v>
      </c>
      <c r="T670" s="16">
        <f t="shared" si="38"/>
        <v>145.6344</v>
      </c>
    </row>
    <row r="671" spans="1:20" x14ac:dyDescent="0.25">
      <c r="A671" s="14">
        <v>2015</v>
      </c>
      <c r="B671" s="14" t="s">
        <v>131</v>
      </c>
      <c r="C671" s="14" t="s">
        <v>132</v>
      </c>
      <c r="D671" s="14">
        <v>12</v>
      </c>
      <c r="E671" s="14">
        <v>3</v>
      </c>
      <c r="F671" s="14">
        <v>46</v>
      </c>
      <c r="G671" s="14">
        <v>4</v>
      </c>
      <c r="H671" s="14" t="s">
        <v>12</v>
      </c>
      <c r="I671" s="15">
        <v>42296</v>
      </c>
      <c r="J671" s="14" t="s">
        <v>128</v>
      </c>
      <c r="K671" s="21">
        <v>1054</v>
      </c>
      <c r="L671" s="14">
        <v>576</v>
      </c>
      <c r="M671" s="14">
        <v>60</v>
      </c>
      <c r="N671" s="14">
        <v>284</v>
      </c>
      <c r="O671" s="21">
        <v>135</v>
      </c>
      <c r="P671" s="10">
        <v>-25.76</v>
      </c>
      <c r="Q671" s="10">
        <v>20.399999999999999</v>
      </c>
      <c r="R671" s="10">
        <v>122.7</v>
      </c>
      <c r="S671" s="16">
        <f t="shared" si="37"/>
        <v>21.5016</v>
      </c>
      <c r="T671" s="16">
        <f t="shared" si="38"/>
        <v>129.32580000000002</v>
      </c>
    </row>
    <row r="672" spans="1:20" x14ac:dyDescent="0.25">
      <c r="A672" s="14">
        <v>2015</v>
      </c>
      <c r="B672" s="14" t="s">
        <v>131</v>
      </c>
      <c r="C672" s="14" t="s">
        <v>132</v>
      </c>
      <c r="D672" s="14">
        <v>12</v>
      </c>
      <c r="E672" s="14">
        <v>2</v>
      </c>
      <c r="F672" s="14">
        <v>47</v>
      </c>
      <c r="G672" s="14">
        <v>4</v>
      </c>
      <c r="H672" s="14" t="s">
        <v>9</v>
      </c>
      <c r="I672" s="15">
        <v>42293</v>
      </c>
      <c r="J672" s="14" t="s">
        <v>128</v>
      </c>
      <c r="K672" s="21">
        <v>1319</v>
      </c>
      <c r="L672" s="14">
        <v>712</v>
      </c>
      <c r="M672" s="14">
        <v>132</v>
      </c>
      <c r="N672" s="14">
        <v>378</v>
      </c>
      <c r="O672" s="21">
        <v>98</v>
      </c>
      <c r="P672" s="10">
        <v>-25.91</v>
      </c>
      <c r="Q672" s="10">
        <v>23.1</v>
      </c>
      <c r="R672" s="10">
        <v>125.8</v>
      </c>
      <c r="S672" s="16">
        <f t="shared" si="37"/>
        <v>30.468900000000001</v>
      </c>
      <c r="T672" s="16">
        <f t="shared" si="38"/>
        <v>165.93019999999999</v>
      </c>
    </row>
    <row r="673" spans="1:20" x14ac:dyDescent="0.25">
      <c r="A673" s="14">
        <v>2015</v>
      </c>
      <c r="B673" s="14" t="s">
        <v>131</v>
      </c>
      <c r="C673" s="14" t="s">
        <v>132</v>
      </c>
      <c r="D673" s="14">
        <v>12</v>
      </c>
      <c r="E673" s="14">
        <v>1</v>
      </c>
      <c r="F673" s="14">
        <v>48</v>
      </c>
      <c r="G673" s="14">
        <v>4</v>
      </c>
      <c r="H673" s="14" t="s">
        <v>6</v>
      </c>
      <c r="I673" s="15">
        <v>42293</v>
      </c>
      <c r="J673" s="14" t="s">
        <v>128</v>
      </c>
      <c r="K673" s="21">
        <v>1188</v>
      </c>
      <c r="L673" s="14">
        <v>628</v>
      </c>
      <c r="M673" s="14">
        <v>131</v>
      </c>
      <c r="N673" s="14">
        <v>340</v>
      </c>
      <c r="O673" s="21">
        <v>88</v>
      </c>
      <c r="P673" s="10">
        <v>-25.79</v>
      </c>
      <c r="Q673" s="10">
        <v>24.9</v>
      </c>
      <c r="R673" s="10">
        <v>113.3</v>
      </c>
      <c r="S673" s="16">
        <f t="shared" si="37"/>
        <v>29.581199999999995</v>
      </c>
      <c r="T673" s="16">
        <f t="shared" si="38"/>
        <v>134.60040000000001</v>
      </c>
    </row>
    <row r="674" spans="1:20" x14ac:dyDescent="0.25">
      <c r="A674" s="14">
        <v>2015</v>
      </c>
      <c r="B674" s="14" t="s">
        <v>131</v>
      </c>
      <c r="C674" s="14" t="s">
        <v>132</v>
      </c>
      <c r="D674" s="14">
        <v>1</v>
      </c>
      <c r="E674" s="14">
        <v>1</v>
      </c>
      <c r="F674" s="14">
        <v>1</v>
      </c>
      <c r="G674" s="14">
        <v>1</v>
      </c>
      <c r="H674" s="14" t="s">
        <v>9</v>
      </c>
      <c r="I674" s="15">
        <v>42361</v>
      </c>
      <c r="J674" s="14" t="s">
        <v>129</v>
      </c>
      <c r="K674" s="21">
        <v>948</v>
      </c>
      <c r="L674" s="21">
        <v>405</v>
      </c>
      <c r="M674" s="21"/>
      <c r="N674" s="21">
        <v>474</v>
      </c>
      <c r="O674" s="21">
        <v>69</v>
      </c>
      <c r="P674" s="10"/>
      <c r="Q674" s="10"/>
      <c r="R674" s="10"/>
      <c r="T674" s="16"/>
    </row>
    <row r="675" spans="1:20" x14ac:dyDescent="0.25">
      <c r="A675" s="14">
        <v>2015</v>
      </c>
      <c r="B675" s="14" t="s">
        <v>131</v>
      </c>
      <c r="C675" s="14" t="s">
        <v>132</v>
      </c>
      <c r="D675" s="14">
        <v>1</v>
      </c>
      <c r="E675" s="14">
        <v>2</v>
      </c>
      <c r="F675" s="14">
        <v>2</v>
      </c>
      <c r="G675" s="14">
        <v>1</v>
      </c>
      <c r="H675" s="14" t="s">
        <v>5</v>
      </c>
      <c r="I675" s="15">
        <v>42361</v>
      </c>
      <c r="J675" s="14" t="s">
        <v>129</v>
      </c>
      <c r="K675" s="21">
        <v>1066</v>
      </c>
      <c r="L675" s="21">
        <v>352</v>
      </c>
      <c r="M675" s="21"/>
      <c r="N675" s="21">
        <v>614</v>
      </c>
      <c r="O675" s="21">
        <v>99</v>
      </c>
      <c r="P675" s="10"/>
      <c r="Q675" s="10"/>
      <c r="R675" s="10"/>
      <c r="T675" s="16"/>
    </row>
    <row r="676" spans="1:20" x14ac:dyDescent="0.25">
      <c r="A676" s="14">
        <v>2015</v>
      </c>
      <c r="B676" s="14" t="s">
        <v>131</v>
      </c>
      <c r="C676" s="14" t="s">
        <v>132</v>
      </c>
      <c r="D676" s="14">
        <v>1</v>
      </c>
      <c r="E676" s="14">
        <v>3</v>
      </c>
      <c r="F676" s="14">
        <v>3</v>
      </c>
      <c r="G676" s="14">
        <v>1</v>
      </c>
      <c r="H676" s="14" t="s">
        <v>13</v>
      </c>
      <c r="I676" s="15">
        <v>42361</v>
      </c>
      <c r="J676" s="14" t="s">
        <v>129</v>
      </c>
      <c r="K676" s="21">
        <v>1030</v>
      </c>
      <c r="L676" s="21">
        <v>365</v>
      </c>
      <c r="M676" s="21"/>
      <c r="N676" s="21">
        <v>567</v>
      </c>
      <c r="O676" s="21">
        <v>97</v>
      </c>
      <c r="P676" s="10"/>
      <c r="Q676" s="10"/>
      <c r="R676" s="10"/>
      <c r="T676" s="16"/>
    </row>
    <row r="677" spans="1:20" x14ac:dyDescent="0.25">
      <c r="A677" s="14">
        <v>2015</v>
      </c>
      <c r="B677" s="14" t="s">
        <v>131</v>
      </c>
      <c r="C677" s="14" t="s">
        <v>132</v>
      </c>
      <c r="D677" s="14">
        <v>1</v>
      </c>
      <c r="E677" s="14">
        <v>4</v>
      </c>
      <c r="F677" s="14">
        <v>4</v>
      </c>
      <c r="G677" s="14">
        <v>1</v>
      </c>
      <c r="H677" s="14" t="s">
        <v>7</v>
      </c>
      <c r="I677" s="15">
        <v>42361</v>
      </c>
      <c r="J677" s="14" t="s">
        <v>129</v>
      </c>
      <c r="K677" s="21">
        <v>947</v>
      </c>
      <c r="L677" s="21">
        <v>381</v>
      </c>
      <c r="M677" s="21"/>
      <c r="N677" s="21">
        <v>502</v>
      </c>
      <c r="O677" s="21">
        <v>64</v>
      </c>
      <c r="P677" s="10"/>
      <c r="Q677" s="10"/>
      <c r="R677" s="10"/>
      <c r="T677" s="16"/>
    </row>
    <row r="678" spans="1:20" x14ac:dyDescent="0.25">
      <c r="A678" s="14">
        <v>2015</v>
      </c>
      <c r="B678" s="14" t="s">
        <v>131</v>
      </c>
      <c r="C678" s="14" t="s">
        <v>132</v>
      </c>
      <c r="D678" s="14">
        <v>2</v>
      </c>
      <c r="E678" s="14">
        <v>4</v>
      </c>
      <c r="F678" s="14">
        <v>5</v>
      </c>
      <c r="G678" s="14">
        <v>1</v>
      </c>
      <c r="H678" s="14" t="s">
        <v>12</v>
      </c>
      <c r="I678" s="15">
        <v>42361</v>
      </c>
      <c r="J678" s="14" t="s">
        <v>129</v>
      </c>
      <c r="K678" s="21">
        <v>959</v>
      </c>
      <c r="L678" s="21">
        <v>366</v>
      </c>
      <c r="M678" s="21"/>
      <c r="N678" s="21">
        <v>517</v>
      </c>
      <c r="O678" s="21">
        <v>77</v>
      </c>
      <c r="P678" s="10"/>
      <c r="Q678" s="10"/>
      <c r="R678" s="10"/>
      <c r="T678" s="16"/>
    </row>
    <row r="679" spans="1:20" x14ac:dyDescent="0.25">
      <c r="A679" s="14">
        <v>2015</v>
      </c>
      <c r="B679" s="14" t="s">
        <v>131</v>
      </c>
      <c r="C679" s="14" t="s">
        <v>132</v>
      </c>
      <c r="D679" s="14">
        <v>2</v>
      </c>
      <c r="E679" s="14">
        <v>3</v>
      </c>
      <c r="F679" s="14">
        <v>6</v>
      </c>
      <c r="G679" s="14">
        <v>1</v>
      </c>
      <c r="H679" s="14" t="s">
        <v>10</v>
      </c>
      <c r="I679" s="15">
        <v>42361</v>
      </c>
      <c r="J679" s="14" t="s">
        <v>129</v>
      </c>
      <c r="K679" s="21">
        <v>1528</v>
      </c>
      <c r="L679" s="21">
        <v>486</v>
      </c>
      <c r="M679" s="21"/>
      <c r="N679" s="21">
        <v>900</v>
      </c>
      <c r="O679" s="21">
        <v>142</v>
      </c>
      <c r="P679" s="10"/>
      <c r="Q679" s="10"/>
      <c r="R679" s="10"/>
      <c r="T679" s="16"/>
    </row>
    <row r="680" spans="1:20" x14ac:dyDescent="0.25">
      <c r="A680" s="14">
        <v>2015</v>
      </c>
      <c r="B680" s="14" t="s">
        <v>131</v>
      </c>
      <c r="C680" s="14" t="s">
        <v>132</v>
      </c>
      <c r="D680" s="14">
        <v>2</v>
      </c>
      <c r="E680" s="14">
        <v>2</v>
      </c>
      <c r="F680" s="14">
        <v>7</v>
      </c>
      <c r="G680" s="14">
        <v>1</v>
      </c>
      <c r="H680" s="14" t="s">
        <v>6</v>
      </c>
      <c r="I680" s="15">
        <v>42361</v>
      </c>
      <c r="J680" s="14" t="s">
        <v>129</v>
      </c>
      <c r="K680" s="21">
        <v>1148</v>
      </c>
      <c r="L680" s="21">
        <v>458</v>
      </c>
      <c r="M680" s="21"/>
      <c r="N680" s="21">
        <v>604</v>
      </c>
      <c r="O680" s="21">
        <v>86</v>
      </c>
      <c r="P680" s="10"/>
      <c r="Q680" s="10"/>
      <c r="R680" s="10"/>
      <c r="T680" s="16"/>
    </row>
    <row r="681" spans="1:20" x14ac:dyDescent="0.25">
      <c r="A681" s="14">
        <v>2015</v>
      </c>
      <c r="B681" s="14" t="s">
        <v>131</v>
      </c>
      <c r="C681" s="14" t="s">
        <v>132</v>
      </c>
      <c r="D681" s="14">
        <v>2</v>
      </c>
      <c r="E681" s="14">
        <v>1</v>
      </c>
      <c r="F681" s="14">
        <v>8</v>
      </c>
      <c r="G681" s="14">
        <v>1</v>
      </c>
      <c r="H681" s="14" t="s">
        <v>8</v>
      </c>
      <c r="I681" s="15">
        <v>42361</v>
      </c>
      <c r="J681" s="14" t="s">
        <v>129</v>
      </c>
      <c r="K681" s="21">
        <v>985</v>
      </c>
      <c r="L681" s="21">
        <v>361</v>
      </c>
      <c r="M681" s="21"/>
      <c r="N681" s="21">
        <v>529</v>
      </c>
      <c r="O681" s="21">
        <v>95</v>
      </c>
      <c r="P681" s="10"/>
      <c r="Q681" s="10"/>
      <c r="R681" s="10"/>
      <c r="T681" s="16"/>
    </row>
    <row r="682" spans="1:20" x14ac:dyDescent="0.25">
      <c r="A682" s="14">
        <v>2015</v>
      </c>
      <c r="B682" s="14" t="s">
        <v>131</v>
      </c>
      <c r="C682" s="14" t="s">
        <v>132</v>
      </c>
      <c r="D682" s="14">
        <v>3</v>
      </c>
      <c r="E682" s="14">
        <v>1</v>
      </c>
      <c r="F682" s="14">
        <v>9</v>
      </c>
      <c r="G682" s="14">
        <v>1</v>
      </c>
      <c r="H682" s="14" t="s">
        <v>4</v>
      </c>
      <c r="I682" s="15">
        <v>42361</v>
      </c>
      <c r="J682" s="14" t="s">
        <v>129</v>
      </c>
      <c r="K682" s="21">
        <v>1061</v>
      </c>
      <c r="L682" s="21">
        <v>358</v>
      </c>
      <c r="M682" s="21"/>
      <c r="N682" s="21">
        <v>626</v>
      </c>
      <c r="O682" s="21">
        <v>77</v>
      </c>
      <c r="P682" s="10"/>
      <c r="Q682" s="10"/>
      <c r="R682" s="10"/>
      <c r="T682" s="16"/>
    </row>
    <row r="683" spans="1:20" x14ac:dyDescent="0.25">
      <c r="A683" s="14">
        <v>2015</v>
      </c>
      <c r="B683" s="14" t="s">
        <v>131</v>
      </c>
      <c r="C683" s="14" t="s">
        <v>132</v>
      </c>
      <c r="D683" s="14">
        <v>3</v>
      </c>
      <c r="E683" s="14">
        <v>2</v>
      </c>
      <c r="F683" s="14">
        <v>10</v>
      </c>
      <c r="G683" s="14">
        <v>1</v>
      </c>
      <c r="H683" s="14" t="s">
        <v>14</v>
      </c>
      <c r="I683" s="15">
        <v>42361</v>
      </c>
      <c r="J683" s="14" t="s">
        <v>129</v>
      </c>
      <c r="K683" s="21">
        <v>1022</v>
      </c>
      <c r="L683" s="21">
        <v>368</v>
      </c>
      <c r="M683" s="21"/>
      <c r="N683" s="21">
        <v>564</v>
      </c>
      <c r="O683" s="21">
        <v>90</v>
      </c>
      <c r="P683" s="10"/>
      <c r="Q683" s="10"/>
      <c r="R683" s="10"/>
      <c r="T683" s="16"/>
    </row>
    <row r="684" spans="1:20" x14ac:dyDescent="0.25">
      <c r="A684" s="14">
        <v>2015</v>
      </c>
      <c r="B684" s="14" t="s">
        <v>131</v>
      </c>
      <c r="C684" s="14" t="s">
        <v>132</v>
      </c>
      <c r="D684" s="14">
        <v>3</v>
      </c>
      <c r="E684" s="14">
        <v>3</v>
      </c>
      <c r="F684" s="14">
        <v>11</v>
      </c>
      <c r="G684" s="14">
        <v>1</v>
      </c>
      <c r="H684" s="14" t="s">
        <v>3</v>
      </c>
      <c r="I684" s="15">
        <v>42361</v>
      </c>
      <c r="J684" s="14" t="s">
        <v>129</v>
      </c>
      <c r="K684" s="21">
        <v>1137</v>
      </c>
      <c r="L684" s="21">
        <v>387</v>
      </c>
      <c r="M684" s="21"/>
      <c r="N684" s="21">
        <v>662</v>
      </c>
      <c r="O684" s="21">
        <v>88</v>
      </c>
      <c r="P684" s="10"/>
      <c r="Q684" s="10"/>
      <c r="R684" s="10"/>
      <c r="T684" s="16"/>
    </row>
    <row r="685" spans="1:20" x14ac:dyDescent="0.25">
      <c r="A685" s="14">
        <v>2015</v>
      </c>
      <c r="B685" s="14" t="s">
        <v>131</v>
      </c>
      <c r="C685" s="14" t="s">
        <v>132</v>
      </c>
      <c r="D685" s="14">
        <v>3</v>
      </c>
      <c r="E685" s="14">
        <v>4</v>
      </c>
      <c r="F685" s="14">
        <v>12</v>
      </c>
      <c r="G685" s="14">
        <v>1</v>
      </c>
      <c r="H685" s="14" t="s">
        <v>2</v>
      </c>
      <c r="I685" s="15">
        <v>42361</v>
      </c>
      <c r="J685" s="14" t="s">
        <v>129</v>
      </c>
      <c r="K685" s="21">
        <v>1188</v>
      </c>
      <c r="L685" s="21">
        <v>410</v>
      </c>
      <c r="M685" s="21"/>
      <c r="N685" s="21">
        <v>687</v>
      </c>
      <c r="O685" s="21">
        <v>92</v>
      </c>
      <c r="P685" s="10"/>
      <c r="Q685" s="10"/>
      <c r="R685" s="10"/>
      <c r="T685" s="16"/>
    </row>
    <row r="686" spans="1:20" x14ac:dyDescent="0.25">
      <c r="A686" s="14">
        <v>2015</v>
      </c>
      <c r="B686" s="14" t="s">
        <v>131</v>
      </c>
      <c r="C686" s="14" t="s">
        <v>132</v>
      </c>
      <c r="D686" s="14">
        <v>4</v>
      </c>
      <c r="E686" s="14">
        <v>4</v>
      </c>
      <c r="F686" s="14">
        <v>13</v>
      </c>
      <c r="G686" s="14">
        <v>2</v>
      </c>
      <c r="H686" s="14" t="s">
        <v>4</v>
      </c>
      <c r="I686" s="15">
        <v>42361</v>
      </c>
      <c r="J686" s="14" t="s">
        <v>129</v>
      </c>
      <c r="K686" s="21">
        <v>1175</v>
      </c>
      <c r="L686" s="21">
        <v>366</v>
      </c>
      <c r="M686" s="21"/>
      <c r="N686" s="21">
        <v>729</v>
      </c>
      <c r="O686" s="21">
        <v>80</v>
      </c>
      <c r="P686" s="10"/>
      <c r="Q686" s="10"/>
      <c r="R686" s="10"/>
      <c r="T686" s="16"/>
    </row>
    <row r="687" spans="1:20" x14ac:dyDescent="0.25">
      <c r="A687" s="14">
        <v>2015</v>
      </c>
      <c r="B687" s="14" t="s">
        <v>131</v>
      </c>
      <c r="C687" s="14" t="s">
        <v>132</v>
      </c>
      <c r="D687" s="14">
        <v>4</v>
      </c>
      <c r="E687" s="14">
        <v>3</v>
      </c>
      <c r="F687" s="14">
        <v>14</v>
      </c>
      <c r="G687" s="14">
        <v>2</v>
      </c>
      <c r="H687" s="14" t="s">
        <v>9</v>
      </c>
      <c r="I687" s="15">
        <v>42361</v>
      </c>
      <c r="J687" s="14" t="s">
        <v>129</v>
      </c>
      <c r="K687" s="21">
        <v>1060</v>
      </c>
      <c r="L687" s="21">
        <v>416</v>
      </c>
      <c r="M687" s="21"/>
      <c r="N687" s="21">
        <v>559</v>
      </c>
      <c r="O687" s="21">
        <v>85</v>
      </c>
      <c r="P687" s="10"/>
      <c r="Q687" s="10"/>
      <c r="R687" s="10"/>
      <c r="T687" s="16"/>
    </row>
    <row r="688" spans="1:20" x14ac:dyDescent="0.25">
      <c r="A688" s="14">
        <v>2015</v>
      </c>
      <c r="B688" s="14" t="s">
        <v>131</v>
      </c>
      <c r="C688" s="14" t="s">
        <v>132</v>
      </c>
      <c r="D688" s="14">
        <v>4</v>
      </c>
      <c r="E688" s="14">
        <v>2</v>
      </c>
      <c r="F688" s="14">
        <v>15</v>
      </c>
      <c r="G688" s="14">
        <v>2</v>
      </c>
      <c r="H688" s="14" t="s">
        <v>3</v>
      </c>
      <c r="I688" s="15">
        <v>42361</v>
      </c>
      <c r="J688" s="14" t="s">
        <v>129</v>
      </c>
      <c r="K688" s="21">
        <v>1139</v>
      </c>
      <c r="L688" s="21">
        <v>400</v>
      </c>
      <c r="M688" s="21"/>
      <c r="N688" s="21">
        <v>625</v>
      </c>
      <c r="O688" s="21">
        <v>114</v>
      </c>
      <c r="P688" s="10"/>
      <c r="Q688" s="10"/>
      <c r="R688" s="10"/>
      <c r="T688" s="16"/>
    </row>
    <row r="689" spans="1:20" x14ac:dyDescent="0.25">
      <c r="A689" s="14">
        <v>2015</v>
      </c>
      <c r="B689" s="14" t="s">
        <v>131</v>
      </c>
      <c r="C689" s="14" t="s">
        <v>132</v>
      </c>
      <c r="D689" s="14">
        <v>4</v>
      </c>
      <c r="E689" s="14">
        <v>1</v>
      </c>
      <c r="F689" s="14">
        <v>16</v>
      </c>
      <c r="G689" s="14">
        <v>2</v>
      </c>
      <c r="H689" s="14" t="s">
        <v>13</v>
      </c>
      <c r="I689" s="15">
        <v>42361</v>
      </c>
      <c r="J689" s="14" t="s">
        <v>129</v>
      </c>
      <c r="K689" s="21">
        <v>1019</v>
      </c>
      <c r="L689" s="21">
        <v>398</v>
      </c>
      <c r="M689" s="21"/>
      <c r="N689" s="21">
        <v>539</v>
      </c>
      <c r="O689" s="21">
        <v>82</v>
      </c>
      <c r="P689" s="10"/>
      <c r="Q689" s="10"/>
      <c r="R689" s="10"/>
      <c r="T689" s="16"/>
    </row>
    <row r="690" spans="1:20" x14ac:dyDescent="0.25">
      <c r="A690" s="14">
        <v>2015</v>
      </c>
      <c r="B690" s="14" t="s">
        <v>131</v>
      </c>
      <c r="C690" s="14" t="s">
        <v>132</v>
      </c>
      <c r="D690" s="14">
        <v>5</v>
      </c>
      <c r="E690" s="14">
        <v>1</v>
      </c>
      <c r="F690" s="14">
        <v>17</v>
      </c>
      <c r="G690" s="14">
        <v>2</v>
      </c>
      <c r="H690" s="14" t="s">
        <v>14</v>
      </c>
      <c r="I690" s="15">
        <v>42361</v>
      </c>
      <c r="J690" s="14" t="s">
        <v>129</v>
      </c>
      <c r="K690" s="21">
        <v>1199</v>
      </c>
      <c r="L690" s="21">
        <v>480</v>
      </c>
      <c r="M690" s="21"/>
      <c r="N690" s="21">
        <v>624</v>
      </c>
      <c r="O690" s="21">
        <v>95</v>
      </c>
      <c r="P690" s="10"/>
      <c r="Q690" s="10"/>
      <c r="R690" s="10"/>
      <c r="T690" s="16"/>
    </row>
    <row r="691" spans="1:20" x14ac:dyDescent="0.25">
      <c r="A691" s="14">
        <v>2015</v>
      </c>
      <c r="B691" s="14" t="s">
        <v>131</v>
      </c>
      <c r="C691" s="14" t="s">
        <v>132</v>
      </c>
      <c r="D691" s="14">
        <v>5</v>
      </c>
      <c r="E691" s="14">
        <v>2</v>
      </c>
      <c r="F691" s="14">
        <v>18</v>
      </c>
      <c r="G691" s="14">
        <v>2</v>
      </c>
      <c r="H691" s="14" t="s">
        <v>12</v>
      </c>
      <c r="I691" s="15">
        <v>42361</v>
      </c>
      <c r="J691" s="14" t="s">
        <v>129</v>
      </c>
      <c r="K691" s="21">
        <v>1104</v>
      </c>
      <c r="L691" s="21">
        <v>378</v>
      </c>
      <c r="M691" s="21"/>
      <c r="N691" s="21">
        <v>604</v>
      </c>
      <c r="O691" s="21">
        <v>122</v>
      </c>
      <c r="P691" s="10"/>
      <c r="Q691" s="10"/>
      <c r="R691" s="10"/>
      <c r="T691" s="16"/>
    </row>
    <row r="692" spans="1:20" x14ac:dyDescent="0.25">
      <c r="A692" s="14">
        <v>2015</v>
      </c>
      <c r="B692" s="14" t="s">
        <v>131</v>
      </c>
      <c r="C692" s="14" t="s">
        <v>132</v>
      </c>
      <c r="D692" s="14">
        <v>5</v>
      </c>
      <c r="E692" s="14">
        <v>3</v>
      </c>
      <c r="F692" s="14">
        <v>19</v>
      </c>
      <c r="G692" s="14">
        <v>2</v>
      </c>
      <c r="H692" s="14" t="s">
        <v>2</v>
      </c>
      <c r="I692" s="15">
        <v>42361</v>
      </c>
      <c r="J692" s="14" t="s">
        <v>129</v>
      </c>
      <c r="K692" s="21">
        <v>1110</v>
      </c>
      <c r="L692" s="21">
        <v>364</v>
      </c>
      <c r="M692" s="21"/>
      <c r="N692" s="21">
        <v>672</v>
      </c>
      <c r="O692" s="21">
        <v>74</v>
      </c>
      <c r="P692" s="10"/>
      <c r="Q692" s="10"/>
      <c r="R692" s="10"/>
      <c r="T692" s="16"/>
    </row>
    <row r="693" spans="1:20" x14ac:dyDescent="0.25">
      <c r="A693" s="14">
        <v>2015</v>
      </c>
      <c r="B693" s="14" t="s">
        <v>131</v>
      </c>
      <c r="C693" s="14" t="s">
        <v>132</v>
      </c>
      <c r="D693" s="14">
        <v>5</v>
      </c>
      <c r="E693" s="14">
        <v>4</v>
      </c>
      <c r="F693" s="14">
        <v>20</v>
      </c>
      <c r="G693" s="14">
        <v>2</v>
      </c>
      <c r="H693" s="14" t="s">
        <v>6</v>
      </c>
      <c r="I693" s="15">
        <v>42361</v>
      </c>
      <c r="J693" s="14" t="s">
        <v>129</v>
      </c>
      <c r="K693" s="21">
        <v>1028</v>
      </c>
      <c r="L693" s="21">
        <v>381</v>
      </c>
      <c r="M693" s="21"/>
      <c r="N693" s="21">
        <v>566</v>
      </c>
      <c r="O693" s="21">
        <v>81</v>
      </c>
      <c r="P693" s="10"/>
      <c r="Q693" s="10"/>
      <c r="R693" s="10"/>
      <c r="T693" s="16"/>
    </row>
    <row r="694" spans="1:20" x14ac:dyDescent="0.25">
      <c r="A694" s="14">
        <v>2015</v>
      </c>
      <c r="B694" s="14" t="s">
        <v>131</v>
      </c>
      <c r="C694" s="14" t="s">
        <v>132</v>
      </c>
      <c r="D694" s="14">
        <v>6</v>
      </c>
      <c r="E694" s="14">
        <v>4</v>
      </c>
      <c r="F694" s="14">
        <v>21</v>
      </c>
      <c r="G694" s="14">
        <v>2</v>
      </c>
      <c r="H694" s="14" t="s">
        <v>10</v>
      </c>
      <c r="I694" s="15">
        <v>42361</v>
      </c>
      <c r="J694" s="14" t="s">
        <v>129</v>
      </c>
      <c r="K694" s="21">
        <v>1048</v>
      </c>
      <c r="L694" s="21">
        <v>360</v>
      </c>
      <c r="M694" s="21"/>
      <c r="N694" s="21">
        <v>621</v>
      </c>
      <c r="O694" s="21">
        <v>67</v>
      </c>
      <c r="P694" s="10"/>
      <c r="Q694" s="10"/>
      <c r="R694" s="10"/>
      <c r="T694" s="16"/>
    </row>
    <row r="695" spans="1:20" x14ac:dyDescent="0.25">
      <c r="A695" s="14">
        <v>2015</v>
      </c>
      <c r="B695" s="14" t="s">
        <v>131</v>
      </c>
      <c r="C695" s="14" t="s">
        <v>132</v>
      </c>
      <c r="D695" s="14">
        <v>6</v>
      </c>
      <c r="E695" s="14">
        <v>3</v>
      </c>
      <c r="F695" s="14">
        <v>22</v>
      </c>
      <c r="G695" s="14">
        <v>2</v>
      </c>
      <c r="H695" s="14" t="s">
        <v>5</v>
      </c>
      <c r="I695" s="15">
        <v>42361</v>
      </c>
      <c r="J695" s="14" t="s">
        <v>129</v>
      </c>
      <c r="K695" s="21">
        <v>1120</v>
      </c>
      <c r="L695" s="21">
        <v>337</v>
      </c>
      <c r="M695" s="21"/>
      <c r="N695" s="21">
        <v>696</v>
      </c>
      <c r="O695" s="21">
        <v>86</v>
      </c>
      <c r="P695" s="10"/>
      <c r="Q695" s="10"/>
      <c r="R695" s="10"/>
      <c r="T695" s="16"/>
    </row>
    <row r="696" spans="1:20" x14ac:dyDescent="0.25">
      <c r="A696" s="14">
        <v>2015</v>
      </c>
      <c r="B696" s="14" t="s">
        <v>131</v>
      </c>
      <c r="C696" s="14" t="s">
        <v>132</v>
      </c>
      <c r="D696" s="14">
        <v>6</v>
      </c>
      <c r="E696" s="14">
        <v>2</v>
      </c>
      <c r="F696" s="14">
        <v>23</v>
      </c>
      <c r="G696" s="14">
        <v>2</v>
      </c>
      <c r="H696" s="14" t="s">
        <v>8</v>
      </c>
      <c r="I696" s="15">
        <v>42361</v>
      </c>
      <c r="J696" s="14" t="s">
        <v>129</v>
      </c>
      <c r="K696" s="21">
        <v>1134</v>
      </c>
      <c r="L696" s="21">
        <v>395</v>
      </c>
      <c r="M696" s="21"/>
      <c r="N696" s="21">
        <v>590</v>
      </c>
      <c r="O696" s="21">
        <v>150</v>
      </c>
      <c r="P696" s="10"/>
      <c r="Q696" s="10"/>
      <c r="R696" s="10"/>
      <c r="T696" s="16"/>
    </row>
    <row r="697" spans="1:20" x14ac:dyDescent="0.25">
      <c r="A697" s="14">
        <v>2015</v>
      </c>
      <c r="B697" s="14" t="s">
        <v>131</v>
      </c>
      <c r="C697" s="14" t="s">
        <v>132</v>
      </c>
      <c r="D697" s="14">
        <v>6</v>
      </c>
      <c r="E697" s="14">
        <v>1</v>
      </c>
      <c r="F697" s="14">
        <v>24</v>
      </c>
      <c r="G697" s="14">
        <v>2</v>
      </c>
      <c r="H697" s="14" t="s">
        <v>7</v>
      </c>
      <c r="I697" s="15">
        <v>42361</v>
      </c>
      <c r="J697" s="14" t="s">
        <v>129</v>
      </c>
      <c r="K697" s="21">
        <v>1034</v>
      </c>
      <c r="L697" s="21">
        <v>437</v>
      </c>
      <c r="M697" s="21"/>
      <c r="N697" s="21">
        <v>494</v>
      </c>
      <c r="O697" s="21">
        <v>103</v>
      </c>
      <c r="P697" s="10"/>
      <c r="Q697" s="10"/>
      <c r="R697" s="10"/>
      <c r="T697" s="16"/>
    </row>
    <row r="698" spans="1:20" x14ac:dyDescent="0.25">
      <c r="A698" s="14">
        <v>2015</v>
      </c>
      <c r="B698" s="14" t="s">
        <v>131</v>
      </c>
      <c r="C698" s="14" t="s">
        <v>132</v>
      </c>
      <c r="D698" s="14">
        <v>7</v>
      </c>
      <c r="E698" s="14">
        <v>1</v>
      </c>
      <c r="F698" s="14">
        <v>25</v>
      </c>
      <c r="G698" s="14">
        <v>3</v>
      </c>
      <c r="H698" s="14" t="s">
        <v>12</v>
      </c>
      <c r="I698" s="15">
        <v>42361</v>
      </c>
      <c r="J698" s="14" t="s">
        <v>129</v>
      </c>
      <c r="K698" s="21">
        <v>973</v>
      </c>
      <c r="L698" s="21">
        <v>390</v>
      </c>
      <c r="M698" s="21"/>
      <c r="N698" s="21">
        <v>490</v>
      </c>
      <c r="O698" s="21">
        <v>93</v>
      </c>
      <c r="P698" s="10"/>
      <c r="Q698" s="10"/>
      <c r="R698" s="10"/>
      <c r="T698" s="16"/>
    </row>
    <row r="699" spans="1:20" x14ac:dyDescent="0.25">
      <c r="A699" s="14">
        <v>2015</v>
      </c>
      <c r="B699" s="14" t="s">
        <v>131</v>
      </c>
      <c r="C699" s="14" t="s">
        <v>132</v>
      </c>
      <c r="D699" s="14">
        <v>7</v>
      </c>
      <c r="E699" s="14">
        <v>2</v>
      </c>
      <c r="F699" s="14">
        <v>26</v>
      </c>
      <c r="G699" s="14">
        <v>3</v>
      </c>
      <c r="H699" s="14" t="s">
        <v>13</v>
      </c>
      <c r="I699" s="15">
        <v>42361</v>
      </c>
      <c r="J699" s="14" t="s">
        <v>129</v>
      </c>
      <c r="K699" s="21">
        <v>1032</v>
      </c>
      <c r="L699" s="21">
        <v>370</v>
      </c>
      <c r="M699" s="21"/>
      <c r="N699" s="21">
        <v>577</v>
      </c>
      <c r="O699" s="21">
        <v>85</v>
      </c>
      <c r="P699" s="10"/>
      <c r="Q699" s="10"/>
      <c r="R699" s="10"/>
      <c r="T699" s="16"/>
    </row>
    <row r="700" spans="1:20" x14ac:dyDescent="0.25">
      <c r="A700" s="14">
        <v>2015</v>
      </c>
      <c r="B700" s="14" t="s">
        <v>131</v>
      </c>
      <c r="C700" s="14" t="s">
        <v>132</v>
      </c>
      <c r="D700" s="14">
        <v>7</v>
      </c>
      <c r="E700" s="14">
        <v>3</v>
      </c>
      <c r="F700" s="14">
        <v>27</v>
      </c>
      <c r="G700" s="14">
        <v>3</v>
      </c>
      <c r="H700" s="14" t="s">
        <v>6</v>
      </c>
      <c r="I700" s="15">
        <v>42361</v>
      </c>
      <c r="J700" s="14" t="s">
        <v>129</v>
      </c>
      <c r="K700" s="21">
        <v>1143</v>
      </c>
      <c r="L700" s="21">
        <v>425</v>
      </c>
      <c r="M700" s="21"/>
      <c r="N700" s="21">
        <v>614</v>
      </c>
      <c r="O700" s="21">
        <v>104</v>
      </c>
      <c r="P700" s="10"/>
      <c r="Q700" s="10"/>
      <c r="R700" s="10"/>
      <c r="T700" s="16"/>
    </row>
    <row r="701" spans="1:20" x14ac:dyDescent="0.25">
      <c r="A701" s="14">
        <v>2015</v>
      </c>
      <c r="B701" s="14" t="s">
        <v>131</v>
      </c>
      <c r="C701" s="14" t="s">
        <v>132</v>
      </c>
      <c r="D701" s="14">
        <v>7</v>
      </c>
      <c r="E701" s="14">
        <v>4</v>
      </c>
      <c r="F701" s="14">
        <v>28</v>
      </c>
      <c r="G701" s="14">
        <v>3</v>
      </c>
      <c r="H701" s="14" t="s">
        <v>9</v>
      </c>
      <c r="I701" s="15">
        <v>42361</v>
      </c>
      <c r="J701" s="14" t="s">
        <v>129</v>
      </c>
      <c r="K701" s="21">
        <v>956</v>
      </c>
      <c r="L701" s="21">
        <v>431</v>
      </c>
      <c r="M701" s="21"/>
      <c r="N701" s="21">
        <v>444</v>
      </c>
      <c r="O701" s="21">
        <v>81</v>
      </c>
      <c r="P701" s="10"/>
      <c r="Q701" s="10"/>
      <c r="R701" s="10"/>
      <c r="T701" s="16"/>
    </row>
    <row r="702" spans="1:20" x14ac:dyDescent="0.25">
      <c r="A702" s="14">
        <v>2015</v>
      </c>
      <c r="B702" s="14" t="s">
        <v>131</v>
      </c>
      <c r="C702" s="14" t="s">
        <v>132</v>
      </c>
      <c r="D702" s="14">
        <v>8</v>
      </c>
      <c r="E702" s="14">
        <v>4</v>
      </c>
      <c r="F702" s="14">
        <v>29</v>
      </c>
      <c r="G702" s="14">
        <v>3</v>
      </c>
      <c r="H702" s="14" t="s">
        <v>14</v>
      </c>
      <c r="I702" s="15">
        <v>42361</v>
      </c>
      <c r="J702" s="14" t="s">
        <v>129</v>
      </c>
      <c r="K702" s="21">
        <v>842</v>
      </c>
      <c r="L702" s="21">
        <v>353</v>
      </c>
      <c r="M702" s="21"/>
      <c r="N702" s="21">
        <v>423</v>
      </c>
      <c r="O702" s="21">
        <v>66</v>
      </c>
      <c r="P702" s="10"/>
      <c r="Q702" s="10"/>
      <c r="R702" s="10"/>
      <c r="T702" s="16"/>
    </row>
    <row r="703" spans="1:20" x14ac:dyDescent="0.25">
      <c r="A703" s="14">
        <v>2015</v>
      </c>
      <c r="B703" s="14" t="s">
        <v>131</v>
      </c>
      <c r="C703" s="14" t="s">
        <v>132</v>
      </c>
      <c r="D703" s="14">
        <v>8</v>
      </c>
      <c r="E703" s="14">
        <v>3</v>
      </c>
      <c r="F703" s="14">
        <v>30</v>
      </c>
      <c r="G703" s="14">
        <v>3</v>
      </c>
      <c r="H703" s="14" t="s">
        <v>7</v>
      </c>
      <c r="I703" s="15">
        <v>42361</v>
      </c>
      <c r="J703" s="14" t="s">
        <v>129</v>
      </c>
      <c r="K703" s="21">
        <v>955</v>
      </c>
      <c r="L703" s="21">
        <v>357</v>
      </c>
      <c r="M703" s="21"/>
      <c r="N703" s="21">
        <v>498</v>
      </c>
      <c r="O703" s="21">
        <v>100</v>
      </c>
      <c r="P703" s="10"/>
      <c r="Q703" s="10"/>
      <c r="R703" s="10"/>
      <c r="T703" s="16"/>
    </row>
    <row r="704" spans="1:20" x14ac:dyDescent="0.25">
      <c r="A704" s="14">
        <v>2015</v>
      </c>
      <c r="B704" s="14" t="s">
        <v>131</v>
      </c>
      <c r="C704" s="14" t="s">
        <v>132</v>
      </c>
      <c r="D704" s="14">
        <v>8</v>
      </c>
      <c r="E704" s="14">
        <v>2</v>
      </c>
      <c r="F704" s="14">
        <v>31</v>
      </c>
      <c r="G704" s="14">
        <v>3</v>
      </c>
      <c r="H704" s="14" t="s">
        <v>2</v>
      </c>
      <c r="I704" s="15">
        <v>42361</v>
      </c>
      <c r="J704" s="14" t="s">
        <v>129</v>
      </c>
      <c r="K704" s="21">
        <v>1318</v>
      </c>
      <c r="L704" s="21">
        <v>448</v>
      </c>
      <c r="M704" s="21"/>
      <c r="N704" s="21">
        <v>799</v>
      </c>
      <c r="O704" s="21">
        <v>71</v>
      </c>
      <c r="P704" s="10"/>
      <c r="Q704" s="10"/>
      <c r="R704" s="10"/>
      <c r="T704" s="16"/>
    </row>
    <row r="705" spans="1:20" x14ac:dyDescent="0.25">
      <c r="A705" s="14">
        <v>2015</v>
      </c>
      <c r="B705" s="14" t="s">
        <v>131</v>
      </c>
      <c r="C705" s="14" t="s">
        <v>132</v>
      </c>
      <c r="D705" s="14">
        <v>8</v>
      </c>
      <c r="E705" s="14">
        <v>1</v>
      </c>
      <c r="F705" s="14">
        <v>32</v>
      </c>
      <c r="G705" s="14">
        <v>3</v>
      </c>
      <c r="H705" s="14" t="s">
        <v>5</v>
      </c>
      <c r="I705" s="15">
        <v>42361</v>
      </c>
      <c r="J705" s="14" t="s">
        <v>129</v>
      </c>
      <c r="K705" s="21">
        <v>1104</v>
      </c>
      <c r="L705" s="21">
        <v>339</v>
      </c>
      <c r="M705" s="21"/>
      <c r="N705" s="21">
        <v>679</v>
      </c>
      <c r="O705" s="21">
        <v>85</v>
      </c>
      <c r="P705" s="10"/>
      <c r="Q705" s="10"/>
      <c r="R705" s="10"/>
      <c r="T705" s="16"/>
    </row>
    <row r="706" spans="1:20" x14ac:dyDescent="0.25">
      <c r="A706" s="14">
        <v>2015</v>
      </c>
      <c r="B706" s="14" t="s">
        <v>131</v>
      </c>
      <c r="C706" s="14" t="s">
        <v>132</v>
      </c>
      <c r="D706" s="14">
        <v>9</v>
      </c>
      <c r="E706" s="14">
        <v>1</v>
      </c>
      <c r="F706" s="14">
        <v>33</v>
      </c>
      <c r="G706" s="14">
        <v>3</v>
      </c>
      <c r="H706" s="14" t="s">
        <v>10</v>
      </c>
      <c r="I706" s="15">
        <v>42361</v>
      </c>
      <c r="J706" s="14" t="s">
        <v>129</v>
      </c>
      <c r="K706" s="21">
        <v>1206</v>
      </c>
      <c r="L706" s="21">
        <v>418</v>
      </c>
      <c r="M706" s="21"/>
      <c r="N706" s="21">
        <v>699</v>
      </c>
      <c r="O706" s="21">
        <v>89</v>
      </c>
      <c r="P706" s="10"/>
      <c r="Q706" s="10"/>
      <c r="R706" s="10"/>
      <c r="T706" s="16"/>
    </row>
    <row r="707" spans="1:20" x14ac:dyDescent="0.25">
      <c r="A707" s="14">
        <v>2015</v>
      </c>
      <c r="B707" s="14" t="s">
        <v>131</v>
      </c>
      <c r="C707" s="14" t="s">
        <v>132</v>
      </c>
      <c r="D707" s="14">
        <v>9</v>
      </c>
      <c r="E707" s="14">
        <v>2</v>
      </c>
      <c r="F707" s="14">
        <v>34</v>
      </c>
      <c r="G707" s="14">
        <v>3</v>
      </c>
      <c r="H707" s="14" t="s">
        <v>4</v>
      </c>
      <c r="I707" s="15">
        <v>42361</v>
      </c>
      <c r="J707" s="14" t="s">
        <v>129</v>
      </c>
      <c r="K707" s="21">
        <v>1081</v>
      </c>
      <c r="L707" s="21">
        <v>342</v>
      </c>
      <c r="M707" s="21"/>
      <c r="N707" s="21">
        <v>675</v>
      </c>
      <c r="O707" s="21">
        <v>64</v>
      </c>
      <c r="P707" s="10"/>
      <c r="Q707" s="10"/>
      <c r="R707" s="10"/>
      <c r="T707" s="16"/>
    </row>
    <row r="708" spans="1:20" x14ac:dyDescent="0.25">
      <c r="A708" s="14">
        <v>2015</v>
      </c>
      <c r="B708" s="14" t="s">
        <v>131</v>
      </c>
      <c r="C708" s="14" t="s">
        <v>132</v>
      </c>
      <c r="D708" s="14">
        <v>9</v>
      </c>
      <c r="E708" s="14">
        <v>3</v>
      </c>
      <c r="F708" s="14">
        <v>35</v>
      </c>
      <c r="G708" s="14">
        <v>3</v>
      </c>
      <c r="H708" s="14" t="s">
        <v>8</v>
      </c>
      <c r="I708" s="15">
        <v>42361</v>
      </c>
      <c r="J708" s="14" t="s">
        <v>129</v>
      </c>
      <c r="K708" s="21">
        <v>1243</v>
      </c>
      <c r="L708" s="21">
        <v>436</v>
      </c>
      <c r="M708" s="21"/>
      <c r="N708" s="21">
        <v>671</v>
      </c>
      <c r="O708" s="21">
        <v>135</v>
      </c>
      <c r="P708" s="10"/>
      <c r="Q708" s="10"/>
      <c r="R708" s="10"/>
      <c r="T708" s="16"/>
    </row>
    <row r="709" spans="1:20" x14ac:dyDescent="0.25">
      <c r="A709" s="14">
        <v>2015</v>
      </c>
      <c r="B709" s="14" t="s">
        <v>131</v>
      </c>
      <c r="C709" s="14" t="s">
        <v>132</v>
      </c>
      <c r="D709" s="14">
        <v>9</v>
      </c>
      <c r="E709" s="14">
        <v>4</v>
      </c>
      <c r="F709" s="14">
        <v>36</v>
      </c>
      <c r="G709" s="14">
        <v>3</v>
      </c>
      <c r="H709" s="14" t="s">
        <v>3</v>
      </c>
      <c r="I709" s="15">
        <v>42361</v>
      </c>
      <c r="J709" s="14" t="s">
        <v>129</v>
      </c>
      <c r="K709" s="21">
        <v>1122</v>
      </c>
      <c r="L709" s="21">
        <v>410</v>
      </c>
      <c r="M709" s="21"/>
      <c r="N709" s="21">
        <v>618</v>
      </c>
      <c r="O709" s="21">
        <v>94</v>
      </c>
      <c r="P709" s="10"/>
      <c r="Q709" s="10"/>
      <c r="R709" s="10"/>
      <c r="T709" s="16"/>
    </row>
    <row r="710" spans="1:20" x14ac:dyDescent="0.25">
      <c r="A710" s="14">
        <v>2015</v>
      </c>
      <c r="B710" s="14" t="s">
        <v>131</v>
      </c>
      <c r="C710" s="14" t="s">
        <v>132</v>
      </c>
      <c r="D710" s="14">
        <v>10</v>
      </c>
      <c r="E710" s="14">
        <v>4</v>
      </c>
      <c r="F710" s="14">
        <v>37</v>
      </c>
      <c r="G710" s="14">
        <v>4</v>
      </c>
      <c r="H710" s="14" t="s">
        <v>8</v>
      </c>
      <c r="I710" s="15">
        <v>42361</v>
      </c>
      <c r="J710" s="14" t="s">
        <v>129</v>
      </c>
      <c r="K710" s="21">
        <v>992</v>
      </c>
      <c r="L710" s="21">
        <v>352</v>
      </c>
      <c r="M710" s="21"/>
      <c r="N710" s="21">
        <v>551</v>
      </c>
      <c r="O710" s="21">
        <v>89</v>
      </c>
      <c r="P710" s="10"/>
      <c r="Q710" s="10"/>
      <c r="R710" s="10"/>
      <c r="T710" s="16"/>
    </row>
    <row r="711" spans="1:20" x14ac:dyDescent="0.25">
      <c r="A711" s="14">
        <v>2015</v>
      </c>
      <c r="B711" s="14" t="s">
        <v>131</v>
      </c>
      <c r="C711" s="14" t="s">
        <v>132</v>
      </c>
      <c r="D711" s="14">
        <v>10</v>
      </c>
      <c r="E711" s="14">
        <v>3</v>
      </c>
      <c r="F711" s="14">
        <v>38</v>
      </c>
      <c r="G711" s="14">
        <v>4</v>
      </c>
      <c r="H711" s="14" t="s">
        <v>14</v>
      </c>
      <c r="I711" s="15">
        <v>42361</v>
      </c>
      <c r="J711" s="14" t="s">
        <v>129</v>
      </c>
      <c r="K711" s="21">
        <v>1243</v>
      </c>
      <c r="L711" s="21">
        <v>508</v>
      </c>
      <c r="M711" s="21"/>
      <c r="N711" s="21">
        <v>623</v>
      </c>
      <c r="O711" s="21">
        <v>112</v>
      </c>
      <c r="P711" s="10"/>
      <c r="Q711" s="10"/>
      <c r="R711" s="10"/>
      <c r="T711" s="16"/>
    </row>
    <row r="712" spans="1:20" x14ac:dyDescent="0.25">
      <c r="A712" s="14">
        <v>2015</v>
      </c>
      <c r="B712" s="14" t="s">
        <v>131</v>
      </c>
      <c r="C712" s="14" t="s">
        <v>132</v>
      </c>
      <c r="D712" s="14">
        <v>10</v>
      </c>
      <c r="E712" s="14">
        <v>2</v>
      </c>
      <c r="F712" s="14">
        <v>39</v>
      </c>
      <c r="G712" s="14">
        <v>4</v>
      </c>
      <c r="H712" s="14" t="s">
        <v>10</v>
      </c>
      <c r="I712" s="15">
        <v>42361</v>
      </c>
      <c r="J712" s="14" t="s">
        <v>129</v>
      </c>
      <c r="K712" s="21">
        <v>1274</v>
      </c>
      <c r="L712" s="21">
        <v>381</v>
      </c>
      <c r="M712" s="21"/>
      <c r="N712" s="21">
        <v>824</v>
      </c>
      <c r="O712" s="21">
        <v>68</v>
      </c>
      <c r="P712" s="10"/>
      <c r="Q712" s="10"/>
      <c r="R712" s="10"/>
      <c r="T712" s="16"/>
    </row>
    <row r="713" spans="1:20" x14ac:dyDescent="0.25">
      <c r="A713" s="14">
        <v>2015</v>
      </c>
      <c r="B713" s="14" t="s">
        <v>131</v>
      </c>
      <c r="C713" s="14" t="s">
        <v>132</v>
      </c>
      <c r="D713" s="14">
        <v>10</v>
      </c>
      <c r="E713" s="14">
        <v>1</v>
      </c>
      <c r="F713" s="14">
        <v>40</v>
      </c>
      <c r="G713" s="14">
        <v>4</v>
      </c>
      <c r="H713" s="14" t="s">
        <v>2</v>
      </c>
      <c r="I713" s="15">
        <v>42361</v>
      </c>
      <c r="J713" s="14" t="s">
        <v>129</v>
      </c>
      <c r="K713" s="21">
        <v>1195</v>
      </c>
      <c r="L713" s="21">
        <v>433</v>
      </c>
      <c r="M713" s="21"/>
      <c r="N713" s="21">
        <v>684</v>
      </c>
      <c r="O713" s="21">
        <v>78</v>
      </c>
      <c r="P713" s="10"/>
      <c r="Q713" s="10"/>
      <c r="R713" s="10"/>
      <c r="T713" s="16"/>
    </row>
    <row r="714" spans="1:20" x14ac:dyDescent="0.25">
      <c r="A714" s="14">
        <v>2015</v>
      </c>
      <c r="B714" s="14" t="s">
        <v>131</v>
      </c>
      <c r="C714" s="14" t="s">
        <v>132</v>
      </c>
      <c r="D714" s="14">
        <v>11</v>
      </c>
      <c r="E714" s="14">
        <v>1</v>
      </c>
      <c r="F714" s="14">
        <v>41</v>
      </c>
      <c r="G714" s="14">
        <v>4</v>
      </c>
      <c r="H714" s="14" t="s">
        <v>3</v>
      </c>
      <c r="I714" s="15">
        <v>42361</v>
      </c>
      <c r="J714" s="14" t="s">
        <v>129</v>
      </c>
      <c r="K714" s="21">
        <v>1172</v>
      </c>
      <c r="L714" s="21">
        <v>457</v>
      </c>
      <c r="M714" s="21"/>
      <c r="N714" s="21">
        <v>592</v>
      </c>
      <c r="O714" s="21">
        <v>123</v>
      </c>
      <c r="P714" s="10"/>
      <c r="Q714" s="10"/>
      <c r="R714" s="10"/>
      <c r="T714" s="16"/>
    </row>
    <row r="715" spans="1:20" x14ac:dyDescent="0.25">
      <c r="A715" s="14">
        <v>2015</v>
      </c>
      <c r="B715" s="14" t="s">
        <v>131</v>
      </c>
      <c r="C715" s="14" t="s">
        <v>132</v>
      </c>
      <c r="D715" s="14">
        <v>11</v>
      </c>
      <c r="E715" s="14">
        <v>2</v>
      </c>
      <c r="F715" s="14">
        <v>42</v>
      </c>
      <c r="G715" s="14">
        <v>4</v>
      </c>
      <c r="H715" s="14" t="s">
        <v>7</v>
      </c>
      <c r="I715" s="15">
        <v>42361</v>
      </c>
      <c r="J715" s="14" t="s">
        <v>129</v>
      </c>
      <c r="K715" s="21">
        <v>789</v>
      </c>
      <c r="L715" s="21">
        <v>309</v>
      </c>
      <c r="M715" s="21"/>
      <c r="N715" s="21">
        <v>423</v>
      </c>
      <c r="O715" s="21">
        <v>58</v>
      </c>
      <c r="P715" s="10"/>
      <c r="Q715" s="10"/>
      <c r="R715" s="10"/>
      <c r="T715" s="16"/>
    </row>
    <row r="716" spans="1:20" x14ac:dyDescent="0.25">
      <c r="A716" s="14">
        <v>2015</v>
      </c>
      <c r="B716" s="14" t="s">
        <v>131</v>
      </c>
      <c r="C716" s="14" t="s">
        <v>132</v>
      </c>
      <c r="D716" s="14">
        <v>11</v>
      </c>
      <c r="E716" s="14">
        <v>3</v>
      </c>
      <c r="F716" s="14">
        <v>43</v>
      </c>
      <c r="G716" s="14">
        <v>4</v>
      </c>
      <c r="H716" s="14" t="s">
        <v>4</v>
      </c>
      <c r="I716" s="15">
        <v>42361</v>
      </c>
      <c r="J716" s="14" t="s">
        <v>129</v>
      </c>
      <c r="K716" s="21">
        <v>1140</v>
      </c>
      <c r="L716" s="21">
        <v>353</v>
      </c>
      <c r="M716" s="21"/>
      <c r="N716" s="21">
        <v>697</v>
      </c>
      <c r="O716" s="21">
        <v>91</v>
      </c>
      <c r="P716" s="10"/>
      <c r="Q716" s="10"/>
      <c r="R716" s="10"/>
      <c r="T716" s="16"/>
    </row>
    <row r="717" spans="1:20" x14ac:dyDescent="0.25">
      <c r="A717" s="14">
        <v>2015</v>
      </c>
      <c r="B717" s="14" t="s">
        <v>131</v>
      </c>
      <c r="C717" s="14" t="s">
        <v>132</v>
      </c>
      <c r="D717" s="14">
        <v>11</v>
      </c>
      <c r="E717" s="14">
        <v>4</v>
      </c>
      <c r="F717" s="14">
        <v>44</v>
      </c>
      <c r="G717" s="14">
        <v>4</v>
      </c>
      <c r="H717" s="14" t="s">
        <v>5</v>
      </c>
      <c r="I717" s="15">
        <v>42361</v>
      </c>
      <c r="J717" s="14" t="s">
        <v>129</v>
      </c>
      <c r="K717" s="21">
        <v>1052</v>
      </c>
      <c r="L717" s="21">
        <v>346</v>
      </c>
      <c r="M717" s="21"/>
      <c r="N717" s="21">
        <v>613</v>
      </c>
      <c r="O717" s="21">
        <v>94</v>
      </c>
      <c r="P717" s="10"/>
      <c r="Q717" s="10"/>
      <c r="R717" s="10"/>
      <c r="T717" s="16"/>
    </row>
    <row r="718" spans="1:20" x14ac:dyDescent="0.25">
      <c r="A718" s="14">
        <v>2015</v>
      </c>
      <c r="B718" s="14" t="s">
        <v>131</v>
      </c>
      <c r="C718" s="14" t="s">
        <v>132</v>
      </c>
      <c r="D718" s="14">
        <v>12</v>
      </c>
      <c r="E718" s="14">
        <v>4</v>
      </c>
      <c r="F718" s="14">
        <v>45</v>
      </c>
      <c r="G718" s="14">
        <v>4</v>
      </c>
      <c r="H718" s="14" t="s">
        <v>13</v>
      </c>
      <c r="I718" s="15">
        <v>42361</v>
      </c>
      <c r="J718" s="14" t="s">
        <v>129</v>
      </c>
      <c r="K718" s="21">
        <v>1083</v>
      </c>
      <c r="L718" s="21">
        <v>396</v>
      </c>
      <c r="M718" s="21"/>
      <c r="N718" s="21">
        <v>604</v>
      </c>
      <c r="O718" s="21">
        <v>83</v>
      </c>
      <c r="P718" s="10"/>
      <c r="Q718" s="10"/>
      <c r="R718" s="10"/>
      <c r="T718" s="16"/>
    </row>
    <row r="719" spans="1:20" x14ac:dyDescent="0.25">
      <c r="A719" s="14">
        <v>2015</v>
      </c>
      <c r="B719" s="14" t="s">
        <v>131</v>
      </c>
      <c r="C719" s="14" t="s">
        <v>132</v>
      </c>
      <c r="D719" s="14">
        <v>12</v>
      </c>
      <c r="E719" s="14">
        <v>3</v>
      </c>
      <c r="F719" s="14">
        <v>46</v>
      </c>
      <c r="G719" s="14">
        <v>4</v>
      </c>
      <c r="H719" s="14" t="s">
        <v>12</v>
      </c>
      <c r="I719" s="15">
        <v>42361</v>
      </c>
      <c r="J719" s="14" t="s">
        <v>129</v>
      </c>
      <c r="K719" s="21">
        <v>1180</v>
      </c>
      <c r="L719" s="21">
        <v>464</v>
      </c>
      <c r="M719" s="21"/>
      <c r="N719" s="21">
        <v>602</v>
      </c>
      <c r="O719" s="21">
        <v>114</v>
      </c>
      <c r="P719" s="10"/>
      <c r="Q719" s="10"/>
      <c r="R719" s="10"/>
      <c r="T719" s="16"/>
    </row>
    <row r="720" spans="1:20" x14ac:dyDescent="0.25">
      <c r="A720" s="14">
        <v>2015</v>
      </c>
      <c r="B720" s="14" t="s">
        <v>131</v>
      </c>
      <c r="C720" s="14" t="s">
        <v>132</v>
      </c>
      <c r="D720" s="14">
        <v>12</v>
      </c>
      <c r="E720" s="14">
        <v>2</v>
      </c>
      <c r="F720" s="14">
        <v>47</v>
      </c>
      <c r="G720" s="14">
        <v>4</v>
      </c>
      <c r="H720" s="14" t="s">
        <v>9</v>
      </c>
      <c r="I720" s="15">
        <v>42361</v>
      </c>
      <c r="J720" s="14" t="s">
        <v>129</v>
      </c>
      <c r="K720" s="21">
        <v>1024</v>
      </c>
      <c r="L720" s="21">
        <v>407</v>
      </c>
      <c r="M720" s="21"/>
      <c r="N720" s="21">
        <v>521</v>
      </c>
      <c r="O720" s="21">
        <v>96</v>
      </c>
      <c r="P720" s="10"/>
      <c r="Q720" s="10"/>
      <c r="R720" s="10"/>
      <c r="T720" s="16"/>
    </row>
    <row r="721" spans="1:20" x14ac:dyDescent="0.25">
      <c r="A721" s="14">
        <v>2015</v>
      </c>
      <c r="B721" s="14" t="s">
        <v>131</v>
      </c>
      <c r="C721" s="14" t="s">
        <v>132</v>
      </c>
      <c r="D721" s="14">
        <v>12</v>
      </c>
      <c r="E721" s="14">
        <v>1</v>
      </c>
      <c r="F721" s="14">
        <v>48</v>
      </c>
      <c r="G721" s="14">
        <v>4</v>
      </c>
      <c r="H721" s="14" t="s">
        <v>6</v>
      </c>
      <c r="I721" s="15">
        <v>42361</v>
      </c>
      <c r="J721" s="14" t="s">
        <v>129</v>
      </c>
      <c r="K721" s="21">
        <v>944</v>
      </c>
      <c r="L721" s="21">
        <v>386</v>
      </c>
      <c r="M721" s="21"/>
      <c r="N721" s="21">
        <v>465</v>
      </c>
      <c r="O721" s="21">
        <v>93</v>
      </c>
      <c r="P721" s="10"/>
      <c r="Q721" s="10"/>
      <c r="R721" s="10"/>
      <c r="T721" s="16"/>
    </row>
    <row r="722" spans="1:20" x14ac:dyDescent="0.25">
      <c r="A722" s="14">
        <v>2014</v>
      </c>
      <c r="B722" s="14" t="s">
        <v>133</v>
      </c>
      <c r="C722" s="14" t="s">
        <v>134</v>
      </c>
      <c r="D722" s="14">
        <v>1</v>
      </c>
      <c r="E722" s="14">
        <v>1</v>
      </c>
      <c r="F722" s="14">
        <v>1</v>
      </c>
      <c r="G722" s="14">
        <v>1</v>
      </c>
      <c r="H722" s="14" t="s">
        <v>6</v>
      </c>
      <c r="I722" s="15">
        <v>41834</v>
      </c>
      <c r="J722" s="14" t="s">
        <v>125</v>
      </c>
      <c r="K722" s="21">
        <v>19</v>
      </c>
      <c r="L722" s="21"/>
      <c r="M722" s="21"/>
      <c r="N722" s="21"/>
      <c r="O722" s="24"/>
      <c r="P722" s="10"/>
      <c r="Q722" s="10"/>
      <c r="R722" s="10"/>
      <c r="T722" s="16"/>
    </row>
    <row r="723" spans="1:20" x14ac:dyDescent="0.25">
      <c r="A723" s="14">
        <v>2014</v>
      </c>
      <c r="B723" s="14" t="s">
        <v>133</v>
      </c>
      <c r="C723" s="14" t="s">
        <v>134</v>
      </c>
      <c r="D723" s="14">
        <v>1</v>
      </c>
      <c r="E723" s="14">
        <v>2</v>
      </c>
      <c r="F723" s="14">
        <v>2</v>
      </c>
      <c r="G723" s="14">
        <v>1</v>
      </c>
      <c r="H723" s="14" t="s">
        <v>13</v>
      </c>
      <c r="I723" s="15">
        <v>41834</v>
      </c>
      <c r="J723" s="14" t="s">
        <v>125</v>
      </c>
      <c r="K723" s="21">
        <v>25</v>
      </c>
      <c r="L723" s="21"/>
      <c r="M723" s="21"/>
      <c r="N723" s="21"/>
      <c r="O723" s="24"/>
      <c r="P723" s="10"/>
      <c r="Q723" s="10"/>
      <c r="R723" s="10"/>
      <c r="T723" s="16"/>
    </row>
    <row r="724" spans="1:20" x14ac:dyDescent="0.25">
      <c r="A724" s="14">
        <v>2014</v>
      </c>
      <c r="B724" s="14" t="s">
        <v>133</v>
      </c>
      <c r="C724" s="14" t="s">
        <v>134</v>
      </c>
      <c r="D724" s="14">
        <v>1</v>
      </c>
      <c r="E724" s="14">
        <v>3</v>
      </c>
      <c r="F724" s="14">
        <v>3</v>
      </c>
      <c r="G724" s="14">
        <v>1</v>
      </c>
      <c r="H724" s="14" t="s">
        <v>5</v>
      </c>
      <c r="I724" s="15">
        <v>41834</v>
      </c>
      <c r="J724" s="14" t="s">
        <v>125</v>
      </c>
      <c r="K724" s="21">
        <v>19</v>
      </c>
      <c r="L724" s="21"/>
      <c r="M724" s="21"/>
      <c r="N724" s="21"/>
      <c r="O724" s="24"/>
      <c r="P724" s="10"/>
      <c r="Q724" s="10"/>
      <c r="R724" s="10"/>
      <c r="T724" s="16"/>
    </row>
    <row r="725" spans="1:20" x14ac:dyDescent="0.25">
      <c r="A725" s="14">
        <v>2014</v>
      </c>
      <c r="B725" s="14" t="s">
        <v>133</v>
      </c>
      <c r="C725" s="14" t="s">
        <v>134</v>
      </c>
      <c r="D725" s="14">
        <v>1</v>
      </c>
      <c r="E725" s="14">
        <v>4</v>
      </c>
      <c r="F725" s="14">
        <v>4</v>
      </c>
      <c r="G725" s="14">
        <v>1</v>
      </c>
      <c r="H725" s="14" t="s">
        <v>9</v>
      </c>
      <c r="I725" s="15">
        <v>41834</v>
      </c>
      <c r="J725" s="14" t="s">
        <v>125</v>
      </c>
      <c r="K725" s="21">
        <v>39</v>
      </c>
      <c r="L725" s="21"/>
      <c r="M725" s="21"/>
      <c r="N725" s="21"/>
      <c r="O725" s="24"/>
      <c r="P725" s="10"/>
      <c r="Q725" s="10"/>
      <c r="R725" s="10"/>
      <c r="T725" s="16"/>
    </row>
    <row r="726" spans="1:20" x14ac:dyDescent="0.25">
      <c r="A726" s="14">
        <v>2014</v>
      </c>
      <c r="B726" s="14" t="s">
        <v>133</v>
      </c>
      <c r="C726" s="14" t="s">
        <v>134</v>
      </c>
      <c r="D726" s="14">
        <v>1</v>
      </c>
      <c r="E726" s="14">
        <v>5</v>
      </c>
      <c r="F726" s="14">
        <v>5</v>
      </c>
      <c r="G726" s="14">
        <v>1</v>
      </c>
      <c r="H726" s="14" t="s">
        <v>12</v>
      </c>
      <c r="I726" s="15">
        <v>41834</v>
      </c>
      <c r="J726" s="14" t="s">
        <v>125</v>
      </c>
      <c r="K726" s="21">
        <v>29</v>
      </c>
      <c r="L726" s="21"/>
      <c r="M726" s="21"/>
      <c r="N726" s="21"/>
      <c r="O726" s="24"/>
      <c r="P726" s="10"/>
      <c r="Q726" s="10"/>
      <c r="R726" s="10"/>
      <c r="T726" s="16"/>
    </row>
    <row r="727" spans="1:20" x14ac:dyDescent="0.25">
      <c r="A727" s="14">
        <v>2014</v>
      </c>
      <c r="B727" s="14" t="s">
        <v>133</v>
      </c>
      <c r="C727" s="14" t="s">
        <v>134</v>
      </c>
      <c r="D727" s="14">
        <v>1</v>
      </c>
      <c r="E727" s="14">
        <v>6</v>
      </c>
      <c r="F727" s="14">
        <v>6</v>
      </c>
      <c r="G727" s="14">
        <v>1</v>
      </c>
      <c r="H727" s="14" t="s">
        <v>14</v>
      </c>
      <c r="I727" s="15">
        <v>41834</v>
      </c>
      <c r="J727" s="14" t="s">
        <v>125</v>
      </c>
      <c r="K727" s="21">
        <v>23</v>
      </c>
      <c r="L727" s="21"/>
      <c r="M727" s="21"/>
      <c r="N727" s="21"/>
      <c r="O727" s="24"/>
      <c r="P727" s="10"/>
      <c r="Q727" s="10"/>
      <c r="R727" s="10"/>
      <c r="T727" s="16"/>
    </row>
    <row r="728" spans="1:20" x14ac:dyDescent="0.25">
      <c r="A728" s="14">
        <v>2014</v>
      </c>
      <c r="B728" s="14" t="s">
        <v>133</v>
      </c>
      <c r="C728" s="14" t="s">
        <v>134</v>
      </c>
      <c r="D728" s="14">
        <v>2</v>
      </c>
      <c r="E728" s="14">
        <v>6</v>
      </c>
      <c r="F728" s="14">
        <v>7</v>
      </c>
      <c r="G728" s="14">
        <v>1</v>
      </c>
      <c r="H728" s="14" t="s">
        <v>4</v>
      </c>
      <c r="I728" s="15">
        <v>41834</v>
      </c>
      <c r="J728" s="14" t="s">
        <v>125</v>
      </c>
      <c r="K728" s="21">
        <v>18</v>
      </c>
      <c r="L728" s="21"/>
      <c r="M728" s="21"/>
      <c r="N728" s="21"/>
      <c r="O728" s="24"/>
      <c r="P728" s="10"/>
      <c r="Q728" s="10"/>
      <c r="R728" s="10"/>
      <c r="T728" s="16"/>
    </row>
    <row r="729" spans="1:20" x14ac:dyDescent="0.25">
      <c r="A729" s="14">
        <v>2014</v>
      </c>
      <c r="B729" s="14" t="s">
        <v>133</v>
      </c>
      <c r="C729" s="14" t="s">
        <v>134</v>
      </c>
      <c r="D729" s="14">
        <v>2</v>
      </c>
      <c r="E729" s="14">
        <v>5</v>
      </c>
      <c r="F729" s="14">
        <v>8</v>
      </c>
      <c r="G729" s="14">
        <v>1</v>
      </c>
      <c r="H729" s="14" t="s">
        <v>7</v>
      </c>
      <c r="I729" s="15">
        <v>41834</v>
      </c>
      <c r="J729" s="14" t="s">
        <v>125</v>
      </c>
      <c r="K729" s="21">
        <v>30</v>
      </c>
      <c r="L729" s="21"/>
      <c r="M729" s="21"/>
      <c r="N729" s="21"/>
      <c r="O729" s="24"/>
      <c r="P729" s="10"/>
      <c r="Q729" s="10"/>
      <c r="R729" s="10"/>
      <c r="T729" s="16"/>
    </row>
    <row r="730" spans="1:20" x14ac:dyDescent="0.25">
      <c r="A730" s="14">
        <v>2014</v>
      </c>
      <c r="B730" s="14" t="s">
        <v>133</v>
      </c>
      <c r="C730" s="14" t="s">
        <v>134</v>
      </c>
      <c r="D730" s="14">
        <v>2</v>
      </c>
      <c r="E730" s="14">
        <v>4</v>
      </c>
      <c r="F730" s="14">
        <v>9</v>
      </c>
      <c r="G730" s="14">
        <v>1</v>
      </c>
      <c r="H730" s="14" t="s">
        <v>2</v>
      </c>
      <c r="I730" s="15">
        <v>41834</v>
      </c>
      <c r="J730" s="14" t="s">
        <v>125</v>
      </c>
      <c r="K730" s="21">
        <v>43</v>
      </c>
      <c r="L730" s="21"/>
      <c r="M730" s="21"/>
      <c r="N730" s="21"/>
      <c r="O730" s="24"/>
      <c r="P730" s="10"/>
      <c r="Q730" s="10"/>
      <c r="R730" s="10"/>
      <c r="T730" s="16"/>
    </row>
    <row r="731" spans="1:20" x14ac:dyDescent="0.25">
      <c r="A731" s="14">
        <v>2014</v>
      </c>
      <c r="B731" s="14" t="s">
        <v>133</v>
      </c>
      <c r="C731" s="14" t="s">
        <v>134</v>
      </c>
      <c r="D731" s="14">
        <v>2</v>
      </c>
      <c r="E731" s="14">
        <v>3</v>
      </c>
      <c r="F731" s="14">
        <v>10</v>
      </c>
      <c r="G731" s="14">
        <v>1</v>
      </c>
      <c r="H731" s="14" t="s">
        <v>10</v>
      </c>
      <c r="I731" s="15">
        <v>41834</v>
      </c>
      <c r="J731" s="14" t="s">
        <v>125</v>
      </c>
      <c r="K731" s="21">
        <v>29</v>
      </c>
      <c r="L731" s="21"/>
      <c r="M731" s="21"/>
      <c r="N731" s="21"/>
      <c r="O731" s="24"/>
      <c r="P731" s="10"/>
      <c r="Q731" s="10"/>
      <c r="R731" s="10"/>
      <c r="T731" s="16"/>
    </row>
    <row r="732" spans="1:20" x14ac:dyDescent="0.25">
      <c r="A732" s="14">
        <v>2014</v>
      </c>
      <c r="B732" s="14" t="s">
        <v>133</v>
      </c>
      <c r="C732" s="14" t="s">
        <v>134</v>
      </c>
      <c r="D732" s="14">
        <v>2</v>
      </c>
      <c r="E732" s="14">
        <v>2</v>
      </c>
      <c r="F732" s="14">
        <v>11</v>
      </c>
      <c r="G732" s="14">
        <v>1</v>
      </c>
      <c r="H732" s="14" t="s">
        <v>8</v>
      </c>
      <c r="I732" s="15">
        <v>41834</v>
      </c>
      <c r="J732" s="14" t="s">
        <v>125</v>
      </c>
      <c r="K732" s="21">
        <v>27</v>
      </c>
      <c r="L732" s="21"/>
      <c r="M732" s="21"/>
      <c r="N732" s="21"/>
      <c r="O732" s="24"/>
      <c r="P732" s="10"/>
      <c r="Q732" s="10"/>
      <c r="R732" s="10"/>
      <c r="T732" s="16"/>
    </row>
    <row r="733" spans="1:20" x14ac:dyDescent="0.25">
      <c r="A733" s="14">
        <v>2014</v>
      </c>
      <c r="B733" s="14" t="s">
        <v>133</v>
      </c>
      <c r="C733" s="14" t="s">
        <v>134</v>
      </c>
      <c r="D733" s="14">
        <v>2</v>
      </c>
      <c r="E733" s="14">
        <v>1</v>
      </c>
      <c r="F733" s="14">
        <v>12</v>
      </c>
      <c r="G733" s="14">
        <v>1</v>
      </c>
      <c r="H733" s="14" t="s">
        <v>3</v>
      </c>
      <c r="I733" s="15">
        <v>41834</v>
      </c>
      <c r="J733" s="14" t="s">
        <v>125</v>
      </c>
      <c r="K733" s="21">
        <v>32</v>
      </c>
      <c r="L733" s="21"/>
      <c r="M733" s="21"/>
      <c r="N733" s="21"/>
      <c r="O733" s="24"/>
      <c r="P733" s="10"/>
      <c r="Q733" s="10"/>
      <c r="R733" s="10"/>
      <c r="T733" s="16"/>
    </row>
    <row r="734" spans="1:20" x14ac:dyDescent="0.25">
      <c r="A734" s="14">
        <v>2014</v>
      </c>
      <c r="B734" s="14" t="s">
        <v>133</v>
      </c>
      <c r="C734" s="14" t="s">
        <v>134</v>
      </c>
      <c r="D734" s="14">
        <v>3</v>
      </c>
      <c r="E734" s="14">
        <v>1</v>
      </c>
      <c r="F734" s="14">
        <v>13</v>
      </c>
      <c r="G734" s="14">
        <v>2</v>
      </c>
      <c r="H734" s="14" t="s">
        <v>12</v>
      </c>
      <c r="I734" s="15">
        <v>41834</v>
      </c>
      <c r="J734" s="14" t="s">
        <v>125</v>
      </c>
      <c r="K734" s="21">
        <v>37</v>
      </c>
      <c r="L734" s="21"/>
      <c r="M734" s="21"/>
      <c r="N734" s="21"/>
      <c r="O734" s="24"/>
      <c r="P734" s="10"/>
      <c r="Q734" s="10"/>
      <c r="R734" s="10"/>
      <c r="T734" s="16"/>
    </row>
    <row r="735" spans="1:20" x14ac:dyDescent="0.25">
      <c r="A735" s="14">
        <v>2014</v>
      </c>
      <c r="B735" s="14" t="s">
        <v>133</v>
      </c>
      <c r="C735" s="14" t="s">
        <v>134</v>
      </c>
      <c r="D735" s="14">
        <v>3</v>
      </c>
      <c r="E735" s="14">
        <v>2</v>
      </c>
      <c r="F735" s="14">
        <v>14</v>
      </c>
      <c r="G735" s="14">
        <v>2</v>
      </c>
      <c r="H735" s="14" t="s">
        <v>10</v>
      </c>
      <c r="I735" s="15">
        <v>41834</v>
      </c>
      <c r="J735" s="14" t="s">
        <v>125</v>
      </c>
      <c r="K735" s="21">
        <v>29</v>
      </c>
      <c r="L735" s="21"/>
      <c r="M735" s="21"/>
      <c r="N735" s="21"/>
      <c r="O735" s="24"/>
      <c r="P735" s="10"/>
      <c r="Q735" s="10"/>
      <c r="R735" s="10"/>
      <c r="T735" s="16"/>
    </row>
    <row r="736" spans="1:20" x14ac:dyDescent="0.25">
      <c r="A736" s="14">
        <v>2014</v>
      </c>
      <c r="B736" s="14" t="s">
        <v>133</v>
      </c>
      <c r="C736" s="14" t="s">
        <v>134</v>
      </c>
      <c r="D736" s="14">
        <v>3</v>
      </c>
      <c r="E736" s="14">
        <v>3</v>
      </c>
      <c r="F736" s="14">
        <v>15</v>
      </c>
      <c r="G736" s="14">
        <v>2</v>
      </c>
      <c r="H736" s="14" t="s">
        <v>6</v>
      </c>
      <c r="I736" s="15">
        <v>41834</v>
      </c>
      <c r="J736" s="14" t="s">
        <v>125</v>
      </c>
      <c r="K736" s="21">
        <v>19</v>
      </c>
      <c r="L736" s="21"/>
      <c r="M736" s="21"/>
      <c r="N736" s="21"/>
      <c r="O736" s="24"/>
      <c r="P736" s="10"/>
      <c r="Q736" s="10"/>
      <c r="R736" s="10"/>
      <c r="T736" s="16"/>
    </row>
    <row r="737" spans="1:20" x14ac:dyDescent="0.25">
      <c r="A737" s="14">
        <v>2014</v>
      </c>
      <c r="B737" s="14" t="s">
        <v>133</v>
      </c>
      <c r="C737" s="14" t="s">
        <v>134</v>
      </c>
      <c r="D737" s="14">
        <v>3</v>
      </c>
      <c r="E737" s="14">
        <v>4</v>
      </c>
      <c r="F737" s="14">
        <v>16</v>
      </c>
      <c r="G737" s="14">
        <v>2</v>
      </c>
      <c r="H737" s="14" t="s">
        <v>7</v>
      </c>
      <c r="I737" s="15">
        <v>41834</v>
      </c>
      <c r="J737" s="14" t="s">
        <v>125</v>
      </c>
      <c r="K737" s="21">
        <v>32</v>
      </c>
      <c r="L737" s="21"/>
      <c r="M737" s="21"/>
      <c r="N737" s="21"/>
      <c r="O737" s="24"/>
      <c r="P737" s="10"/>
      <c r="Q737" s="10"/>
      <c r="R737" s="10"/>
      <c r="T737" s="16"/>
    </row>
    <row r="738" spans="1:20" x14ac:dyDescent="0.25">
      <c r="A738" s="14">
        <v>2014</v>
      </c>
      <c r="B738" s="14" t="s">
        <v>133</v>
      </c>
      <c r="C738" s="14" t="s">
        <v>134</v>
      </c>
      <c r="D738" s="14">
        <v>3</v>
      </c>
      <c r="E738" s="14">
        <v>5</v>
      </c>
      <c r="F738" s="14">
        <v>17</v>
      </c>
      <c r="G738" s="14">
        <v>2</v>
      </c>
      <c r="H738" s="14" t="s">
        <v>3</v>
      </c>
      <c r="I738" s="15">
        <v>41834</v>
      </c>
      <c r="J738" s="14" t="s">
        <v>125</v>
      </c>
      <c r="K738" s="21">
        <v>25</v>
      </c>
      <c r="L738" s="21"/>
      <c r="M738" s="21"/>
      <c r="N738" s="21"/>
      <c r="O738" s="24"/>
      <c r="P738" s="10"/>
      <c r="Q738" s="10"/>
      <c r="R738" s="10"/>
      <c r="T738" s="16"/>
    </row>
    <row r="739" spans="1:20" x14ac:dyDescent="0.25">
      <c r="A739" s="14">
        <v>2014</v>
      </c>
      <c r="B739" s="14" t="s">
        <v>133</v>
      </c>
      <c r="C739" s="14" t="s">
        <v>134</v>
      </c>
      <c r="D739" s="14">
        <v>3</v>
      </c>
      <c r="E739" s="14">
        <v>6</v>
      </c>
      <c r="F739" s="14">
        <v>18</v>
      </c>
      <c r="G739" s="14">
        <v>2</v>
      </c>
      <c r="H739" s="14" t="s">
        <v>9</v>
      </c>
      <c r="I739" s="15">
        <v>41834</v>
      </c>
      <c r="J739" s="14" t="s">
        <v>125</v>
      </c>
      <c r="K739" s="21">
        <v>37</v>
      </c>
      <c r="L739" s="21"/>
      <c r="M739" s="21"/>
      <c r="N739" s="21"/>
      <c r="O739" s="24"/>
      <c r="P739" s="10"/>
      <c r="Q739" s="10"/>
      <c r="R739" s="10"/>
      <c r="T739" s="16"/>
    </row>
    <row r="740" spans="1:20" x14ac:dyDescent="0.25">
      <c r="A740" s="14">
        <v>2014</v>
      </c>
      <c r="B740" s="14" t="s">
        <v>133</v>
      </c>
      <c r="C740" s="14" t="s">
        <v>134</v>
      </c>
      <c r="D740" s="14">
        <v>4</v>
      </c>
      <c r="E740" s="14">
        <v>6</v>
      </c>
      <c r="F740" s="14">
        <v>19</v>
      </c>
      <c r="G740" s="14">
        <v>2</v>
      </c>
      <c r="H740" s="14" t="s">
        <v>13</v>
      </c>
      <c r="I740" s="15">
        <v>41834</v>
      </c>
      <c r="J740" s="14" t="s">
        <v>125</v>
      </c>
      <c r="K740" s="21">
        <v>24</v>
      </c>
      <c r="L740" s="21"/>
      <c r="M740" s="21"/>
      <c r="N740" s="21"/>
      <c r="O740" s="24"/>
      <c r="P740" s="10"/>
      <c r="Q740" s="10"/>
      <c r="R740" s="10"/>
      <c r="T740" s="16"/>
    </row>
    <row r="741" spans="1:20" x14ac:dyDescent="0.25">
      <c r="A741" s="14">
        <v>2014</v>
      </c>
      <c r="B741" s="14" t="s">
        <v>133</v>
      </c>
      <c r="C741" s="14" t="s">
        <v>134</v>
      </c>
      <c r="D741" s="14">
        <v>4</v>
      </c>
      <c r="E741" s="14">
        <v>5</v>
      </c>
      <c r="F741" s="14">
        <v>20</v>
      </c>
      <c r="G741" s="14">
        <v>2</v>
      </c>
      <c r="H741" s="14" t="s">
        <v>2</v>
      </c>
      <c r="I741" s="15">
        <v>41834</v>
      </c>
      <c r="J741" s="14" t="s">
        <v>125</v>
      </c>
      <c r="K741" s="21">
        <v>35</v>
      </c>
      <c r="L741" s="21"/>
      <c r="M741" s="21"/>
      <c r="N741" s="21"/>
      <c r="O741" s="24"/>
      <c r="P741" s="10"/>
      <c r="Q741" s="10"/>
      <c r="R741" s="10"/>
      <c r="T741" s="16"/>
    </row>
    <row r="742" spans="1:20" x14ac:dyDescent="0.25">
      <c r="A742" s="14">
        <v>2014</v>
      </c>
      <c r="B742" s="14" t="s">
        <v>133</v>
      </c>
      <c r="C742" s="14" t="s">
        <v>134</v>
      </c>
      <c r="D742" s="14">
        <v>4</v>
      </c>
      <c r="E742" s="14">
        <v>4</v>
      </c>
      <c r="F742" s="14">
        <v>21</v>
      </c>
      <c r="G742" s="14">
        <v>2</v>
      </c>
      <c r="H742" s="14" t="s">
        <v>14</v>
      </c>
      <c r="I742" s="15">
        <v>41834</v>
      </c>
      <c r="J742" s="14" t="s">
        <v>125</v>
      </c>
      <c r="K742" s="21">
        <v>28</v>
      </c>
      <c r="L742" s="21"/>
      <c r="M742" s="21"/>
      <c r="N742" s="21"/>
      <c r="O742" s="24"/>
      <c r="P742" s="10"/>
      <c r="Q742" s="10"/>
      <c r="R742" s="10"/>
      <c r="T742" s="16"/>
    </row>
    <row r="743" spans="1:20" x14ac:dyDescent="0.25">
      <c r="A743" s="14">
        <v>2014</v>
      </c>
      <c r="B743" s="14" t="s">
        <v>133</v>
      </c>
      <c r="C743" s="14" t="s">
        <v>134</v>
      </c>
      <c r="D743" s="14">
        <v>4</v>
      </c>
      <c r="E743" s="14">
        <v>3</v>
      </c>
      <c r="F743" s="14">
        <v>22</v>
      </c>
      <c r="G743" s="14">
        <v>2</v>
      </c>
      <c r="H743" s="14" t="s">
        <v>8</v>
      </c>
      <c r="I743" s="15">
        <v>41834</v>
      </c>
      <c r="J743" s="14" t="s">
        <v>125</v>
      </c>
      <c r="K743" s="21">
        <v>31</v>
      </c>
      <c r="L743" s="21"/>
      <c r="M743" s="21"/>
      <c r="N743" s="21"/>
      <c r="O743" s="24"/>
      <c r="P743" s="10"/>
      <c r="Q743" s="10"/>
      <c r="R743" s="10"/>
      <c r="T743" s="16"/>
    </row>
    <row r="744" spans="1:20" x14ac:dyDescent="0.25">
      <c r="A744" s="14">
        <v>2014</v>
      </c>
      <c r="B744" s="14" t="s">
        <v>133</v>
      </c>
      <c r="C744" s="14" t="s">
        <v>134</v>
      </c>
      <c r="D744" s="14">
        <v>4</v>
      </c>
      <c r="E744" s="14">
        <v>2</v>
      </c>
      <c r="F744" s="14">
        <v>23</v>
      </c>
      <c r="G744" s="14">
        <v>2</v>
      </c>
      <c r="H744" s="14" t="s">
        <v>4</v>
      </c>
      <c r="I744" s="15">
        <v>41834</v>
      </c>
      <c r="J744" s="14" t="s">
        <v>125</v>
      </c>
      <c r="K744" s="21">
        <v>22</v>
      </c>
      <c r="L744" s="21"/>
      <c r="M744" s="21"/>
      <c r="N744" s="21"/>
      <c r="O744" s="24"/>
      <c r="P744" s="10"/>
      <c r="Q744" s="10"/>
      <c r="R744" s="10"/>
      <c r="T744" s="16"/>
    </row>
    <row r="745" spans="1:20" x14ac:dyDescent="0.25">
      <c r="A745" s="14">
        <v>2014</v>
      </c>
      <c r="B745" s="14" t="s">
        <v>133</v>
      </c>
      <c r="C745" s="14" t="s">
        <v>134</v>
      </c>
      <c r="D745" s="14">
        <v>4</v>
      </c>
      <c r="E745" s="14">
        <v>1</v>
      </c>
      <c r="F745" s="14">
        <v>24</v>
      </c>
      <c r="G745" s="14">
        <v>2</v>
      </c>
      <c r="H745" s="14" t="s">
        <v>5</v>
      </c>
      <c r="I745" s="15">
        <v>41834</v>
      </c>
      <c r="J745" s="14" t="s">
        <v>125</v>
      </c>
      <c r="K745" s="21">
        <v>30</v>
      </c>
      <c r="L745" s="21"/>
      <c r="M745" s="21"/>
      <c r="N745" s="21"/>
      <c r="O745" s="24"/>
      <c r="P745" s="10"/>
      <c r="Q745" s="10"/>
      <c r="R745" s="10"/>
      <c r="T745" s="16"/>
    </row>
    <row r="746" spans="1:20" x14ac:dyDescent="0.25">
      <c r="A746" s="14">
        <v>2014</v>
      </c>
      <c r="B746" s="14" t="s">
        <v>133</v>
      </c>
      <c r="C746" s="14" t="s">
        <v>134</v>
      </c>
      <c r="D746" s="14">
        <v>5</v>
      </c>
      <c r="E746" s="14">
        <v>1</v>
      </c>
      <c r="F746" s="14">
        <v>25</v>
      </c>
      <c r="G746" s="14">
        <v>3</v>
      </c>
      <c r="H746" s="14" t="s">
        <v>2</v>
      </c>
      <c r="I746" s="15">
        <v>41834</v>
      </c>
      <c r="J746" s="14" t="s">
        <v>125</v>
      </c>
      <c r="K746" s="21">
        <v>28</v>
      </c>
      <c r="L746" s="21"/>
      <c r="M746" s="21"/>
      <c r="N746" s="21"/>
      <c r="O746" s="24"/>
      <c r="P746" s="10"/>
      <c r="Q746" s="10"/>
      <c r="R746" s="10"/>
      <c r="T746" s="16"/>
    </row>
    <row r="747" spans="1:20" x14ac:dyDescent="0.25">
      <c r="A747" s="14">
        <v>2014</v>
      </c>
      <c r="B747" s="14" t="s">
        <v>133</v>
      </c>
      <c r="C747" s="14" t="s">
        <v>134</v>
      </c>
      <c r="D747" s="14">
        <v>5</v>
      </c>
      <c r="E747" s="14">
        <v>2</v>
      </c>
      <c r="F747" s="14">
        <v>26</v>
      </c>
      <c r="G747" s="14">
        <v>3</v>
      </c>
      <c r="H747" s="14" t="s">
        <v>5</v>
      </c>
      <c r="I747" s="15">
        <v>41834</v>
      </c>
      <c r="J747" s="14" t="s">
        <v>125</v>
      </c>
      <c r="K747" s="21">
        <v>23</v>
      </c>
      <c r="L747" s="21"/>
      <c r="M747" s="21"/>
      <c r="N747" s="21"/>
      <c r="O747" s="24"/>
      <c r="P747" s="10"/>
      <c r="Q747" s="10"/>
      <c r="R747" s="10"/>
      <c r="T747" s="16"/>
    </row>
    <row r="748" spans="1:20" x14ac:dyDescent="0.25">
      <c r="A748" s="14">
        <v>2014</v>
      </c>
      <c r="B748" s="14" t="s">
        <v>133</v>
      </c>
      <c r="C748" s="14" t="s">
        <v>134</v>
      </c>
      <c r="D748" s="14">
        <v>5</v>
      </c>
      <c r="E748" s="14">
        <v>3</v>
      </c>
      <c r="F748" s="14">
        <v>27</v>
      </c>
      <c r="G748" s="14">
        <v>3</v>
      </c>
      <c r="H748" s="14" t="s">
        <v>14</v>
      </c>
      <c r="I748" s="15">
        <v>41834</v>
      </c>
      <c r="J748" s="14" t="s">
        <v>125</v>
      </c>
      <c r="K748" s="21">
        <v>22</v>
      </c>
      <c r="L748" s="21"/>
      <c r="M748" s="21"/>
      <c r="N748" s="21"/>
      <c r="O748" s="24"/>
      <c r="P748" s="10"/>
      <c r="Q748" s="10"/>
      <c r="R748" s="10"/>
      <c r="T748" s="16"/>
    </row>
    <row r="749" spans="1:20" x14ac:dyDescent="0.25">
      <c r="A749" s="14">
        <v>2014</v>
      </c>
      <c r="B749" s="14" t="s">
        <v>133</v>
      </c>
      <c r="C749" s="14" t="s">
        <v>134</v>
      </c>
      <c r="D749" s="14">
        <v>5</v>
      </c>
      <c r="E749" s="14">
        <v>4</v>
      </c>
      <c r="F749" s="14">
        <v>28</v>
      </c>
      <c r="G749" s="14">
        <v>3</v>
      </c>
      <c r="H749" s="14" t="s">
        <v>3</v>
      </c>
      <c r="I749" s="15">
        <v>41834</v>
      </c>
      <c r="J749" s="14" t="s">
        <v>125</v>
      </c>
      <c r="K749" s="21">
        <v>32</v>
      </c>
      <c r="L749" s="21"/>
      <c r="M749" s="21"/>
      <c r="N749" s="21"/>
      <c r="O749" s="24"/>
      <c r="P749" s="10"/>
      <c r="Q749" s="10"/>
      <c r="R749" s="10"/>
      <c r="T749" s="16"/>
    </row>
    <row r="750" spans="1:20" x14ac:dyDescent="0.25">
      <c r="A750" s="14">
        <v>2014</v>
      </c>
      <c r="B750" s="14" t="s">
        <v>133</v>
      </c>
      <c r="C750" s="14" t="s">
        <v>134</v>
      </c>
      <c r="D750" s="14">
        <v>5</v>
      </c>
      <c r="E750" s="14">
        <v>5</v>
      </c>
      <c r="F750" s="14">
        <v>29</v>
      </c>
      <c r="G750" s="14">
        <v>3</v>
      </c>
      <c r="H750" s="14" t="s">
        <v>13</v>
      </c>
      <c r="I750" s="15">
        <v>41834</v>
      </c>
      <c r="J750" s="14" t="s">
        <v>125</v>
      </c>
      <c r="K750" s="21">
        <v>36</v>
      </c>
      <c r="L750" s="21"/>
      <c r="M750" s="21"/>
      <c r="N750" s="21"/>
      <c r="O750" s="24"/>
      <c r="P750" s="10"/>
      <c r="Q750" s="10"/>
      <c r="R750" s="10"/>
      <c r="T750" s="16"/>
    </row>
    <row r="751" spans="1:20" x14ac:dyDescent="0.25">
      <c r="A751" s="14">
        <v>2014</v>
      </c>
      <c r="B751" s="14" t="s">
        <v>133</v>
      </c>
      <c r="C751" s="14" t="s">
        <v>134</v>
      </c>
      <c r="D751" s="14">
        <v>5</v>
      </c>
      <c r="E751" s="14">
        <v>6</v>
      </c>
      <c r="F751" s="14">
        <v>30</v>
      </c>
      <c r="G751" s="14">
        <v>3</v>
      </c>
      <c r="H751" s="14" t="s">
        <v>10</v>
      </c>
      <c r="I751" s="15">
        <v>41834</v>
      </c>
      <c r="J751" s="14" t="s">
        <v>125</v>
      </c>
      <c r="K751" s="21">
        <v>32</v>
      </c>
      <c r="L751" s="21"/>
      <c r="M751" s="21"/>
      <c r="N751" s="21"/>
      <c r="O751" s="24"/>
      <c r="P751" s="10"/>
      <c r="Q751" s="10"/>
      <c r="R751" s="10"/>
      <c r="T751" s="16"/>
    </row>
    <row r="752" spans="1:20" x14ac:dyDescent="0.25">
      <c r="A752" s="14">
        <v>2014</v>
      </c>
      <c r="B752" s="14" t="s">
        <v>133</v>
      </c>
      <c r="C752" s="14" t="s">
        <v>134</v>
      </c>
      <c r="D752" s="14">
        <v>6</v>
      </c>
      <c r="E752" s="14">
        <v>6</v>
      </c>
      <c r="F752" s="14">
        <v>31</v>
      </c>
      <c r="G752" s="14">
        <v>3</v>
      </c>
      <c r="H752" s="14" t="s">
        <v>12</v>
      </c>
      <c r="I752" s="15">
        <v>41834</v>
      </c>
      <c r="J752" s="14" t="s">
        <v>125</v>
      </c>
      <c r="K752" s="21">
        <v>29</v>
      </c>
      <c r="L752" s="21"/>
      <c r="M752" s="21"/>
      <c r="N752" s="21"/>
      <c r="O752" s="24"/>
      <c r="P752" s="10"/>
      <c r="Q752" s="10"/>
      <c r="R752" s="10"/>
      <c r="T752" s="16"/>
    </row>
    <row r="753" spans="1:20" x14ac:dyDescent="0.25">
      <c r="A753" s="14">
        <v>2014</v>
      </c>
      <c r="B753" s="14" t="s">
        <v>133</v>
      </c>
      <c r="C753" s="14" t="s">
        <v>134</v>
      </c>
      <c r="D753" s="14">
        <v>6</v>
      </c>
      <c r="E753" s="14">
        <v>5</v>
      </c>
      <c r="F753" s="14">
        <v>32</v>
      </c>
      <c r="G753" s="14">
        <v>3</v>
      </c>
      <c r="H753" s="14" t="s">
        <v>6</v>
      </c>
      <c r="I753" s="15">
        <v>41834</v>
      </c>
      <c r="J753" s="14" t="s">
        <v>125</v>
      </c>
      <c r="K753" s="21">
        <v>24</v>
      </c>
      <c r="L753" s="21"/>
      <c r="M753" s="21"/>
      <c r="N753" s="21"/>
      <c r="O753" s="24"/>
      <c r="P753" s="10"/>
      <c r="Q753" s="10"/>
      <c r="R753" s="10"/>
      <c r="T753" s="16"/>
    </row>
    <row r="754" spans="1:20" x14ac:dyDescent="0.25">
      <c r="A754" s="14">
        <v>2014</v>
      </c>
      <c r="B754" s="14" t="s">
        <v>133</v>
      </c>
      <c r="C754" s="14" t="s">
        <v>134</v>
      </c>
      <c r="D754" s="14">
        <v>6</v>
      </c>
      <c r="E754" s="14">
        <v>4</v>
      </c>
      <c r="F754" s="14">
        <v>33</v>
      </c>
      <c r="G754" s="14">
        <v>3</v>
      </c>
      <c r="H754" s="14" t="s">
        <v>4</v>
      </c>
      <c r="I754" s="15">
        <v>41834</v>
      </c>
      <c r="J754" s="14" t="s">
        <v>125</v>
      </c>
      <c r="K754" s="21">
        <v>18</v>
      </c>
      <c r="L754" s="21"/>
      <c r="M754" s="21"/>
      <c r="N754" s="21"/>
      <c r="O754" s="24"/>
      <c r="P754" s="10"/>
      <c r="Q754" s="10"/>
      <c r="R754" s="10"/>
      <c r="T754" s="16"/>
    </row>
    <row r="755" spans="1:20" x14ac:dyDescent="0.25">
      <c r="A755" s="14">
        <v>2014</v>
      </c>
      <c r="B755" s="14" t="s">
        <v>133</v>
      </c>
      <c r="C755" s="14" t="s">
        <v>134</v>
      </c>
      <c r="D755" s="14">
        <v>6</v>
      </c>
      <c r="E755" s="14">
        <v>3</v>
      </c>
      <c r="F755" s="14">
        <v>34</v>
      </c>
      <c r="G755" s="14">
        <v>3</v>
      </c>
      <c r="H755" s="14" t="s">
        <v>9</v>
      </c>
      <c r="I755" s="15">
        <v>41834</v>
      </c>
      <c r="J755" s="14" t="s">
        <v>125</v>
      </c>
      <c r="K755" s="21">
        <v>36</v>
      </c>
      <c r="L755" s="21"/>
      <c r="M755" s="21"/>
      <c r="N755" s="21"/>
      <c r="O755" s="24"/>
      <c r="P755" s="10"/>
      <c r="Q755" s="10"/>
      <c r="R755" s="10"/>
      <c r="T755" s="16"/>
    </row>
    <row r="756" spans="1:20" x14ac:dyDescent="0.25">
      <c r="A756" s="14">
        <v>2014</v>
      </c>
      <c r="B756" s="14" t="s">
        <v>133</v>
      </c>
      <c r="C756" s="14" t="s">
        <v>134</v>
      </c>
      <c r="D756" s="14">
        <v>6</v>
      </c>
      <c r="E756" s="14">
        <v>2</v>
      </c>
      <c r="F756" s="14">
        <v>35</v>
      </c>
      <c r="G756" s="14">
        <v>3</v>
      </c>
      <c r="H756" s="14" t="s">
        <v>7</v>
      </c>
      <c r="I756" s="15">
        <v>41834</v>
      </c>
      <c r="J756" s="14" t="s">
        <v>125</v>
      </c>
      <c r="K756" s="21">
        <v>27</v>
      </c>
      <c r="L756" s="21"/>
      <c r="M756" s="21"/>
      <c r="N756" s="21"/>
      <c r="O756" s="24"/>
      <c r="P756" s="10"/>
      <c r="Q756" s="10"/>
      <c r="R756" s="10"/>
      <c r="T756" s="16"/>
    </row>
    <row r="757" spans="1:20" x14ac:dyDescent="0.25">
      <c r="A757" s="14">
        <v>2014</v>
      </c>
      <c r="B757" s="14" t="s">
        <v>133</v>
      </c>
      <c r="C757" s="14" t="s">
        <v>134</v>
      </c>
      <c r="D757" s="14">
        <v>6</v>
      </c>
      <c r="E757" s="14">
        <v>1</v>
      </c>
      <c r="F757" s="14">
        <v>36</v>
      </c>
      <c r="G757" s="14">
        <v>3</v>
      </c>
      <c r="H757" s="14" t="s">
        <v>8</v>
      </c>
      <c r="I757" s="15">
        <v>41834</v>
      </c>
      <c r="J757" s="14" t="s">
        <v>125</v>
      </c>
      <c r="K757" s="21">
        <v>27</v>
      </c>
      <c r="L757" s="21"/>
      <c r="M757" s="21"/>
      <c r="N757" s="21"/>
      <c r="O757" s="24"/>
      <c r="P757" s="10"/>
      <c r="Q757" s="10"/>
      <c r="R757" s="10"/>
      <c r="T757" s="16"/>
    </row>
    <row r="758" spans="1:20" x14ac:dyDescent="0.25">
      <c r="A758" s="14">
        <v>2014</v>
      </c>
      <c r="B758" s="14" t="s">
        <v>133</v>
      </c>
      <c r="C758" s="14" t="s">
        <v>134</v>
      </c>
      <c r="D758" s="14">
        <v>7</v>
      </c>
      <c r="E758" s="14">
        <v>1</v>
      </c>
      <c r="F758" s="14">
        <v>37</v>
      </c>
      <c r="G758" s="14">
        <v>4</v>
      </c>
      <c r="H758" s="14" t="s">
        <v>9</v>
      </c>
      <c r="I758" s="15">
        <v>41834</v>
      </c>
      <c r="J758" s="14" t="s">
        <v>125</v>
      </c>
      <c r="K758" s="21">
        <v>32</v>
      </c>
      <c r="L758" s="21"/>
      <c r="M758" s="21"/>
      <c r="N758" s="21"/>
      <c r="O758" s="24"/>
      <c r="P758" s="10"/>
      <c r="Q758" s="10"/>
      <c r="R758" s="10"/>
      <c r="T758" s="16"/>
    </row>
    <row r="759" spans="1:20" x14ac:dyDescent="0.25">
      <c r="A759" s="14">
        <v>2014</v>
      </c>
      <c r="B759" s="14" t="s">
        <v>133</v>
      </c>
      <c r="C759" s="14" t="s">
        <v>134</v>
      </c>
      <c r="D759" s="14">
        <v>7</v>
      </c>
      <c r="E759" s="14">
        <v>2</v>
      </c>
      <c r="F759" s="14">
        <v>38</v>
      </c>
      <c r="G759" s="14">
        <v>4</v>
      </c>
      <c r="H759" s="14" t="s">
        <v>6</v>
      </c>
      <c r="I759" s="15">
        <v>41834</v>
      </c>
      <c r="J759" s="14" t="s">
        <v>125</v>
      </c>
      <c r="K759" s="21">
        <v>15</v>
      </c>
      <c r="L759" s="21"/>
      <c r="M759" s="21"/>
      <c r="N759" s="21"/>
      <c r="O759" s="24"/>
      <c r="P759" s="10"/>
      <c r="Q759" s="10"/>
      <c r="R759" s="10"/>
      <c r="T759" s="16"/>
    </row>
    <row r="760" spans="1:20" x14ac:dyDescent="0.25">
      <c r="A760" s="14">
        <v>2014</v>
      </c>
      <c r="B760" s="14" t="s">
        <v>133</v>
      </c>
      <c r="C760" s="14" t="s">
        <v>134</v>
      </c>
      <c r="D760" s="14">
        <v>7</v>
      </c>
      <c r="E760" s="14">
        <v>3</v>
      </c>
      <c r="F760" s="14">
        <v>39</v>
      </c>
      <c r="G760" s="14">
        <v>4</v>
      </c>
      <c r="H760" s="14" t="s">
        <v>2</v>
      </c>
      <c r="I760" s="15">
        <v>41834</v>
      </c>
      <c r="J760" s="14" t="s">
        <v>125</v>
      </c>
      <c r="K760" s="21">
        <v>23</v>
      </c>
      <c r="L760" s="21"/>
      <c r="M760" s="21"/>
      <c r="N760" s="21"/>
      <c r="O760" s="24"/>
      <c r="P760" s="10"/>
      <c r="Q760" s="10"/>
      <c r="R760" s="10"/>
      <c r="T760" s="16"/>
    </row>
    <row r="761" spans="1:20" x14ac:dyDescent="0.25">
      <c r="A761" s="14">
        <v>2014</v>
      </c>
      <c r="B761" s="14" t="s">
        <v>133</v>
      </c>
      <c r="C761" s="14" t="s">
        <v>134</v>
      </c>
      <c r="D761" s="14">
        <v>7</v>
      </c>
      <c r="E761" s="14">
        <v>4</v>
      </c>
      <c r="F761" s="14">
        <v>40</v>
      </c>
      <c r="G761" s="14">
        <v>4</v>
      </c>
      <c r="H761" s="14" t="s">
        <v>12</v>
      </c>
      <c r="I761" s="15">
        <v>41834</v>
      </c>
      <c r="J761" s="14" t="s">
        <v>125</v>
      </c>
      <c r="K761" s="21">
        <v>32</v>
      </c>
      <c r="L761" s="21"/>
      <c r="M761" s="21"/>
      <c r="N761" s="21"/>
      <c r="O761" s="24"/>
      <c r="P761" s="10"/>
      <c r="Q761" s="10"/>
      <c r="R761" s="10"/>
      <c r="T761" s="16"/>
    </row>
    <row r="762" spans="1:20" x14ac:dyDescent="0.25">
      <c r="A762" s="14">
        <v>2014</v>
      </c>
      <c r="B762" s="14" t="s">
        <v>133</v>
      </c>
      <c r="C762" s="14" t="s">
        <v>134</v>
      </c>
      <c r="D762" s="14">
        <v>7</v>
      </c>
      <c r="E762" s="14">
        <v>5</v>
      </c>
      <c r="F762" s="14">
        <v>41</v>
      </c>
      <c r="G762" s="14">
        <v>4</v>
      </c>
      <c r="H762" s="14" t="s">
        <v>8</v>
      </c>
      <c r="I762" s="15">
        <v>41834</v>
      </c>
      <c r="J762" s="14" t="s">
        <v>125</v>
      </c>
      <c r="K762" s="21">
        <v>35</v>
      </c>
      <c r="L762" s="21"/>
      <c r="M762" s="21"/>
      <c r="N762" s="21"/>
      <c r="O762" s="24"/>
      <c r="P762" s="10"/>
      <c r="Q762" s="10"/>
      <c r="R762" s="10"/>
      <c r="T762" s="16"/>
    </row>
    <row r="763" spans="1:20" x14ac:dyDescent="0.25">
      <c r="A763" s="14">
        <v>2014</v>
      </c>
      <c r="B763" s="14" t="s">
        <v>133</v>
      </c>
      <c r="C763" s="14" t="s">
        <v>134</v>
      </c>
      <c r="D763" s="14">
        <v>7</v>
      </c>
      <c r="E763" s="14">
        <v>6</v>
      </c>
      <c r="F763" s="14">
        <v>42</v>
      </c>
      <c r="G763" s="14">
        <v>4</v>
      </c>
      <c r="H763" s="14" t="s">
        <v>5</v>
      </c>
      <c r="I763" s="15">
        <v>41834</v>
      </c>
      <c r="J763" s="14" t="s">
        <v>125</v>
      </c>
      <c r="K763" s="21">
        <v>27</v>
      </c>
      <c r="L763" s="21"/>
      <c r="M763" s="21"/>
      <c r="N763" s="21"/>
      <c r="O763" s="24"/>
      <c r="P763" s="10"/>
      <c r="Q763" s="10"/>
      <c r="R763" s="10"/>
      <c r="T763" s="16"/>
    </row>
    <row r="764" spans="1:20" x14ac:dyDescent="0.25">
      <c r="A764" s="14">
        <v>2014</v>
      </c>
      <c r="B764" s="14" t="s">
        <v>133</v>
      </c>
      <c r="C764" s="14" t="s">
        <v>134</v>
      </c>
      <c r="D764" s="14">
        <v>8</v>
      </c>
      <c r="E764" s="14">
        <v>6</v>
      </c>
      <c r="F764" s="14">
        <v>43</v>
      </c>
      <c r="G764" s="14">
        <v>4</v>
      </c>
      <c r="H764" s="14" t="s">
        <v>3</v>
      </c>
      <c r="I764" s="15">
        <v>41834</v>
      </c>
      <c r="J764" s="14" t="s">
        <v>125</v>
      </c>
      <c r="K764" s="21">
        <v>29</v>
      </c>
      <c r="L764" s="21"/>
      <c r="M764" s="21"/>
      <c r="N764" s="21"/>
      <c r="O764" s="24"/>
      <c r="P764" s="10"/>
      <c r="Q764" s="10"/>
      <c r="R764" s="10"/>
      <c r="T764" s="16"/>
    </row>
    <row r="765" spans="1:20" x14ac:dyDescent="0.25">
      <c r="A765" s="14">
        <v>2014</v>
      </c>
      <c r="B765" s="14" t="s">
        <v>133</v>
      </c>
      <c r="C765" s="14" t="s">
        <v>134</v>
      </c>
      <c r="D765" s="14">
        <v>8</v>
      </c>
      <c r="E765" s="14">
        <v>5</v>
      </c>
      <c r="F765" s="14">
        <v>44</v>
      </c>
      <c r="G765" s="14">
        <v>4</v>
      </c>
      <c r="H765" s="14" t="s">
        <v>4</v>
      </c>
      <c r="I765" s="15">
        <v>41834</v>
      </c>
      <c r="J765" s="14" t="s">
        <v>125</v>
      </c>
      <c r="K765" s="21">
        <v>18</v>
      </c>
      <c r="L765" s="21"/>
      <c r="M765" s="21"/>
      <c r="N765" s="21"/>
      <c r="O765" s="24"/>
      <c r="P765" s="10"/>
      <c r="Q765" s="10"/>
      <c r="R765" s="10"/>
      <c r="T765" s="16"/>
    </row>
    <row r="766" spans="1:20" x14ac:dyDescent="0.25">
      <c r="A766" s="14">
        <v>2014</v>
      </c>
      <c r="B766" s="14" t="s">
        <v>133</v>
      </c>
      <c r="C766" s="14" t="s">
        <v>134</v>
      </c>
      <c r="D766" s="14">
        <v>8</v>
      </c>
      <c r="E766" s="14">
        <v>4</v>
      </c>
      <c r="F766" s="14">
        <v>45</v>
      </c>
      <c r="G766" s="14">
        <v>4</v>
      </c>
      <c r="H766" s="14" t="s">
        <v>13</v>
      </c>
      <c r="I766" s="15">
        <v>41834</v>
      </c>
      <c r="J766" s="14" t="s">
        <v>125</v>
      </c>
      <c r="K766" s="21">
        <v>31</v>
      </c>
      <c r="L766" s="21"/>
      <c r="M766" s="21"/>
      <c r="N766" s="21"/>
      <c r="O766" s="24"/>
      <c r="P766" s="10"/>
      <c r="Q766" s="10"/>
      <c r="R766" s="10"/>
      <c r="T766" s="16"/>
    </row>
    <row r="767" spans="1:20" x14ac:dyDescent="0.25">
      <c r="A767" s="14">
        <v>2014</v>
      </c>
      <c r="B767" s="14" t="s">
        <v>133</v>
      </c>
      <c r="C767" s="14" t="s">
        <v>134</v>
      </c>
      <c r="D767" s="14">
        <v>8</v>
      </c>
      <c r="E767" s="14">
        <v>3</v>
      </c>
      <c r="F767" s="14">
        <v>46</v>
      </c>
      <c r="G767" s="14">
        <v>4</v>
      </c>
      <c r="H767" s="14" t="s">
        <v>7</v>
      </c>
      <c r="I767" s="15">
        <v>41834</v>
      </c>
      <c r="J767" s="14" t="s">
        <v>125</v>
      </c>
      <c r="K767" s="21">
        <v>25</v>
      </c>
      <c r="L767" s="21"/>
      <c r="M767" s="21"/>
      <c r="N767" s="21"/>
      <c r="O767" s="24"/>
      <c r="P767" s="10"/>
      <c r="Q767" s="10"/>
      <c r="R767" s="10"/>
      <c r="T767" s="16"/>
    </row>
    <row r="768" spans="1:20" x14ac:dyDescent="0.25">
      <c r="A768" s="14">
        <v>2014</v>
      </c>
      <c r="B768" s="14" t="s">
        <v>133</v>
      </c>
      <c r="C768" s="14" t="s">
        <v>134</v>
      </c>
      <c r="D768" s="14">
        <v>8</v>
      </c>
      <c r="E768" s="14">
        <v>2</v>
      </c>
      <c r="F768" s="14">
        <v>47</v>
      </c>
      <c r="G768" s="14">
        <v>4</v>
      </c>
      <c r="H768" s="14" t="s">
        <v>14</v>
      </c>
      <c r="I768" s="15">
        <v>41834</v>
      </c>
      <c r="J768" s="14" t="s">
        <v>125</v>
      </c>
      <c r="K768" s="21">
        <v>28</v>
      </c>
      <c r="L768" s="21"/>
      <c r="M768" s="21"/>
      <c r="N768" s="21"/>
      <c r="O768" s="24"/>
      <c r="P768" s="10"/>
      <c r="Q768" s="10"/>
      <c r="R768" s="10"/>
      <c r="T768" s="16"/>
    </row>
    <row r="769" spans="1:20" x14ac:dyDescent="0.25">
      <c r="A769" s="14">
        <v>2014</v>
      </c>
      <c r="B769" s="14" t="s">
        <v>133</v>
      </c>
      <c r="C769" s="14" t="s">
        <v>134</v>
      </c>
      <c r="D769" s="14">
        <v>8</v>
      </c>
      <c r="E769" s="14">
        <v>1</v>
      </c>
      <c r="F769" s="14">
        <v>48</v>
      </c>
      <c r="G769" s="14">
        <v>4</v>
      </c>
      <c r="H769" s="14" t="s">
        <v>10</v>
      </c>
      <c r="I769" s="15">
        <v>41834</v>
      </c>
      <c r="J769" s="14" t="s">
        <v>125</v>
      </c>
      <c r="K769" s="21">
        <v>24</v>
      </c>
      <c r="L769" s="21"/>
      <c r="M769" s="21"/>
      <c r="N769" s="21"/>
      <c r="O769" s="24"/>
      <c r="P769" s="10"/>
      <c r="Q769" s="10"/>
      <c r="R769" s="10"/>
      <c r="T769" s="16"/>
    </row>
    <row r="770" spans="1:20" x14ac:dyDescent="0.25">
      <c r="A770" s="14">
        <v>2014</v>
      </c>
      <c r="B770" s="14" t="s">
        <v>133</v>
      </c>
      <c r="C770" s="14" t="s">
        <v>134</v>
      </c>
      <c r="D770" s="14">
        <v>1</v>
      </c>
      <c r="E770" s="14">
        <v>1</v>
      </c>
      <c r="F770" s="14">
        <v>1</v>
      </c>
      <c r="G770" s="14">
        <v>1</v>
      </c>
      <c r="H770" s="14" t="s">
        <v>6</v>
      </c>
      <c r="I770" s="15">
        <v>41865</v>
      </c>
      <c r="J770" s="14" t="s">
        <v>126</v>
      </c>
      <c r="K770" s="14">
        <v>75</v>
      </c>
      <c r="L770" s="14"/>
      <c r="M770" s="14"/>
      <c r="N770" s="14"/>
      <c r="O770" s="24"/>
      <c r="P770" s="10">
        <v>-26.31</v>
      </c>
      <c r="Q770" s="10">
        <v>43.1</v>
      </c>
      <c r="R770" s="10">
        <v>139.9</v>
      </c>
      <c r="S770" s="16">
        <f t="shared" ref="S770:S817" si="39">K770*Q770/1000</f>
        <v>3.2324999999999999</v>
      </c>
      <c r="T770" s="16">
        <f t="shared" ref="T770" si="40">K770*R770/1000</f>
        <v>10.4925</v>
      </c>
    </row>
    <row r="771" spans="1:20" x14ac:dyDescent="0.25">
      <c r="A771" s="14">
        <v>2014</v>
      </c>
      <c r="B771" s="14" t="s">
        <v>133</v>
      </c>
      <c r="C771" s="14" t="s">
        <v>134</v>
      </c>
      <c r="D771" s="14">
        <v>1</v>
      </c>
      <c r="E771" s="14">
        <v>2</v>
      </c>
      <c r="F771" s="14">
        <v>2</v>
      </c>
      <c r="G771" s="14">
        <v>1</v>
      </c>
      <c r="H771" s="14" t="s">
        <v>13</v>
      </c>
      <c r="I771" s="15">
        <v>41865</v>
      </c>
      <c r="J771" s="14" t="s">
        <v>126</v>
      </c>
      <c r="K771" s="14">
        <v>118</v>
      </c>
      <c r="L771" s="14"/>
      <c r="M771" s="14"/>
      <c r="N771" s="14"/>
      <c r="O771" s="24"/>
      <c r="P771" s="10">
        <v>-25.78</v>
      </c>
      <c r="Q771" s="10">
        <v>38.200000000000003</v>
      </c>
      <c r="R771" s="10">
        <v>116.2</v>
      </c>
      <c r="S771" s="16">
        <f t="shared" si="39"/>
        <v>4.5076000000000001</v>
      </c>
      <c r="T771" s="16">
        <f t="shared" ref="T771:T817" si="41">K771*R771/1000</f>
        <v>13.711600000000001</v>
      </c>
    </row>
    <row r="772" spans="1:20" x14ac:dyDescent="0.25">
      <c r="A772" s="14">
        <v>2014</v>
      </c>
      <c r="B772" s="14" t="s">
        <v>133</v>
      </c>
      <c r="C772" s="14" t="s">
        <v>134</v>
      </c>
      <c r="D772" s="14">
        <v>1</v>
      </c>
      <c r="E772" s="14">
        <v>3</v>
      </c>
      <c r="F772" s="14">
        <v>3</v>
      </c>
      <c r="G772" s="14">
        <v>1</v>
      </c>
      <c r="H772" s="14" t="s">
        <v>5</v>
      </c>
      <c r="I772" s="15">
        <v>41865</v>
      </c>
      <c r="J772" s="14" t="s">
        <v>126</v>
      </c>
      <c r="K772" s="14">
        <v>129</v>
      </c>
      <c r="L772" s="14"/>
      <c r="M772" s="14"/>
      <c r="N772" s="14"/>
      <c r="O772" s="24"/>
      <c r="P772" s="10">
        <v>-25.55</v>
      </c>
      <c r="Q772" s="10">
        <v>40.4</v>
      </c>
      <c r="R772" s="10">
        <v>119.8</v>
      </c>
      <c r="S772" s="16">
        <f t="shared" si="39"/>
        <v>5.2115999999999998</v>
      </c>
      <c r="T772" s="16">
        <f t="shared" si="41"/>
        <v>15.454199999999998</v>
      </c>
    </row>
    <row r="773" spans="1:20" x14ac:dyDescent="0.25">
      <c r="A773" s="14">
        <v>2014</v>
      </c>
      <c r="B773" s="14" t="s">
        <v>133</v>
      </c>
      <c r="C773" s="14" t="s">
        <v>134</v>
      </c>
      <c r="D773" s="14">
        <v>1</v>
      </c>
      <c r="E773" s="14">
        <v>4</v>
      </c>
      <c r="F773" s="14">
        <v>4</v>
      </c>
      <c r="G773" s="14">
        <v>1</v>
      </c>
      <c r="H773" s="14" t="s">
        <v>9</v>
      </c>
      <c r="I773" s="15">
        <v>41865</v>
      </c>
      <c r="J773" s="14" t="s">
        <v>126</v>
      </c>
      <c r="K773" s="14">
        <v>170</v>
      </c>
      <c r="L773" s="14"/>
      <c r="M773" s="14"/>
      <c r="N773" s="14"/>
      <c r="O773" s="24"/>
      <c r="P773" s="10">
        <v>-25.81</v>
      </c>
      <c r="Q773" s="10">
        <v>41.5</v>
      </c>
      <c r="R773" s="10">
        <v>106.2</v>
      </c>
      <c r="S773" s="16">
        <f t="shared" si="39"/>
        <v>7.0549999999999997</v>
      </c>
      <c r="T773" s="16">
        <f t="shared" si="41"/>
        <v>18.053999999999998</v>
      </c>
    </row>
    <row r="774" spans="1:20" x14ac:dyDescent="0.25">
      <c r="A774" s="14">
        <v>2014</v>
      </c>
      <c r="B774" s="14" t="s">
        <v>133</v>
      </c>
      <c r="C774" s="14" t="s">
        <v>134</v>
      </c>
      <c r="D774" s="14">
        <v>1</v>
      </c>
      <c r="E774" s="14">
        <v>5</v>
      </c>
      <c r="F774" s="14">
        <v>5</v>
      </c>
      <c r="G774" s="14">
        <v>1</v>
      </c>
      <c r="H774" s="14" t="s">
        <v>12</v>
      </c>
      <c r="I774" s="15">
        <v>41865</v>
      </c>
      <c r="J774" s="14" t="s">
        <v>126</v>
      </c>
      <c r="K774" s="14">
        <v>150</v>
      </c>
      <c r="L774" s="14"/>
      <c r="M774" s="14"/>
      <c r="N774" s="14"/>
      <c r="O774" s="24"/>
      <c r="P774" s="10">
        <v>-25.75</v>
      </c>
      <c r="Q774" s="10">
        <v>41.5</v>
      </c>
      <c r="R774" s="10">
        <v>94.9</v>
      </c>
      <c r="S774" s="16">
        <f t="shared" si="39"/>
        <v>6.2249999999999996</v>
      </c>
      <c r="T774" s="16">
        <f t="shared" si="41"/>
        <v>14.234999999999999</v>
      </c>
    </row>
    <row r="775" spans="1:20" x14ac:dyDescent="0.25">
      <c r="A775" s="14">
        <v>2014</v>
      </c>
      <c r="B775" s="14" t="s">
        <v>133</v>
      </c>
      <c r="C775" s="14" t="s">
        <v>134</v>
      </c>
      <c r="D775" s="14">
        <v>1</v>
      </c>
      <c r="E775" s="14">
        <v>6</v>
      </c>
      <c r="F775" s="14">
        <v>6</v>
      </c>
      <c r="G775" s="14">
        <v>1</v>
      </c>
      <c r="H775" s="14" t="s">
        <v>14</v>
      </c>
      <c r="I775" s="15">
        <v>41865</v>
      </c>
      <c r="J775" s="14" t="s">
        <v>126</v>
      </c>
      <c r="K775" s="14">
        <v>117</v>
      </c>
      <c r="L775" s="14"/>
      <c r="M775" s="14"/>
      <c r="N775" s="14"/>
      <c r="O775" s="24"/>
      <c r="P775" s="10">
        <v>-25.92</v>
      </c>
      <c r="Q775" s="10">
        <v>40</v>
      </c>
      <c r="R775" s="10">
        <v>113</v>
      </c>
      <c r="S775" s="16">
        <f t="shared" si="39"/>
        <v>4.68</v>
      </c>
      <c r="T775" s="16">
        <f t="shared" si="41"/>
        <v>13.221</v>
      </c>
    </row>
    <row r="776" spans="1:20" x14ac:dyDescent="0.25">
      <c r="A776" s="14">
        <v>2014</v>
      </c>
      <c r="B776" s="14" t="s">
        <v>133</v>
      </c>
      <c r="C776" s="14" t="s">
        <v>134</v>
      </c>
      <c r="D776" s="14">
        <v>2</v>
      </c>
      <c r="E776" s="14">
        <v>6</v>
      </c>
      <c r="F776" s="14">
        <v>7</v>
      </c>
      <c r="G776" s="14">
        <v>1</v>
      </c>
      <c r="H776" s="14" t="s">
        <v>4</v>
      </c>
      <c r="I776" s="15">
        <v>41865</v>
      </c>
      <c r="J776" s="14" t="s">
        <v>126</v>
      </c>
      <c r="K776" s="14">
        <v>146</v>
      </c>
      <c r="L776" s="14"/>
      <c r="M776" s="14"/>
      <c r="N776" s="14"/>
      <c r="O776" s="24"/>
      <c r="P776" s="10">
        <v>-25.83</v>
      </c>
      <c r="Q776" s="10">
        <v>43.9</v>
      </c>
      <c r="R776" s="10">
        <v>98.8</v>
      </c>
      <c r="S776" s="16">
        <f t="shared" si="39"/>
        <v>6.4093999999999998</v>
      </c>
      <c r="T776" s="16">
        <f t="shared" si="41"/>
        <v>14.424799999999999</v>
      </c>
    </row>
    <row r="777" spans="1:20" x14ac:dyDescent="0.25">
      <c r="A777" s="14">
        <v>2014</v>
      </c>
      <c r="B777" s="14" t="s">
        <v>133</v>
      </c>
      <c r="C777" s="14" t="s">
        <v>134</v>
      </c>
      <c r="D777" s="14">
        <v>2</v>
      </c>
      <c r="E777" s="14">
        <v>5</v>
      </c>
      <c r="F777" s="14">
        <v>8</v>
      </c>
      <c r="G777" s="14">
        <v>1</v>
      </c>
      <c r="H777" s="14" t="s">
        <v>7</v>
      </c>
      <c r="I777" s="15">
        <v>41865</v>
      </c>
      <c r="J777" s="14" t="s">
        <v>126</v>
      </c>
      <c r="K777" s="14">
        <v>136</v>
      </c>
      <c r="L777" s="14"/>
      <c r="M777" s="14"/>
      <c r="N777" s="14"/>
      <c r="O777" s="24"/>
      <c r="P777" s="10">
        <v>-25.96</v>
      </c>
      <c r="Q777" s="10">
        <v>41.6</v>
      </c>
      <c r="R777" s="10">
        <v>92.5</v>
      </c>
      <c r="S777" s="16">
        <f t="shared" si="39"/>
        <v>5.6576000000000004</v>
      </c>
      <c r="T777" s="16">
        <f t="shared" si="41"/>
        <v>12.58</v>
      </c>
    </row>
    <row r="778" spans="1:20" x14ac:dyDescent="0.25">
      <c r="A778" s="14">
        <v>2014</v>
      </c>
      <c r="B778" s="14" t="s">
        <v>133</v>
      </c>
      <c r="C778" s="14" t="s">
        <v>134</v>
      </c>
      <c r="D778" s="14">
        <v>2</v>
      </c>
      <c r="E778" s="14">
        <v>4</v>
      </c>
      <c r="F778" s="14">
        <v>9</v>
      </c>
      <c r="G778" s="14">
        <v>1</v>
      </c>
      <c r="H778" s="14" t="s">
        <v>2</v>
      </c>
      <c r="I778" s="15">
        <v>41865</v>
      </c>
      <c r="J778" s="14" t="s">
        <v>126</v>
      </c>
      <c r="K778" s="14">
        <v>209</v>
      </c>
      <c r="L778" s="14"/>
      <c r="M778" s="14"/>
      <c r="N778" s="14"/>
      <c r="O778" s="24"/>
      <c r="P778" s="10">
        <v>-25.72</v>
      </c>
      <c r="Q778" s="10">
        <v>38.6</v>
      </c>
      <c r="R778" s="10">
        <v>89.4</v>
      </c>
      <c r="S778" s="16">
        <f t="shared" si="39"/>
        <v>8.067400000000001</v>
      </c>
      <c r="T778" s="16">
        <f t="shared" si="41"/>
        <v>18.684600000000003</v>
      </c>
    </row>
    <row r="779" spans="1:20" x14ac:dyDescent="0.25">
      <c r="A779" s="14">
        <v>2014</v>
      </c>
      <c r="B779" s="14" t="s">
        <v>133</v>
      </c>
      <c r="C779" s="14" t="s">
        <v>134</v>
      </c>
      <c r="D779" s="14">
        <v>2</v>
      </c>
      <c r="E779" s="14">
        <v>3</v>
      </c>
      <c r="F779" s="14">
        <v>10</v>
      </c>
      <c r="G779" s="14">
        <v>1</v>
      </c>
      <c r="H779" s="14" t="s">
        <v>10</v>
      </c>
      <c r="I779" s="15">
        <v>41865</v>
      </c>
      <c r="J779" s="14" t="s">
        <v>126</v>
      </c>
      <c r="K779" s="14">
        <v>138</v>
      </c>
      <c r="L779" s="14"/>
      <c r="M779" s="14"/>
      <c r="N779" s="14"/>
      <c r="O779" s="24"/>
      <c r="P779" s="10">
        <v>-25.92</v>
      </c>
      <c r="Q779" s="10">
        <v>40.200000000000003</v>
      </c>
      <c r="R779" s="10">
        <v>94.1</v>
      </c>
      <c r="S779" s="16">
        <f t="shared" si="39"/>
        <v>5.5476000000000001</v>
      </c>
      <c r="T779" s="16">
        <f t="shared" si="41"/>
        <v>12.985799999999999</v>
      </c>
    </row>
    <row r="780" spans="1:20" x14ac:dyDescent="0.25">
      <c r="A780" s="14">
        <v>2014</v>
      </c>
      <c r="B780" s="14" t="s">
        <v>133</v>
      </c>
      <c r="C780" s="14" t="s">
        <v>134</v>
      </c>
      <c r="D780" s="14">
        <v>2</v>
      </c>
      <c r="E780" s="14">
        <v>2</v>
      </c>
      <c r="F780" s="14">
        <v>11</v>
      </c>
      <c r="G780" s="14">
        <v>1</v>
      </c>
      <c r="H780" s="14" t="s">
        <v>8</v>
      </c>
      <c r="I780" s="15">
        <v>41865</v>
      </c>
      <c r="J780" s="14" t="s">
        <v>126</v>
      </c>
      <c r="K780" s="14">
        <v>130</v>
      </c>
      <c r="L780" s="14"/>
      <c r="M780" s="14"/>
      <c r="N780" s="14"/>
      <c r="O780" s="24"/>
      <c r="P780" s="10">
        <v>-25.25</v>
      </c>
      <c r="Q780" s="10">
        <v>37.4</v>
      </c>
      <c r="R780" s="10">
        <v>157.30000000000001</v>
      </c>
      <c r="S780" s="16">
        <f t="shared" si="39"/>
        <v>4.8620000000000001</v>
      </c>
      <c r="T780" s="16">
        <f t="shared" si="41"/>
        <v>20.449000000000002</v>
      </c>
    </row>
    <row r="781" spans="1:20" x14ac:dyDescent="0.25">
      <c r="A781" s="14">
        <v>2014</v>
      </c>
      <c r="B781" s="14" t="s">
        <v>133</v>
      </c>
      <c r="C781" s="14" t="s">
        <v>134</v>
      </c>
      <c r="D781" s="14">
        <v>2</v>
      </c>
      <c r="E781" s="14">
        <v>1</v>
      </c>
      <c r="F781" s="14">
        <v>12</v>
      </c>
      <c r="G781" s="14">
        <v>1</v>
      </c>
      <c r="H781" s="14" t="s">
        <v>3</v>
      </c>
      <c r="I781" s="15">
        <v>41865</v>
      </c>
      <c r="J781" s="14" t="s">
        <v>126</v>
      </c>
      <c r="K781" s="14">
        <v>129</v>
      </c>
      <c r="L781" s="14"/>
      <c r="M781" s="14"/>
      <c r="N781" s="14"/>
      <c r="O781" s="24"/>
      <c r="P781" s="10">
        <v>-25.66</v>
      </c>
      <c r="Q781" s="10">
        <v>41.8</v>
      </c>
      <c r="R781" s="10">
        <v>120.6</v>
      </c>
      <c r="S781" s="16">
        <f t="shared" si="39"/>
        <v>5.3921999999999999</v>
      </c>
      <c r="T781" s="16">
        <f t="shared" si="41"/>
        <v>15.557399999999999</v>
      </c>
    </row>
    <row r="782" spans="1:20" x14ac:dyDescent="0.25">
      <c r="A782" s="14">
        <v>2014</v>
      </c>
      <c r="B782" s="14" t="s">
        <v>133</v>
      </c>
      <c r="C782" s="14" t="s">
        <v>134</v>
      </c>
      <c r="D782" s="14">
        <v>3</v>
      </c>
      <c r="E782" s="14">
        <v>1</v>
      </c>
      <c r="F782" s="14">
        <v>13</v>
      </c>
      <c r="G782" s="14">
        <v>2</v>
      </c>
      <c r="H782" s="14" t="s">
        <v>12</v>
      </c>
      <c r="I782" s="15">
        <v>41865</v>
      </c>
      <c r="J782" s="14" t="s">
        <v>126</v>
      </c>
      <c r="K782" s="14">
        <v>170</v>
      </c>
      <c r="L782" s="14"/>
      <c r="M782" s="14"/>
      <c r="N782" s="14"/>
      <c r="O782" s="24"/>
      <c r="P782" s="10">
        <v>-25.76</v>
      </c>
      <c r="Q782" s="10">
        <v>39</v>
      </c>
      <c r="R782" s="10">
        <v>103.9</v>
      </c>
      <c r="S782" s="16">
        <f t="shared" si="39"/>
        <v>6.63</v>
      </c>
      <c r="T782" s="16">
        <f t="shared" si="41"/>
        <v>17.663</v>
      </c>
    </row>
    <row r="783" spans="1:20" x14ac:dyDescent="0.25">
      <c r="A783" s="14">
        <v>2014</v>
      </c>
      <c r="B783" s="14" t="s">
        <v>133</v>
      </c>
      <c r="C783" s="14" t="s">
        <v>134</v>
      </c>
      <c r="D783" s="14">
        <v>3</v>
      </c>
      <c r="E783" s="14">
        <v>2</v>
      </c>
      <c r="F783" s="14">
        <v>14</v>
      </c>
      <c r="G783" s="14">
        <v>2</v>
      </c>
      <c r="H783" s="14" t="s">
        <v>10</v>
      </c>
      <c r="I783" s="15">
        <v>41865</v>
      </c>
      <c r="J783" s="14" t="s">
        <v>126</v>
      </c>
      <c r="K783" s="14">
        <v>132</v>
      </c>
      <c r="L783" s="14"/>
      <c r="M783" s="14"/>
      <c r="N783" s="14"/>
      <c r="O783" s="24"/>
      <c r="P783" s="10">
        <v>-25.93</v>
      </c>
      <c r="Q783" s="10">
        <v>40.6</v>
      </c>
      <c r="R783" s="10">
        <v>82.8</v>
      </c>
      <c r="S783" s="16">
        <f t="shared" si="39"/>
        <v>5.3591999999999995</v>
      </c>
      <c r="T783" s="16">
        <f t="shared" si="41"/>
        <v>10.929600000000001</v>
      </c>
    </row>
    <row r="784" spans="1:20" x14ac:dyDescent="0.25">
      <c r="A784" s="14">
        <v>2014</v>
      </c>
      <c r="B784" s="14" t="s">
        <v>133</v>
      </c>
      <c r="C784" s="14" t="s">
        <v>134</v>
      </c>
      <c r="D784" s="14">
        <v>3</v>
      </c>
      <c r="E784" s="14">
        <v>3</v>
      </c>
      <c r="F784" s="14">
        <v>15</v>
      </c>
      <c r="G784" s="14">
        <v>2</v>
      </c>
      <c r="H784" s="14" t="s">
        <v>6</v>
      </c>
      <c r="I784" s="15">
        <v>41865</v>
      </c>
      <c r="J784" s="14" t="s">
        <v>126</v>
      </c>
      <c r="K784" s="14">
        <v>84</v>
      </c>
      <c r="L784" s="14"/>
      <c r="M784" s="14"/>
      <c r="N784" s="14"/>
      <c r="O784" s="24"/>
      <c r="P784" s="10">
        <v>-25.77</v>
      </c>
      <c r="Q784" s="10">
        <v>39.4</v>
      </c>
      <c r="R784" s="10">
        <v>105.5</v>
      </c>
      <c r="S784" s="16">
        <f t="shared" si="39"/>
        <v>3.3096000000000001</v>
      </c>
      <c r="T784" s="16">
        <f t="shared" si="41"/>
        <v>8.8620000000000001</v>
      </c>
    </row>
    <row r="785" spans="1:20" x14ac:dyDescent="0.25">
      <c r="A785" s="14">
        <v>2014</v>
      </c>
      <c r="B785" s="14" t="s">
        <v>133</v>
      </c>
      <c r="C785" s="14" t="s">
        <v>134</v>
      </c>
      <c r="D785" s="14">
        <v>3</v>
      </c>
      <c r="E785" s="14">
        <v>4</v>
      </c>
      <c r="F785" s="14">
        <v>16</v>
      </c>
      <c r="G785" s="14">
        <v>2</v>
      </c>
      <c r="H785" s="14" t="s">
        <v>7</v>
      </c>
      <c r="I785" s="15">
        <v>41865</v>
      </c>
      <c r="J785" s="14" t="s">
        <v>126</v>
      </c>
      <c r="K785" s="14">
        <v>148</v>
      </c>
      <c r="L785" s="14"/>
      <c r="M785" s="14"/>
      <c r="N785" s="14"/>
      <c r="O785" s="24"/>
      <c r="P785" s="10">
        <v>-25.74</v>
      </c>
      <c r="Q785" s="10">
        <v>41.4</v>
      </c>
      <c r="R785" s="10">
        <v>103.7</v>
      </c>
      <c r="S785" s="16">
        <f t="shared" si="39"/>
        <v>6.1272000000000002</v>
      </c>
      <c r="T785" s="16">
        <f t="shared" si="41"/>
        <v>15.3476</v>
      </c>
    </row>
    <row r="786" spans="1:20" x14ac:dyDescent="0.25">
      <c r="A786" s="14">
        <v>2014</v>
      </c>
      <c r="B786" s="14" t="s">
        <v>133</v>
      </c>
      <c r="C786" s="14" t="s">
        <v>134</v>
      </c>
      <c r="D786" s="14">
        <v>3</v>
      </c>
      <c r="E786" s="14">
        <v>5</v>
      </c>
      <c r="F786" s="14">
        <v>17</v>
      </c>
      <c r="G786" s="14">
        <v>2</v>
      </c>
      <c r="H786" s="14" t="s">
        <v>3</v>
      </c>
      <c r="I786" s="15">
        <v>41865</v>
      </c>
      <c r="J786" s="14" t="s">
        <v>126</v>
      </c>
      <c r="K786" s="14">
        <v>145</v>
      </c>
      <c r="L786" s="14"/>
      <c r="M786" s="14"/>
      <c r="N786" s="14"/>
      <c r="O786" s="24"/>
      <c r="P786" s="10">
        <v>-25.69</v>
      </c>
      <c r="Q786" s="10">
        <v>44.5</v>
      </c>
      <c r="R786" s="10">
        <v>96.1</v>
      </c>
      <c r="S786" s="16">
        <f t="shared" si="39"/>
        <v>6.4524999999999997</v>
      </c>
      <c r="T786" s="16">
        <f t="shared" si="41"/>
        <v>13.9345</v>
      </c>
    </row>
    <row r="787" spans="1:20" x14ac:dyDescent="0.25">
      <c r="A787" s="14">
        <v>2014</v>
      </c>
      <c r="B787" s="14" t="s">
        <v>133</v>
      </c>
      <c r="C787" s="14" t="s">
        <v>134</v>
      </c>
      <c r="D787" s="14">
        <v>3</v>
      </c>
      <c r="E787" s="14">
        <v>6</v>
      </c>
      <c r="F787" s="14">
        <v>18</v>
      </c>
      <c r="G787" s="14">
        <v>2</v>
      </c>
      <c r="H787" s="14" t="s">
        <v>9</v>
      </c>
      <c r="I787" s="15">
        <v>41865</v>
      </c>
      <c r="J787" s="14" t="s">
        <v>126</v>
      </c>
      <c r="K787" s="14">
        <v>169</v>
      </c>
      <c r="L787" s="14"/>
      <c r="M787" s="14"/>
      <c r="N787" s="14"/>
      <c r="O787" s="24"/>
      <c r="P787" s="10">
        <v>-26.22</v>
      </c>
      <c r="Q787" s="10">
        <v>44.6</v>
      </c>
      <c r="R787" s="10">
        <v>70.5</v>
      </c>
      <c r="S787" s="16">
        <f t="shared" si="39"/>
        <v>7.5374000000000008</v>
      </c>
      <c r="T787" s="16">
        <f t="shared" si="41"/>
        <v>11.9145</v>
      </c>
    </row>
    <row r="788" spans="1:20" x14ac:dyDescent="0.25">
      <c r="A788" s="14">
        <v>2014</v>
      </c>
      <c r="B788" s="14" t="s">
        <v>133</v>
      </c>
      <c r="C788" s="14" t="s">
        <v>134</v>
      </c>
      <c r="D788" s="14">
        <v>4</v>
      </c>
      <c r="E788" s="14">
        <v>6</v>
      </c>
      <c r="F788" s="14">
        <v>19</v>
      </c>
      <c r="G788" s="14">
        <v>2</v>
      </c>
      <c r="H788" s="14" t="s">
        <v>13</v>
      </c>
      <c r="I788" s="15">
        <v>41865</v>
      </c>
      <c r="J788" s="14" t="s">
        <v>126</v>
      </c>
      <c r="K788" s="14">
        <v>155</v>
      </c>
      <c r="L788" s="14"/>
      <c r="M788" s="14"/>
      <c r="N788" s="14"/>
      <c r="O788" s="24"/>
      <c r="P788" s="10">
        <v>-26.31</v>
      </c>
      <c r="Q788" s="10">
        <v>43.4</v>
      </c>
      <c r="R788" s="10">
        <v>62.5</v>
      </c>
      <c r="S788" s="16">
        <f t="shared" si="39"/>
        <v>6.7270000000000003</v>
      </c>
      <c r="T788" s="16">
        <f t="shared" si="41"/>
        <v>9.6875</v>
      </c>
    </row>
    <row r="789" spans="1:20" x14ac:dyDescent="0.25">
      <c r="A789" s="14">
        <v>2014</v>
      </c>
      <c r="B789" s="14" t="s">
        <v>133</v>
      </c>
      <c r="C789" s="14" t="s">
        <v>134</v>
      </c>
      <c r="D789" s="14">
        <v>4</v>
      </c>
      <c r="E789" s="14">
        <v>5</v>
      </c>
      <c r="F789" s="14">
        <v>20</v>
      </c>
      <c r="G789" s="14">
        <v>2</v>
      </c>
      <c r="H789" s="14" t="s">
        <v>2</v>
      </c>
      <c r="I789" s="15">
        <v>41865</v>
      </c>
      <c r="J789" s="14" t="s">
        <v>126</v>
      </c>
      <c r="K789" s="14">
        <v>178</v>
      </c>
      <c r="L789" s="14"/>
      <c r="M789" s="14"/>
      <c r="N789" s="14"/>
      <c r="O789" s="24"/>
      <c r="P789" s="10">
        <v>-25.73</v>
      </c>
      <c r="Q789" s="10">
        <v>38.799999999999997</v>
      </c>
      <c r="R789" s="10">
        <v>97.5</v>
      </c>
      <c r="S789" s="16">
        <f t="shared" si="39"/>
        <v>6.9063999999999997</v>
      </c>
      <c r="T789" s="16">
        <f t="shared" si="41"/>
        <v>17.355</v>
      </c>
    </row>
    <row r="790" spans="1:20" x14ac:dyDescent="0.25">
      <c r="A790" s="14">
        <v>2014</v>
      </c>
      <c r="B790" s="14" t="s">
        <v>133</v>
      </c>
      <c r="C790" s="14" t="s">
        <v>134</v>
      </c>
      <c r="D790" s="14">
        <v>4</v>
      </c>
      <c r="E790" s="14">
        <v>4</v>
      </c>
      <c r="F790" s="14">
        <v>21</v>
      </c>
      <c r="G790" s="14">
        <v>2</v>
      </c>
      <c r="H790" s="14" t="s">
        <v>14</v>
      </c>
      <c r="I790" s="15">
        <v>41865</v>
      </c>
      <c r="J790" s="14" t="s">
        <v>126</v>
      </c>
      <c r="K790" s="14">
        <v>151</v>
      </c>
      <c r="L790" s="14"/>
      <c r="M790" s="14"/>
      <c r="N790" s="14"/>
      <c r="O790" s="24"/>
      <c r="P790" s="10">
        <v>-26.02</v>
      </c>
      <c r="Q790" s="10">
        <v>42.2</v>
      </c>
      <c r="R790" s="10">
        <v>89</v>
      </c>
      <c r="S790" s="16">
        <f t="shared" si="39"/>
        <v>6.3722000000000003</v>
      </c>
      <c r="T790" s="16">
        <f t="shared" si="41"/>
        <v>13.439</v>
      </c>
    </row>
    <row r="791" spans="1:20" x14ac:dyDescent="0.25">
      <c r="A791" s="14">
        <v>2014</v>
      </c>
      <c r="B791" s="14" t="s">
        <v>133</v>
      </c>
      <c r="C791" s="14" t="s">
        <v>134</v>
      </c>
      <c r="D791" s="14">
        <v>4</v>
      </c>
      <c r="E791" s="14">
        <v>3</v>
      </c>
      <c r="F791" s="14">
        <v>22</v>
      </c>
      <c r="G791" s="14">
        <v>2</v>
      </c>
      <c r="H791" s="14" t="s">
        <v>8</v>
      </c>
      <c r="I791" s="15">
        <v>41865</v>
      </c>
      <c r="J791" s="14" t="s">
        <v>126</v>
      </c>
      <c r="K791" s="14">
        <v>163</v>
      </c>
      <c r="L791" s="14"/>
      <c r="M791" s="14"/>
      <c r="N791" s="14"/>
      <c r="O791" s="24"/>
      <c r="P791" s="10">
        <v>-25.16</v>
      </c>
      <c r="Q791" s="10">
        <v>38.1</v>
      </c>
      <c r="R791" s="10">
        <v>146.4</v>
      </c>
      <c r="S791" s="16">
        <f t="shared" si="39"/>
        <v>6.2103000000000002</v>
      </c>
      <c r="T791" s="16">
        <f t="shared" si="41"/>
        <v>23.863199999999999</v>
      </c>
    </row>
    <row r="792" spans="1:20" x14ac:dyDescent="0.25">
      <c r="A792" s="14">
        <v>2014</v>
      </c>
      <c r="B792" s="14" t="s">
        <v>133</v>
      </c>
      <c r="C792" s="14" t="s">
        <v>134</v>
      </c>
      <c r="D792" s="14">
        <v>4</v>
      </c>
      <c r="E792" s="14">
        <v>2</v>
      </c>
      <c r="F792" s="14">
        <v>23</v>
      </c>
      <c r="G792" s="14">
        <v>2</v>
      </c>
      <c r="H792" s="14" t="s">
        <v>4</v>
      </c>
      <c r="I792" s="15">
        <v>41865</v>
      </c>
      <c r="J792" s="14" t="s">
        <v>126</v>
      </c>
      <c r="K792" s="14">
        <v>93</v>
      </c>
      <c r="L792" s="14"/>
      <c r="M792" s="14"/>
      <c r="N792" s="14"/>
      <c r="O792" s="24"/>
      <c r="P792" s="10">
        <v>-25.33</v>
      </c>
      <c r="Q792" s="10">
        <v>38.200000000000003</v>
      </c>
      <c r="R792" s="10">
        <v>118.8</v>
      </c>
      <c r="S792" s="16">
        <f t="shared" si="39"/>
        <v>3.5526000000000004</v>
      </c>
      <c r="T792" s="16">
        <f t="shared" si="41"/>
        <v>11.048399999999999</v>
      </c>
    </row>
    <row r="793" spans="1:20" x14ac:dyDescent="0.25">
      <c r="A793" s="14">
        <v>2014</v>
      </c>
      <c r="B793" s="14" t="s">
        <v>133</v>
      </c>
      <c r="C793" s="14" t="s">
        <v>134</v>
      </c>
      <c r="D793" s="14">
        <v>4</v>
      </c>
      <c r="E793" s="14">
        <v>1</v>
      </c>
      <c r="F793" s="14">
        <v>24</v>
      </c>
      <c r="G793" s="14">
        <v>2</v>
      </c>
      <c r="H793" s="14" t="s">
        <v>5</v>
      </c>
      <c r="I793" s="15">
        <v>41865</v>
      </c>
      <c r="J793" s="14" t="s">
        <v>126</v>
      </c>
      <c r="K793" s="14">
        <v>134</v>
      </c>
      <c r="L793" s="14"/>
      <c r="M793" s="14"/>
      <c r="N793" s="14"/>
      <c r="O793" s="24"/>
      <c r="P793" s="10">
        <v>-25.42</v>
      </c>
      <c r="Q793" s="10">
        <v>39.200000000000003</v>
      </c>
      <c r="R793" s="10">
        <v>111.6</v>
      </c>
      <c r="S793" s="16">
        <f t="shared" si="39"/>
        <v>5.2528000000000006</v>
      </c>
      <c r="T793" s="16">
        <f t="shared" si="41"/>
        <v>14.9544</v>
      </c>
    </row>
    <row r="794" spans="1:20" x14ac:dyDescent="0.25">
      <c r="A794" s="14">
        <v>2014</v>
      </c>
      <c r="B794" s="14" t="s">
        <v>133</v>
      </c>
      <c r="C794" s="14" t="s">
        <v>134</v>
      </c>
      <c r="D794" s="14">
        <v>5</v>
      </c>
      <c r="E794" s="14">
        <v>1</v>
      </c>
      <c r="F794" s="14">
        <v>25</v>
      </c>
      <c r="G794" s="14">
        <v>3</v>
      </c>
      <c r="H794" s="14" t="s">
        <v>2</v>
      </c>
      <c r="I794" s="15">
        <v>41865</v>
      </c>
      <c r="J794" s="14" t="s">
        <v>126</v>
      </c>
      <c r="K794" s="14">
        <v>153</v>
      </c>
      <c r="L794" s="14"/>
      <c r="M794" s="14"/>
      <c r="N794" s="14"/>
      <c r="O794" s="24"/>
      <c r="P794" s="10">
        <v>-25.12</v>
      </c>
      <c r="Q794" s="10">
        <v>38.799999999999997</v>
      </c>
      <c r="R794" s="10">
        <v>153.69999999999999</v>
      </c>
      <c r="S794" s="16">
        <f t="shared" si="39"/>
        <v>5.9363999999999999</v>
      </c>
      <c r="T794" s="16">
        <f t="shared" si="41"/>
        <v>23.516099999999998</v>
      </c>
    </row>
    <row r="795" spans="1:20" x14ac:dyDescent="0.25">
      <c r="A795" s="14">
        <v>2014</v>
      </c>
      <c r="B795" s="14" t="s">
        <v>133</v>
      </c>
      <c r="C795" s="14" t="s">
        <v>134</v>
      </c>
      <c r="D795" s="14">
        <v>5</v>
      </c>
      <c r="E795" s="14">
        <v>2</v>
      </c>
      <c r="F795" s="14">
        <v>26</v>
      </c>
      <c r="G795" s="14">
        <v>3</v>
      </c>
      <c r="H795" s="14" t="s">
        <v>5</v>
      </c>
      <c r="I795" s="15">
        <v>41865</v>
      </c>
      <c r="J795" s="14" t="s">
        <v>126</v>
      </c>
      <c r="K795" s="14">
        <v>118</v>
      </c>
      <c r="L795" s="14"/>
      <c r="M795" s="14"/>
      <c r="N795" s="14"/>
      <c r="O795" s="24"/>
      <c r="P795" s="10">
        <v>-25.74</v>
      </c>
      <c r="Q795" s="10">
        <v>40.5</v>
      </c>
      <c r="R795" s="10">
        <v>115.7</v>
      </c>
      <c r="S795" s="16">
        <f t="shared" si="39"/>
        <v>4.7789999999999999</v>
      </c>
      <c r="T795" s="16">
        <f t="shared" si="41"/>
        <v>13.6526</v>
      </c>
    </row>
    <row r="796" spans="1:20" x14ac:dyDescent="0.25">
      <c r="A796" s="14">
        <v>2014</v>
      </c>
      <c r="B796" s="14" t="s">
        <v>133</v>
      </c>
      <c r="C796" s="14" t="s">
        <v>134</v>
      </c>
      <c r="D796" s="14">
        <v>5</v>
      </c>
      <c r="E796" s="14">
        <v>3</v>
      </c>
      <c r="F796" s="14">
        <v>27</v>
      </c>
      <c r="G796" s="14">
        <v>3</v>
      </c>
      <c r="H796" s="14" t="s">
        <v>14</v>
      </c>
      <c r="I796" s="15">
        <v>41865</v>
      </c>
      <c r="J796" s="14" t="s">
        <v>126</v>
      </c>
      <c r="K796" s="14">
        <v>106</v>
      </c>
      <c r="L796" s="14"/>
      <c r="M796" s="14"/>
      <c r="N796" s="14"/>
      <c r="O796" s="24"/>
      <c r="P796" s="10">
        <v>-26.02</v>
      </c>
      <c r="Q796" s="10">
        <v>42.1</v>
      </c>
      <c r="R796" s="10">
        <v>100.9</v>
      </c>
      <c r="S796" s="16">
        <f t="shared" si="39"/>
        <v>4.4626000000000001</v>
      </c>
      <c r="T796" s="16">
        <f t="shared" si="41"/>
        <v>10.695400000000001</v>
      </c>
    </row>
    <row r="797" spans="1:20" x14ac:dyDescent="0.25">
      <c r="A797" s="14">
        <v>2014</v>
      </c>
      <c r="B797" s="14" t="s">
        <v>133</v>
      </c>
      <c r="C797" s="14" t="s">
        <v>134</v>
      </c>
      <c r="D797" s="14">
        <v>5</v>
      </c>
      <c r="E797" s="14">
        <v>4</v>
      </c>
      <c r="F797" s="14">
        <v>28</v>
      </c>
      <c r="G797" s="14">
        <v>3</v>
      </c>
      <c r="H797" s="14" t="s">
        <v>3</v>
      </c>
      <c r="I797" s="15">
        <v>41865</v>
      </c>
      <c r="J797" s="14" t="s">
        <v>126</v>
      </c>
      <c r="K797" s="14">
        <v>178</v>
      </c>
      <c r="L797" s="14"/>
      <c r="M797" s="14"/>
      <c r="N797" s="14"/>
      <c r="O797" s="24"/>
      <c r="P797" s="10">
        <v>-26.13</v>
      </c>
      <c r="Q797" s="10">
        <v>46.7</v>
      </c>
      <c r="R797" s="10">
        <v>77.599999999999994</v>
      </c>
      <c r="S797" s="16">
        <f t="shared" si="39"/>
        <v>8.3125999999999998</v>
      </c>
      <c r="T797" s="16">
        <f t="shared" si="41"/>
        <v>13.812799999999999</v>
      </c>
    </row>
    <row r="798" spans="1:20" x14ac:dyDescent="0.25">
      <c r="A798" s="14">
        <v>2014</v>
      </c>
      <c r="B798" s="14" t="s">
        <v>133</v>
      </c>
      <c r="C798" s="14" t="s">
        <v>134</v>
      </c>
      <c r="D798" s="14">
        <v>5</v>
      </c>
      <c r="E798" s="14">
        <v>5</v>
      </c>
      <c r="F798" s="14">
        <v>29</v>
      </c>
      <c r="G798" s="14">
        <v>3</v>
      </c>
      <c r="H798" s="14" t="s">
        <v>13</v>
      </c>
      <c r="I798" s="15">
        <v>41865</v>
      </c>
      <c r="J798" s="14" t="s">
        <v>126</v>
      </c>
      <c r="K798" s="14">
        <v>173</v>
      </c>
      <c r="L798" s="14"/>
      <c r="M798" s="14"/>
      <c r="N798" s="14"/>
      <c r="O798" s="24"/>
      <c r="P798" s="10">
        <v>-25.77</v>
      </c>
      <c r="Q798" s="10">
        <v>38.9</v>
      </c>
      <c r="R798" s="10">
        <v>99.9</v>
      </c>
      <c r="S798" s="16">
        <f t="shared" si="39"/>
        <v>6.7297000000000002</v>
      </c>
      <c r="T798" s="16">
        <f t="shared" si="41"/>
        <v>17.282700000000002</v>
      </c>
    </row>
    <row r="799" spans="1:20" x14ac:dyDescent="0.25">
      <c r="A799" s="14">
        <v>2014</v>
      </c>
      <c r="B799" s="14" t="s">
        <v>133</v>
      </c>
      <c r="C799" s="14" t="s">
        <v>134</v>
      </c>
      <c r="D799" s="14">
        <v>5</v>
      </c>
      <c r="E799" s="14">
        <v>6</v>
      </c>
      <c r="F799" s="14">
        <v>30</v>
      </c>
      <c r="G799" s="14">
        <v>3</v>
      </c>
      <c r="H799" s="14" t="s">
        <v>10</v>
      </c>
      <c r="I799" s="15">
        <v>41865</v>
      </c>
      <c r="J799" s="14" t="s">
        <v>126</v>
      </c>
      <c r="K799" s="14">
        <v>187</v>
      </c>
      <c r="L799" s="14"/>
      <c r="M799" s="14"/>
      <c r="N799" s="14"/>
      <c r="O799" s="24"/>
      <c r="P799" s="10">
        <v>-26.02</v>
      </c>
      <c r="Q799" s="10">
        <v>42.4</v>
      </c>
      <c r="R799" s="10">
        <v>74.400000000000006</v>
      </c>
      <c r="S799" s="16">
        <f t="shared" si="39"/>
        <v>7.9287999999999998</v>
      </c>
      <c r="T799" s="16">
        <f t="shared" si="41"/>
        <v>13.912800000000001</v>
      </c>
    </row>
    <row r="800" spans="1:20" x14ac:dyDescent="0.25">
      <c r="A800" s="14">
        <v>2014</v>
      </c>
      <c r="B800" s="14" t="s">
        <v>133</v>
      </c>
      <c r="C800" s="14" t="s">
        <v>134</v>
      </c>
      <c r="D800" s="14">
        <v>6</v>
      </c>
      <c r="E800" s="14">
        <v>6</v>
      </c>
      <c r="F800" s="14">
        <v>31</v>
      </c>
      <c r="G800" s="14">
        <v>3</v>
      </c>
      <c r="H800" s="14" t="s">
        <v>12</v>
      </c>
      <c r="I800" s="15">
        <v>41865</v>
      </c>
      <c r="J800" s="14" t="s">
        <v>126</v>
      </c>
      <c r="K800" s="14">
        <v>145</v>
      </c>
      <c r="L800" s="14"/>
      <c r="M800" s="14"/>
      <c r="N800" s="14"/>
      <c r="O800" s="24"/>
      <c r="P800" s="10">
        <v>-26.08</v>
      </c>
      <c r="Q800" s="10">
        <v>43.6</v>
      </c>
      <c r="R800" s="10">
        <v>90.4</v>
      </c>
      <c r="S800" s="16">
        <f t="shared" si="39"/>
        <v>6.3220000000000001</v>
      </c>
      <c r="T800" s="16">
        <f t="shared" si="41"/>
        <v>13.108000000000001</v>
      </c>
    </row>
    <row r="801" spans="1:20" x14ac:dyDescent="0.25">
      <c r="A801" s="14">
        <v>2014</v>
      </c>
      <c r="B801" s="14" t="s">
        <v>133</v>
      </c>
      <c r="C801" s="14" t="s">
        <v>134</v>
      </c>
      <c r="D801" s="14">
        <v>6</v>
      </c>
      <c r="E801" s="14">
        <v>5</v>
      </c>
      <c r="F801" s="14">
        <v>32</v>
      </c>
      <c r="G801" s="14">
        <v>3</v>
      </c>
      <c r="H801" s="14" t="s">
        <v>6</v>
      </c>
      <c r="I801" s="15">
        <v>41865</v>
      </c>
      <c r="J801" s="14" t="s">
        <v>126</v>
      </c>
      <c r="K801" s="14">
        <v>152</v>
      </c>
      <c r="L801" s="14"/>
      <c r="M801" s="14"/>
      <c r="N801" s="14"/>
      <c r="O801" s="24"/>
      <c r="P801" s="10">
        <v>-26.01</v>
      </c>
      <c r="Q801" s="10">
        <v>44.6</v>
      </c>
      <c r="R801" s="10">
        <v>86.1</v>
      </c>
      <c r="S801" s="16">
        <f t="shared" si="39"/>
        <v>6.7791999999999994</v>
      </c>
      <c r="T801" s="16">
        <f t="shared" si="41"/>
        <v>13.087199999999999</v>
      </c>
    </row>
    <row r="802" spans="1:20" x14ac:dyDescent="0.25">
      <c r="A802" s="14">
        <v>2014</v>
      </c>
      <c r="B802" s="14" t="s">
        <v>133</v>
      </c>
      <c r="C802" s="14" t="s">
        <v>134</v>
      </c>
      <c r="D802" s="14">
        <v>6</v>
      </c>
      <c r="E802" s="14">
        <v>4</v>
      </c>
      <c r="F802" s="14">
        <v>33</v>
      </c>
      <c r="G802" s="14">
        <v>3</v>
      </c>
      <c r="H802" s="14" t="s">
        <v>4</v>
      </c>
      <c r="I802" s="15">
        <v>41865</v>
      </c>
      <c r="J802" s="14" t="s">
        <v>126</v>
      </c>
      <c r="K802" s="14">
        <v>95</v>
      </c>
      <c r="L802" s="14"/>
      <c r="M802" s="14"/>
      <c r="N802" s="14"/>
      <c r="O802" s="24"/>
      <c r="P802" s="10">
        <v>-25.55</v>
      </c>
      <c r="Q802" s="10">
        <v>44.4</v>
      </c>
      <c r="R802" s="10">
        <v>119</v>
      </c>
      <c r="S802" s="16">
        <f t="shared" si="39"/>
        <v>4.218</v>
      </c>
      <c r="T802" s="16">
        <f t="shared" si="41"/>
        <v>11.305</v>
      </c>
    </row>
    <row r="803" spans="1:20" x14ac:dyDescent="0.25">
      <c r="A803" s="14">
        <v>2014</v>
      </c>
      <c r="B803" s="14" t="s">
        <v>133</v>
      </c>
      <c r="C803" s="14" t="s">
        <v>134</v>
      </c>
      <c r="D803" s="14">
        <v>6</v>
      </c>
      <c r="E803" s="14">
        <v>3</v>
      </c>
      <c r="F803" s="14">
        <v>34</v>
      </c>
      <c r="G803" s="14">
        <v>3</v>
      </c>
      <c r="H803" s="14" t="s">
        <v>9</v>
      </c>
      <c r="I803" s="15">
        <v>41865</v>
      </c>
      <c r="J803" s="14" t="s">
        <v>126</v>
      </c>
      <c r="K803" s="14">
        <v>169</v>
      </c>
      <c r="L803" s="14"/>
      <c r="M803" s="14"/>
      <c r="N803" s="14"/>
      <c r="O803" s="24"/>
      <c r="P803" s="10">
        <v>-25.71</v>
      </c>
      <c r="Q803" s="10">
        <v>41.7</v>
      </c>
      <c r="R803" s="10">
        <v>115.1</v>
      </c>
      <c r="S803" s="16">
        <f t="shared" si="39"/>
        <v>7.0472999999999999</v>
      </c>
      <c r="T803" s="16">
        <f t="shared" si="41"/>
        <v>19.451899999999998</v>
      </c>
    </row>
    <row r="804" spans="1:20" x14ac:dyDescent="0.25">
      <c r="A804" s="14">
        <v>2014</v>
      </c>
      <c r="B804" s="14" t="s">
        <v>133</v>
      </c>
      <c r="C804" s="14" t="s">
        <v>134</v>
      </c>
      <c r="D804" s="14">
        <v>6</v>
      </c>
      <c r="E804" s="14">
        <v>2</v>
      </c>
      <c r="F804" s="14">
        <v>35</v>
      </c>
      <c r="G804" s="14">
        <v>3</v>
      </c>
      <c r="H804" s="14" t="s">
        <v>7</v>
      </c>
      <c r="I804" s="15">
        <v>41865</v>
      </c>
      <c r="J804" s="14" t="s">
        <v>126</v>
      </c>
      <c r="K804" s="14">
        <v>112</v>
      </c>
      <c r="L804" s="14"/>
      <c r="M804" s="14"/>
      <c r="N804" s="14"/>
      <c r="O804" s="24"/>
      <c r="P804" s="10">
        <v>-25.98</v>
      </c>
      <c r="Q804" s="10">
        <v>39.700000000000003</v>
      </c>
      <c r="R804" s="10">
        <v>105.1</v>
      </c>
      <c r="S804" s="16">
        <f t="shared" si="39"/>
        <v>4.4464000000000006</v>
      </c>
      <c r="T804" s="16">
        <f t="shared" si="41"/>
        <v>11.771199999999999</v>
      </c>
    </row>
    <row r="805" spans="1:20" x14ac:dyDescent="0.25">
      <c r="A805" s="14">
        <v>2014</v>
      </c>
      <c r="B805" s="14" t="s">
        <v>133</v>
      </c>
      <c r="C805" s="14" t="s">
        <v>134</v>
      </c>
      <c r="D805" s="14">
        <v>6</v>
      </c>
      <c r="E805" s="14">
        <v>1</v>
      </c>
      <c r="F805" s="14">
        <v>36</v>
      </c>
      <c r="G805" s="14">
        <v>3</v>
      </c>
      <c r="H805" s="14" t="s">
        <v>8</v>
      </c>
      <c r="I805" s="15">
        <v>41865</v>
      </c>
      <c r="J805" s="14" t="s">
        <v>126</v>
      </c>
      <c r="K805" s="14">
        <v>112</v>
      </c>
      <c r="L805" s="14"/>
      <c r="M805" s="14"/>
      <c r="N805" s="14"/>
      <c r="O805" s="24"/>
      <c r="P805" s="10">
        <v>-25.19</v>
      </c>
      <c r="Q805" s="10">
        <v>38.9</v>
      </c>
      <c r="R805" s="10">
        <v>169</v>
      </c>
      <c r="S805" s="16">
        <f t="shared" si="39"/>
        <v>4.3567999999999998</v>
      </c>
      <c r="T805" s="16">
        <f t="shared" si="41"/>
        <v>18.928000000000001</v>
      </c>
    </row>
    <row r="806" spans="1:20" x14ac:dyDescent="0.25">
      <c r="A806" s="14">
        <v>2014</v>
      </c>
      <c r="B806" s="14" t="s">
        <v>133</v>
      </c>
      <c r="C806" s="14" t="s">
        <v>134</v>
      </c>
      <c r="D806" s="14">
        <v>7</v>
      </c>
      <c r="E806" s="14">
        <v>1</v>
      </c>
      <c r="F806" s="14">
        <v>37</v>
      </c>
      <c r="G806" s="14">
        <v>4</v>
      </c>
      <c r="H806" s="14" t="s">
        <v>9</v>
      </c>
      <c r="I806" s="15">
        <v>41865</v>
      </c>
      <c r="J806" s="14" t="s">
        <v>126</v>
      </c>
      <c r="K806" s="14">
        <v>133</v>
      </c>
      <c r="L806" s="14"/>
      <c r="M806" s="14"/>
      <c r="N806" s="14"/>
      <c r="O806" s="24"/>
      <c r="P806" s="10">
        <v>-26.09</v>
      </c>
      <c r="Q806" s="10">
        <v>41.7</v>
      </c>
      <c r="R806" s="10">
        <v>106.6</v>
      </c>
      <c r="S806" s="16">
        <f t="shared" si="39"/>
        <v>5.5461</v>
      </c>
      <c r="T806" s="16">
        <f t="shared" si="41"/>
        <v>14.1778</v>
      </c>
    </row>
    <row r="807" spans="1:20" x14ac:dyDescent="0.25">
      <c r="A807" s="14">
        <v>2014</v>
      </c>
      <c r="B807" s="14" t="s">
        <v>133</v>
      </c>
      <c r="C807" s="14" t="s">
        <v>134</v>
      </c>
      <c r="D807" s="14">
        <v>7</v>
      </c>
      <c r="E807" s="14">
        <v>2</v>
      </c>
      <c r="F807" s="14">
        <v>38</v>
      </c>
      <c r="G807" s="14">
        <v>4</v>
      </c>
      <c r="H807" s="14" t="s">
        <v>6</v>
      </c>
      <c r="I807" s="15">
        <v>41865</v>
      </c>
      <c r="J807" s="14" t="s">
        <v>126</v>
      </c>
      <c r="K807" s="14">
        <v>98</v>
      </c>
      <c r="L807" s="14"/>
      <c r="M807" s="14"/>
      <c r="N807" s="14"/>
      <c r="O807" s="24"/>
      <c r="P807" s="10">
        <v>-26.03</v>
      </c>
      <c r="Q807" s="10">
        <v>44.2</v>
      </c>
      <c r="R807" s="10">
        <v>89.7</v>
      </c>
      <c r="S807" s="16">
        <f t="shared" si="39"/>
        <v>4.3316000000000008</v>
      </c>
      <c r="T807" s="16">
        <f t="shared" si="41"/>
        <v>8.7905999999999995</v>
      </c>
    </row>
    <row r="808" spans="1:20" x14ac:dyDescent="0.25">
      <c r="A808" s="14">
        <v>2014</v>
      </c>
      <c r="B808" s="14" t="s">
        <v>133</v>
      </c>
      <c r="C808" s="14" t="s">
        <v>134</v>
      </c>
      <c r="D808" s="14">
        <v>7</v>
      </c>
      <c r="E808" s="14">
        <v>3</v>
      </c>
      <c r="F808" s="14">
        <v>39</v>
      </c>
      <c r="G808" s="14">
        <v>4</v>
      </c>
      <c r="H808" s="14" t="s">
        <v>2</v>
      </c>
      <c r="I808" s="15">
        <v>41865</v>
      </c>
      <c r="J808" s="14" t="s">
        <v>126</v>
      </c>
      <c r="K808" s="14">
        <v>157</v>
      </c>
      <c r="L808" s="14"/>
      <c r="M808" s="14"/>
      <c r="N808" s="14"/>
      <c r="O808" s="24"/>
      <c r="P808" s="10">
        <v>-25.43</v>
      </c>
      <c r="Q808" s="10">
        <v>40</v>
      </c>
      <c r="R808" s="10">
        <v>137.4</v>
      </c>
      <c r="S808" s="16">
        <f t="shared" si="39"/>
        <v>6.28</v>
      </c>
      <c r="T808" s="16">
        <f t="shared" si="41"/>
        <v>21.5718</v>
      </c>
    </row>
    <row r="809" spans="1:20" x14ac:dyDescent="0.25">
      <c r="A809" s="14">
        <v>2014</v>
      </c>
      <c r="B809" s="14" t="s">
        <v>133</v>
      </c>
      <c r="C809" s="14" t="s">
        <v>134</v>
      </c>
      <c r="D809" s="14">
        <v>7</v>
      </c>
      <c r="E809" s="14">
        <v>4</v>
      </c>
      <c r="F809" s="14">
        <v>40</v>
      </c>
      <c r="G809" s="14">
        <v>4</v>
      </c>
      <c r="H809" s="14" t="s">
        <v>12</v>
      </c>
      <c r="I809" s="15">
        <v>41865</v>
      </c>
      <c r="J809" s="14" t="s">
        <v>126</v>
      </c>
      <c r="K809" s="14">
        <v>159</v>
      </c>
      <c r="L809" s="14"/>
      <c r="M809" s="14"/>
      <c r="N809" s="14"/>
      <c r="O809" s="24"/>
      <c r="P809" s="10">
        <v>-26.29</v>
      </c>
      <c r="Q809" s="10">
        <v>41.6</v>
      </c>
      <c r="R809" s="10">
        <v>88.3</v>
      </c>
      <c r="S809" s="16">
        <f t="shared" si="39"/>
        <v>6.6144000000000007</v>
      </c>
      <c r="T809" s="16">
        <f t="shared" si="41"/>
        <v>14.039699999999998</v>
      </c>
    </row>
    <row r="810" spans="1:20" x14ac:dyDescent="0.25">
      <c r="A810" s="14">
        <v>2014</v>
      </c>
      <c r="B810" s="14" t="s">
        <v>133</v>
      </c>
      <c r="C810" s="14" t="s">
        <v>134</v>
      </c>
      <c r="D810" s="14">
        <v>7</v>
      </c>
      <c r="E810" s="14">
        <v>5</v>
      </c>
      <c r="F810" s="14">
        <v>41</v>
      </c>
      <c r="G810" s="14">
        <v>4</v>
      </c>
      <c r="H810" s="14" t="s">
        <v>8</v>
      </c>
      <c r="I810" s="15">
        <v>41865</v>
      </c>
      <c r="J810" s="14" t="s">
        <v>126</v>
      </c>
      <c r="K810" s="14">
        <v>148</v>
      </c>
      <c r="L810" s="14"/>
      <c r="M810" s="14"/>
      <c r="N810" s="14"/>
      <c r="O810" s="24"/>
      <c r="P810" s="10">
        <v>-25.19</v>
      </c>
      <c r="Q810" s="10">
        <v>39.6</v>
      </c>
      <c r="R810" s="10">
        <v>170</v>
      </c>
      <c r="S810" s="16">
        <f t="shared" si="39"/>
        <v>5.8608000000000002</v>
      </c>
      <c r="T810" s="16">
        <f t="shared" si="41"/>
        <v>25.16</v>
      </c>
    </row>
    <row r="811" spans="1:20" x14ac:dyDescent="0.25">
      <c r="A811" s="14">
        <v>2014</v>
      </c>
      <c r="B811" s="14" t="s">
        <v>133</v>
      </c>
      <c r="C811" s="14" t="s">
        <v>134</v>
      </c>
      <c r="D811" s="14">
        <v>7</v>
      </c>
      <c r="E811" s="14">
        <v>6</v>
      </c>
      <c r="F811" s="14">
        <v>42</v>
      </c>
      <c r="G811" s="14">
        <v>4</v>
      </c>
      <c r="H811" s="14" t="s">
        <v>5</v>
      </c>
      <c r="I811" s="15">
        <v>41865</v>
      </c>
      <c r="J811" s="14" t="s">
        <v>126</v>
      </c>
      <c r="K811" s="14">
        <v>125</v>
      </c>
      <c r="L811" s="14"/>
      <c r="M811" s="14"/>
      <c r="N811" s="14"/>
      <c r="O811" s="24"/>
      <c r="P811" s="10">
        <v>-25.6</v>
      </c>
      <c r="Q811" s="10">
        <v>45.7</v>
      </c>
      <c r="R811" s="10">
        <v>105.1</v>
      </c>
      <c r="S811" s="16">
        <f t="shared" si="39"/>
        <v>5.7125000000000004</v>
      </c>
      <c r="T811" s="16">
        <f t="shared" si="41"/>
        <v>13.137499999999999</v>
      </c>
    </row>
    <row r="812" spans="1:20" x14ac:dyDescent="0.25">
      <c r="A812" s="14">
        <v>2014</v>
      </c>
      <c r="B812" s="14" t="s">
        <v>133</v>
      </c>
      <c r="C812" s="14" t="s">
        <v>134</v>
      </c>
      <c r="D812" s="14">
        <v>8</v>
      </c>
      <c r="E812" s="14">
        <v>6</v>
      </c>
      <c r="F812" s="14">
        <v>43</v>
      </c>
      <c r="G812" s="14">
        <v>4</v>
      </c>
      <c r="H812" s="14" t="s">
        <v>3</v>
      </c>
      <c r="I812" s="15">
        <v>41865</v>
      </c>
      <c r="J812" s="14" t="s">
        <v>126</v>
      </c>
      <c r="K812" s="14">
        <v>112</v>
      </c>
      <c r="L812" s="14"/>
      <c r="M812" s="14"/>
      <c r="N812" s="14"/>
      <c r="O812" s="24"/>
      <c r="P812" s="10"/>
      <c r="Q812" s="10"/>
      <c r="R812" s="10"/>
      <c r="T812" s="16"/>
    </row>
    <row r="813" spans="1:20" x14ac:dyDescent="0.25">
      <c r="A813" s="14">
        <v>2014</v>
      </c>
      <c r="B813" s="14" t="s">
        <v>133</v>
      </c>
      <c r="C813" s="14" t="s">
        <v>134</v>
      </c>
      <c r="D813" s="14">
        <v>8</v>
      </c>
      <c r="E813" s="14">
        <v>5</v>
      </c>
      <c r="F813" s="14">
        <v>44</v>
      </c>
      <c r="G813" s="14">
        <v>4</v>
      </c>
      <c r="H813" s="14" t="s">
        <v>4</v>
      </c>
      <c r="I813" s="15">
        <v>41865</v>
      </c>
      <c r="J813" s="14" t="s">
        <v>126</v>
      </c>
      <c r="K813" s="14">
        <v>122</v>
      </c>
      <c r="L813" s="14"/>
      <c r="M813" s="14"/>
      <c r="N813" s="14"/>
      <c r="O813" s="24"/>
      <c r="P813" s="10">
        <v>-25.49</v>
      </c>
      <c r="Q813" s="10">
        <v>43.7</v>
      </c>
      <c r="R813" s="10">
        <v>124.7</v>
      </c>
      <c r="S813" s="16">
        <f t="shared" si="39"/>
        <v>5.3314000000000004</v>
      </c>
      <c r="T813" s="16">
        <f t="shared" si="41"/>
        <v>15.2134</v>
      </c>
    </row>
    <row r="814" spans="1:20" x14ac:dyDescent="0.25">
      <c r="A814" s="14">
        <v>2014</v>
      </c>
      <c r="B814" s="14" t="s">
        <v>133</v>
      </c>
      <c r="C814" s="14" t="s">
        <v>134</v>
      </c>
      <c r="D814" s="14">
        <v>8</v>
      </c>
      <c r="E814" s="14">
        <v>4</v>
      </c>
      <c r="F814" s="14">
        <v>45</v>
      </c>
      <c r="G814" s="14">
        <v>4</v>
      </c>
      <c r="H814" s="14" t="s">
        <v>13</v>
      </c>
      <c r="I814" s="15">
        <v>41865</v>
      </c>
      <c r="J814" s="14" t="s">
        <v>126</v>
      </c>
      <c r="K814" s="14">
        <v>115</v>
      </c>
      <c r="L814" s="14"/>
      <c r="M814" s="14"/>
      <c r="N814" s="14"/>
      <c r="O814" s="24"/>
      <c r="P814" s="10">
        <v>-25.96</v>
      </c>
      <c r="Q814" s="10">
        <v>43.4</v>
      </c>
      <c r="R814" s="10">
        <v>95.7</v>
      </c>
      <c r="S814" s="16">
        <f t="shared" si="39"/>
        <v>4.9909999999999997</v>
      </c>
      <c r="T814" s="16">
        <f t="shared" si="41"/>
        <v>11.0055</v>
      </c>
    </row>
    <row r="815" spans="1:20" x14ac:dyDescent="0.25">
      <c r="A815" s="14">
        <v>2014</v>
      </c>
      <c r="B815" s="14" t="s">
        <v>133</v>
      </c>
      <c r="C815" s="14" t="s">
        <v>134</v>
      </c>
      <c r="D815" s="14">
        <v>8</v>
      </c>
      <c r="E815" s="14">
        <v>3</v>
      </c>
      <c r="F815" s="14">
        <v>46</v>
      </c>
      <c r="G815" s="14">
        <v>4</v>
      </c>
      <c r="H815" s="14" t="s">
        <v>7</v>
      </c>
      <c r="I815" s="15">
        <v>41865</v>
      </c>
      <c r="J815" s="14" t="s">
        <v>126</v>
      </c>
      <c r="K815" s="14">
        <v>141</v>
      </c>
      <c r="L815" s="14"/>
      <c r="M815" s="14"/>
      <c r="N815" s="14"/>
      <c r="O815" s="24"/>
      <c r="P815" s="10">
        <v>-25.77</v>
      </c>
      <c r="Q815" s="10">
        <v>38.299999999999997</v>
      </c>
      <c r="R815" s="10">
        <v>118.8</v>
      </c>
      <c r="S815" s="16">
        <f t="shared" si="39"/>
        <v>5.4002999999999997</v>
      </c>
      <c r="T815" s="16">
        <f t="shared" si="41"/>
        <v>16.750799999999998</v>
      </c>
    </row>
    <row r="816" spans="1:20" x14ac:dyDescent="0.25">
      <c r="A816" s="14">
        <v>2014</v>
      </c>
      <c r="B816" s="14" t="s">
        <v>133</v>
      </c>
      <c r="C816" s="14" t="s">
        <v>134</v>
      </c>
      <c r="D816" s="14">
        <v>8</v>
      </c>
      <c r="E816" s="14">
        <v>2</v>
      </c>
      <c r="F816" s="14">
        <v>47</v>
      </c>
      <c r="G816" s="14">
        <v>4</v>
      </c>
      <c r="H816" s="14" t="s">
        <v>14</v>
      </c>
      <c r="I816" s="15">
        <v>41865</v>
      </c>
      <c r="J816" s="14" t="s">
        <v>126</v>
      </c>
      <c r="K816" s="14">
        <v>116</v>
      </c>
      <c r="L816" s="14"/>
      <c r="M816" s="14"/>
      <c r="N816" s="14"/>
      <c r="O816" s="24"/>
      <c r="P816" s="10"/>
      <c r="Q816" s="10"/>
      <c r="R816" s="10"/>
      <c r="T816" s="16"/>
    </row>
    <row r="817" spans="1:20" x14ac:dyDescent="0.25">
      <c r="A817" s="14">
        <v>2014</v>
      </c>
      <c r="B817" s="14" t="s">
        <v>133</v>
      </c>
      <c r="C817" s="14" t="s">
        <v>134</v>
      </c>
      <c r="D817" s="14">
        <v>8</v>
      </c>
      <c r="E817" s="14">
        <v>1</v>
      </c>
      <c r="F817" s="14">
        <v>48</v>
      </c>
      <c r="G817" s="14">
        <v>4</v>
      </c>
      <c r="H817" s="14" t="s">
        <v>10</v>
      </c>
      <c r="I817" s="15">
        <v>41865</v>
      </c>
      <c r="J817" s="14" t="s">
        <v>126</v>
      </c>
      <c r="K817" s="14">
        <v>109</v>
      </c>
      <c r="L817" s="14"/>
      <c r="M817" s="14"/>
      <c r="N817" s="14"/>
      <c r="O817" s="24"/>
      <c r="P817" s="10">
        <v>-25.33</v>
      </c>
      <c r="Q817" s="10">
        <v>39.299999999999997</v>
      </c>
      <c r="R817" s="10">
        <v>149.19999999999999</v>
      </c>
      <c r="S817" s="16">
        <f t="shared" si="39"/>
        <v>4.2836999999999996</v>
      </c>
      <c r="T817" s="16">
        <f t="shared" si="41"/>
        <v>16.262799999999999</v>
      </c>
    </row>
    <row r="818" spans="1:20" x14ac:dyDescent="0.25">
      <c r="A818" s="14">
        <v>2014</v>
      </c>
      <c r="B818" s="14" t="s">
        <v>133</v>
      </c>
      <c r="C818" s="14" t="s">
        <v>134</v>
      </c>
      <c r="D818" s="14">
        <v>1</v>
      </c>
      <c r="E818" s="14">
        <v>1</v>
      </c>
      <c r="F818" s="14">
        <v>1</v>
      </c>
      <c r="G818" s="14">
        <v>1</v>
      </c>
      <c r="H818" s="14" t="s">
        <v>6</v>
      </c>
      <c r="I818" s="15">
        <v>41900</v>
      </c>
      <c r="J818" s="14" t="s">
        <v>127</v>
      </c>
      <c r="K818" s="21">
        <v>312</v>
      </c>
      <c r="L818" s="21"/>
      <c r="M818" s="21"/>
      <c r="N818" s="21"/>
      <c r="O818" s="24"/>
      <c r="P818" s="10"/>
      <c r="Q818" s="10"/>
      <c r="R818" s="10"/>
      <c r="T818" s="16"/>
    </row>
    <row r="819" spans="1:20" x14ac:dyDescent="0.25">
      <c r="A819" s="14">
        <v>2014</v>
      </c>
      <c r="B819" s="14" t="s">
        <v>133</v>
      </c>
      <c r="C819" s="14" t="s">
        <v>134</v>
      </c>
      <c r="D819" s="14">
        <v>1</v>
      </c>
      <c r="E819" s="14">
        <v>2</v>
      </c>
      <c r="F819" s="14">
        <v>2</v>
      </c>
      <c r="G819" s="14">
        <v>1</v>
      </c>
      <c r="H819" s="14" t="s">
        <v>13</v>
      </c>
      <c r="I819" s="15">
        <v>41900</v>
      </c>
      <c r="J819" s="14" t="s">
        <v>127</v>
      </c>
      <c r="K819" s="21">
        <v>372</v>
      </c>
      <c r="L819" s="21"/>
      <c r="M819" s="21"/>
      <c r="N819" s="21"/>
      <c r="O819" s="24"/>
      <c r="P819" s="10"/>
      <c r="Q819" s="10"/>
      <c r="R819" s="10"/>
      <c r="T819" s="16"/>
    </row>
    <row r="820" spans="1:20" x14ac:dyDescent="0.25">
      <c r="A820" s="14">
        <v>2014</v>
      </c>
      <c r="B820" s="14" t="s">
        <v>133</v>
      </c>
      <c r="C820" s="14" t="s">
        <v>134</v>
      </c>
      <c r="D820" s="14">
        <v>1</v>
      </c>
      <c r="E820" s="14">
        <v>3</v>
      </c>
      <c r="F820" s="14">
        <v>3</v>
      </c>
      <c r="G820" s="14">
        <v>1</v>
      </c>
      <c r="H820" s="14" t="s">
        <v>5</v>
      </c>
      <c r="I820" s="15">
        <v>41900</v>
      </c>
      <c r="J820" s="14" t="s">
        <v>127</v>
      </c>
      <c r="K820" s="21">
        <v>476</v>
      </c>
      <c r="L820" s="21"/>
      <c r="M820" s="21"/>
      <c r="N820" s="21"/>
      <c r="O820" s="24"/>
      <c r="P820" s="10"/>
      <c r="Q820" s="10"/>
      <c r="R820" s="10"/>
      <c r="T820" s="16"/>
    </row>
    <row r="821" spans="1:20" x14ac:dyDescent="0.25">
      <c r="A821" s="14">
        <v>2014</v>
      </c>
      <c r="B821" s="14" t="s">
        <v>133</v>
      </c>
      <c r="C821" s="14" t="s">
        <v>134</v>
      </c>
      <c r="D821" s="14">
        <v>1</v>
      </c>
      <c r="E821" s="14">
        <v>4</v>
      </c>
      <c r="F821" s="14">
        <v>4</v>
      </c>
      <c r="G821" s="14">
        <v>1</v>
      </c>
      <c r="H821" s="14" t="s">
        <v>9</v>
      </c>
      <c r="I821" s="15">
        <v>41900</v>
      </c>
      <c r="J821" s="14" t="s">
        <v>127</v>
      </c>
      <c r="K821" s="21">
        <v>440</v>
      </c>
      <c r="L821" s="21"/>
      <c r="M821" s="21"/>
      <c r="N821" s="21"/>
      <c r="O821" s="24"/>
      <c r="P821" s="10"/>
      <c r="Q821" s="10"/>
      <c r="R821" s="10"/>
      <c r="T821" s="16"/>
    </row>
    <row r="822" spans="1:20" x14ac:dyDescent="0.25">
      <c r="A822" s="14">
        <v>2014</v>
      </c>
      <c r="B822" s="14" t="s">
        <v>133</v>
      </c>
      <c r="C822" s="14" t="s">
        <v>134</v>
      </c>
      <c r="D822" s="14">
        <v>1</v>
      </c>
      <c r="E822" s="14">
        <v>5</v>
      </c>
      <c r="F822" s="14">
        <v>5</v>
      </c>
      <c r="G822" s="14">
        <v>1</v>
      </c>
      <c r="H822" s="14" t="s">
        <v>12</v>
      </c>
      <c r="I822" s="15">
        <v>41900</v>
      </c>
      <c r="J822" s="14" t="s">
        <v>127</v>
      </c>
      <c r="K822" s="21">
        <v>443</v>
      </c>
      <c r="L822" s="21"/>
      <c r="M822" s="21"/>
      <c r="N822" s="21"/>
      <c r="O822" s="24"/>
      <c r="P822" s="10"/>
      <c r="Q822" s="10"/>
      <c r="R822" s="10"/>
      <c r="T822" s="16"/>
    </row>
    <row r="823" spans="1:20" x14ac:dyDescent="0.25">
      <c r="A823" s="14">
        <v>2014</v>
      </c>
      <c r="B823" s="14" t="s">
        <v>133</v>
      </c>
      <c r="C823" s="14" t="s">
        <v>134</v>
      </c>
      <c r="D823" s="14">
        <v>1</v>
      </c>
      <c r="E823" s="14">
        <v>6</v>
      </c>
      <c r="F823" s="14">
        <v>6</v>
      </c>
      <c r="G823" s="14">
        <v>1</v>
      </c>
      <c r="H823" s="14" t="s">
        <v>14</v>
      </c>
      <c r="I823" s="15">
        <v>41900</v>
      </c>
      <c r="J823" s="14" t="s">
        <v>127</v>
      </c>
      <c r="K823" s="21">
        <v>375</v>
      </c>
      <c r="L823" s="21"/>
      <c r="M823" s="21"/>
      <c r="N823" s="21"/>
      <c r="O823" s="24"/>
      <c r="P823" s="10"/>
      <c r="Q823" s="10"/>
      <c r="R823" s="10"/>
      <c r="T823" s="16"/>
    </row>
    <row r="824" spans="1:20" x14ac:dyDescent="0.25">
      <c r="A824" s="14">
        <v>2014</v>
      </c>
      <c r="B824" s="14" t="s">
        <v>133</v>
      </c>
      <c r="C824" s="14" t="s">
        <v>134</v>
      </c>
      <c r="D824" s="14">
        <v>2</v>
      </c>
      <c r="E824" s="14">
        <v>6</v>
      </c>
      <c r="F824" s="14">
        <v>7</v>
      </c>
      <c r="G824" s="14">
        <v>1</v>
      </c>
      <c r="H824" s="14" t="s">
        <v>4</v>
      </c>
      <c r="I824" s="15">
        <v>41900</v>
      </c>
      <c r="J824" s="14" t="s">
        <v>127</v>
      </c>
      <c r="K824" s="21">
        <v>425</v>
      </c>
      <c r="L824" s="21"/>
      <c r="M824" s="21"/>
      <c r="N824" s="21"/>
      <c r="O824" s="24"/>
      <c r="P824" s="10"/>
      <c r="Q824" s="10"/>
      <c r="R824" s="10"/>
      <c r="T824" s="16"/>
    </row>
    <row r="825" spans="1:20" x14ac:dyDescent="0.25">
      <c r="A825" s="14">
        <v>2014</v>
      </c>
      <c r="B825" s="14" t="s">
        <v>133</v>
      </c>
      <c r="C825" s="14" t="s">
        <v>134</v>
      </c>
      <c r="D825" s="14">
        <v>2</v>
      </c>
      <c r="E825" s="14">
        <v>5</v>
      </c>
      <c r="F825" s="14">
        <v>8</v>
      </c>
      <c r="G825" s="14">
        <v>1</v>
      </c>
      <c r="H825" s="14" t="s">
        <v>7</v>
      </c>
      <c r="I825" s="15">
        <v>41900</v>
      </c>
      <c r="J825" s="14" t="s">
        <v>127</v>
      </c>
      <c r="K825" s="21">
        <v>565</v>
      </c>
      <c r="L825" s="21"/>
      <c r="M825" s="21"/>
      <c r="N825" s="21"/>
      <c r="O825" s="24"/>
      <c r="P825" s="10"/>
      <c r="Q825" s="10"/>
      <c r="R825" s="10"/>
      <c r="T825" s="16"/>
    </row>
    <row r="826" spans="1:20" x14ac:dyDescent="0.25">
      <c r="A826" s="14">
        <v>2014</v>
      </c>
      <c r="B826" s="14" t="s">
        <v>133</v>
      </c>
      <c r="C826" s="14" t="s">
        <v>134</v>
      </c>
      <c r="D826" s="14">
        <v>2</v>
      </c>
      <c r="E826" s="14">
        <v>4</v>
      </c>
      <c r="F826" s="14">
        <v>9</v>
      </c>
      <c r="G826" s="14">
        <v>1</v>
      </c>
      <c r="H826" s="14" t="s">
        <v>2</v>
      </c>
      <c r="I826" s="15">
        <v>41900</v>
      </c>
      <c r="J826" s="14" t="s">
        <v>127</v>
      </c>
      <c r="K826" s="21">
        <v>655</v>
      </c>
      <c r="L826" s="21"/>
      <c r="M826" s="21"/>
      <c r="N826" s="21"/>
      <c r="O826" s="24"/>
      <c r="P826" s="10"/>
      <c r="Q826" s="10"/>
      <c r="R826" s="10"/>
      <c r="T826" s="16"/>
    </row>
    <row r="827" spans="1:20" x14ac:dyDescent="0.25">
      <c r="A827" s="14">
        <v>2014</v>
      </c>
      <c r="B827" s="14" t="s">
        <v>133</v>
      </c>
      <c r="C827" s="14" t="s">
        <v>134</v>
      </c>
      <c r="D827" s="14">
        <v>2</v>
      </c>
      <c r="E827" s="14">
        <v>3</v>
      </c>
      <c r="F827" s="14">
        <v>10</v>
      </c>
      <c r="G827" s="14">
        <v>1</v>
      </c>
      <c r="H827" s="14" t="s">
        <v>10</v>
      </c>
      <c r="I827" s="15">
        <v>41900</v>
      </c>
      <c r="J827" s="14" t="s">
        <v>127</v>
      </c>
      <c r="K827" s="21">
        <v>509</v>
      </c>
      <c r="L827" s="21"/>
      <c r="M827" s="21"/>
      <c r="N827" s="21"/>
      <c r="O827" s="24"/>
      <c r="P827" s="10"/>
      <c r="Q827" s="10"/>
      <c r="R827" s="10"/>
      <c r="T827" s="16"/>
    </row>
    <row r="828" spans="1:20" x14ac:dyDescent="0.25">
      <c r="A828" s="14">
        <v>2014</v>
      </c>
      <c r="B828" s="14" t="s">
        <v>133</v>
      </c>
      <c r="C828" s="14" t="s">
        <v>134</v>
      </c>
      <c r="D828" s="14">
        <v>2</v>
      </c>
      <c r="E828" s="14">
        <v>2</v>
      </c>
      <c r="F828" s="14">
        <v>11</v>
      </c>
      <c r="G828" s="14">
        <v>1</v>
      </c>
      <c r="H828" s="14" t="s">
        <v>8</v>
      </c>
      <c r="I828" s="15">
        <v>41900</v>
      </c>
      <c r="J828" s="14" t="s">
        <v>127</v>
      </c>
      <c r="K828" s="21">
        <v>481</v>
      </c>
      <c r="L828" s="21"/>
      <c r="M828" s="21"/>
      <c r="N828" s="21"/>
      <c r="O828" s="24"/>
      <c r="P828" s="10"/>
      <c r="Q828" s="10"/>
      <c r="R828" s="10"/>
      <c r="T828" s="16"/>
    </row>
    <row r="829" spans="1:20" x14ac:dyDescent="0.25">
      <c r="A829" s="14">
        <v>2014</v>
      </c>
      <c r="B829" s="14" t="s">
        <v>133</v>
      </c>
      <c r="C829" s="14" t="s">
        <v>134</v>
      </c>
      <c r="D829" s="14">
        <v>2</v>
      </c>
      <c r="E829" s="14">
        <v>1</v>
      </c>
      <c r="F829" s="14">
        <v>12</v>
      </c>
      <c r="G829" s="14">
        <v>1</v>
      </c>
      <c r="H829" s="14" t="s">
        <v>3</v>
      </c>
      <c r="I829" s="15">
        <v>41900</v>
      </c>
      <c r="J829" s="14" t="s">
        <v>127</v>
      </c>
      <c r="K829" s="21">
        <v>509</v>
      </c>
      <c r="L829" s="21"/>
      <c r="M829" s="21"/>
      <c r="N829" s="21"/>
      <c r="O829" s="24"/>
      <c r="P829" s="10"/>
      <c r="Q829" s="10"/>
      <c r="R829" s="10"/>
      <c r="T829" s="16"/>
    </row>
    <row r="830" spans="1:20" x14ac:dyDescent="0.25">
      <c r="A830" s="14">
        <v>2014</v>
      </c>
      <c r="B830" s="14" t="s">
        <v>133</v>
      </c>
      <c r="C830" s="14" t="s">
        <v>134</v>
      </c>
      <c r="D830" s="14">
        <v>3</v>
      </c>
      <c r="E830" s="14">
        <v>1</v>
      </c>
      <c r="F830" s="14">
        <v>13</v>
      </c>
      <c r="G830" s="14">
        <v>2</v>
      </c>
      <c r="H830" s="14" t="s">
        <v>12</v>
      </c>
      <c r="I830" s="15">
        <v>41900</v>
      </c>
      <c r="J830" s="14" t="s">
        <v>127</v>
      </c>
      <c r="K830" s="21">
        <v>432</v>
      </c>
      <c r="L830" s="21"/>
      <c r="M830" s="21"/>
      <c r="N830" s="21"/>
      <c r="O830" s="24"/>
      <c r="P830" s="10"/>
      <c r="Q830" s="10"/>
      <c r="R830" s="10"/>
      <c r="T830" s="16"/>
    </row>
    <row r="831" spans="1:20" x14ac:dyDescent="0.25">
      <c r="A831" s="14">
        <v>2014</v>
      </c>
      <c r="B831" s="14" t="s">
        <v>133</v>
      </c>
      <c r="C831" s="14" t="s">
        <v>134</v>
      </c>
      <c r="D831" s="14">
        <v>3</v>
      </c>
      <c r="E831" s="14">
        <v>2</v>
      </c>
      <c r="F831" s="14">
        <v>14</v>
      </c>
      <c r="G831" s="14">
        <v>2</v>
      </c>
      <c r="H831" s="14" t="s">
        <v>10</v>
      </c>
      <c r="I831" s="15">
        <v>41900</v>
      </c>
      <c r="J831" s="14" t="s">
        <v>127</v>
      </c>
      <c r="K831" s="21">
        <v>550</v>
      </c>
      <c r="L831" s="21"/>
      <c r="M831" s="21"/>
      <c r="N831" s="21"/>
      <c r="O831" s="24"/>
      <c r="P831" s="10"/>
      <c r="Q831" s="10"/>
      <c r="R831" s="10"/>
      <c r="T831" s="16"/>
    </row>
    <row r="832" spans="1:20" x14ac:dyDescent="0.25">
      <c r="A832" s="14">
        <v>2014</v>
      </c>
      <c r="B832" s="14" t="s">
        <v>133</v>
      </c>
      <c r="C832" s="14" t="s">
        <v>134</v>
      </c>
      <c r="D832" s="14">
        <v>3</v>
      </c>
      <c r="E832" s="14">
        <v>3</v>
      </c>
      <c r="F832" s="14">
        <v>15</v>
      </c>
      <c r="G832" s="14">
        <v>2</v>
      </c>
      <c r="H832" s="14" t="s">
        <v>6</v>
      </c>
      <c r="I832" s="15">
        <v>41900</v>
      </c>
      <c r="J832" s="14" t="s">
        <v>127</v>
      </c>
      <c r="K832" s="21">
        <v>381</v>
      </c>
      <c r="L832" s="21"/>
      <c r="M832" s="21"/>
      <c r="N832" s="21"/>
      <c r="O832" s="24"/>
      <c r="P832" s="10"/>
      <c r="Q832" s="10"/>
      <c r="R832" s="10"/>
      <c r="T832" s="16"/>
    </row>
    <row r="833" spans="1:20" x14ac:dyDescent="0.25">
      <c r="A833" s="14">
        <v>2014</v>
      </c>
      <c r="B833" s="14" t="s">
        <v>133</v>
      </c>
      <c r="C833" s="14" t="s">
        <v>134</v>
      </c>
      <c r="D833" s="14">
        <v>3</v>
      </c>
      <c r="E833" s="14">
        <v>4</v>
      </c>
      <c r="F833" s="14">
        <v>16</v>
      </c>
      <c r="G833" s="14">
        <v>2</v>
      </c>
      <c r="H833" s="14" t="s">
        <v>7</v>
      </c>
      <c r="I833" s="15">
        <v>41900</v>
      </c>
      <c r="J833" s="14" t="s">
        <v>127</v>
      </c>
      <c r="K833" s="21">
        <v>410</v>
      </c>
      <c r="L833" s="21"/>
      <c r="M833" s="21"/>
      <c r="N833" s="21"/>
      <c r="O833" s="24"/>
      <c r="P833" s="10"/>
      <c r="Q833" s="10"/>
      <c r="R833" s="10"/>
      <c r="T833" s="16"/>
    </row>
    <row r="834" spans="1:20" x14ac:dyDescent="0.25">
      <c r="A834" s="14">
        <v>2014</v>
      </c>
      <c r="B834" s="14" t="s">
        <v>133</v>
      </c>
      <c r="C834" s="14" t="s">
        <v>134</v>
      </c>
      <c r="D834" s="14">
        <v>3</v>
      </c>
      <c r="E834" s="14">
        <v>5</v>
      </c>
      <c r="F834" s="14">
        <v>17</v>
      </c>
      <c r="G834" s="14">
        <v>2</v>
      </c>
      <c r="H834" s="14" t="s">
        <v>3</v>
      </c>
      <c r="I834" s="15">
        <v>41900</v>
      </c>
      <c r="J834" s="14" t="s">
        <v>127</v>
      </c>
      <c r="K834" s="21">
        <v>499</v>
      </c>
      <c r="L834" s="21"/>
      <c r="M834" s="21"/>
      <c r="N834" s="21"/>
      <c r="O834" s="24"/>
      <c r="P834" s="10"/>
      <c r="Q834" s="10"/>
      <c r="R834" s="10"/>
      <c r="T834" s="16"/>
    </row>
    <row r="835" spans="1:20" x14ac:dyDescent="0.25">
      <c r="A835" s="14">
        <v>2014</v>
      </c>
      <c r="B835" s="14" t="s">
        <v>133</v>
      </c>
      <c r="C835" s="14" t="s">
        <v>134</v>
      </c>
      <c r="D835" s="14">
        <v>3</v>
      </c>
      <c r="E835" s="14">
        <v>6</v>
      </c>
      <c r="F835" s="14">
        <v>18</v>
      </c>
      <c r="G835" s="14">
        <v>2</v>
      </c>
      <c r="H835" s="14" t="s">
        <v>9</v>
      </c>
      <c r="I835" s="15">
        <v>41900</v>
      </c>
      <c r="J835" s="14" t="s">
        <v>127</v>
      </c>
      <c r="K835" s="21">
        <v>454</v>
      </c>
      <c r="L835" s="21"/>
      <c r="M835" s="21"/>
      <c r="N835" s="21"/>
      <c r="O835" s="24"/>
      <c r="P835" s="10"/>
      <c r="Q835" s="10"/>
      <c r="R835" s="10"/>
      <c r="T835" s="16"/>
    </row>
    <row r="836" spans="1:20" x14ac:dyDescent="0.25">
      <c r="A836" s="14">
        <v>2014</v>
      </c>
      <c r="B836" s="14" t="s">
        <v>133</v>
      </c>
      <c r="C836" s="14" t="s">
        <v>134</v>
      </c>
      <c r="D836" s="14">
        <v>4</v>
      </c>
      <c r="E836" s="14">
        <v>6</v>
      </c>
      <c r="F836" s="14">
        <v>19</v>
      </c>
      <c r="G836" s="14">
        <v>2</v>
      </c>
      <c r="H836" s="14" t="s">
        <v>13</v>
      </c>
      <c r="I836" s="15">
        <v>41900</v>
      </c>
      <c r="J836" s="14" t="s">
        <v>127</v>
      </c>
      <c r="K836" s="21">
        <v>293</v>
      </c>
      <c r="L836" s="21"/>
      <c r="M836" s="21"/>
      <c r="N836" s="21"/>
      <c r="O836" s="24"/>
      <c r="P836" s="10"/>
      <c r="Q836" s="10"/>
      <c r="R836" s="10"/>
      <c r="T836" s="16"/>
    </row>
    <row r="837" spans="1:20" x14ac:dyDescent="0.25">
      <c r="A837" s="14">
        <v>2014</v>
      </c>
      <c r="B837" s="14" t="s">
        <v>133</v>
      </c>
      <c r="C837" s="14" t="s">
        <v>134</v>
      </c>
      <c r="D837" s="14">
        <v>4</v>
      </c>
      <c r="E837" s="14">
        <v>5</v>
      </c>
      <c r="F837" s="14">
        <v>20</v>
      </c>
      <c r="G837" s="14">
        <v>2</v>
      </c>
      <c r="H837" s="14" t="s">
        <v>2</v>
      </c>
      <c r="I837" s="15">
        <v>41900</v>
      </c>
      <c r="J837" s="14" t="s">
        <v>127</v>
      </c>
      <c r="K837" s="21">
        <v>638</v>
      </c>
      <c r="L837" s="21"/>
      <c r="M837" s="21"/>
      <c r="N837" s="21"/>
      <c r="O837" s="24"/>
      <c r="P837" s="10"/>
      <c r="Q837" s="10"/>
      <c r="R837" s="10"/>
      <c r="T837" s="16"/>
    </row>
    <row r="838" spans="1:20" x14ac:dyDescent="0.25">
      <c r="A838" s="14">
        <v>2014</v>
      </c>
      <c r="B838" s="14" t="s">
        <v>133</v>
      </c>
      <c r="C838" s="14" t="s">
        <v>134</v>
      </c>
      <c r="D838" s="14">
        <v>4</v>
      </c>
      <c r="E838" s="14">
        <v>4</v>
      </c>
      <c r="F838" s="14">
        <v>21</v>
      </c>
      <c r="G838" s="14">
        <v>2</v>
      </c>
      <c r="H838" s="14" t="s">
        <v>14</v>
      </c>
      <c r="I838" s="15">
        <v>41900</v>
      </c>
      <c r="J838" s="14" t="s">
        <v>127</v>
      </c>
      <c r="K838" s="21">
        <v>549</v>
      </c>
      <c r="L838" s="21"/>
      <c r="M838" s="21"/>
      <c r="N838" s="21"/>
      <c r="O838" s="24"/>
      <c r="P838" s="10"/>
      <c r="Q838" s="10"/>
      <c r="R838" s="10"/>
      <c r="T838" s="16"/>
    </row>
    <row r="839" spans="1:20" x14ac:dyDescent="0.25">
      <c r="A839" s="14">
        <v>2014</v>
      </c>
      <c r="B839" s="14" t="s">
        <v>133</v>
      </c>
      <c r="C839" s="14" t="s">
        <v>134</v>
      </c>
      <c r="D839" s="14">
        <v>4</v>
      </c>
      <c r="E839" s="14">
        <v>3</v>
      </c>
      <c r="F839" s="14">
        <v>22</v>
      </c>
      <c r="G839" s="14">
        <v>2</v>
      </c>
      <c r="H839" s="14" t="s">
        <v>8</v>
      </c>
      <c r="I839" s="15">
        <v>41900</v>
      </c>
      <c r="J839" s="14" t="s">
        <v>127</v>
      </c>
      <c r="K839" s="21">
        <v>458</v>
      </c>
      <c r="L839" s="21"/>
      <c r="M839" s="21"/>
      <c r="N839" s="21"/>
      <c r="O839" s="24"/>
      <c r="P839" s="10"/>
      <c r="Q839" s="10"/>
      <c r="R839" s="10"/>
      <c r="T839" s="16"/>
    </row>
    <row r="840" spans="1:20" x14ac:dyDescent="0.25">
      <c r="A840" s="14">
        <v>2014</v>
      </c>
      <c r="B840" s="14" t="s">
        <v>133</v>
      </c>
      <c r="C840" s="14" t="s">
        <v>134</v>
      </c>
      <c r="D840" s="14">
        <v>4</v>
      </c>
      <c r="E840" s="14">
        <v>2</v>
      </c>
      <c r="F840" s="14">
        <v>23</v>
      </c>
      <c r="G840" s="14">
        <v>2</v>
      </c>
      <c r="H840" s="14" t="s">
        <v>4</v>
      </c>
      <c r="I840" s="15">
        <v>41900</v>
      </c>
      <c r="J840" s="14" t="s">
        <v>127</v>
      </c>
      <c r="K840" s="21">
        <v>364</v>
      </c>
      <c r="L840" s="21"/>
      <c r="M840" s="21"/>
      <c r="N840" s="21"/>
      <c r="O840" s="24"/>
      <c r="P840" s="10"/>
      <c r="Q840" s="10"/>
      <c r="R840" s="10"/>
      <c r="T840" s="16"/>
    </row>
    <row r="841" spans="1:20" x14ac:dyDescent="0.25">
      <c r="A841" s="14">
        <v>2014</v>
      </c>
      <c r="B841" s="14" t="s">
        <v>133</v>
      </c>
      <c r="C841" s="14" t="s">
        <v>134</v>
      </c>
      <c r="D841" s="14">
        <v>4</v>
      </c>
      <c r="E841" s="14">
        <v>1</v>
      </c>
      <c r="F841" s="14">
        <v>24</v>
      </c>
      <c r="G841" s="14">
        <v>2</v>
      </c>
      <c r="H841" s="14" t="s">
        <v>5</v>
      </c>
      <c r="I841" s="15">
        <v>41900</v>
      </c>
      <c r="J841" s="14" t="s">
        <v>127</v>
      </c>
      <c r="K841" s="21">
        <v>402</v>
      </c>
      <c r="L841" s="21"/>
      <c r="M841" s="21"/>
      <c r="N841" s="21"/>
      <c r="O841" s="24"/>
      <c r="P841" s="10"/>
      <c r="Q841" s="10"/>
      <c r="R841" s="10"/>
      <c r="T841" s="16"/>
    </row>
    <row r="842" spans="1:20" x14ac:dyDescent="0.25">
      <c r="A842" s="14">
        <v>2014</v>
      </c>
      <c r="B842" s="14" t="s">
        <v>133</v>
      </c>
      <c r="C842" s="14" t="s">
        <v>134</v>
      </c>
      <c r="D842" s="14">
        <v>5</v>
      </c>
      <c r="E842" s="14">
        <v>1</v>
      </c>
      <c r="F842" s="14">
        <v>25</v>
      </c>
      <c r="G842" s="14">
        <v>3</v>
      </c>
      <c r="H842" s="14" t="s">
        <v>2</v>
      </c>
      <c r="I842" s="15">
        <v>41900</v>
      </c>
      <c r="J842" s="14" t="s">
        <v>127</v>
      </c>
      <c r="K842" s="21">
        <v>511</v>
      </c>
      <c r="L842" s="21"/>
      <c r="M842" s="21"/>
      <c r="N842" s="21"/>
      <c r="O842" s="24"/>
      <c r="P842" s="10"/>
      <c r="Q842" s="10"/>
      <c r="R842" s="10"/>
      <c r="T842" s="16"/>
    </row>
    <row r="843" spans="1:20" x14ac:dyDescent="0.25">
      <c r="A843" s="14">
        <v>2014</v>
      </c>
      <c r="B843" s="14" t="s">
        <v>133</v>
      </c>
      <c r="C843" s="14" t="s">
        <v>134</v>
      </c>
      <c r="D843" s="14">
        <v>5</v>
      </c>
      <c r="E843" s="14">
        <v>2</v>
      </c>
      <c r="F843" s="14">
        <v>26</v>
      </c>
      <c r="G843" s="14">
        <v>3</v>
      </c>
      <c r="H843" s="14" t="s">
        <v>5</v>
      </c>
      <c r="I843" s="15">
        <v>41900</v>
      </c>
      <c r="J843" s="14" t="s">
        <v>127</v>
      </c>
      <c r="K843" s="21">
        <v>401</v>
      </c>
      <c r="L843" s="21"/>
      <c r="M843" s="21"/>
      <c r="N843" s="21"/>
      <c r="O843" s="24"/>
      <c r="P843" s="10"/>
      <c r="Q843" s="10"/>
      <c r="R843" s="10"/>
      <c r="T843" s="16"/>
    </row>
    <row r="844" spans="1:20" x14ac:dyDescent="0.25">
      <c r="A844" s="14">
        <v>2014</v>
      </c>
      <c r="B844" s="14" t="s">
        <v>133</v>
      </c>
      <c r="C844" s="14" t="s">
        <v>134</v>
      </c>
      <c r="D844" s="14">
        <v>5</v>
      </c>
      <c r="E844" s="14">
        <v>3</v>
      </c>
      <c r="F844" s="14">
        <v>27</v>
      </c>
      <c r="G844" s="14">
        <v>3</v>
      </c>
      <c r="H844" s="14" t="s">
        <v>14</v>
      </c>
      <c r="I844" s="15">
        <v>41900</v>
      </c>
      <c r="J844" s="14" t="s">
        <v>127</v>
      </c>
      <c r="K844" s="21">
        <v>473</v>
      </c>
      <c r="L844" s="21"/>
      <c r="M844" s="21"/>
      <c r="N844" s="21"/>
      <c r="O844" s="24"/>
      <c r="P844" s="10"/>
      <c r="Q844" s="10"/>
      <c r="R844" s="10"/>
      <c r="T844" s="16"/>
    </row>
    <row r="845" spans="1:20" x14ac:dyDescent="0.25">
      <c r="A845" s="14">
        <v>2014</v>
      </c>
      <c r="B845" s="14" t="s">
        <v>133</v>
      </c>
      <c r="C845" s="14" t="s">
        <v>134</v>
      </c>
      <c r="D845" s="14">
        <v>5</v>
      </c>
      <c r="E845" s="14">
        <v>4</v>
      </c>
      <c r="F845" s="14">
        <v>28</v>
      </c>
      <c r="G845" s="14">
        <v>3</v>
      </c>
      <c r="H845" s="14" t="s">
        <v>3</v>
      </c>
      <c r="I845" s="15">
        <v>41900</v>
      </c>
      <c r="J845" s="14" t="s">
        <v>127</v>
      </c>
      <c r="K845" s="21">
        <v>482</v>
      </c>
      <c r="L845" s="21"/>
      <c r="M845" s="21"/>
      <c r="N845" s="21"/>
      <c r="O845" s="24"/>
      <c r="P845" s="10"/>
      <c r="Q845" s="10"/>
      <c r="R845" s="10"/>
      <c r="T845" s="16"/>
    </row>
    <row r="846" spans="1:20" x14ac:dyDescent="0.25">
      <c r="A846" s="14">
        <v>2014</v>
      </c>
      <c r="B846" s="14" t="s">
        <v>133</v>
      </c>
      <c r="C846" s="14" t="s">
        <v>134</v>
      </c>
      <c r="D846" s="14">
        <v>5</v>
      </c>
      <c r="E846" s="14">
        <v>5</v>
      </c>
      <c r="F846" s="14">
        <v>29</v>
      </c>
      <c r="G846" s="14">
        <v>3</v>
      </c>
      <c r="H846" s="14" t="s">
        <v>13</v>
      </c>
      <c r="I846" s="15">
        <v>41900</v>
      </c>
      <c r="J846" s="14" t="s">
        <v>127</v>
      </c>
      <c r="K846" s="21">
        <v>505</v>
      </c>
      <c r="L846" s="21"/>
      <c r="M846" s="21"/>
      <c r="N846" s="21"/>
      <c r="O846" s="24"/>
      <c r="P846" s="10"/>
      <c r="Q846" s="10"/>
      <c r="R846" s="10"/>
      <c r="T846" s="16"/>
    </row>
    <row r="847" spans="1:20" x14ac:dyDescent="0.25">
      <c r="A847" s="14">
        <v>2014</v>
      </c>
      <c r="B847" s="14" t="s">
        <v>133</v>
      </c>
      <c r="C847" s="14" t="s">
        <v>134</v>
      </c>
      <c r="D847" s="14">
        <v>5</v>
      </c>
      <c r="E847" s="14">
        <v>6</v>
      </c>
      <c r="F847" s="14">
        <v>30</v>
      </c>
      <c r="G847" s="14">
        <v>3</v>
      </c>
      <c r="H847" s="14" t="s">
        <v>10</v>
      </c>
      <c r="I847" s="15">
        <v>41900</v>
      </c>
      <c r="J847" s="14" t="s">
        <v>127</v>
      </c>
      <c r="K847" s="21">
        <v>566</v>
      </c>
      <c r="L847" s="21"/>
      <c r="M847" s="21"/>
      <c r="N847" s="21"/>
      <c r="O847" s="24"/>
      <c r="P847" s="10"/>
      <c r="Q847" s="10"/>
      <c r="R847" s="10"/>
      <c r="T847" s="16"/>
    </row>
    <row r="848" spans="1:20" x14ac:dyDescent="0.25">
      <c r="A848" s="14">
        <v>2014</v>
      </c>
      <c r="B848" s="14" t="s">
        <v>133</v>
      </c>
      <c r="C848" s="14" t="s">
        <v>134</v>
      </c>
      <c r="D848" s="14">
        <v>6</v>
      </c>
      <c r="E848" s="14">
        <v>6</v>
      </c>
      <c r="F848" s="14">
        <v>31</v>
      </c>
      <c r="G848" s="14">
        <v>3</v>
      </c>
      <c r="H848" s="14" t="s">
        <v>12</v>
      </c>
      <c r="I848" s="15">
        <v>41900</v>
      </c>
      <c r="J848" s="14" t="s">
        <v>127</v>
      </c>
      <c r="K848" s="21">
        <v>464</v>
      </c>
      <c r="L848" s="21"/>
      <c r="M848" s="21"/>
      <c r="N848" s="21"/>
      <c r="O848" s="24"/>
      <c r="P848" s="10"/>
      <c r="Q848" s="10"/>
      <c r="R848" s="10"/>
      <c r="T848" s="16"/>
    </row>
    <row r="849" spans="1:20" x14ac:dyDescent="0.25">
      <c r="A849" s="14">
        <v>2014</v>
      </c>
      <c r="B849" s="14" t="s">
        <v>133</v>
      </c>
      <c r="C849" s="14" t="s">
        <v>134</v>
      </c>
      <c r="D849" s="14">
        <v>6</v>
      </c>
      <c r="E849" s="14">
        <v>5</v>
      </c>
      <c r="F849" s="14">
        <v>32</v>
      </c>
      <c r="G849" s="14">
        <v>3</v>
      </c>
      <c r="H849" s="14" t="s">
        <v>6</v>
      </c>
      <c r="I849" s="15">
        <v>41900</v>
      </c>
      <c r="J849" s="14" t="s">
        <v>127</v>
      </c>
      <c r="K849" s="21">
        <v>484</v>
      </c>
      <c r="L849" s="21"/>
      <c r="M849" s="21"/>
      <c r="N849" s="21"/>
      <c r="O849" s="24"/>
      <c r="P849" s="10"/>
      <c r="Q849" s="10"/>
      <c r="R849" s="10"/>
      <c r="T849" s="16"/>
    </row>
    <row r="850" spans="1:20" x14ac:dyDescent="0.25">
      <c r="A850" s="14">
        <v>2014</v>
      </c>
      <c r="B850" s="14" t="s">
        <v>133</v>
      </c>
      <c r="C850" s="14" t="s">
        <v>134</v>
      </c>
      <c r="D850" s="14">
        <v>6</v>
      </c>
      <c r="E850" s="14">
        <v>4</v>
      </c>
      <c r="F850" s="14">
        <v>33</v>
      </c>
      <c r="G850" s="14">
        <v>3</v>
      </c>
      <c r="H850" s="14" t="s">
        <v>4</v>
      </c>
      <c r="I850" s="15">
        <v>41900</v>
      </c>
      <c r="J850" s="14" t="s">
        <v>127</v>
      </c>
      <c r="K850" s="21">
        <v>409</v>
      </c>
      <c r="L850" s="21"/>
      <c r="M850" s="21"/>
      <c r="N850" s="21"/>
      <c r="O850" s="24"/>
      <c r="P850" s="10"/>
      <c r="Q850" s="10"/>
      <c r="R850" s="10"/>
      <c r="T850" s="16"/>
    </row>
    <row r="851" spans="1:20" x14ac:dyDescent="0.25">
      <c r="A851" s="14">
        <v>2014</v>
      </c>
      <c r="B851" s="14" t="s">
        <v>133</v>
      </c>
      <c r="C851" s="14" t="s">
        <v>134</v>
      </c>
      <c r="D851" s="14">
        <v>6</v>
      </c>
      <c r="E851" s="14">
        <v>3</v>
      </c>
      <c r="F851" s="14">
        <v>34</v>
      </c>
      <c r="G851" s="14">
        <v>3</v>
      </c>
      <c r="H851" s="14" t="s">
        <v>9</v>
      </c>
      <c r="I851" s="15">
        <v>41900</v>
      </c>
      <c r="J851" s="14" t="s">
        <v>127</v>
      </c>
      <c r="K851" s="21">
        <v>519</v>
      </c>
      <c r="L851" s="21"/>
      <c r="M851" s="21"/>
      <c r="N851" s="21"/>
      <c r="O851" s="24"/>
      <c r="P851" s="10"/>
      <c r="Q851" s="10"/>
      <c r="R851" s="10"/>
      <c r="T851" s="16"/>
    </row>
    <row r="852" spans="1:20" x14ac:dyDescent="0.25">
      <c r="A852" s="14">
        <v>2014</v>
      </c>
      <c r="B852" s="14" t="s">
        <v>133</v>
      </c>
      <c r="C852" s="14" t="s">
        <v>134</v>
      </c>
      <c r="D852" s="14">
        <v>6</v>
      </c>
      <c r="E852" s="14">
        <v>2</v>
      </c>
      <c r="F852" s="14">
        <v>35</v>
      </c>
      <c r="G852" s="14">
        <v>3</v>
      </c>
      <c r="H852" s="14" t="s">
        <v>7</v>
      </c>
      <c r="I852" s="15">
        <v>41900</v>
      </c>
      <c r="J852" s="14" t="s">
        <v>127</v>
      </c>
      <c r="K852" s="21">
        <v>466</v>
      </c>
      <c r="L852" s="21"/>
      <c r="M852" s="21"/>
      <c r="N852" s="21"/>
      <c r="O852" s="24"/>
      <c r="P852" s="10"/>
      <c r="Q852" s="10"/>
      <c r="R852" s="10"/>
      <c r="T852" s="16"/>
    </row>
    <row r="853" spans="1:20" x14ac:dyDescent="0.25">
      <c r="A853" s="14">
        <v>2014</v>
      </c>
      <c r="B853" s="14" t="s">
        <v>133</v>
      </c>
      <c r="C853" s="14" t="s">
        <v>134</v>
      </c>
      <c r="D853" s="14">
        <v>6</v>
      </c>
      <c r="E853" s="14">
        <v>1</v>
      </c>
      <c r="F853" s="14">
        <v>36</v>
      </c>
      <c r="G853" s="14">
        <v>3</v>
      </c>
      <c r="H853" s="14" t="s">
        <v>8</v>
      </c>
      <c r="I853" s="15">
        <v>41900</v>
      </c>
      <c r="J853" s="14" t="s">
        <v>127</v>
      </c>
      <c r="K853" s="21">
        <v>473</v>
      </c>
      <c r="L853" s="21"/>
      <c r="M853" s="21"/>
      <c r="N853" s="21"/>
      <c r="O853" s="24"/>
      <c r="P853" s="10"/>
      <c r="Q853" s="10"/>
      <c r="R853" s="10"/>
      <c r="T853" s="16"/>
    </row>
    <row r="854" spans="1:20" x14ac:dyDescent="0.25">
      <c r="A854" s="14">
        <v>2014</v>
      </c>
      <c r="B854" s="14" t="s">
        <v>133</v>
      </c>
      <c r="C854" s="14" t="s">
        <v>134</v>
      </c>
      <c r="D854" s="14">
        <v>7</v>
      </c>
      <c r="E854" s="14">
        <v>1</v>
      </c>
      <c r="F854" s="14">
        <v>37</v>
      </c>
      <c r="G854" s="14">
        <v>4</v>
      </c>
      <c r="H854" s="14" t="s">
        <v>9</v>
      </c>
      <c r="I854" s="15">
        <v>41900</v>
      </c>
      <c r="J854" s="14" t="s">
        <v>127</v>
      </c>
      <c r="K854" s="21">
        <v>480</v>
      </c>
      <c r="L854" s="21"/>
      <c r="M854" s="21"/>
      <c r="N854" s="21"/>
      <c r="O854" s="24"/>
      <c r="P854" s="10"/>
      <c r="Q854" s="10"/>
      <c r="R854" s="10"/>
      <c r="T854" s="16"/>
    </row>
    <row r="855" spans="1:20" x14ac:dyDescent="0.25">
      <c r="A855" s="14">
        <v>2014</v>
      </c>
      <c r="B855" s="14" t="s">
        <v>133</v>
      </c>
      <c r="C855" s="14" t="s">
        <v>134</v>
      </c>
      <c r="D855" s="14">
        <v>7</v>
      </c>
      <c r="E855" s="14">
        <v>2</v>
      </c>
      <c r="F855" s="14">
        <v>38</v>
      </c>
      <c r="G855" s="14">
        <v>4</v>
      </c>
      <c r="H855" s="14" t="s">
        <v>6</v>
      </c>
      <c r="I855" s="15">
        <v>41900</v>
      </c>
      <c r="J855" s="14" t="s">
        <v>127</v>
      </c>
      <c r="K855" s="21">
        <v>383</v>
      </c>
      <c r="L855" s="21"/>
      <c r="M855" s="21"/>
      <c r="N855" s="21"/>
      <c r="O855" s="24"/>
      <c r="P855" s="10"/>
      <c r="Q855" s="10"/>
      <c r="R855" s="10"/>
      <c r="T855" s="16"/>
    </row>
    <row r="856" spans="1:20" x14ac:dyDescent="0.25">
      <c r="A856" s="14">
        <v>2014</v>
      </c>
      <c r="B856" s="14" t="s">
        <v>133</v>
      </c>
      <c r="C856" s="14" t="s">
        <v>134</v>
      </c>
      <c r="D856" s="14">
        <v>7</v>
      </c>
      <c r="E856" s="14">
        <v>3</v>
      </c>
      <c r="F856" s="14">
        <v>39</v>
      </c>
      <c r="G856" s="14">
        <v>4</v>
      </c>
      <c r="H856" s="14" t="s">
        <v>2</v>
      </c>
      <c r="I856" s="15">
        <v>41900</v>
      </c>
      <c r="J856" s="14" t="s">
        <v>127</v>
      </c>
      <c r="K856" s="21">
        <v>541</v>
      </c>
      <c r="L856" s="21"/>
      <c r="M856" s="21"/>
      <c r="N856" s="21"/>
      <c r="O856" s="24"/>
      <c r="P856" s="10"/>
      <c r="Q856" s="10"/>
      <c r="R856" s="10"/>
      <c r="T856" s="16"/>
    </row>
    <row r="857" spans="1:20" x14ac:dyDescent="0.25">
      <c r="A857" s="14">
        <v>2014</v>
      </c>
      <c r="B857" s="14" t="s">
        <v>133</v>
      </c>
      <c r="C857" s="14" t="s">
        <v>134</v>
      </c>
      <c r="D857" s="14">
        <v>7</v>
      </c>
      <c r="E857" s="14">
        <v>4</v>
      </c>
      <c r="F857" s="14">
        <v>40</v>
      </c>
      <c r="G857" s="14">
        <v>4</v>
      </c>
      <c r="H857" s="14" t="s">
        <v>12</v>
      </c>
      <c r="I857" s="15">
        <v>41900</v>
      </c>
      <c r="J857" s="14" t="s">
        <v>127</v>
      </c>
      <c r="K857" s="21">
        <v>405</v>
      </c>
      <c r="L857" s="21"/>
      <c r="M857" s="21"/>
      <c r="N857" s="21"/>
      <c r="O857" s="24"/>
      <c r="P857" s="10"/>
      <c r="Q857" s="10"/>
      <c r="R857" s="10"/>
      <c r="T857" s="16"/>
    </row>
    <row r="858" spans="1:20" x14ac:dyDescent="0.25">
      <c r="A858" s="14">
        <v>2014</v>
      </c>
      <c r="B858" s="14" t="s">
        <v>133</v>
      </c>
      <c r="C858" s="14" t="s">
        <v>134</v>
      </c>
      <c r="D858" s="14">
        <v>7</v>
      </c>
      <c r="E858" s="14">
        <v>5</v>
      </c>
      <c r="F858" s="14">
        <v>41</v>
      </c>
      <c r="G858" s="14">
        <v>4</v>
      </c>
      <c r="H858" s="14" t="s">
        <v>8</v>
      </c>
      <c r="I858" s="15">
        <v>41900</v>
      </c>
      <c r="J858" s="14" t="s">
        <v>127</v>
      </c>
      <c r="K858" s="21">
        <v>572</v>
      </c>
      <c r="L858" s="21"/>
      <c r="M858" s="21"/>
      <c r="N858" s="21"/>
      <c r="O858" s="24"/>
      <c r="P858" s="10"/>
      <c r="Q858" s="10"/>
      <c r="R858" s="10"/>
      <c r="T858" s="16"/>
    </row>
    <row r="859" spans="1:20" x14ac:dyDescent="0.25">
      <c r="A859" s="14">
        <v>2014</v>
      </c>
      <c r="B859" s="14" t="s">
        <v>133</v>
      </c>
      <c r="C859" s="14" t="s">
        <v>134</v>
      </c>
      <c r="D859" s="14">
        <v>7</v>
      </c>
      <c r="E859" s="14">
        <v>6</v>
      </c>
      <c r="F859" s="14">
        <v>42</v>
      </c>
      <c r="G859" s="14">
        <v>4</v>
      </c>
      <c r="H859" s="14" t="s">
        <v>5</v>
      </c>
      <c r="I859" s="15">
        <v>41900</v>
      </c>
      <c r="J859" s="14" t="s">
        <v>127</v>
      </c>
      <c r="K859" s="21">
        <v>406</v>
      </c>
      <c r="L859" s="21"/>
      <c r="M859" s="21"/>
      <c r="N859" s="21"/>
      <c r="O859" s="24"/>
      <c r="P859" s="10"/>
      <c r="Q859" s="10"/>
      <c r="R859" s="10"/>
      <c r="T859" s="16"/>
    </row>
    <row r="860" spans="1:20" x14ac:dyDescent="0.25">
      <c r="A860" s="14">
        <v>2014</v>
      </c>
      <c r="B860" s="14" t="s">
        <v>133</v>
      </c>
      <c r="C860" s="14" t="s">
        <v>134</v>
      </c>
      <c r="D860" s="14">
        <v>8</v>
      </c>
      <c r="E860" s="14">
        <v>6</v>
      </c>
      <c r="F860" s="14">
        <v>43</v>
      </c>
      <c r="G860" s="14">
        <v>4</v>
      </c>
      <c r="H860" s="14" t="s">
        <v>3</v>
      </c>
      <c r="I860" s="15">
        <v>41900</v>
      </c>
      <c r="J860" s="14" t="s">
        <v>127</v>
      </c>
      <c r="K860" s="21">
        <v>442</v>
      </c>
      <c r="L860" s="21"/>
      <c r="M860" s="21"/>
      <c r="N860" s="21"/>
      <c r="O860" s="24"/>
      <c r="P860" s="10"/>
      <c r="Q860" s="10"/>
      <c r="R860" s="10"/>
      <c r="T860" s="16"/>
    </row>
    <row r="861" spans="1:20" x14ac:dyDescent="0.25">
      <c r="A861" s="14">
        <v>2014</v>
      </c>
      <c r="B861" s="14" t="s">
        <v>133</v>
      </c>
      <c r="C861" s="14" t="s">
        <v>134</v>
      </c>
      <c r="D861" s="14">
        <v>8</v>
      </c>
      <c r="E861" s="14">
        <v>5</v>
      </c>
      <c r="F861" s="14">
        <v>44</v>
      </c>
      <c r="G861" s="14">
        <v>4</v>
      </c>
      <c r="H861" s="14" t="s">
        <v>4</v>
      </c>
      <c r="I861" s="15">
        <v>41900</v>
      </c>
      <c r="J861" s="14" t="s">
        <v>127</v>
      </c>
      <c r="K861" s="21">
        <v>448</v>
      </c>
      <c r="L861" s="21"/>
      <c r="M861" s="21"/>
      <c r="N861" s="21"/>
      <c r="O861" s="24"/>
      <c r="P861" s="10"/>
      <c r="Q861" s="10"/>
      <c r="R861" s="10"/>
      <c r="T861" s="16"/>
    </row>
    <row r="862" spans="1:20" x14ac:dyDescent="0.25">
      <c r="A862" s="14">
        <v>2014</v>
      </c>
      <c r="B862" s="14" t="s">
        <v>133</v>
      </c>
      <c r="C862" s="14" t="s">
        <v>134</v>
      </c>
      <c r="D862" s="14">
        <v>8</v>
      </c>
      <c r="E862" s="14">
        <v>4</v>
      </c>
      <c r="F862" s="14">
        <v>45</v>
      </c>
      <c r="G862" s="14">
        <v>4</v>
      </c>
      <c r="H862" s="14" t="s">
        <v>13</v>
      </c>
      <c r="I862" s="15">
        <v>41900</v>
      </c>
      <c r="J862" s="14" t="s">
        <v>127</v>
      </c>
      <c r="K862" s="21">
        <v>360</v>
      </c>
      <c r="L862" s="21"/>
      <c r="M862" s="21"/>
      <c r="N862" s="21"/>
      <c r="O862" s="24"/>
      <c r="P862" s="10"/>
      <c r="Q862" s="10"/>
      <c r="R862" s="10"/>
      <c r="T862" s="16"/>
    </row>
    <row r="863" spans="1:20" x14ac:dyDescent="0.25">
      <c r="A863" s="14">
        <v>2014</v>
      </c>
      <c r="B863" s="14" t="s">
        <v>133</v>
      </c>
      <c r="C863" s="14" t="s">
        <v>134</v>
      </c>
      <c r="D863" s="14">
        <v>8</v>
      </c>
      <c r="E863" s="14">
        <v>3</v>
      </c>
      <c r="F863" s="14">
        <v>46</v>
      </c>
      <c r="G863" s="14">
        <v>4</v>
      </c>
      <c r="H863" s="14" t="s">
        <v>7</v>
      </c>
      <c r="I863" s="15">
        <v>41900</v>
      </c>
      <c r="J863" s="14" t="s">
        <v>127</v>
      </c>
      <c r="K863" s="21">
        <v>496</v>
      </c>
      <c r="L863" s="21"/>
      <c r="M863" s="21"/>
      <c r="N863" s="21"/>
      <c r="O863" s="24"/>
      <c r="P863" s="10"/>
      <c r="Q863" s="10"/>
      <c r="R863" s="10"/>
      <c r="T863" s="16"/>
    </row>
    <row r="864" spans="1:20" x14ac:dyDescent="0.25">
      <c r="A864" s="14">
        <v>2014</v>
      </c>
      <c r="B864" s="14" t="s">
        <v>133</v>
      </c>
      <c r="C864" s="14" t="s">
        <v>134</v>
      </c>
      <c r="D864" s="14">
        <v>8</v>
      </c>
      <c r="E864" s="14">
        <v>2</v>
      </c>
      <c r="F864" s="14">
        <v>47</v>
      </c>
      <c r="G864" s="14">
        <v>4</v>
      </c>
      <c r="H864" s="14" t="s">
        <v>14</v>
      </c>
      <c r="I864" s="15">
        <v>41900</v>
      </c>
      <c r="J864" s="14" t="s">
        <v>127</v>
      </c>
      <c r="K864" s="21">
        <v>469</v>
      </c>
      <c r="L864" s="21"/>
      <c r="M864" s="21"/>
      <c r="N864" s="21"/>
      <c r="O864" s="24"/>
      <c r="P864" s="10"/>
      <c r="Q864" s="10"/>
      <c r="R864" s="10"/>
      <c r="T864" s="16"/>
    </row>
    <row r="865" spans="1:20" x14ac:dyDescent="0.25">
      <c r="A865" s="14">
        <v>2014</v>
      </c>
      <c r="B865" s="14" t="s">
        <v>133</v>
      </c>
      <c r="C865" s="14" t="s">
        <v>134</v>
      </c>
      <c r="D865" s="14">
        <v>8</v>
      </c>
      <c r="E865" s="14">
        <v>1</v>
      </c>
      <c r="F865" s="14">
        <v>48</v>
      </c>
      <c r="G865" s="14">
        <v>4</v>
      </c>
      <c r="H865" s="14" t="s">
        <v>10</v>
      </c>
      <c r="I865" s="15">
        <v>41900</v>
      </c>
      <c r="J865" s="14" t="s">
        <v>127</v>
      </c>
      <c r="K865" s="21">
        <v>485</v>
      </c>
      <c r="L865" s="21"/>
      <c r="M865" s="21"/>
      <c r="N865" s="21"/>
      <c r="O865" s="24"/>
      <c r="P865" s="10"/>
      <c r="Q865" s="10"/>
      <c r="R865" s="10"/>
      <c r="T865" s="16"/>
    </row>
    <row r="866" spans="1:20" x14ac:dyDescent="0.25">
      <c r="A866" s="14">
        <v>2014</v>
      </c>
      <c r="B866" s="14" t="s">
        <v>133</v>
      </c>
      <c r="C866" s="14" t="s">
        <v>134</v>
      </c>
      <c r="D866" s="14">
        <v>1</v>
      </c>
      <c r="E866" s="14">
        <v>1</v>
      </c>
      <c r="F866" s="14">
        <v>1</v>
      </c>
      <c r="G866" s="14">
        <v>1</v>
      </c>
      <c r="H866" s="14" t="s">
        <v>6</v>
      </c>
      <c r="I866" s="15">
        <v>41928</v>
      </c>
      <c r="J866" s="14" t="s">
        <v>128</v>
      </c>
      <c r="K866" s="21">
        <v>834</v>
      </c>
      <c r="L866" s="21">
        <v>438</v>
      </c>
      <c r="M866" s="21">
        <v>130</v>
      </c>
      <c r="N866" s="21">
        <v>219</v>
      </c>
      <c r="O866" s="21">
        <v>46</v>
      </c>
      <c r="P866" s="10"/>
      <c r="Q866" s="10"/>
      <c r="R866" s="10"/>
      <c r="T866" s="16"/>
    </row>
    <row r="867" spans="1:20" x14ac:dyDescent="0.25">
      <c r="A867" s="14">
        <v>2014</v>
      </c>
      <c r="B867" s="14" t="s">
        <v>133</v>
      </c>
      <c r="C867" s="14" t="s">
        <v>134</v>
      </c>
      <c r="D867" s="14">
        <v>1</v>
      </c>
      <c r="E867" s="14">
        <v>2</v>
      </c>
      <c r="F867" s="14">
        <v>2</v>
      </c>
      <c r="G867" s="14">
        <v>1</v>
      </c>
      <c r="H867" s="14" t="s">
        <v>13</v>
      </c>
      <c r="I867" s="15">
        <v>41928</v>
      </c>
      <c r="J867" s="14" t="s">
        <v>128</v>
      </c>
      <c r="K867" s="21">
        <v>661</v>
      </c>
      <c r="L867" s="21">
        <v>358</v>
      </c>
      <c r="M867" s="21">
        <v>87</v>
      </c>
      <c r="N867" s="21">
        <v>178</v>
      </c>
      <c r="O867" s="21">
        <v>37</v>
      </c>
      <c r="P867" s="10"/>
      <c r="Q867" s="10"/>
      <c r="R867" s="10"/>
      <c r="T867" s="16"/>
    </row>
    <row r="868" spans="1:20" x14ac:dyDescent="0.25">
      <c r="A868" s="14">
        <v>2014</v>
      </c>
      <c r="B868" s="14" t="s">
        <v>133</v>
      </c>
      <c r="C868" s="14" t="s">
        <v>134</v>
      </c>
      <c r="D868" s="14">
        <v>1</v>
      </c>
      <c r="E868" s="14">
        <v>3</v>
      </c>
      <c r="F868" s="14">
        <v>3</v>
      </c>
      <c r="G868" s="14">
        <v>1</v>
      </c>
      <c r="H868" s="14" t="s">
        <v>5</v>
      </c>
      <c r="I868" s="15">
        <v>41921</v>
      </c>
      <c r="J868" s="14" t="s">
        <v>128</v>
      </c>
      <c r="K868" s="21">
        <v>699</v>
      </c>
      <c r="L868" s="21">
        <v>340</v>
      </c>
      <c r="M868" s="21">
        <v>118</v>
      </c>
      <c r="N868" s="21">
        <v>187</v>
      </c>
      <c r="O868" s="21">
        <v>55</v>
      </c>
      <c r="P868" s="10"/>
      <c r="Q868" s="10"/>
      <c r="R868" s="10"/>
      <c r="T868" s="16"/>
    </row>
    <row r="869" spans="1:20" x14ac:dyDescent="0.25">
      <c r="A869" s="14">
        <v>2014</v>
      </c>
      <c r="B869" s="14" t="s">
        <v>133</v>
      </c>
      <c r="C869" s="14" t="s">
        <v>134</v>
      </c>
      <c r="D869" s="14">
        <v>1</v>
      </c>
      <c r="E869" s="14">
        <v>4</v>
      </c>
      <c r="F869" s="14">
        <v>4</v>
      </c>
      <c r="G869" s="14">
        <v>1</v>
      </c>
      <c r="H869" s="14" t="s">
        <v>9</v>
      </c>
      <c r="I869" s="15">
        <v>41928</v>
      </c>
      <c r="J869" s="14" t="s">
        <v>128</v>
      </c>
      <c r="K869" s="21">
        <v>774</v>
      </c>
      <c r="L869" s="21">
        <v>407</v>
      </c>
      <c r="M869" s="21">
        <v>114</v>
      </c>
      <c r="N869" s="21">
        <v>214</v>
      </c>
      <c r="O869" s="21">
        <v>39</v>
      </c>
      <c r="P869" s="10"/>
      <c r="Q869" s="10"/>
      <c r="R869" s="10"/>
      <c r="T869" s="16"/>
    </row>
    <row r="870" spans="1:20" x14ac:dyDescent="0.25">
      <c r="A870" s="14">
        <v>2014</v>
      </c>
      <c r="B870" s="14" t="s">
        <v>133</v>
      </c>
      <c r="C870" s="14" t="s">
        <v>134</v>
      </c>
      <c r="D870" s="14">
        <v>1</v>
      </c>
      <c r="E870" s="14">
        <v>5</v>
      </c>
      <c r="F870" s="14">
        <v>5</v>
      </c>
      <c r="G870" s="14">
        <v>1</v>
      </c>
      <c r="H870" s="14" t="s">
        <v>12</v>
      </c>
      <c r="I870" s="15">
        <v>41928</v>
      </c>
      <c r="J870" s="14" t="s">
        <v>128</v>
      </c>
      <c r="K870" s="21">
        <v>837</v>
      </c>
      <c r="L870" s="21">
        <v>443</v>
      </c>
      <c r="M870" s="21">
        <v>134</v>
      </c>
      <c r="N870" s="21">
        <v>220</v>
      </c>
      <c r="O870" s="21">
        <v>39</v>
      </c>
      <c r="P870" s="10"/>
      <c r="Q870" s="10"/>
      <c r="R870" s="10"/>
      <c r="T870" s="16"/>
    </row>
    <row r="871" spans="1:20" x14ac:dyDescent="0.25">
      <c r="A871" s="14">
        <v>2014</v>
      </c>
      <c r="B871" s="14" t="s">
        <v>133</v>
      </c>
      <c r="C871" s="14" t="s">
        <v>134</v>
      </c>
      <c r="D871" s="14">
        <v>1</v>
      </c>
      <c r="E871" s="14">
        <v>6</v>
      </c>
      <c r="F871" s="14">
        <v>6</v>
      </c>
      <c r="G871" s="14">
        <v>1</v>
      </c>
      <c r="H871" s="14" t="s">
        <v>14</v>
      </c>
      <c r="I871" s="15">
        <v>41928</v>
      </c>
      <c r="J871" s="14" t="s">
        <v>128</v>
      </c>
      <c r="K871" s="21">
        <v>727</v>
      </c>
      <c r="L871" s="21">
        <v>402</v>
      </c>
      <c r="M871" s="21">
        <v>108</v>
      </c>
      <c r="N871" s="21">
        <v>192</v>
      </c>
      <c r="O871" s="21">
        <v>26</v>
      </c>
      <c r="P871" s="10"/>
      <c r="Q871" s="10"/>
      <c r="R871" s="10"/>
      <c r="T871" s="16"/>
    </row>
    <row r="872" spans="1:20" x14ac:dyDescent="0.25">
      <c r="A872" s="14">
        <v>2014</v>
      </c>
      <c r="B872" s="14" t="s">
        <v>133</v>
      </c>
      <c r="C872" s="14" t="s">
        <v>134</v>
      </c>
      <c r="D872" s="14">
        <v>2</v>
      </c>
      <c r="E872" s="14">
        <v>6</v>
      </c>
      <c r="F872" s="14">
        <v>7</v>
      </c>
      <c r="G872" s="14">
        <v>1</v>
      </c>
      <c r="H872" s="14" t="s">
        <v>4</v>
      </c>
      <c r="I872" s="15">
        <v>41925</v>
      </c>
      <c r="J872" s="14" t="s">
        <v>128</v>
      </c>
      <c r="K872" s="21">
        <v>892</v>
      </c>
      <c r="L872" s="21">
        <v>480</v>
      </c>
      <c r="M872" s="21">
        <v>160</v>
      </c>
      <c r="N872" s="21">
        <v>219</v>
      </c>
      <c r="O872" s="21">
        <v>34</v>
      </c>
      <c r="P872" s="10">
        <v>-25.51</v>
      </c>
      <c r="Q872" s="10">
        <v>15.8</v>
      </c>
      <c r="R872" s="10">
        <v>109.5</v>
      </c>
      <c r="S872" s="16">
        <f t="shared" ref="S872" si="42">K872*Q872/1000</f>
        <v>14.0936</v>
      </c>
      <c r="T872" s="16">
        <f t="shared" ref="T872:T898" si="43">K872*R872/1000</f>
        <v>97.674000000000007</v>
      </c>
    </row>
    <row r="873" spans="1:20" x14ac:dyDescent="0.25">
      <c r="A873" s="14">
        <v>2014</v>
      </c>
      <c r="B873" s="14" t="s">
        <v>133</v>
      </c>
      <c r="C873" s="14" t="s">
        <v>134</v>
      </c>
      <c r="D873" s="14">
        <v>2</v>
      </c>
      <c r="E873" s="14">
        <v>5</v>
      </c>
      <c r="F873" s="14">
        <v>8</v>
      </c>
      <c r="G873" s="14">
        <v>1</v>
      </c>
      <c r="H873" s="14" t="s">
        <v>7</v>
      </c>
      <c r="I873" s="15">
        <v>41928</v>
      </c>
      <c r="J873" s="14" t="s">
        <v>128</v>
      </c>
      <c r="K873" s="21">
        <v>858</v>
      </c>
      <c r="L873" s="21">
        <v>451</v>
      </c>
      <c r="M873" s="21">
        <v>121</v>
      </c>
      <c r="N873" s="21">
        <v>222</v>
      </c>
      <c r="O873" s="21">
        <v>63</v>
      </c>
      <c r="P873" s="10"/>
      <c r="Q873" s="10"/>
      <c r="R873" s="10"/>
      <c r="T873" s="16"/>
    </row>
    <row r="874" spans="1:20" x14ac:dyDescent="0.25">
      <c r="A874" s="14">
        <v>2014</v>
      </c>
      <c r="B874" s="14" t="s">
        <v>133</v>
      </c>
      <c r="C874" s="14" t="s">
        <v>134</v>
      </c>
      <c r="D874" s="14">
        <v>2</v>
      </c>
      <c r="E874" s="14">
        <v>4</v>
      </c>
      <c r="F874" s="14">
        <v>9</v>
      </c>
      <c r="G874" s="14">
        <v>1</v>
      </c>
      <c r="H874" s="14" t="s">
        <v>2</v>
      </c>
      <c r="I874" s="15">
        <v>41921</v>
      </c>
      <c r="J874" s="14" t="s">
        <v>128</v>
      </c>
      <c r="K874" s="21">
        <v>901</v>
      </c>
      <c r="L874" s="21">
        <v>481</v>
      </c>
      <c r="M874" s="21">
        <v>93</v>
      </c>
      <c r="N874" s="21">
        <v>222</v>
      </c>
      <c r="O874" s="21">
        <v>106</v>
      </c>
      <c r="P874" s="10"/>
      <c r="Q874" s="10"/>
      <c r="R874" s="10"/>
      <c r="T874" s="16"/>
    </row>
    <row r="875" spans="1:20" x14ac:dyDescent="0.25">
      <c r="A875" s="14">
        <v>2014</v>
      </c>
      <c r="B875" s="14" t="s">
        <v>133</v>
      </c>
      <c r="C875" s="14" t="s">
        <v>134</v>
      </c>
      <c r="D875" s="14">
        <v>2</v>
      </c>
      <c r="E875" s="14">
        <v>3</v>
      </c>
      <c r="F875" s="14">
        <v>10</v>
      </c>
      <c r="G875" s="14">
        <v>1</v>
      </c>
      <c r="H875" s="14" t="s">
        <v>10</v>
      </c>
      <c r="I875" s="15">
        <v>41921</v>
      </c>
      <c r="J875" s="14" t="s">
        <v>128</v>
      </c>
      <c r="K875" s="21">
        <v>814</v>
      </c>
      <c r="L875" s="21">
        <v>446</v>
      </c>
      <c r="M875" s="21">
        <v>115</v>
      </c>
      <c r="N875" s="21">
        <v>211</v>
      </c>
      <c r="O875" s="21">
        <v>41</v>
      </c>
      <c r="P875" s="10"/>
      <c r="Q875" s="10"/>
      <c r="R875" s="10"/>
      <c r="T875" s="16"/>
    </row>
    <row r="876" spans="1:20" x14ac:dyDescent="0.25">
      <c r="A876" s="14">
        <v>2014</v>
      </c>
      <c r="B876" s="14" t="s">
        <v>133</v>
      </c>
      <c r="C876" s="14" t="s">
        <v>134</v>
      </c>
      <c r="D876" s="14">
        <v>2</v>
      </c>
      <c r="E876" s="14">
        <v>2</v>
      </c>
      <c r="F876" s="14">
        <v>11</v>
      </c>
      <c r="G876" s="14">
        <v>1</v>
      </c>
      <c r="H876" s="14" t="s">
        <v>8</v>
      </c>
      <c r="I876" s="15">
        <v>41925</v>
      </c>
      <c r="J876" s="14" t="s">
        <v>128</v>
      </c>
      <c r="K876" s="21">
        <v>814</v>
      </c>
      <c r="L876" s="21">
        <v>481</v>
      </c>
      <c r="M876" s="21">
        <v>116</v>
      </c>
      <c r="N876" s="21">
        <v>175</v>
      </c>
      <c r="O876" s="21">
        <v>41</v>
      </c>
      <c r="P876" s="10">
        <v>-25.51</v>
      </c>
      <c r="Q876" s="10">
        <v>14.7</v>
      </c>
      <c r="R876" s="10">
        <v>106.3</v>
      </c>
      <c r="S876" s="16">
        <f t="shared" ref="S876:S877" si="44">K876*Q876/1000</f>
        <v>11.9658</v>
      </c>
      <c r="T876" s="16">
        <f t="shared" si="43"/>
        <v>86.528199999999998</v>
      </c>
    </row>
    <row r="877" spans="1:20" x14ac:dyDescent="0.25">
      <c r="A877" s="14">
        <v>2014</v>
      </c>
      <c r="B877" s="14" t="s">
        <v>133</v>
      </c>
      <c r="C877" s="14" t="s">
        <v>134</v>
      </c>
      <c r="D877" s="14">
        <v>2</v>
      </c>
      <c r="E877" s="14">
        <v>1</v>
      </c>
      <c r="F877" s="14">
        <v>12</v>
      </c>
      <c r="G877" s="14">
        <v>1</v>
      </c>
      <c r="H877" s="14" t="s">
        <v>3</v>
      </c>
      <c r="I877" s="15">
        <v>41921</v>
      </c>
      <c r="J877" s="14" t="s">
        <v>128</v>
      </c>
      <c r="K877" s="21">
        <v>829</v>
      </c>
      <c r="L877" s="21">
        <v>458</v>
      </c>
      <c r="M877" s="21">
        <v>118</v>
      </c>
      <c r="N877" s="21">
        <v>189</v>
      </c>
      <c r="O877" s="21">
        <v>64</v>
      </c>
      <c r="P877" s="10">
        <v>-25.4</v>
      </c>
      <c r="Q877" s="10">
        <v>17.5</v>
      </c>
      <c r="R877" s="10">
        <v>110.4</v>
      </c>
      <c r="S877" s="16">
        <f t="shared" si="44"/>
        <v>14.5075</v>
      </c>
      <c r="T877" s="16">
        <f t="shared" si="43"/>
        <v>91.521600000000007</v>
      </c>
    </row>
    <row r="878" spans="1:20" x14ac:dyDescent="0.25">
      <c r="A878" s="14">
        <v>2014</v>
      </c>
      <c r="B878" s="14" t="s">
        <v>133</v>
      </c>
      <c r="C878" s="14" t="s">
        <v>134</v>
      </c>
      <c r="D878" s="14">
        <v>3</v>
      </c>
      <c r="E878" s="14">
        <v>1</v>
      </c>
      <c r="F878" s="14">
        <v>13</v>
      </c>
      <c r="G878" s="14">
        <v>2</v>
      </c>
      <c r="H878" s="14" t="s">
        <v>12</v>
      </c>
      <c r="I878" s="15">
        <v>41928</v>
      </c>
      <c r="J878" s="14" t="s">
        <v>128</v>
      </c>
      <c r="K878" s="21">
        <v>686</v>
      </c>
      <c r="L878" s="21">
        <v>375</v>
      </c>
      <c r="M878" s="21">
        <v>91</v>
      </c>
      <c r="N878" s="21">
        <v>180</v>
      </c>
      <c r="O878" s="21">
        <v>40</v>
      </c>
      <c r="P878" s="10"/>
      <c r="Q878" s="10"/>
      <c r="R878" s="10"/>
      <c r="T878" s="16"/>
    </row>
    <row r="879" spans="1:20" x14ac:dyDescent="0.25">
      <c r="A879" s="14">
        <v>2014</v>
      </c>
      <c r="B879" s="14" t="s">
        <v>133</v>
      </c>
      <c r="C879" s="14" t="s">
        <v>134</v>
      </c>
      <c r="D879" s="14">
        <v>3</v>
      </c>
      <c r="E879" s="14">
        <v>2</v>
      </c>
      <c r="F879" s="14">
        <v>14</v>
      </c>
      <c r="G879" s="14">
        <v>2</v>
      </c>
      <c r="H879" s="14" t="s">
        <v>10</v>
      </c>
      <c r="I879" s="15">
        <v>41921</v>
      </c>
      <c r="J879" s="14" t="s">
        <v>128</v>
      </c>
      <c r="K879" s="21">
        <v>847</v>
      </c>
      <c r="L879" s="21">
        <v>417</v>
      </c>
      <c r="M879" s="21">
        <v>108</v>
      </c>
      <c r="N879" s="21">
        <v>252</v>
      </c>
      <c r="O879" s="21">
        <v>71</v>
      </c>
      <c r="P879" s="10">
        <v>-24.97</v>
      </c>
      <c r="Q879" s="10">
        <v>14.6</v>
      </c>
      <c r="R879" s="10">
        <v>127.7</v>
      </c>
      <c r="S879" s="16">
        <f t="shared" ref="S879" si="45">K879*Q879/1000</f>
        <v>12.366199999999999</v>
      </c>
      <c r="T879" s="16">
        <f t="shared" si="43"/>
        <v>108.1619</v>
      </c>
    </row>
    <row r="880" spans="1:20" x14ac:dyDescent="0.25">
      <c r="A880" s="14">
        <v>2014</v>
      </c>
      <c r="B880" s="14" t="s">
        <v>133</v>
      </c>
      <c r="C880" s="14" t="s">
        <v>134</v>
      </c>
      <c r="D880" s="14">
        <v>3</v>
      </c>
      <c r="E880" s="14">
        <v>3</v>
      </c>
      <c r="F880" s="14">
        <v>15</v>
      </c>
      <c r="G880" s="14">
        <v>2</v>
      </c>
      <c r="H880" s="14" t="s">
        <v>6</v>
      </c>
      <c r="I880" s="15">
        <v>41928</v>
      </c>
      <c r="J880" s="14" t="s">
        <v>128</v>
      </c>
      <c r="K880" s="21">
        <v>826</v>
      </c>
      <c r="L880" s="21">
        <v>448</v>
      </c>
      <c r="M880" s="21">
        <v>131</v>
      </c>
      <c r="N880" s="21">
        <v>214</v>
      </c>
      <c r="O880" s="21">
        <v>32</v>
      </c>
      <c r="P880" s="10"/>
      <c r="Q880" s="10"/>
      <c r="R880" s="10"/>
      <c r="T880" s="16"/>
    </row>
    <row r="881" spans="1:20" x14ac:dyDescent="0.25">
      <c r="A881" s="14">
        <v>2014</v>
      </c>
      <c r="B881" s="14" t="s">
        <v>133</v>
      </c>
      <c r="C881" s="14" t="s">
        <v>134</v>
      </c>
      <c r="D881" s="14">
        <v>3</v>
      </c>
      <c r="E881" s="14">
        <v>4</v>
      </c>
      <c r="F881" s="14">
        <v>16</v>
      </c>
      <c r="G881" s="14">
        <v>2</v>
      </c>
      <c r="H881" s="14" t="s">
        <v>7</v>
      </c>
      <c r="I881" s="15">
        <v>41928</v>
      </c>
      <c r="J881" s="14" t="s">
        <v>128</v>
      </c>
      <c r="K881" s="21">
        <v>784</v>
      </c>
      <c r="L881" s="21">
        <v>417</v>
      </c>
      <c r="M881" s="21">
        <v>112</v>
      </c>
      <c r="N881" s="21">
        <v>216</v>
      </c>
      <c r="O881" s="21">
        <v>39</v>
      </c>
      <c r="P881" s="10"/>
      <c r="Q881" s="10"/>
      <c r="R881" s="10"/>
      <c r="T881" s="16"/>
    </row>
    <row r="882" spans="1:20" x14ac:dyDescent="0.25">
      <c r="A882" s="14">
        <v>2014</v>
      </c>
      <c r="B882" s="14" t="s">
        <v>133</v>
      </c>
      <c r="C882" s="14" t="s">
        <v>134</v>
      </c>
      <c r="D882" s="14">
        <v>3</v>
      </c>
      <c r="E882" s="14">
        <v>5</v>
      </c>
      <c r="F882" s="14">
        <v>17</v>
      </c>
      <c r="G882" s="14">
        <v>2</v>
      </c>
      <c r="H882" s="14" t="s">
        <v>3</v>
      </c>
      <c r="I882" s="15">
        <v>41921</v>
      </c>
      <c r="J882" s="14" t="s">
        <v>128</v>
      </c>
      <c r="K882" s="21">
        <v>854</v>
      </c>
      <c r="L882" s="21">
        <v>448</v>
      </c>
      <c r="M882" s="21">
        <v>171</v>
      </c>
      <c r="N882" s="21">
        <v>180</v>
      </c>
      <c r="O882" s="21">
        <v>55</v>
      </c>
      <c r="P882" s="10">
        <v>-25.67</v>
      </c>
      <c r="Q882" s="10">
        <v>19.7</v>
      </c>
      <c r="R882" s="10">
        <v>85.2</v>
      </c>
      <c r="S882" s="16">
        <f t="shared" ref="S882" si="46">K882*Q882/1000</f>
        <v>16.823799999999999</v>
      </c>
      <c r="T882" s="16">
        <f t="shared" si="43"/>
        <v>72.760800000000003</v>
      </c>
    </row>
    <row r="883" spans="1:20" x14ac:dyDescent="0.25">
      <c r="A883" s="14">
        <v>2014</v>
      </c>
      <c r="B883" s="14" t="s">
        <v>133</v>
      </c>
      <c r="C883" s="14" t="s">
        <v>134</v>
      </c>
      <c r="D883" s="14">
        <v>3</v>
      </c>
      <c r="E883" s="14">
        <v>6</v>
      </c>
      <c r="F883" s="14">
        <v>18</v>
      </c>
      <c r="G883" s="14">
        <v>2</v>
      </c>
      <c r="H883" s="14" t="s">
        <v>9</v>
      </c>
      <c r="I883" s="15">
        <v>41928</v>
      </c>
      <c r="J883" s="14" t="s">
        <v>128</v>
      </c>
      <c r="K883" s="21">
        <v>865</v>
      </c>
      <c r="L883" s="21">
        <v>467</v>
      </c>
      <c r="M883" s="21">
        <v>140</v>
      </c>
      <c r="N883" s="21">
        <v>207</v>
      </c>
      <c r="O883" s="21">
        <v>50</v>
      </c>
      <c r="P883" s="10"/>
      <c r="Q883" s="10"/>
      <c r="R883" s="10"/>
      <c r="T883" s="16"/>
    </row>
    <row r="884" spans="1:20" x14ac:dyDescent="0.25">
      <c r="A884" s="14">
        <v>2014</v>
      </c>
      <c r="B884" s="14" t="s">
        <v>133</v>
      </c>
      <c r="C884" s="14" t="s">
        <v>134</v>
      </c>
      <c r="D884" s="14">
        <v>4</v>
      </c>
      <c r="E884" s="14">
        <v>6</v>
      </c>
      <c r="F884" s="14">
        <v>19</v>
      </c>
      <c r="G884" s="14">
        <v>2</v>
      </c>
      <c r="H884" s="14" t="s">
        <v>13</v>
      </c>
      <c r="I884" s="15">
        <v>41928</v>
      </c>
      <c r="J884" s="14" t="s">
        <v>128</v>
      </c>
      <c r="K884" s="21">
        <v>476</v>
      </c>
      <c r="L884" s="21">
        <v>251</v>
      </c>
      <c r="M884" s="21">
        <v>91</v>
      </c>
      <c r="N884" s="21">
        <v>124</v>
      </c>
      <c r="O884" s="21">
        <v>10</v>
      </c>
      <c r="P884" s="10"/>
      <c r="Q884" s="10"/>
      <c r="R884" s="10"/>
      <c r="T884" s="16"/>
    </row>
    <row r="885" spans="1:20" x14ac:dyDescent="0.25">
      <c r="A885" s="14">
        <v>2014</v>
      </c>
      <c r="B885" s="14" t="s">
        <v>133</v>
      </c>
      <c r="C885" s="14" t="s">
        <v>134</v>
      </c>
      <c r="D885" s="14">
        <v>4</v>
      </c>
      <c r="E885" s="14">
        <v>5</v>
      </c>
      <c r="F885" s="14">
        <v>20</v>
      </c>
      <c r="G885" s="14">
        <v>2</v>
      </c>
      <c r="H885" s="14" t="s">
        <v>2</v>
      </c>
      <c r="I885" s="15">
        <v>41921</v>
      </c>
      <c r="J885" s="14" t="s">
        <v>128</v>
      </c>
      <c r="K885" s="21">
        <v>1018</v>
      </c>
      <c r="L885" s="21">
        <v>569</v>
      </c>
      <c r="M885" s="21">
        <v>116</v>
      </c>
      <c r="N885" s="21">
        <v>236</v>
      </c>
      <c r="O885" s="21">
        <v>97</v>
      </c>
      <c r="P885" s="10"/>
      <c r="Q885" s="10"/>
      <c r="R885" s="10"/>
      <c r="T885" s="16"/>
    </row>
    <row r="886" spans="1:20" x14ac:dyDescent="0.25">
      <c r="A886" s="14">
        <v>2014</v>
      </c>
      <c r="B886" s="14" t="s">
        <v>133</v>
      </c>
      <c r="C886" s="14" t="s">
        <v>134</v>
      </c>
      <c r="D886" s="14">
        <v>4</v>
      </c>
      <c r="E886" s="14">
        <v>4</v>
      </c>
      <c r="F886" s="14">
        <v>21</v>
      </c>
      <c r="G886" s="14">
        <v>2</v>
      </c>
      <c r="H886" s="14" t="s">
        <v>14</v>
      </c>
      <c r="I886" s="15">
        <v>41928</v>
      </c>
      <c r="J886" s="14" t="s">
        <v>128</v>
      </c>
      <c r="K886" s="21">
        <v>756</v>
      </c>
      <c r="L886" s="21">
        <v>386</v>
      </c>
      <c r="M886" s="21">
        <v>101</v>
      </c>
      <c r="N886" s="21">
        <v>209</v>
      </c>
      <c r="O886" s="21">
        <v>60</v>
      </c>
      <c r="P886" s="10"/>
      <c r="Q886" s="10"/>
      <c r="R886" s="10"/>
      <c r="T886" s="16"/>
    </row>
    <row r="887" spans="1:20" x14ac:dyDescent="0.25">
      <c r="A887" s="14">
        <v>2014</v>
      </c>
      <c r="B887" s="14" t="s">
        <v>133</v>
      </c>
      <c r="C887" s="14" t="s">
        <v>134</v>
      </c>
      <c r="D887" s="14">
        <v>4</v>
      </c>
      <c r="E887" s="14">
        <v>3</v>
      </c>
      <c r="F887" s="14">
        <v>22</v>
      </c>
      <c r="G887" s="14">
        <v>2</v>
      </c>
      <c r="H887" s="14" t="s">
        <v>8</v>
      </c>
      <c r="I887" s="15">
        <v>41925</v>
      </c>
      <c r="J887" s="14" t="s">
        <v>128</v>
      </c>
      <c r="K887" s="21">
        <v>902</v>
      </c>
      <c r="L887" s="21">
        <v>526</v>
      </c>
      <c r="M887" s="21">
        <v>150</v>
      </c>
      <c r="N887" s="21">
        <v>193</v>
      </c>
      <c r="O887" s="21">
        <v>32</v>
      </c>
      <c r="P887" s="10">
        <v>-25.38</v>
      </c>
      <c r="Q887" s="10">
        <v>14.3</v>
      </c>
      <c r="R887" s="10">
        <v>114.4</v>
      </c>
      <c r="S887" s="16">
        <f t="shared" ref="S887:S888" si="47">K887*Q887/1000</f>
        <v>12.8986</v>
      </c>
      <c r="T887" s="16">
        <f t="shared" si="43"/>
        <v>103.1888</v>
      </c>
    </row>
    <row r="888" spans="1:20" x14ac:dyDescent="0.25">
      <c r="A888" s="14">
        <v>2014</v>
      </c>
      <c r="B888" s="14" t="s">
        <v>133</v>
      </c>
      <c r="C888" s="14" t="s">
        <v>134</v>
      </c>
      <c r="D888" s="14">
        <v>4</v>
      </c>
      <c r="E888" s="14">
        <v>2</v>
      </c>
      <c r="F888" s="14">
        <v>23</v>
      </c>
      <c r="G888" s="14">
        <v>2</v>
      </c>
      <c r="H888" s="14" t="s">
        <v>4</v>
      </c>
      <c r="I888" s="15">
        <v>41925</v>
      </c>
      <c r="J888" s="14" t="s">
        <v>128</v>
      </c>
      <c r="K888" s="21">
        <v>843</v>
      </c>
      <c r="L888" s="21">
        <v>480</v>
      </c>
      <c r="M888" s="21">
        <v>146</v>
      </c>
      <c r="N888" s="21">
        <v>178</v>
      </c>
      <c r="O888" s="21">
        <v>38</v>
      </c>
      <c r="P888" s="10">
        <v>-25.07</v>
      </c>
      <c r="Q888" s="10">
        <v>16.100000000000001</v>
      </c>
      <c r="R888" s="10">
        <v>143.1</v>
      </c>
      <c r="S888" s="16">
        <f t="shared" si="47"/>
        <v>13.5723</v>
      </c>
      <c r="T888" s="16">
        <f t="shared" si="43"/>
        <v>120.63329999999999</v>
      </c>
    </row>
    <row r="889" spans="1:20" x14ac:dyDescent="0.25">
      <c r="A889" s="14">
        <v>2014</v>
      </c>
      <c r="B889" s="14" t="s">
        <v>133</v>
      </c>
      <c r="C889" s="14" t="s">
        <v>134</v>
      </c>
      <c r="D889" s="14">
        <v>4</v>
      </c>
      <c r="E889" s="14">
        <v>1</v>
      </c>
      <c r="F889" s="14">
        <v>24</v>
      </c>
      <c r="G889" s="14">
        <v>2</v>
      </c>
      <c r="H889" s="14" t="s">
        <v>5</v>
      </c>
      <c r="I889" s="15">
        <v>41921</v>
      </c>
      <c r="J889" s="14" t="s">
        <v>128</v>
      </c>
      <c r="K889" s="21">
        <v>714</v>
      </c>
      <c r="L889" s="21">
        <v>361</v>
      </c>
      <c r="M889" s="21">
        <v>121</v>
      </c>
      <c r="N889" s="21">
        <v>175</v>
      </c>
      <c r="O889" s="21">
        <v>56</v>
      </c>
      <c r="P889" s="10"/>
      <c r="Q889" s="10"/>
      <c r="R889" s="10"/>
      <c r="T889" s="16"/>
    </row>
    <row r="890" spans="1:20" x14ac:dyDescent="0.25">
      <c r="A890" s="14">
        <v>2014</v>
      </c>
      <c r="B890" s="14" t="s">
        <v>133</v>
      </c>
      <c r="C890" s="14" t="s">
        <v>134</v>
      </c>
      <c r="D890" s="14">
        <v>5</v>
      </c>
      <c r="E890" s="14">
        <v>1</v>
      </c>
      <c r="F890" s="14">
        <v>25</v>
      </c>
      <c r="G890" s="14">
        <v>3</v>
      </c>
      <c r="H890" s="14" t="s">
        <v>2</v>
      </c>
      <c r="I890" s="15">
        <v>41921</v>
      </c>
      <c r="J890" s="14" t="s">
        <v>128</v>
      </c>
      <c r="K890" s="21">
        <v>867</v>
      </c>
      <c r="L890" s="21">
        <v>475</v>
      </c>
      <c r="M890" s="21">
        <v>100</v>
      </c>
      <c r="N890" s="21">
        <v>232</v>
      </c>
      <c r="O890" s="21">
        <v>60</v>
      </c>
      <c r="P890" s="10">
        <v>-25.72</v>
      </c>
      <c r="Q890" s="10">
        <v>12.5</v>
      </c>
      <c r="R890" s="10">
        <v>99.2</v>
      </c>
      <c r="S890" s="16">
        <f t="shared" ref="S890:S891" si="48">K890*Q890/1000</f>
        <v>10.8375</v>
      </c>
      <c r="T890" s="16">
        <f t="shared" si="43"/>
        <v>86.006400000000014</v>
      </c>
    </row>
    <row r="891" spans="1:20" x14ac:dyDescent="0.25">
      <c r="A891" s="14">
        <v>2014</v>
      </c>
      <c r="B891" s="14" t="s">
        <v>133</v>
      </c>
      <c r="C891" s="14" t="s">
        <v>134</v>
      </c>
      <c r="D891" s="14">
        <v>5</v>
      </c>
      <c r="E891" s="14">
        <v>2</v>
      </c>
      <c r="F891" s="14">
        <v>26</v>
      </c>
      <c r="G891" s="14">
        <v>3</v>
      </c>
      <c r="H891" s="14" t="s">
        <v>5</v>
      </c>
      <c r="I891" s="15">
        <v>41921</v>
      </c>
      <c r="J891" s="14" t="s">
        <v>128</v>
      </c>
      <c r="K891" s="21">
        <v>755</v>
      </c>
      <c r="L891" s="21">
        <v>382</v>
      </c>
      <c r="M891" s="21">
        <v>111</v>
      </c>
      <c r="N891" s="21">
        <v>214</v>
      </c>
      <c r="O891" s="21">
        <v>48</v>
      </c>
      <c r="P891" s="10">
        <v>-25.1</v>
      </c>
      <c r="Q891" s="10">
        <v>14.5</v>
      </c>
      <c r="R891" s="10">
        <v>101.7</v>
      </c>
      <c r="S891" s="16">
        <f t="shared" si="48"/>
        <v>10.9475</v>
      </c>
      <c r="T891" s="16">
        <f t="shared" si="43"/>
        <v>76.783500000000004</v>
      </c>
    </row>
    <row r="892" spans="1:20" x14ac:dyDescent="0.25">
      <c r="A892" s="14">
        <v>2014</v>
      </c>
      <c r="B892" s="14" t="s">
        <v>133</v>
      </c>
      <c r="C892" s="14" t="s">
        <v>134</v>
      </c>
      <c r="D892" s="14">
        <v>5</v>
      </c>
      <c r="E892" s="14">
        <v>3</v>
      </c>
      <c r="F892" s="14">
        <v>27</v>
      </c>
      <c r="G892" s="14">
        <v>3</v>
      </c>
      <c r="H892" s="14" t="s">
        <v>14</v>
      </c>
      <c r="I892" s="15">
        <v>41928</v>
      </c>
      <c r="J892" s="14" t="s">
        <v>128</v>
      </c>
      <c r="K892" s="21">
        <v>847</v>
      </c>
      <c r="L892" s="21">
        <v>433</v>
      </c>
      <c r="M892" s="21">
        <v>114</v>
      </c>
      <c r="N892" s="21">
        <v>223</v>
      </c>
      <c r="O892" s="21">
        <v>77</v>
      </c>
      <c r="P892" s="10"/>
      <c r="Q892" s="10"/>
      <c r="R892" s="10"/>
      <c r="T892" s="16"/>
    </row>
    <row r="893" spans="1:20" x14ac:dyDescent="0.25">
      <c r="A893" s="14">
        <v>2014</v>
      </c>
      <c r="B893" s="14" t="s">
        <v>133</v>
      </c>
      <c r="C893" s="14" t="s">
        <v>134</v>
      </c>
      <c r="D893" s="14">
        <v>5</v>
      </c>
      <c r="E893" s="14">
        <v>4</v>
      </c>
      <c r="F893" s="14">
        <v>28</v>
      </c>
      <c r="G893" s="14">
        <v>3</v>
      </c>
      <c r="H893" s="14" t="s">
        <v>3</v>
      </c>
      <c r="I893" s="15">
        <v>41921</v>
      </c>
      <c r="J893" s="14" t="s">
        <v>128</v>
      </c>
      <c r="K893" s="21">
        <v>899</v>
      </c>
      <c r="L893" s="21">
        <v>488</v>
      </c>
      <c r="M893" s="21">
        <v>134</v>
      </c>
      <c r="N893" s="21">
        <v>205</v>
      </c>
      <c r="O893" s="21">
        <v>73</v>
      </c>
      <c r="P893" s="10"/>
      <c r="Q893" s="10"/>
      <c r="R893" s="10"/>
      <c r="T893" s="16"/>
    </row>
    <row r="894" spans="1:20" x14ac:dyDescent="0.25">
      <c r="A894" s="14">
        <v>2014</v>
      </c>
      <c r="B894" s="14" t="s">
        <v>133</v>
      </c>
      <c r="C894" s="14" t="s">
        <v>134</v>
      </c>
      <c r="D894" s="14">
        <v>5</v>
      </c>
      <c r="E894" s="14">
        <v>5</v>
      </c>
      <c r="F894" s="14">
        <v>29</v>
      </c>
      <c r="G894" s="14">
        <v>3</v>
      </c>
      <c r="H894" s="14" t="s">
        <v>13</v>
      </c>
      <c r="I894" s="15">
        <v>41928</v>
      </c>
      <c r="J894" s="14" t="s">
        <v>128</v>
      </c>
      <c r="K894" s="21">
        <v>826</v>
      </c>
      <c r="L894" s="21">
        <v>415</v>
      </c>
      <c r="M894" s="21">
        <v>108</v>
      </c>
      <c r="N894" s="21">
        <v>242</v>
      </c>
      <c r="O894" s="21">
        <v>62</v>
      </c>
      <c r="P894" s="10"/>
      <c r="Q894" s="10"/>
      <c r="R894" s="10"/>
      <c r="T894" s="16"/>
    </row>
    <row r="895" spans="1:20" x14ac:dyDescent="0.25">
      <c r="A895" s="14">
        <v>2014</v>
      </c>
      <c r="B895" s="14" t="s">
        <v>133</v>
      </c>
      <c r="C895" s="14" t="s">
        <v>134</v>
      </c>
      <c r="D895" s="14">
        <v>5</v>
      </c>
      <c r="E895" s="14">
        <v>6</v>
      </c>
      <c r="F895" s="14">
        <v>30</v>
      </c>
      <c r="G895" s="14">
        <v>3</v>
      </c>
      <c r="H895" s="14" t="s">
        <v>10</v>
      </c>
      <c r="I895" s="15">
        <v>41921</v>
      </c>
      <c r="J895" s="14" t="s">
        <v>128</v>
      </c>
      <c r="K895" s="21">
        <v>990</v>
      </c>
      <c r="L895" s="21">
        <v>533</v>
      </c>
      <c r="M895" s="21">
        <v>148</v>
      </c>
      <c r="N895" s="21">
        <v>261</v>
      </c>
      <c r="O895" s="21">
        <v>47</v>
      </c>
      <c r="P895" s="10">
        <v>-25.24</v>
      </c>
      <c r="Q895" s="10">
        <v>14.1</v>
      </c>
      <c r="R895" s="10">
        <v>98.8</v>
      </c>
      <c r="S895" s="16">
        <f t="shared" ref="S895" si="49">K895*Q895/1000</f>
        <v>13.959</v>
      </c>
      <c r="T895" s="16">
        <f t="shared" si="43"/>
        <v>97.811999999999998</v>
      </c>
    </row>
    <row r="896" spans="1:20" x14ac:dyDescent="0.25">
      <c r="A896" s="14">
        <v>2014</v>
      </c>
      <c r="B896" s="14" t="s">
        <v>133</v>
      </c>
      <c r="C896" s="14" t="s">
        <v>134</v>
      </c>
      <c r="D896" s="14">
        <v>6</v>
      </c>
      <c r="E896" s="14">
        <v>6</v>
      </c>
      <c r="F896" s="14">
        <v>31</v>
      </c>
      <c r="G896" s="14">
        <v>3</v>
      </c>
      <c r="H896" s="14" t="s">
        <v>12</v>
      </c>
      <c r="I896" s="15">
        <v>41928</v>
      </c>
      <c r="J896" s="14" t="s">
        <v>128</v>
      </c>
      <c r="K896" s="21">
        <v>730</v>
      </c>
      <c r="L896" s="21">
        <v>396</v>
      </c>
      <c r="M896" s="21">
        <v>112</v>
      </c>
      <c r="N896" s="21">
        <v>156</v>
      </c>
      <c r="O896" s="21">
        <v>66</v>
      </c>
      <c r="P896" s="10"/>
      <c r="Q896" s="10"/>
      <c r="R896" s="10"/>
      <c r="T896" s="16"/>
    </row>
    <row r="897" spans="1:20" x14ac:dyDescent="0.25">
      <c r="A897" s="14">
        <v>2014</v>
      </c>
      <c r="B897" s="14" t="s">
        <v>133</v>
      </c>
      <c r="C897" s="14" t="s">
        <v>134</v>
      </c>
      <c r="D897" s="14">
        <v>6</v>
      </c>
      <c r="E897" s="14">
        <v>5</v>
      </c>
      <c r="F897" s="14">
        <v>32</v>
      </c>
      <c r="G897" s="14">
        <v>3</v>
      </c>
      <c r="H897" s="14" t="s">
        <v>6</v>
      </c>
      <c r="I897" s="15">
        <v>41928</v>
      </c>
      <c r="J897" s="14" t="s">
        <v>128</v>
      </c>
      <c r="K897" s="21">
        <v>775</v>
      </c>
      <c r="L897" s="21">
        <v>397</v>
      </c>
      <c r="M897" s="21">
        <v>120</v>
      </c>
      <c r="N897" s="21">
        <v>168</v>
      </c>
      <c r="O897" s="21">
        <v>90</v>
      </c>
      <c r="P897" s="10"/>
      <c r="Q897" s="10"/>
      <c r="R897" s="10"/>
      <c r="T897" s="16"/>
    </row>
    <row r="898" spans="1:20" x14ac:dyDescent="0.25">
      <c r="A898" s="14">
        <v>2014</v>
      </c>
      <c r="B898" s="14" t="s">
        <v>133</v>
      </c>
      <c r="C898" s="14" t="s">
        <v>134</v>
      </c>
      <c r="D898" s="14">
        <v>6</v>
      </c>
      <c r="E898" s="14">
        <v>4</v>
      </c>
      <c r="F898" s="14">
        <v>33</v>
      </c>
      <c r="G898" s="14">
        <v>3</v>
      </c>
      <c r="H898" s="14" t="s">
        <v>4</v>
      </c>
      <c r="I898" s="15">
        <v>41925</v>
      </c>
      <c r="J898" s="14" t="s">
        <v>128</v>
      </c>
      <c r="K898" s="21">
        <v>840</v>
      </c>
      <c r="L898" s="21">
        <v>475</v>
      </c>
      <c r="M898" s="21">
        <v>178</v>
      </c>
      <c r="N898" s="21">
        <v>163</v>
      </c>
      <c r="O898" s="21">
        <v>23</v>
      </c>
      <c r="P898" s="10">
        <v>-25.53</v>
      </c>
      <c r="Q898" s="10">
        <v>16.3</v>
      </c>
      <c r="R898" s="10">
        <v>109</v>
      </c>
      <c r="S898" s="16">
        <f t="shared" ref="S898" si="50">K898*Q898/1000</f>
        <v>13.692</v>
      </c>
      <c r="T898" s="16">
        <f t="shared" si="43"/>
        <v>91.56</v>
      </c>
    </row>
    <row r="899" spans="1:20" x14ac:dyDescent="0.25">
      <c r="A899" s="14">
        <v>2014</v>
      </c>
      <c r="B899" s="14" t="s">
        <v>133</v>
      </c>
      <c r="C899" s="14" t="s">
        <v>134</v>
      </c>
      <c r="D899" s="14">
        <v>6</v>
      </c>
      <c r="E899" s="14">
        <v>3</v>
      </c>
      <c r="F899" s="14">
        <v>34</v>
      </c>
      <c r="G899" s="14">
        <v>3</v>
      </c>
      <c r="H899" s="14" t="s">
        <v>9</v>
      </c>
      <c r="I899" s="15">
        <v>41928</v>
      </c>
      <c r="J899" s="14" t="s">
        <v>128</v>
      </c>
      <c r="K899" s="21">
        <v>852</v>
      </c>
      <c r="L899" s="21">
        <v>427</v>
      </c>
      <c r="M899" s="21">
        <v>99</v>
      </c>
      <c r="N899" s="21">
        <v>211</v>
      </c>
      <c r="O899" s="21">
        <v>115</v>
      </c>
      <c r="P899" s="10"/>
      <c r="Q899" s="10"/>
      <c r="R899" s="10"/>
      <c r="T899" s="16"/>
    </row>
    <row r="900" spans="1:20" x14ac:dyDescent="0.25">
      <c r="A900" s="14">
        <v>2014</v>
      </c>
      <c r="B900" s="14" t="s">
        <v>133</v>
      </c>
      <c r="C900" s="14" t="s">
        <v>134</v>
      </c>
      <c r="D900" s="14">
        <v>6</v>
      </c>
      <c r="E900" s="14">
        <v>2</v>
      </c>
      <c r="F900" s="14">
        <v>35</v>
      </c>
      <c r="G900" s="14">
        <v>3</v>
      </c>
      <c r="H900" s="14" t="s">
        <v>7</v>
      </c>
      <c r="I900" s="15">
        <v>41928</v>
      </c>
      <c r="J900" s="14" t="s">
        <v>128</v>
      </c>
      <c r="K900" s="21">
        <v>850</v>
      </c>
      <c r="L900" s="21">
        <v>427</v>
      </c>
      <c r="M900" s="21">
        <v>96</v>
      </c>
      <c r="N900" s="21">
        <v>248</v>
      </c>
      <c r="O900" s="21">
        <v>79</v>
      </c>
      <c r="P900" s="10"/>
      <c r="Q900" s="10"/>
      <c r="R900" s="10"/>
      <c r="T900" s="16"/>
    </row>
    <row r="901" spans="1:20" x14ac:dyDescent="0.25">
      <c r="A901" s="14">
        <v>2014</v>
      </c>
      <c r="B901" s="14" t="s">
        <v>133</v>
      </c>
      <c r="C901" s="14" t="s">
        <v>134</v>
      </c>
      <c r="D901" s="14">
        <v>6</v>
      </c>
      <c r="E901" s="14">
        <v>1</v>
      </c>
      <c r="F901" s="14">
        <v>36</v>
      </c>
      <c r="G901" s="14">
        <v>3</v>
      </c>
      <c r="H901" s="14" t="s">
        <v>8</v>
      </c>
      <c r="I901" s="15">
        <v>41925</v>
      </c>
      <c r="J901" s="14" t="s">
        <v>128</v>
      </c>
      <c r="K901" s="21">
        <v>827</v>
      </c>
      <c r="L901" s="21">
        <v>495</v>
      </c>
      <c r="M901" s="21">
        <v>104</v>
      </c>
      <c r="N901" s="21">
        <v>178</v>
      </c>
      <c r="O901" s="21">
        <v>50</v>
      </c>
      <c r="P901" s="10">
        <v>-25.24</v>
      </c>
      <c r="Q901" s="10">
        <v>13.9</v>
      </c>
      <c r="R901" s="10">
        <v>120.5</v>
      </c>
      <c r="S901" s="16">
        <f t="shared" ref="S901:S906" si="51">K901*Q901/1000</f>
        <v>11.4953</v>
      </c>
      <c r="T901" s="16">
        <f t="shared" ref="T901:T962" si="52">K901*R901/1000</f>
        <v>99.653499999999994</v>
      </c>
    </row>
    <row r="902" spans="1:20" x14ac:dyDescent="0.25">
      <c r="A902" s="14">
        <v>2014</v>
      </c>
      <c r="B902" s="14" t="s">
        <v>133</v>
      </c>
      <c r="C902" s="14" t="s">
        <v>134</v>
      </c>
      <c r="D902" s="14">
        <v>7</v>
      </c>
      <c r="E902" s="14">
        <v>1</v>
      </c>
      <c r="F902" s="14">
        <v>37</v>
      </c>
      <c r="G902" s="14">
        <v>4</v>
      </c>
      <c r="H902" s="14" t="s">
        <v>9</v>
      </c>
      <c r="I902" s="15">
        <v>41928</v>
      </c>
      <c r="J902" s="14" t="s">
        <v>128</v>
      </c>
      <c r="K902" s="21">
        <v>762</v>
      </c>
      <c r="L902" s="21">
        <v>397</v>
      </c>
      <c r="M902" s="21">
        <v>100</v>
      </c>
      <c r="N902" s="21">
        <v>194</v>
      </c>
      <c r="O902" s="21">
        <v>71</v>
      </c>
      <c r="P902" s="10">
        <v>-25.58</v>
      </c>
      <c r="Q902" s="10">
        <v>11.5</v>
      </c>
      <c r="R902" s="10">
        <v>104.5</v>
      </c>
      <c r="S902" s="16">
        <f t="shared" si="51"/>
        <v>8.7629999999999999</v>
      </c>
      <c r="T902" s="16">
        <f t="shared" si="52"/>
        <v>79.629000000000005</v>
      </c>
    </row>
    <row r="903" spans="1:20" x14ac:dyDescent="0.25">
      <c r="A903" s="14">
        <v>2014</v>
      </c>
      <c r="B903" s="14" t="s">
        <v>133</v>
      </c>
      <c r="C903" s="14" t="s">
        <v>134</v>
      </c>
      <c r="D903" s="14">
        <v>7</v>
      </c>
      <c r="E903" s="14">
        <v>2</v>
      </c>
      <c r="F903" s="14">
        <v>38</v>
      </c>
      <c r="G903" s="14">
        <v>4</v>
      </c>
      <c r="H903" s="14" t="s">
        <v>6</v>
      </c>
      <c r="I903" s="15">
        <v>41928</v>
      </c>
      <c r="J903" s="14" t="s">
        <v>128</v>
      </c>
      <c r="K903" s="21">
        <v>743</v>
      </c>
      <c r="L903" s="21">
        <v>381</v>
      </c>
      <c r="M903" s="21">
        <v>130</v>
      </c>
      <c r="N903" s="21">
        <v>170</v>
      </c>
      <c r="O903" s="21">
        <v>61</v>
      </c>
      <c r="P903" s="10">
        <v>-25.49</v>
      </c>
      <c r="Q903" s="10">
        <v>14.1</v>
      </c>
      <c r="R903" s="10">
        <v>121.2</v>
      </c>
      <c r="S903" s="16">
        <f t="shared" si="51"/>
        <v>10.476299999999998</v>
      </c>
      <c r="T903" s="16">
        <f t="shared" si="52"/>
        <v>90.051600000000008</v>
      </c>
    </row>
    <row r="904" spans="1:20" x14ac:dyDescent="0.25">
      <c r="A904" s="14">
        <v>2014</v>
      </c>
      <c r="B904" s="14" t="s">
        <v>133</v>
      </c>
      <c r="C904" s="14" t="s">
        <v>134</v>
      </c>
      <c r="D904" s="14">
        <v>7</v>
      </c>
      <c r="E904" s="14">
        <v>3</v>
      </c>
      <c r="F904" s="14">
        <v>39</v>
      </c>
      <c r="G904" s="14">
        <v>4</v>
      </c>
      <c r="H904" s="14" t="s">
        <v>2</v>
      </c>
      <c r="I904" s="15">
        <v>41921</v>
      </c>
      <c r="J904" s="14" t="s">
        <v>128</v>
      </c>
      <c r="K904" s="21">
        <v>783</v>
      </c>
      <c r="L904" s="21">
        <v>437</v>
      </c>
      <c r="M904" s="21">
        <v>104</v>
      </c>
      <c r="N904" s="21">
        <v>192</v>
      </c>
      <c r="O904" s="21">
        <v>49</v>
      </c>
      <c r="P904" s="10">
        <v>-25.55</v>
      </c>
      <c r="Q904" s="10">
        <v>13.3</v>
      </c>
      <c r="R904" s="10">
        <v>97.9</v>
      </c>
      <c r="S904" s="16">
        <f t="shared" si="51"/>
        <v>10.413900000000002</v>
      </c>
      <c r="T904" s="16">
        <f t="shared" si="52"/>
        <v>76.65570000000001</v>
      </c>
    </row>
    <row r="905" spans="1:20" x14ac:dyDescent="0.25">
      <c r="A905" s="14">
        <v>2014</v>
      </c>
      <c r="B905" s="14" t="s">
        <v>133</v>
      </c>
      <c r="C905" s="14" t="s">
        <v>134</v>
      </c>
      <c r="D905" s="14">
        <v>7</v>
      </c>
      <c r="E905" s="14">
        <v>4</v>
      </c>
      <c r="F905" s="14">
        <v>40</v>
      </c>
      <c r="G905" s="14">
        <v>4</v>
      </c>
      <c r="H905" s="14" t="s">
        <v>12</v>
      </c>
      <c r="I905" s="15">
        <v>41928</v>
      </c>
      <c r="J905" s="14" t="s">
        <v>128</v>
      </c>
      <c r="K905" s="21">
        <v>712</v>
      </c>
      <c r="L905" s="21">
        <v>394</v>
      </c>
      <c r="M905" s="21">
        <v>70</v>
      </c>
      <c r="N905" s="21">
        <v>160</v>
      </c>
      <c r="O905" s="21">
        <v>87</v>
      </c>
      <c r="P905" s="10">
        <v>-25.38</v>
      </c>
      <c r="Q905" s="10">
        <v>14.4</v>
      </c>
      <c r="R905" s="10">
        <v>101.1</v>
      </c>
      <c r="S905" s="16">
        <f t="shared" si="51"/>
        <v>10.252800000000001</v>
      </c>
      <c r="T905" s="16">
        <f t="shared" si="52"/>
        <v>71.983199999999997</v>
      </c>
    </row>
    <row r="906" spans="1:20" x14ac:dyDescent="0.25">
      <c r="A906" s="14">
        <v>2014</v>
      </c>
      <c r="B906" s="14" t="s">
        <v>133</v>
      </c>
      <c r="C906" s="14" t="s">
        <v>134</v>
      </c>
      <c r="D906" s="14">
        <v>7</v>
      </c>
      <c r="E906" s="14">
        <v>5</v>
      </c>
      <c r="F906" s="14">
        <v>41</v>
      </c>
      <c r="G906" s="14">
        <v>4</v>
      </c>
      <c r="H906" s="14" t="s">
        <v>8</v>
      </c>
      <c r="I906" s="15">
        <v>41925</v>
      </c>
      <c r="J906" s="14" t="s">
        <v>128</v>
      </c>
      <c r="K906" s="21">
        <v>955</v>
      </c>
      <c r="L906" s="21">
        <v>540</v>
      </c>
      <c r="M906" s="21">
        <v>164</v>
      </c>
      <c r="N906" s="21">
        <v>196</v>
      </c>
      <c r="O906" s="21">
        <v>55</v>
      </c>
      <c r="P906" s="10">
        <v>-25.59</v>
      </c>
      <c r="Q906" s="10">
        <v>15.7</v>
      </c>
      <c r="R906" s="10">
        <v>106.3</v>
      </c>
      <c r="S906" s="16">
        <f t="shared" si="51"/>
        <v>14.993499999999999</v>
      </c>
      <c r="T906" s="16">
        <f t="shared" si="52"/>
        <v>101.51649999999999</v>
      </c>
    </row>
    <row r="907" spans="1:20" x14ac:dyDescent="0.25">
      <c r="A907" s="14">
        <v>2014</v>
      </c>
      <c r="B907" s="14" t="s">
        <v>133</v>
      </c>
      <c r="C907" s="14" t="s">
        <v>134</v>
      </c>
      <c r="D907" s="14">
        <v>7</v>
      </c>
      <c r="E907" s="14">
        <v>6</v>
      </c>
      <c r="F907" s="14">
        <v>42</v>
      </c>
      <c r="G907" s="14">
        <v>4</v>
      </c>
      <c r="H907" s="14" t="s">
        <v>5</v>
      </c>
      <c r="I907" s="15">
        <v>41921</v>
      </c>
      <c r="J907" s="14" t="s">
        <v>128</v>
      </c>
      <c r="K907" s="21">
        <v>806</v>
      </c>
      <c r="L907" s="21">
        <v>378</v>
      </c>
      <c r="M907" s="21">
        <v>124</v>
      </c>
      <c r="N907" s="21">
        <v>199</v>
      </c>
      <c r="O907" s="21">
        <v>105</v>
      </c>
      <c r="P907" s="10"/>
      <c r="Q907" s="10"/>
      <c r="R907" s="10"/>
      <c r="T907" s="16"/>
    </row>
    <row r="908" spans="1:20" x14ac:dyDescent="0.25">
      <c r="A908" s="14">
        <v>2014</v>
      </c>
      <c r="B908" s="14" t="s">
        <v>133</v>
      </c>
      <c r="C908" s="14" t="s">
        <v>134</v>
      </c>
      <c r="D908" s="14">
        <v>8</v>
      </c>
      <c r="E908" s="14">
        <v>6</v>
      </c>
      <c r="F908" s="14">
        <v>43</v>
      </c>
      <c r="G908" s="14">
        <v>4</v>
      </c>
      <c r="H908" s="14" t="s">
        <v>3</v>
      </c>
      <c r="I908" s="15">
        <v>41921</v>
      </c>
      <c r="J908" s="14" t="s">
        <v>128</v>
      </c>
      <c r="K908" s="21">
        <v>838</v>
      </c>
      <c r="L908" s="21">
        <v>469</v>
      </c>
      <c r="M908" s="21">
        <v>133</v>
      </c>
      <c r="N908" s="21">
        <v>168</v>
      </c>
      <c r="O908" s="21">
        <v>69</v>
      </c>
      <c r="P908" s="10"/>
      <c r="Q908" s="10"/>
      <c r="R908" s="10"/>
      <c r="T908" s="16"/>
    </row>
    <row r="909" spans="1:20" x14ac:dyDescent="0.25">
      <c r="A909" s="14">
        <v>2014</v>
      </c>
      <c r="B909" s="14" t="s">
        <v>133</v>
      </c>
      <c r="C909" s="14" t="s">
        <v>134</v>
      </c>
      <c r="D909" s="14">
        <v>8</v>
      </c>
      <c r="E909" s="14">
        <v>5</v>
      </c>
      <c r="F909" s="14">
        <v>44</v>
      </c>
      <c r="G909" s="14">
        <v>4</v>
      </c>
      <c r="H909" s="14" t="s">
        <v>4</v>
      </c>
      <c r="I909" s="15">
        <v>41925</v>
      </c>
      <c r="J909" s="14" t="s">
        <v>128</v>
      </c>
      <c r="K909" s="21">
        <v>756</v>
      </c>
      <c r="L909" s="21">
        <v>473</v>
      </c>
      <c r="M909" s="21">
        <v>131</v>
      </c>
      <c r="N909" s="21">
        <v>130</v>
      </c>
      <c r="O909" s="21">
        <v>22</v>
      </c>
      <c r="P909" s="10">
        <v>-25.48</v>
      </c>
      <c r="Q909" s="10">
        <v>17.100000000000001</v>
      </c>
      <c r="R909" s="10">
        <v>117.4</v>
      </c>
      <c r="S909" s="16">
        <f t="shared" ref="S909" si="53">K909*Q909/1000</f>
        <v>12.9276</v>
      </c>
      <c r="T909" s="16">
        <f t="shared" si="52"/>
        <v>88.754400000000004</v>
      </c>
    </row>
    <row r="910" spans="1:20" x14ac:dyDescent="0.25">
      <c r="A910" s="14">
        <v>2014</v>
      </c>
      <c r="B910" s="14" t="s">
        <v>133</v>
      </c>
      <c r="C910" s="14" t="s">
        <v>134</v>
      </c>
      <c r="D910" s="14">
        <v>8</v>
      </c>
      <c r="E910" s="14">
        <v>4</v>
      </c>
      <c r="F910" s="14">
        <v>45</v>
      </c>
      <c r="G910" s="14">
        <v>4</v>
      </c>
      <c r="H910" s="14" t="s">
        <v>13</v>
      </c>
      <c r="I910" s="15">
        <v>41928</v>
      </c>
      <c r="J910" s="14" t="s">
        <v>128</v>
      </c>
      <c r="K910" s="21">
        <v>698</v>
      </c>
      <c r="L910" s="21">
        <v>349</v>
      </c>
      <c r="M910" s="21">
        <v>106</v>
      </c>
      <c r="N910" s="21">
        <v>196</v>
      </c>
      <c r="O910" s="21">
        <v>47</v>
      </c>
      <c r="P910" s="10"/>
      <c r="Q910" s="10"/>
      <c r="R910" s="10"/>
      <c r="T910" s="16"/>
    </row>
    <row r="911" spans="1:20" x14ac:dyDescent="0.25">
      <c r="A911" s="14">
        <v>2014</v>
      </c>
      <c r="B911" s="14" t="s">
        <v>133</v>
      </c>
      <c r="C911" s="14" t="s">
        <v>134</v>
      </c>
      <c r="D911" s="14">
        <v>8</v>
      </c>
      <c r="E911" s="14">
        <v>3</v>
      </c>
      <c r="F911" s="14">
        <v>46</v>
      </c>
      <c r="G911" s="14">
        <v>4</v>
      </c>
      <c r="H911" s="14" t="s">
        <v>7</v>
      </c>
      <c r="I911" s="15">
        <v>41928</v>
      </c>
      <c r="J911" s="14" t="s">
        <v>128</v>
      </c>
      <c r="K911" s="21">
        <v>839</v>
      </c>
      <c r="L911" s="21">
        <v>426</v>
      </c>
      <c r="M911" s="21">
        <v>122</v>
      </c>
      <c r="N911" s="21">
        <v>220</v>
      </c>
      <c r="O911" s="21">
        <v>70</v>
      </c>
      <c r="P911" s="10">
        <v>-25.36</v>
      </c>
      <c r="Q911" s="10">
        <v>15.3</v>
      </c>
      <c r="R911" s="10">
        <v>116.6</v>
      </c>
      <c r="S911" s="16">
        <f t="shared" ref="S911:S913" si="54">K911*Q911/1000</f>
        <v>12.8367</v>
      </c>
      <c r="T911" s="16">
        <f t="shared" si="52"/>
        <v>97.827399999999997</v>
      </c>
    </row>
    <row r="912" spans="1:20" x14ac:dyDescent="0.25">
      <c r="A912" s="14">
        <v>2014</v>
      </c>
      <c r="B912" s="14" t="s">
        <v>133</v>
      </c>
      <c r="C912" s="14" t="s">
        <v>134</v>
      </c>
      <c r="D912" s="14">
        <v>8</v>
      </c>
      <c r="E912" s="14">
        <v>2</v>
      </c>
      <c r="F912" s="14">
        <v>47</v>
      </c>
      <c r="G912" s="14">
        <v>4</v>
      </c>
      <c r="H912" s="14" t="s">
        <v>14</v>
      </c>
      <c r="I912" s="15">
        <v>41928</v>
      </c>
      <c r="J912" s="14" t="s">
        <v>128</v>
      </c>
      <c r="K912" s="21">
        <v>804</v>
      </c>
      <c r="L912" s="21">
        <v>414</v>
      </c>
      <c r="M912" s="21">
        <v>115</v>
      </c>
      <c r="N912" s="21">
        <v>206</v>
      </c>
      <c r="O912" s="21">
        <v>69</v>
      </c>
      <c r="P912" s="10">
        <v>-25.47</v>
      </c>
      <c r="Q912" s="10">
        <v>13.8</v>
      </c>
      <c r="R912" s="10">
        <v>110.8</v>
      </c>
      <c r="S912" s="16">
        <f t="shared" si="54"/>
        <v>11.0952</v>
      </c>
      <c r="T912" s="16">
        <f t="shared" si="52"/>
        <v>89.083199999999991</v>
      </c>
    </row>
    <row r="913" spans="1:20" x14ac:dyDescent="0.25">
      <c r="A913" s="14">
        <v>2014</v>
      </c>
      <c r="B913" s="14" t="s">
        <v>133</v>
      </c>
      <c r="C913" s="14" t="s">
        <v>134</v>
      </c>
      <c r="D913" s="14">
        <v>8</v>
      </c>
      <c r="E913" s="14">
        <v>1</v>
      </c>
      <c r="F913" s="14">
        <v>48</v>
      </c>
      <c r="G913" s="14">
        <v>4</v>
      </c>
      <c r="H913" s="14" t="s">
        <v>10</v>
      </c>
      <c r="I913" s="15">
        <v>41921</v>
      </c>
      <c r="J913" s="14" t="s">
        <v>128</v>
      </c>
      <c r="K913" s="21">
        <v>837</v>
      </c>
      <c r="L913" s="21">
        <v>429</v>
      </c>
      <c r="M913" s="21">
        <v>126</v>
      </c>
      <c r="N913" s="21">
        <v>242</v>
      </c>
      <c r="O913" s="21">
        <v>40</v>
      </c>
      <c r="P913" s="10">
        <v>-25.55</v>
      </c>
      <c r="Q913" s="10">
        <v>13.6</v>
      </c>
      <c r="R913" s="10">
        <v>105.9</v>
      </c>
      <c r="S913" s="16">
        <f t="shared" si="54"/>
        <v>11.383199999999999</v>
      </c>
      <c r="T913" s="16">
        <f t="shared" si="52"/>
        <v>88.638300000000001</v>
      </c>
    </row>
    <row r="914" spans="1:20" x14ac:dyDescent="0.25">
      <c r="A914" s="14">
        <v>2014</v>
      </c>
      <c r="B914" s="14" t="s">
        <v>133</v>
      </c>
      <c r="C914" s="14" t="s">
        <v>134</v>
      </c>
      <c r="D914" s="14">
        <v>1</v>
      </c>
      <c r="E914" s="14">
        <v>1</v>
      </c>
      <c r="F914" s="14">
        <v>1</v>
      </c>
      <c r="G914" s="14">
        <v>1</v>
      </c>
      <c r="H914" s="14" t="s">
        <v>6</v>
      </c>
      <c r="I914" s="15">
        <v>41957</v>
      </c>
      <c r="J914" s="14" t="s">
        <v>129</v>
      </c>
      <c r="K914" s="21">
        <v>819</v>
      </c>
      <c r="L914" s="21">
        <v>305</v>
      </c>
      <c r="M914" s="21"/>
      <c r="N914" s="21">
        <v>406</v>
      </c>
      <c r="O914" s="21">
        <v>108</v>
      </c>
      <c r="P914" s="10"/>
      <c r="Q914" s="10"/>
      <c r="R914" s="10"/>
      <c r="T914" s="16"/>
    </row>
    <row r="915" spans="1:20" x14ac:dyDescent="0.25">
      <c r="A915" s="14">
        <v>2014</v>
      </c>
      <c r="B915" s="14" t="s">
        <v>133</v>
      </c>
      <c r="C915" s="14" t="s">
        <v>134</v>
      </c>
      <c r="D915" s="14">
        <v>1</v>
      </c>
      <c r="E915" s="14">
        <v>2</v>
      </c>
      <c r="F915" s="14">
        <v>2</v>
      </c>
      <c r="G915" s="14">
        <v>1</v>
      </c>
      <c r="H915" s="14" t="s">
        <v>13</v>
      </c>
      <c r="I915" s="15">
        <v>41957</v>
      </c>
      <c r="J915" s="14" t="s">
        <v>129</v>
      </c>
      <c r="K915" s="21">
        <v>571</v>
      </c>
      <c r="L915" s="21">
        <v>205</v>
      </c>
      <c r="M915" s="21"/>
      <c r="N915" s="21">
        <v>300</v>
      </c>
      <c r="O915" s="21">
        <v>66</v>
      </c>
      <c r="P915" s="10"/>
      <c r="Q915" s="10"/>
      <c r="R915" s="10"/>
      <c r="T915" s="16"/>
    </row>
    <row r="916" spans="1:20" x14ac:dyDescent="0.25">
      <c r="A916" s="14">
        <v>2014</v>
      </c>
      <c r="B916" s="14" t="s">
        <v>133</v>
      </c>
      <c r="C916" s="14" t="s">
        <v>134</v>
      </c>
      <c r="D916" s="14">
        <v>1</v>
      </c>
      <c r="E916" s="14">
        <v>3</v>
      </c>
      <c r="F916" s="14">
        <v>3</v>
      </c>
      <c r="G916" s="14">
        <v>1</v>
      </c>
      <c r="H916" s="14" t="s">
        <v>5</v>
      </c>
      <c r="I916" s="15">
        <v>41957</v>
      </c>
      <c r="J916" s="14" t="s">
        <v>129</v>
      </c>
      <c r="K916" s="21">
        <v>788</v>
      </c>
      <c r="L916" s="21">
        <v>243</v>
      </c>
      <c r="M916" s="21"/>
      <c r="N916" s="21">
        <v>449</v>
      </c>
      <c r="O916" s="21">
        <v>96</v>
      </c>
      <c r="P916" s="10"/>
      <c r="Q916" s="10"/>
      <c r="R916" s="10"/>
      <c r="T916" s="16"/>
    </row>
    <row r="917" spans="1:20" x14ac:dyDescent="0.25">
      <c r="A917" s="14">
        <v>2014</v>
      </c>
      <c r="B917" s="14" t="s">
        <v>133</v>
      </c>
      <c r="C917" s="14" t="s">
        <v>134</v>
      </c>
      <c r="D917" s="14">
        <v>1</v>
      </c>
      <c r="E917" s="14">
        <v>4</v>
      </c>
      <c r="F917" s="14">
        <v>4</v>
      </c>
      <c r="G917" s="14">
        <v>1</v>
      </c>
      <c r="H917" s="14" t="s">
        <v>9</v>
      </c>
      <c r="I917" s="15">
        <v>41957</v>
      </c>
      <c r="J917" s="14" t="s">
        <v>129</v>
      </c>
      <c r="K917" s="21">
        <v>852</v>
      </c>
      <c r="L917" s="21">
        <v>283</v>
      </c>
      <c r="M917" s="21"/>
      <c r="N917" s="21">
        <v>452</v>
      </c>
      <c r="O917" s="21">
        <v>117</v>
      </c>
      <c r="P917" s="10"/>
      <c r="Q917" s="10"/>
      <c r="R917" s="10"/>
      <c r="T917" s="16"/>
    </row>
    <row r="918" spans="1:20" x14ac:dyDescent="0.25">
      <c r="A918" s="14">
        <v>2014</v>
      </c>
      <c r="B918" s="14" t="s">
        <v>133</v>
      </c>
      <c r="C918" s="14" t="s">
        <v>134</v>
      </c>
      <c r="D918" s="14">
        <v>1</v>
      </c>
      <c r="E918" s="14">
        <v>5</v>
      </c>
      <c r="F918" s="14">
        <v>5</v>
      </c>
      <c r="G918" s="14">
        <v>1</v>
      </c>
      <c r="H918" s="14" t="s">
        <v>12</v>
      </c>
      <c r="I918" s="15">
        <v>41957</v>
      </c>
      <c r="J918" s="14" t="s">
        <v>129</v>
      </c>
      <c r="K918" s="21">
        <v>800</v>
      </c>
      <c r="L918" s="21">
        <v>275</v>
      </c>
      <c r="M918" s="21"/>
      <c r="N918" s="21">
        <v>407</v>
      </c>
      <c r="O918" s="21">
        <v>118</v>
      </c>
      <c r="P918" s="10"/>
      <c r="Q918" s="10"/>
      <c r="R918" s="10"/>
      <c r="T918" s="16"/>
    </row>
    <row r="919" spans="1:20" x14ac:dyDescent="0.25">
      <c r="A919" s="14">
        <v>2014</v>
      </c>
      <c r="B919" s="14" t="s">
        <v>133</v>
      </c>
      <c r="C919" s="14" t="s">
        <v>134</v>
      </c>
      <c r="D919" s="14">
        <v>1</v>
      </c>
      <c r="E919" s="14">
        <v>6</v>
      </c>
      <c r="F919" s="14">
        <v>6</v>
      </c>
      <c r="G919" s="14">
        <v>1</v>
      </c>
      <c r="H919" s="14" t="s">
        <v>14</v>
      </c>
      <c r="I919" s="15">
        <v>41957</v>
      </c>
      <c r="J919" s="14" t="s">
        <v>129</v>
      </c>
      <c r="K919" s="21">
        <v>850</v>
      </c>
      <c r="L919" s="21">
        <v>292</v>
      </c>
      <c r="M919" s="21"/>
      <c r="N919" s="21">
        <v>450</v>
      </c>
      <c r="O919" s="21">
        <v>109</v>
      </c>
      <c r="P919" s="10"/>
      <c r="Q919" s="10"/>
      <c r="R919" s="10"/>
      <c r="T919" s="16"/>
    </row>
    <row r="920" spans="1:20" x14ac:dyDescent="0.25">
      <c r="A920" s="14">
        <v>2014</v>
      </c>
      <c r="B920" s="14" t="s">
        <v>133</v>
      </c>
      <c r="C920" s="14" t="s">
        <v>134</v>
      </c>
      <c r="D920" s="14">
        <v>2</v>
      </c>
      <c r="E920" s="14">
        <v>6</v>
      </c>
      <c r="F920" s="14">
        <v>7</v>
      </c>
      <c r="G920" s="14">
        <v>1</v>
      </c>
      <c r="H920" s="14" t="s">
        <v>4</v>
      </c>
      <c r="I920" s="15">
        <v>41957</v>
      </c>
      <c r="J920" s="14" t="s">
        <v>129</v>
      </c>
      <c r="K920" s="21">
        <v>920</v>
      </c>
      <c r="L920" s="21">
        <v>292</v>
      </c>
      <c r="M920" s="21"/>
      <c r="N920" s="21">
        <v>519</v>
      </c>
      <c r="O920" s="21">
        <v>109</v>
      </c>
      <c r="P920" s="10"/>
      <c r="Q920" s="10"/>
      <c r="R920" s="10"/>
      <c r="T920" s="16"/>
    </row>
    <row r="921" spans="1:20" x14ac:dyDescent="0.25">
      <c r="A921" s="14">
        <v>2014</v>
      </c>
      <c r="B921" s="14" t="s">
        <v>133</v>
      </c>
      <c r="C921" s="14" t="s">
        <v>134</v>
      </c>
      <c r="D921" s="14">
        <v>2</v>
      </c>
      <c r="E921" s="14">
        <v>5</v>
      </c>
      <c r="F921" s="14">
        <v>8</v>
      </c>
      <c r="G921" s="14">
        <v>1</v>
      </c>
      <c r="H921" s="14" t="s">
        <v>7</v>
      </c>
      <c r="I921" s="15">
        <v>41957</v>
      </c>
      <c r="J921" s="14" t="s">
        <v>129</v>
      </c>
      <c r="K921" s="21">
        <v>853</v>
      </c>
      <c r="L921" s="21">
        <v>321</v>
      </c>
      <c r="M921" s="21"/>
      <c r="N921" s="21">
        <v>388</v>
      </c>
      <c r="O921" s="21">
        <v>143</v>
      </c>
      <c r="P921" s="10"/>
      <c r="Q921" s="10"/>
      <c r="R921" s="10"/>
      <c r="T921" s="16"/>
    </row>
    <row r="922" spans="1:20" x14ac:dyDescent="0.25">
      <c r="A922" s="14">
        <v>2014</v>
      </c>
      <c r="B922" s="14" t="s">
        <v>133</v>
      </c>
      <c r="C922" s="14" t="s">
        <v>134</v>
      </c>
      <c r="D922" s="14">
        <v>2</v>
      </c>
      <c r="E922" s="14">
        <v>4</v>
      </c>
      <c r="F922" s="14">
        <v>9</v>
      </c>
      <c r="G922" s="14">
        <v>1</v>
      </c>
      <c r="H922" s="14" t="s">
        <v>2</v>
      </c>
      <c r="I922" s="15">
        <v>41957</v>
      </c>
      <c r="J922" s="14" t="s">
        <v>129</v>
      </c>
      <c r="K922" s="21">
        <v>996</v>
      </c>
      <c r="L922" s="21">
        <v>331</v>
      </c>
      <c r="M922" s="21"/>
      <c r="N922" s="21">
        <v>541</v>
      </c>
      <c r="O922" s="21">
        <v>125</v>
      </c>
      <c r="P922" s="10"/>
      <c r="Q922" s="10"/>
      <c r="R922" s="10"/>
      <c r="T922" s="16"/>
    </row>
    <row r="923" spans="1:20" x14ac:dyDescent="0.25">
      <c r="A923" s="14">
        <v>2014</v>
      </c>
      <c r="B923" s="14" t="s">
        <v>133</v>
      </c>
      <c r="C923" s="14" t="s">
        <v>134</v>
      </c>
      <c r="D923" s="14">
        <v>2</v>
      </c>
      <c r="E923" s="14">
        <v>3</v>
      </c>
      <c r="F923" s="14">
        <v>10</v>
      </c>
      <c r="G923" s="14">
        <v>1</v>
      </c>
      <c r="H923" s="14" t="s">
        <v>10</v>
      </c>
      <c r="I923" s="15">
        <v>41957</v>
      </c>
      <c r="J923" s="14" t="s">
        <v>129</v>
      </c>
      <c r="K923" s="21">
        <v>987</v>
      </c>
      <c r="L923" s="21">
        <v>305</v>
      </c>
      <c r="M923" s="21"/>
      <c r="N923" s="21">
        <v>572</v>
      </c>
      <c r="O923" s="21">
        <v>109</v>
      </c>
      <c r="P923" s="10"/>
      <c r="Q923" s="10"/>
      <c r="R923" s="10"/>
      <c r="T923" s="16"/>
    </row>
    <row r="924" spans="1:20" x14ac:dyDescent="0.25">
      <c r="A924" s="14">
        <v>2014</v>
      </c>
      <c r="B924" s="14" t="s">
        <v>133</v>
      </c>
      <c r="C924" s="14" t="s">
        <v>134</v>
      </c>
      <c r="D924" s="14">
        <v>2</v>
      </c>
      <c r="E924" s="14">
        <v>2</v>
      </c>
      <c r="F924" s="14">
        <v>11</v>
      </c>
      <c r="G924" s="14">
        <v>1</v>
      </c>
      <c r="H924" s="14" t="s">
        <v>8</v>
      </c>
      <c r="I924" s="15">
        <v>41957</v>
      </c>
      <c r="J924" s="14" t="s">
        <v>129</v>
      </c>
      <c r="K924" s="21">
        <v>954</v>
      </c>
      <c r="L924" s="21">
        <v>325</v>
      </c>
      <c r="M924" s="21"/>
      <c r="N924" s="21">
        <v>528</v>
      </c>
      <c r="O924" s="21">
        <v>100</v>
      </c>
      <c r="P924" s="10"/>
      <c r="Q924" s="10"/>
      <c r="R924" s="10"/>
      <c r="T924" s="16"/>
    </row>
    <row r="925" spans="1:20" x14ac:dyDescent="0.25">
      <c r="A925" s="14">
        <v>2014</v>
      </c>
      <c r="B925" s="14" t="s">
        <v>133</v>
      </c>
      <c r="C925" s="14" t="s">
        <v>134</v>
      </c>
      <c r="D925" s="14">
        <v>2</v>
      </c>
      <c r="E925" s="14">
        <v>1</v>
      </c>
      <c r="F925" s="14">
        <v>12</v>
      </c>
      <c r="G925" s="14">
        <v>1</v>
      </c>
      <c r="H925" s="14" t="s">
        <v>3</v>
      </c>
      <c r="I925" s="15">
        <v>41957</v>
      </c>
      <c r="J925" s="14" t="s">
        <v>129</v>
      </c>
      <c r="K925" s="21">
        <v>958</v>
      </c>
      <c r="L925" s="21">
        <v>323</v>
      </c>
      <c r="M925" s="21"/>
      <c r="N925" s="21">
        <v>518</v>
      </c>
      <c r="O925" s="21">
        <v>117</v>
      </c>
      <c r="P925" s="10"/>
      <c r="Q925" s="10"/>
      <c r="R925" s="10"/>
      <c r="T925" s="16"/>
    </row>
    <row r="926" spans="1:20" x14ac:dyDescent="0.25">
      <c r="A926" s="14">
        <v>2014</v>
      </c>
      <c r="B926" s="14" t="s">
        <v>133</v>
      </c>
      <c r="C926" s="14" t="s">
        <v>134</v>
      </c>
      <c r="D926" s="14">
        <v>3</v>
      </c>
      <c r="E926" s="14">
        <v>1</v>
      </c>
      <c r="F926" s="14">
        <v>13</v>
      </c>
      <c r="G926" s="14">
        <v>2</v>
      </c>
      <c r="H926" s="14" t="s">
        <v>12</v>
      </c>
      <c r="I926" s="15">
        <v>41957</v>
      </c>
      <c r="J926" s="14" t="s">
        <v>129</v>
      </c>
      <c r="K926" s="21">
        <v>774</v>
      </c>
      <c r="L926" s="21">
        <v>288</v>
      </c>
      <c r="M926" s="21"/>
      <c r="N926" s="21">
        <v>379</v>
      </c>
      <c r="O926" s="21">
        <v>107</v>
      </c>
      <c r="P926" s="10"/>
      <c r="Q926" s="10"/>
      <c r="R926" s="10"/>
      <c r="T926" s="16"/>
    </row>
    <row r="927" spans="1:20" x14ac:dyDescent="0.25">
      <c r="A927" s="14">
        <v>2014</v>
      </c>
      <c r="B927" s="14" t="s">
        <v>133</v>
      </c>
      <c r="C927" s="14" t="s">
        <v>134</v>
      </c>
      <c r="D927" s="14">
        <v>3</v>
      </c>
      <c r="E927" s="14">
        <v>2</v>
      </c>
      <c r="F927" s="14">
        <v>14</v>
      </c>
      <c r="G927" s="14">
        <v>2</v>
      </c>
      <c r="H927" s="14" t="s">
        <v>10</v>
      </c>
      <c r="I927" s="15">
        <v>41957</v>
      </c>
      <c r="J927" s="14" t="s">
        <v>129</v>
      </c>
      <c r="K927" s="21">
        <v>962</v>
      </c>
      <c r="L927" s="21">
        <v>287</v>
      </c>
      <c r="M927" s="21"/>
      <c r="N927" s="21">
        <v>575</v>
      </c>
      <c r="O927" s="21">
        <v>100</v>
      </c>
      <c r="P927" s="10"/>
      <c r="Q927" s="10"/>
      <c r="R927" s="10"/>
      <c r="T927" s="16"/>
    </row>
    <row r="928" spans="1:20" x14ac:dyDescent="0.25">
      <c r="A928" s="14">
        <v>2014</v>
      </c>
      <c r="B928" s="14" t="s">
        <v>133</v>
      </c>
      <c r="C928" s="14" t="s">
        <v>134</v>
      </c>
      <c r="D928" s="14">
        <v>3</v>
      </c>
      <c r="E928" s="14">
        <v>3</v>
      </c>
      <c r="F928" s="14">
        <v>15</v>
      </c>
      <c r="G928" s="14">
        <v>2</v>
      </c>
      <c r="H928" s="14" t="s">
        <v>6</v>
      </c>
      <c r="I928" s="15">
        <v>41957</v>
      </c>
      <c r="J928" s="14" t="s">
        <v>129</v>
      </c>
      <c r="K928" s="21">
        <v>764</v>
      </c>
      <c r="L928" s="21">
        <v>290</v>
      </c>
      <c r="M928" s="21"/>
      <c r="N928" s="21">
        <v>355</v>
      </c>
      <c r="O928" s="21">
        <v>119</v>
      </c>
      <c r="P928" s="10"/>
      <c r="Q928" s="10"/>
      <c r="R928" s="10"/>
      <c r="T928" s="16"/>
    </row>
    <row r="929" spans="1:20" x14ac:dyDescent="0.25">
      <c r="A929" s="14">
        <v>2014</v>
      </c>
      <c r="B929" s="14" t="s">
        <v>133</v>
      </c>
      <c r="C929" s="14" t="s">
        <v>134</v>
      </c>
      <c r="D929" s="14">
        <v>3</v>
      </c>
      <c r="E929" s="14">
        <v>4</v>
      </c>
      <c r="F929" s="14">
        <v>16</v>
      </c>
      <c r="G929" s="14">
        <v>2</v>
      </c>
      <c r="H929" s="14" t="s">
        <v>7</v>
      </c>
      <c r="I929" s="15">
        <v>41957</v>
      </c>
      <c r="J929" s="14" t="s">
        <v>129</v>
      </c>
      <c r="K929" s="21">
        <v>867</v>
      </c>
      <c r="L929" s="21">
        <v>306</v>
      </c>
      <c r="M929" s="21"/>
      <c r="N929" s="21">
        <v>441</v>
      </c>
      <c r="O929" s="21">
        <v>119</v>
      </c>
      <c r="P929" s="10"/>
      <c r="Q929" s="10"/>
      <c r="R929" s="10"/>
      <c r="T929" s="16"/>
    </row>
    <row r="930" spans="1:20" x14ac:dyDescent="0.25">
      <c r="A930" s="14">
        <v>2014</v>
      </c>
      <c r="B930" s="14" t="s">
        <v>133</v>
      </c>
      <c r="C930" s="14" t="s">
        <v>134</v>
      </c>
      <c r="D930" s="14">
        <v>3</v>
      </c>
      <c r="E930" s="14">
        <v>5</v>
      </c>
      <c r="F930" s="14">
        <v>17</v>
      </c>
      <c r="G930" s="14">
        <v>2</v>
      </c>
      <c r="H930" s="14" t="s">
        <v>3</v>
      </c>
      <c r="I930" s="15">
        <v>41957</v>
      </c>
      <c r="J930" s="14" t="s">
        <v>129</v>
      </c>
      <c r="K930" s="21">
        <v>990</v>
      </c>
      <c r="L930" s="21">
        <v>339</v>
      </c>
      <c r="M930" s="21"/>
      <c r="N930" s="21">
        <v>510</v>
      </c>
      <c r="O930" s="21">
        <v>141</v>
      </c>
      <c r="P930" s="10"/>
      <c r="Q930" s="10"/>
      <c r="R930" s="10"/>
      <c r="T930" s="16"/>
    </row>
    <row r="931" spans="1:20" x14ac:dyDescent="0.25">
      <c r="A931" s="14">
        <v>2014</v>
      </c>
      <c r="B931" s="14" t="s">
        <v>133</v>
      </c>
      <c r="C931" s="14" t="s">
        <v>134</v>
      </c>
      <c r="D931" s="14">
        <v>3</v>
      </c>
      <c r="E931" s="14">
        <v>6</v>
      </c>
      <c r="F931" s="14">
        <v>18</v>
      </c>
      <c r="G931" s="14">
        <v>2</v>
      </c>
      <c r="H931" s="14" t="s">
        <v>9</v>
      </c>
      <c r="I931" s="15">
        <v>41957</v>
      </c>
      <c r="J931" s="14" t="s">
        <v>129</v>
      </c>
      <c r="K931" s="21">
        <v>901</v>
      </c>
      <c r="L931" s="21">
        <v>333</v>
      </c>
      <c r="M931" s="21"/>
      <c r="N931" s="21">
        <v>449</v>
      </c>
      <c r="O931" s="21">
        <v>119</v>
      </c>
      <c r="P931" s="10"/>
      <c r="Q931" s="10"/>
      <c r="R931" s="10"/>
      <c r="T931" s="16"/>
    </row>
    <row r="932" spans="1:20" x14ac:dyDescent="0.25">
      <c r="A932" s="14">
        <v>2014</v>
      </c>
      <c r="B932" s="14" t="s">
        <v>133</v>
      </c>
      <c r="C932" s="14" t="s">
        <v>134</v>
      </c>
      <c r="D932" s="14">
        <v>4</v>
      </c>
      <c r="E932" s="14">
        <v>6</v>
      </c>
      <c r="F932" s="14">
        <v>19</v>
      </c>
      <c r="G932" s="14">
        <v>2</v>
      </c>
      <c r="H932" s="14" t="s">
        <v>13</v>
      </c>
      <c r="I932" s="15">
        <v>41957</v>
      </c>
      <c r="J932" s="14" t="s">
        <v>129</v>
      </c>
      <c r="K932" s="21">
        <v>830</v>
      </c>
      <c r="L932" s="21">
        <v>300</v>
      </c>
      <c r="M932" s="21"/>
      <c r="N932" s="21">
        <v>407</v>
      </c>
      <c r="O932" s="21">
        <v>123</v>
      </c>
      <c r="P932" s="10"/>
      <c r="Q932" s="10"/>
      <c r="R932" s="10"/>
      <c r="T932" s="16"/>
    </row>
    <row r="933" spans="1:20" x14ac:dyDescent="0.25">
      <c r="A933" s="14">
        <v>2014</v>
      </c>
      <c r="B933" s="14" t="s">
        <v>133</v>
      </c>
      <c r="C933" s="14" t="s">
        <v>134</v>
      </c>
      <c r="D933" s="14">
        <v>4</v>
      </c>
      <c r="E933" s="14">
        <v>5</v>
      </c>
      <c r="F933" s="14">
        <v>20</v>
      </c>
      <c r="G933" s="14">
        <v>2</v>
      </c>
      <c r="H933" s="14" t="s">
        <v>2</v>
      </c>
      <c r="I933" s="15">
        <v>41957</v>
      </c>
      <c r="J933" s="14" t="s">
        <v>129</v>
      </c>
      <c r="K933" s="21">
        <v>1084</v>
      </c>
      <c r="L933" s="21">
        <v>367</v>
      </c>
      <c r="M933" s="21"/>
      <c r="N933" s="21">
        <v>571</v>
      </c>
      <c r="O933" s="21">
        <v>146</v>
      </c>
      <c r="P933" s="10"/>
      <c r="Q933" s="10"/>
      <c r="R933" s="10"/>
      <c r="T933" s="16"/>
    </row>
    <row r="934" spans="1:20" x14ac:dyDescent="0.25">
      <c r="A934" s="14">
        <v>2014</v>
      </c>
      <c r="B934" s="14" t="s">
        <v>133</v>
      </c>
      <c r="C934" s="14" t="s">
        <v>134</v>
      </c>
      <c r="D934" s="14">
        <v>4</v>
      </c>
      <c r="E934" s="14">
        <v>4</v>
      </c>
      <c r="F934" s="14">
        <v>21</v>
      </c>
      <c r="G934" s="14">
        <v>2</v>
      </c>
      <c r="H934" s="14" t="s">
        <v>14</v>
      </c>
      <c r="I934" s="15">
        <v>41957</v>
      </c>
      <c r="J934" s="14" t="s">
        <v>129</v>
      </c>
      <c r="K934" s="21">
        <v>891</v>
      </c>
      <c r="L934" s="21">
        <v>316</v>
      </c>
      <c r="M934" s="21"/>
      <c r="N934" s="21">
        <v>422</v>
      </c>
      <c r="O934" s="21">
        <v>153</v>
      </c>
      <c r="P934" s="10"/>
      <c r="Q934" s="10"/>
      <c r="R934" s="10"/>
      <c r="T934" s="16"/>
    </row>
    <row r="935" spans="1:20" x14ac:dyDescent="0.25">
      <c r="A935" s="14">
        <v>2014</v>
      </c>
      <c r="B935" s="14" t="s">
        <v>133</v>
      </c>
      <c r="C935" s="14" t="s">
        <v>134</v>
      </c>
      <c r="D935" s="14">
        <v>4</v>
      </c>
      <c r="E935" s="14">
        <v>3</v>
      </c>
      <c r="F935" s="14">
        <v>22</v>
      </c>
      <c r="G935" s="14">
        <v>2</v>
      </c>
      <c r="H935" s="14" t="s">
        <v>8</v>
      </c>
      <c r="I935" s="15">
        <v>41957</v>
      </c>
      <c r="J935" s="14" t="s">
        <v>129</v>
      </c>
      <c r="K935" s="21">
        <v>988</v>
      </c>
      <c r="L935" s="21">
        <v>338</v>
      </c>
      <c r="M935" s="21"/>
      <c r="N935" s="21">
        <v>545</v>
      </c>
      <c r="O935" s="21">
        <v>105</v>
      </c>
      <c r="P935" s="10"/>
      <c r="Q935" s="10"/>
      <c r="R935" s="10"/>
      <c r="T935" s="16"/>
    </row>
    <row r="936" spans="1:20" x14ac:dyDescent="0.25">
      <c r="A936" s="14">
        <v>2014</v>
      </c>
      <c r="B936" s="14" t="s">
        <v>133</v>
      </c>
      <c r="C936" s="14" t="s">
        <v>134</v>
      </c>
      <c r="D936" s="14">
        <v>4</v>
      </c>
      <c r="E936" s="14">
        <v>2</v>
      </c>
      <c r="F936" s="14">
        <v>23</v>
      </c>
      <c r="G936" s="14">
        <v>2</v>
      </c>
      <c r="H936" s="14" t="s">
        <v>4</v>
      </c>
      <c r="I936" s="15">
        <v>41957</v>
      </c>
      <c r="J936" s="14" t="s">
        <v>129</v>
      </c>
      <c r="K936" s="21">
        <v>895</v>
      </c>
      <c r="L936" s="21">
        <v>279</v>
      </c>
      <c r="M936" s="21"/>
      <c r="N936" s="21">
        <v>511</v>
      </c>
      <c r="O936" s="21">
        <v>105</v>
      </c>
      <c r="P936" s="10"/>
      <c r="Q936" s="10"/>
      <c r="R936" s="10"/>
      <c r="T936" s="16"/>
    </row>
    <row r="937" spans="1:20" x14ac:dyDescent="0.25">
      <c r="A937" s="14">
        <v>2014</v>
      </c>
      <c r="B937" s="14" t="s">
        <v>133</v>
      </c>
      <c r="C937" s="14" t="s">
        <v>134</v>
      </c>
      <c r="D937" s="14">
        <v>4</v>
      </c>
      <c r="E937" s="14">
        <v>1</v>
      </c>
      <c r="F937" s="14">
        <v>24</v>
      </c>
      <c r="G937" s="14">
        <v>2</v>
      </c>
      <c r="H937" s="14" t="s">
        <v>5</v>
      </c>
      <c r="I937" s="15">
        <v>41957</v>
      </c>
      <c r="J937" s="14" t="s">
        <v>129</v>
      </c>
      <c r="K937" s="21">
        <v>967</v>
      </c>
      <c r="L937" s="21">
        <v>309</v>
      </c>
      <c r="M937" s="21"/>
      <c r="N937" s="21">
        <v>525</v>
      </c>
      <c r="O937" s="21">
        <v>133</v>
      </c>
      <c r="P937" s="10"/>
      <c r="Q937" s="10"/>
      <c r="R937" s="10"/>
      <c r="T937" s="16"/>
    </row>
    <row r="938" spans="1:20" x14ac:dyDescent="0.25">
      <c r="A938" s="14">
        <v>2014</v>
      </c>
      <c r="B938" s="14" t="s">
        <v>133</v>
      </c>
      <c r="C938" s="14" t="s">
        <v>134</v>
      </c>
      <c r="D938" s="14">
        <v>5</v>
      </c>
      <c r="E938" s="14">
        <v>1</v>
      </c>
      <c r="F938" s="14">
        <v>25</v>
      </c>
      <c r="G938" s="14">
        <v>3</v>
      </c>
      <c r="H938" s="14" t="s">
        <v>2</v>
      </c>
      <c r="I938" s="15">
        <v>41957</v>
      </c>
      <c r="J938" s="14" t="s">
        <v>129</v>
      </c>
      <c r="K938" s="21">
        <v>1041</v>
      </c>
      <c r="L938" s="21">
        <v>342</v>
      </c>
      <c r="M938" s="21"/>
      <c r="N938" s="21">
        <v>610</v>
      </c>
      <c r="O938" s="21">
        <v>88</v>
      </c>
      <c r="P938" s="10"/>
      <c r="Q938" s="10"/>
      <c r="R938" s="10"/>
      <c r="T938" s="16"/>
    </row>
    <row r="939" spans="1:20" x14ac:dyDescent="0.25">
      <c r="A939" s="14">
        <v>2014</v>
      </c>
      <c r="B939" s="14" t="s">
        <v>133</v>
      </c>
      <c r="C939" s="14" t="s">
        <v>134</v>
      </c>
      <c r="D939" s="14">
        <v>5</v>
      </c>
      <c r="E939" s="14">
        <v>2</v>
      </c>
      <c r="F939" s="14">
        <v>26</v>
      </c>
      <c r="G939" s="14">
        <v>3</v>
      </c>
      <c r="H939" s="14" t="s">
        <v>5</v>
      </c>
      <c r="I939" s="15">
        <v>41957</v>
      </c>
      <c r="J939" s="14" t="s">
        <v>129</v>
      </c>
      <c r="K939" s="21">
        <v>871</v>
      </c>
      <c r="L939" s="21">
        <v>289</v>
      </c>
      <c r="M939" s="21"/>
      <c r="N939" s="21">
        <v>512</v>
      </c>
      <c r="O939" s="21">
        <v>70</v>
      </c>
      <c r="P939" s="10"/>
      <c r="Q939" s="10"/>
      <c r="R939" s="10"/>
      <c r="T939" s="16"/>
    </row>
    <row r="940" spans="1:20" x14ac:dyDescent="0.25">
      <c r="A940" s="14">
        <v>2014</v>
      </c>
      <c r="B940" s="14" t="s">
        <v>133</v>
      </c>
      <c r="C940" s="14" t="s">
        <v>134</v>
      </c>
      <c r="D940" s="14">
        <v>5</v>
      </c>
      <c r="E940" s="14">
        <v>3</v>
      </c>
      <c r="F940" s="14">
        <v>27</v>
      </c>
      <c r="G940" s="14">
        <v>3</v>
      </c>
      <c r="H940" s="14" t="s">
        <v>14</v>
      </c>
      <c r="I940" s="15">
        <v>41957</v>
      </c>
      <c r="J940" s="14" t="s">
        <v>129</v>
      </c>
      <c r="K940" s="21">
        <v>839</v>
      </c>
      <c r="L940" s="21">
        <v>328</v>
      </c>
      <c r="M940" s="21"/>
      <c r="N940" s="21">
        <v>426</v>
      </c>
      <c r="O940" s="21">
        <v>85</v>
      </c>
      <c r="P940" s="10"/>
      <c r="Q940" s="10"/>
      <c r="R940" s="10"/>
      <c r="T940" s="16"/>
    </row>
    <row r="941" spans="1:20" x14ac:dyDescent="0.25">
      <c r="A941" s="14">
        <v>2014</v>
      </c>
      <c r="B941" s="14" t="s">
        <v>133</v>
      </c>
      <c r="C941" s="14" t="s">
        <v>134</v>
      </c>
      <c r="D941" s="14">
        <v>5</v>
      </c>
      <c r="E941" s="14">
        <v>4</v>
      </c>
      <c r="F941" s="14">
        <v>28</v>
      </c>
      <c r="G941" s="14">
        <v>3</v>
      </c>
      <c r="H941" s="14" t="s">
        <v>3</v>
      </c>
      <c r="I941" s="15">
        <v>41957</v>
      </c>
      <c r="J941" s="14" t="s">
        <v>129</v>
      </c>
      <c r="K941" s="21">
        <v>958</v>
      </c>
      <c r="L941" s="21">
        <v>332</v>
      </c>
      <c r="M941" s="21"/>
      <c r="N941" s="21">
        <v>541</v>
      </c>
      <c r="O941" s="21">
        <v>85</v>
      </c>
      <c r="P941" s="10"/>
      <c r="Q941" s="10"/>
      <c r="R941" s="10"/>
      <c r="T941" s="16"/>
    </row>
    <row r="942" spans="1:20" x14ac:dyDescent="0.25">
      <c r="A942" s="14">
        <v>2014</v>
      </c>
      <c r="B942" s="14" t="s">
        <v>133</v>
      </c>
      <c r="C942" s="14" t="s">
        <v>134</v>
      </c>
      <c r="D942" s="14">
        <v>5</v>
      </c>
      <c r="E942" s="14">
        <v>5</v>
      </c>
      <c r="F942" s="14">
        <v>29</v>
      </c>
      <c r="G942" s="14">
        <v>3</v>
      </c>
      <c r="H942" s="14" t="s">
        <v>13</v>
      </c>
      <c r="I942" s="15">
        <v>41957</v>
      </c>
      <c r="J942" s="14" t="s">
        <v>129</v>
      </c>
      <c r="K942" s="21">
        <v>778</v>
      </c>
      <c r="L942" s="21">
        <v>305</v>
      </c>
      <c r="M942" s="21"/>
      <c r="N942" s="21">
        <v>391</v>
      </c>
      <c r="O942" s="21">
        <v>83</v>
      </c>
      <c r="P942" s="10"/>
      <c r="Q942" s="10"/>
      <c r="R942" s="10"/>
      <c r="T942" s="16"/>
    </row>
    <row r="943" spans="1:20" x14ac:dyDescent="0.25">
      <c r="A943" s="14">
        <v>2014</v>
      </c>
      <c r="B943" s="14" t="s">
        <v>133</v>
      </c>
      <c r="C943" s="14" t="s">
        <v>134</v>
      </c>
      <c r="D943" s="14">
        <v>5</v>
      </c>
      <c r="E943" s="14">
        <v>6</v>
      </c>
      <c r="F943" s="14">
        <v>30</v>
      </c>
      <c r="G943" s="14">
        <v>3</v>
      </c>
      <c r="H943" s="14" t="s">
        <v>10</v>
      </c>
      <c r="I943" s="15">
        <v>41957</v>
      </c>
      <c r="J943" s="14" t="s">
        <v>129</v>
      </c>
      <c r="K943" s="21">
        <v>1051</v>
      </c>
      <c r="L943" s="21">
        <v>326</v>
      </c>
      <c r="M943" s="21"/>
      <c r="N943" s="21">
        <v>648</v>
      </c>
      <c r="O943" s="21">
        <v>78</v>
      </c>
      <c r="P943" s="10"/>
      <c r="Q943" s="10"/>
      <c r="R943" s="10"/>
      <c r="T943" s="16"/>
    </row>
    <row r="944" spans="1:20" x14ac:dyDescent="0.25">
      <c r="A944" s="14">
        <v>2014</v>
      </c>
      <c r="B944" s="14" t="s">
        <v>133</v>
      </c>
      <c r="C944" s="14" t="s">
        <v>134</v>
      </c>
      <c r="D944" s="14">
        <v>6</v>
      </c>
      <c r="E944" s="14">
        <v>6</v>
      </c>
      <c r="F944" s="14">
        <v>31</v>
      </c>
      <c r="G944" s="14">
        <v>3</v>
      </c>
      <c r="H944" s="14" t="s">
        <v>12</v>
      </c>
      <c r="I944" s="15">
        <v>41957</v>
      </c>
      <c r="J944" s="14" t="s">
        <v>129</v>
      </c>
      <c r="K944" s="21">
        <v>826</v>
      </c>
      <c r="L944" s="21">
        <v>300</v>
      </c>
      <c r="M944" s="21"/>
      <c r="N944" s="21">
        <v>421</v>
      </c>
      <c r="O944" s="21">
        <v>105</v>
      </c>
      <c r="P944" s="10"/>
      <c r="Q944" s="10"/>
      <c r="R944" s="10"/>
      <c r="T944" s="16"/>
    </row>
    <row r="945" spans="1:20" x14ac:dyDescent="0.25">
      <c r="A945" s="14">
        <v>2014</v>
      </c>
      <c r="B945" s="14" t="s">
        <v>133</v>
      </c>
      <c r="C945" s="14" t="s">
        <v>134</v>
      </c>
      <c r="D945" s="14">
        <v>6</v>
      </c>
      <c r="E945" s="14">
        <v>5</v>
      </c>
      <c r="F945" s="14">
        <v>32</v>
      </c>
      <c r="G945" s="14">
        <v>3</v>
      </c>
      <c r="H945" s="14" t="s">
        <v>6</v>
      </c>
      <c r="I945" s="15">
        <v>41957</v>
      </c>
      <c r="J945" s="14" t="s">
        <v>129</v>
      </c>
      <c r="K945" s="21">
        <v>799</v>
      </c>
      <c r="L945" s="21">
        <v>302</v>
      </c>
      <c r="M945" s="21"/>
      <c r="N945" s="21">
        <v>410</v>
      </c>
      <c r="O945" s="21">
        <v>87</v>
      </c>
      <c r="P945" s="10"/>
      <c r="Q945" s="10"/>
      <c r="R945" s="10"/>
      <c r="T945" s="16"/>
    </row>
    <row r="946" spans="1:20" x14ac:dyDescent="0.25">
      <c r="A946" s="14">
        <v>2014</v>
      </c>
      <c r="B946" s="14" t="s">
        <v>133</v>
      </c>
      <c r="C946" s="14" t="s">
        <v>134</v>
      </c>
      <c r="D946" s="14">
        <v>6</v>
      </c>
      <c r="E946" s="14">
        <v>4</v>
      </c>
      <c r="F946" s="14">
        <v>33</v>
      </c>
      <c r="G946" s="14">
        <v>3</v>
      </c>
      <c r="H946" s="14" t="s">
        <v>4</v>
      </c>
      <c r="I946" s="15">
        <v>41957</v>
      </c>
      <c r="J946" s="14" t="s">
        <v>129</v>
      </c>
      <c r="K946" s="21">
        <v>834</v>
      </c>
      <c r="L946" s="21">
        <v>238</v>
      </c>
      <c r="M946" s="21"/>
      <c r="N946" s="21">
        <v>540</v>
      </c>
      <c r="O946" s="21">
        <v>55</v>
      </c>
      <c r="P946" s="10"/>
      <c r="Q946" s="10"/>
      <c r="R946" s="10"/>
      <c r="T946" s="16"/>
    </row>
    <row r="947" spans="1:20" x14ac:dyDescent="0.25">
      <c r="A947" s="14">
        <v>2014</v>
      </c>
      <c r="B947" s="14" t="s">
        <v>133</v>
      </c>
      <c r="C947" s="14" t="s">
        <v>134</v>
      </c>
      <c r="D947" s="14">
        <v>6</v>
      </c>
      <c r="E947" s="14">
        <v>3</v>
      </c>
      <c r="F947" s="14">
        <v>34</v>
      </c>
      <c r="G947" s="14">
        <v>3</v>
      </c>
      <c r="H947" s="14" t="s">
        <v>9</v>
      </c>
      <c r="I947" s="15">
        <v>41957</v>
      </c>
      <c r="J947" s="14" t="s">
        <v>129</v>
      </c>
      <c r="K947" s="21">
        <v>819</v>
      </c>
      <c r="L947" s="21">
        <v>296</v>
      </c>
      <c r="M947" s="21"/>
      <c r="N947" s="21">
        <v>434</v>
      </c>
      <c r="O947" s="21">
        <v>89</v>
      </c>
      <c r="P947" s="10"/>
      <c r="Q947" s="10"/>
      <c r="R947" s="10"/>
      <c r="T947" s="16"/>
    </row>
    <row r="948" spans="1:20" x14ac:dyDescent="0.25">
      <c r="A948" s="14">
        <v>2014</v>
      </c>
      <c r="B948" s="14" t="s">
        <v>133</v>
      </c>
      <c r="C948" s="14" t="s">
        <v>134</v>
      </c>
      <c r="D948" s="14">
        <v>6</v>
      </c>
      <c r="E948" s="14">
        <v>2</v>
      </c>
      <c r="F948" s="14">
        <v>35</v>
      </c>
      <c r="G948" s="14">
        <v>3</v>
      </c>
      <c r="H948" s="14" t="s">
        <v>7</v>
      </c>
      <c r="I948" s="15">
        <v>41957</v>
      </c>
      <c r="J948" s="14" t="s">
        <v>129</v>
      </c>
      <c r="K948" s="21">
        <v>890</v>
      </c>
      <c r="L948" s="21">
        <v>306</v>
      </c>
      <c r="M948" s="21"/>
      <c r="N948" s="21">
        <v>500</v>
      </c>
      <c r="O948" s="21">
        <v>84</v>
      </c>
      <c r="P948" s="10"/>
      <c r="Q948" s="10"/>
      <c r="R948" s="10"/>
      <c r="T948" s="16"/>
    </row>
    <row r="949" spans="1:20" x14ac:dyDescent="0.25">
      <c r="A949" s="14">
        <v>2014</v>
      </c>
      <c r="B949" s="14" t="s">
        <v>133</v>
      </c>
      <c r="C949" s="14" t="s">
        <v>134</v>
      </c>
      <c r="D949" s="14">
        <v>6</v>
      </c>
      <c r="E949" s="14">
        <v>1</v>
      </c>
      <c r="F949" s="14">
        <v>36</v>
      </c>
      <c r="G949" s="14">
        <v>3</v>
      </c>
      <c r="H949" s="14" t="s">
        <v>8</v>
      </c>
      <c r="I949" s="15">
        <v>41957</v>
      </c>
      <c r="J949" s="14" t="s">
        <v>129</v>
      </c>
      <c r="K949" s="21">
        <v>904</v>
      </c>
      <c r="L949" s="21">
        <v>306</v>
      </c>
      <c r="M949" s="21"/>
      <c r="N949" s="21">
        <v>521</v>
      </c>
      <c r="O949" s="21">
        <v>77</v>
      </c>
      <c r="P949" s="10"/>
      <c r="Q949" s="10"/>
      <c r="R949" s="10"/>
      <c r="T949" s="16"/>
    </row>
    <row r="950" spans="1:20" x14ac:dyDescent="0.25">
      <c r="A950" s="14">
        <v>2014</v>
      </c>
      <c r="B950" s="14" t="s">
        <v>133</v>
      </c>
      <c r="C950" s="14" t="s">
        <v>134</v>
      </c>
      <c r="D950" s="14">
        <v>7</v>
      </c>
      <c r="E950" s="14">
        <v>1</v>
      </c>
      <c r="F950" s="14">
        <v>37</v>
      </c>
      <c r="G950" s="14">
        <v>4</v>
      </c>
      <c r="H950" s="14" t="s">
        <v>9</v>
      </c>
      <c r="I950" s="15">
        <v>41957</v>
      </c>
      <c r="J950" s="14" t="s">
        <v>129</v>
      </c>
      <c r="K950" s="21">
        <v>848</v>
      </c>
      <c r="L950" s="21">
        <v>291</v>
      </c>
      <c r="M950" s="21"/>
      <c r="N950" s="21">
        <v>471</v>
      </c>
      <c r="O950" s="21">
        <v>85</v>
      </c>
      <c r="P950" s="10"/>
      <c r="Q950" s="10"/>
      <c r="R950" s="10"/>
      <c r="T950" s="16"/>
    </row>
    <row r="951" spans="1:20" x14ac:dyDescent="0.25">
      <c r="A951" s="14">
        <v>2014</v>
      </c>
      <c r="B951" s="14" t="s">
        <v>133</v>
      </c>
      <c r="C951" s="14" t="s">
        <v>134</v>
      </c>
      <c r="D951" s="14">
        <v>7</v>
      </c>
      <c r="E951" s="14">
        <v>2</v>
      </c>
      <c r="F951" s="14">
        <v>38</v>
      </c>
      <c r="G951" s="14">
        <v>4</v>
      </c>
      <c r="H951" s="14" t="s">
        <v>6</v>
      </c>
      <c r="I951" s="15">
        <v>41957</v>
      </c>
      <c r="J951" s="14" t="s">
        <v>129</v>
      </c>
      <c r="K951" s="21">
        <v>821</v>
      </c>
      <c r="L951" s="21">
        <v>298</v>
      </c>
      <c r="M951" s="21"/>
      <c r="N951" s="21">
        <v>431</v>
      </c>
      <c r="O951" s="21">
        <v>92</v>
      </c>
      <c r="P951" s="10"/>
      <c r="Q951" s="10"/>
      <c r="R951" s="10"/>
      <c r="T951" s="16"/>
    </row>
    <row r="952" spans="1:20" x14ac:dyDescent="0.25">
      <c r="A952" s="14">
        <v>2014</v>
      </c>
      <c r="B952" s="14" t="s">
        <v>133</v>
      </c>
      <c r="C952" s="14" t="s">
        <v>134</v>
      </c>
      <c r="D952" s="14">
        <v>7</v>
      </c>
      <c r="E952" s="14">
        <v>3</v>
      </c>
      <c r="F952" s="14">
        <v>39</v>
      </c>
      <c r="G952" s="14">
        <v>4</v>
      </c>
      <c r="H952" s="14" t="s">
        <v>2</v>
      </c>
      <c r="I952" s="15">
        <v>41957</v>
      </c>
      <c r="J952" s="14" t="s">
        <v>129</v>
      </c>
      <c r="K952" s="21">
        <v>1017</v>
      </c>
      <c r="L952" s="21">
        <v>294</v>
      </c>
      <c r="M952" s="21"/>
      <c r="N952" s="21">
        <v>651</v>
      </c>
      <c r="O952" s="21">
        <v>71</v>
      </c>
      <c r="P952" s="10"/>
      <c r="Q952" s="10"/>
      <c r="R952" s="10"/>
      <c r="T952" s="16"/>
    </row>
    <row r="953" spans="1:20" x14ac:dyDescent="0.25">
      <c r="A953" s="14">
        <v>2014</v>
      </c>
      <c r="B953" s="14" t="s">
        <v>133</v>
      </c>
      <c r="C953" s="14" t="s">
        <v>134</v>
      </c>
      <c r="D953" s="14">
        <v>7</v>
      </c>
      <c r="E953" s="14">
        <v>4</v>
      </c>
      <c r="F953" s="14">
        <v>40</v>
      </c>
      <c r="G953" s="14">
        <v>4</v>
      </c>
      <c r="H953" s="14" t="s">
        <v>12</v>
      </c>
      <c r="I953" s="15">
        <v>41957</v>
      </c>
      <c r="J953" s="14" t="s">
        <v>129</v>
      </c>
      <c r="K953" s="21">
        <v>736</v>
      </c>
      <c r="L953" s="21">
        <v>263</v>
      </c>
      <c r="M953" s="21"/>
      <c r="N953" s="21">
        <v>413</v>
      </c>
      <c r="O953" s="21">
        <v>61</v>
      </c>
      <c r="P953" s="10"/>
      <c r="Q953" s="10"/>
      <c r="R953" s="10"/>
      <c r="T953" s="16"/>
    </row>
    <row r="954" spans="1:20" x14ac:dyDescent="0.25">
      <c r="A954" s="14">
        <v>2014</v>
      </c>
      <c r="B954" s="14" t="s">
        <v>133</v>
      </c>
      <c r="C954" s="14" t="s">
        <v>134</v>
      </c>
      <c r="D954" s="14">
        <v>7</v>
      </c>
      <c r="E954" s="14">
        <v>5</v>
      </c>
      <c r="F954" s="14">
        <v>41</v>
      </c>
      <c r="G954" s="14">
        <v>4</v>
      </c>
      <c r="H954" s="14" t="s">
        <v>8</v>
      </c>
      <c r="I954" s="15">
        <v>41957</v>
      </c>
      <c r="J954" s="14" t="s">
        <v>129</v>
      </c>
      <c r="K954" s="21">
        <v>925</v>
      </c>
      <c r="L954" s="21">
        <v>352</v>
      </c>
      <c r="M954" s="21"/>
      <c r="N954" s="21">
        <v>533</v>
      </c>
      <c r="O954" s="21">
        <v>40</v>
      </c>
      <c r="P954" s="10"/>
      <c r="Q954" s="10"/>
      <c r="R954" s="10"/>
      <c r="T954" s="16"/>
    </row>
    <row r="955" spans="1:20" x14ac:dyDescent="0.25">
      <c r="A955" s="14">
        <v>2014</v>
      </c>
      <c r="B955" s="14" t="s">
        <v>133</v>
      </c>
      <c r="C955" s="14" t="s">
        <v>134</v>
      </c>
      <c r="D955" s="14">
        <v>7</v>
      </c>
      <c r="E955" s="14">
        <v>6</v>
      </c>
      <c r="F955" s="14">
        <v>42</v>
      </c>
      <c r="G955" s="14">
        <v>4</v>
      </c>
      <c r="H955" s="14" t="s">
        <v>5</v>
      </c>
      <c r="I955" s="15">
        <v>41957</v>
      </c>
      <c r="J955" s="14" t="s">
        <v>129</v>
      </c>
      <c r="K955" s="21">
        <v>917</v>
      </c>
      <c r="L955" s="21">
        <v>295</v>
      </c>
      <c r="M955" s="21"/>
      <c r="N955" s="21">
        <v>599</v>
      </c>
      <c r="O955" s="21">
        <v>23</v>
      </c>
      <c r="P955" s="10"/>
      <c r="Q955" s="10"/>
      <c r="R955" s="10"/>
      <c r="T955" s="16"/>
    </row>
    <row r="956" spans="1:20" x14ac:dyDescent="0.25">
      <c r="A956" s="14">
        <v>2014</v>
      </c>
      <c r="B956" s="14" t="s">
        <v>133</v>
      </c>
      <c r="C956" s="14" t="s">
        <v>134</v>
      </c>
      <c r="D956" s="14">
        <v>8</v>
      </c>
      <c r="E956" s="14">
        <v>6</v>
      </c>
      <c r="F956" s="14">
        <v>43</v>
      </c>
      <c r="G956" s="14">
        <v>4</v>
      </c>
      <c r="H956" s="14" t="s">
        <v>3</v>
      </c>
      <c r="I956" s="15">
        <v>41957</v>
      </c>
      <c r="J956" s="14" t="s">
        <v>129</v>
      </c>
      <c r="K956" s="21">
        <v>952</v>
      </c>
      <c r="L956" s="21">
        <v>277</v>
      </c>
      <c r="M956" s="21"/>
      <c r="N956" s="21">
        <v>618</v>
      </c>
      <c r="O956" s="21">
        <v>57</v>
      </c>
      <c r="P956" s="10"/>
      <c r="Q956" s="10"/>
      <c r="R956" s="10"/>
      <c r="T956" s="16"/>
    </row>
    <row r="957" spans="1:20" x14ac:dyDescent="0.25">
      <c r="A957" s="14">
        <v>2014</v>
      </c>
      <c r="B957" s="14" t="s">
        <v>133</v>
      </c>
      <c r="C957" s="14" t="s">
        <v>134</v>
      </c>
      <c r="D957" s="14">
        <v>8</v>
      </c>
      <c r="E957" s="14">
        <v>5</v>
      </c>
      <c r="F957" s="14">
        <v>44</v>
      </c>
      <c r="G957" s="14">
        <v>4</v>
      </c>
      <c r="H957" s="14" t="s">
        <v>4</v>
      </c>
      <c r="I957" s="15">
        <v>41957</v>
      </c>
      <c r="J957" s="14" t="s">
        <v>129</v>
      </c>
      <c r="K957" s="21">
        <v>916</v>
      </c>
      <c r="L957" s="21">
        <v>284</v>
      </c>
      <c r="M957" s="21"/>
      <c r="N957" s="21">
        <v>571</v>
      </c>
      <c r="O957" s="21">
        <v>61</v>
      </c>
      <c r="P957" s="10"/>
      <c r="Q957" s="10"/>
      <c r="R957" s="10"/>
      <c r="T957" s="16"/>
    </row>
    <row r="958" spans="1:20" x14ac:dyDescent="0.25">
      <c r="A958" s="14">
        <v>2014</v>
      </c>
      <c r="B958" s="14" t="s">
        <v>133</v>
      </c>
      <c r="C958" s="14" t="s">
        <v>134</v>
      </c>
      <c r="D958" s="14">
        <v>8</v>
      </c>
      <c r="E958" s="14">
        <v>4</v>
      </c>
      <c r="F958" s="14">
        <v>45</v>
      </c>
      <c r="G958" s="14">
        <v>4</v>
      </c>
      <c r="H958" s="14" t="s">
        <v>13</v>
      </c>
      <c r="I958" s="15">
        <v>41957</v>
      </c>
      <c r="J958" s="14" t="s">
        <v>129</v>
      </c>
      <c r="K958" s="21">
        <v>678</v>
      </c>
      <c r="L958" s="21">
        <v>224</v>
      </c>
      <c r="M958" s="21"/>
      <c r="N958" s="21">
        <v>409</v>
      </c>
      <c r="O958" s="21">
        <v>44</v>
      </c>
      <c r="P958" s="10"/>
      <c r="Q958" s="10"/>
      <c r="R958" s="10"/>
      <c r="T958" s="16"/>
    </row>
    <row r="959" spans="1:20" x14ac:dyDescent="0.25">
      <c r="A959" s="14">
        <v>2014</v>
      </c>
      <c r="B959" s="14" t="s">
        <v>133</v>
      </c>
      <c r="C959" s="14" t="s">
        <v>134</v>
      </c>
      <c r="D959" s="14">
        <v>8</v>
      </c>
      <c r="E959" s="14">
        <v>3</v>
      </c>
      <c r="F959" s="14">
        <v>46</v>
      </c>
      <c r="G959" s="14">
        <v>4</v>
      </c>
      <c r="H959" s="14" t="s">
        <v>7</v>
      </c>
      <c r="I959" s="15">
        <v>41957</v>
      </c>
      <c r="J959" s="14" t="s">
        <v>129</v>
      </c>
      <c r="K959" s="21">
        <v>812</v>
      </c>
      <c r="L959" s="21">
        <v>280</v>
      </c>
      <c r="M959" s="21"/>
      <c r="N959" s="21">
        <v>472</v>
      </c>
      <c r="O959" s="21">
        <v>60</v>
      </c>
      <c r="P959" s="10"/>
      <c r="Q959" s="10"/>
      <c r="R959" s="10"/>
      <c r="T959" s="16"/>
    </row>
    <row r="960" spans="1:20" x14ac:dyDescent="0.25">
      <c r="A960" s="14">
        <v>2014</v>
      </c>
      <c r="B960" s="14" t="s">
        <v>133</v>
      </c>
      <c r="C960" s="14" t="s">
        <v>134</v>
      </c>
      <c r="D960" s="14">
        <v>8</v>
      </c>
      <c r="E960" s="14">
        <v>2</v>
      </c>
      <c r="F960" s="14">
        <v>47</v>
      </c>
      <c r="G960" s="14">
        <v>4</v>
      </c>
      <c r="H960" s="14" t="s">
        <v>14</v>
      </c>
      <c r="I960" s="15">
        <v>41957</v>
      </c>
      <c r="J960" s="14" t="s">
        <v>129</v>
      </c>
      <c r="K960" s="21">
        <v>821</v>
      </c>
      <c r="L960" s="21">
        <v>278</v>
      </c>
      <c r="M960" s="21"/>
      <c r="N960" s="21">
        <v>496</v>
      </c>
      <c r="O960" s="21">
        <v>47</v>
      </c>
      <c r="P960" s="10"/>
      <c r="Q960" s="10"/>
      <c r="R960" s="10"/>
      <c r="T960" s="16"/>
    </row>
    <row r="961" spans="1:20" x14ac:dyDescent="0.25">
      <c r="A961" s="14">
        <v>2014</v>
      </c>
      <c r="B961" s="14" t="s">
        <v>133</v>
      </c>
      <c r="C961" s="14" t="s">
        <v>134</v>
      </c>
      <c r="D961" s="14">
        <v>8</v>
      </c>
      <c r="E961" s="14">
        <v>1</v>
      </c>
      <c r="F961" s="14">
        <v>48</v>
      </c>
      <c r="G961" s="14">
        <v>4</v>
      </c>
      <c r="H961" s="14" t="s">
        <v>10</v>
      </c>
      <c r="I961" s="15">
        <v>41957</v>
      </c>
      <c r="J961" s="14" t="s">
        <v>129</v>
      </c>
      <c r="K961" s="21">
        <v>884</v>
      </c>
      <c r="L961" s="21">
        <v>265</v>
      </c>
      <c r="M961" s="21"/>
      <c r="N961" s="21">
        <v>565</v>
      </c>
      <c r="O961" s="21">
        <v>53</v>
      </c>
      <c r="P961" s="10"/>
      <c r="Q961" s="10"/>
      <c r="R961" s="10"/>
      <c r="T961" s="16"/>
    </row>
    <row r="962" spans="1:20" x14ac:dyDescent="0.25">
      <c r="A962" s="14">
        <v>2014</v>
      </c>
      <c r="B962" s="14" t="s">
        <v>135</v>
      </c>
      <c r="C962" s="14" t="s">
        <v>136</v>
      </c>
      <c r="D962" s="14">
        <v>1</v>
      </c>
      <c r="E962" s="14">
        <v>1</v>
      </c>
      <c r="F962" s="14">
        <v>1</v>
      </c>
      <c r="G962" s="14">
        <v>1</v>
      </c>
      <c r="H962" s="14" t="s">
        <v>7</v>
      </c>
      <c r="I962" s="15">
        <v>41834</v>
      </c>
      <c r="J962" s="14" t="s">
        <v>125</v>
      </c>
      <c r="K962" s="14">
        <v>158</v>
      </c>
      <c r="L962" s="14">
        <v>59</v>
      </c>
      <c r="M962" s="14">
        <v>100</v>
      </c>
      <c r="N962" s="14"/>
      <c r="O962" s="14">
        <v>0</v>
      </c>
      <c r="P962" s="10">
        <v>-25.35</v>
      </c>
      <c r="Q962" s="10">
        <v>43.7</v>
      </c>
      <c r="R962" s="10">
        <v>25.4</v>
      </c>
      <c r="S962" s="16">
        <f t="shared" ref="S962:S964" si="55">K962*Q962/1000</f>
        <v>6.9046000000000003</v>
      </c>
      <c r="T962" s="16">
        <f t="shared" si="52"/>
        <v>4.0131999999999994</v>
      </c>
    </row>
    <row r="963" spans="1:20" x14ac:dyDescent="0.25">
      <c r="A963" s="14">
        <v>2014</v>
      </c>
      <c r="B963" s="14" t="s">
        <v>135</v>
      </c>
      <c r="C963" s="14" t="s">
        <v>136</v>
      </c>
      <c r="D963" s="14">
        <v>1</v>
      </c>
      <c r="E963" s="14">
        <v>2</v>
      </c>
      <c r="F963" s="14">
        <v>2</v>
      </c>
      <c r="G963" s="14">
        <v>1</v>
      </c>
      <c r="H963" s="14" t="s">
        <v>8</v>
      </c>
      <c r="I963" s="15">
        <v>41834</v>
      </c>
      <c r="J963" s="14" t="s">
        <v>125</v>
      </c>
      <c r="K963" s="14">
        <v>192</v>
      </c>
      <c r="L963" s="14">
        <v>72</v>
      </c>
      <c r="M963" s="14">
        <v>119</v>
      </c>
      <c r="N963" s="14"/>
      <c r="O963" s="14">
        <v>0</v>
      </c>
      <c r="P963" s="10">
        <v>-25.42</v>
      </c>
      <c r="Q963" s="10">
        <v>38.5</v>
      </c>
      <c r="R963" s="10">
        <v>40.299999999999997</v>
      </c>
      <c r="S963" s="16">
        <f t="shared" si="55"/>
        <v>7.3920000000000003</v>
      </c>
      <c r="T963" s="16">
        <f t="shared" ref="T963:T1009" si="56">K963*R963/1000</f>
        <v>7.7375999999999996</v>
      </c>
    </row>
    <row r="964" spans="1:20" x14ac:dyDescent="0.25">
      <c r="A964" s="14">
        <v>2014</v>
      </c>
      <c r="B964" s="14" t="s">
        <v>135</v>
      </c>
      <c r="C964" s="14" t="s">
        <v>136</v>
      </c>
      <c r="D964" s="14">
        <v>1</v>
      </c>
      <c r="E964" s="14">
        <v>3</v>
      </c>
      <c r="F964" s="14">
        <v>3</v>
      </c>
      <c r="G964" s="14">
        <v>1</v>
      </c>
      <c r="H964" s="14" t="s">
        <v>4</v>
      </c>
      <c r="I964" s="15">
        <v>41834</v>
      </c>
      <c r="J964" s="14" t="s">
        <v>125</v>
      </c>
      <c r="K964" s="14">
        <v>111</v>
      </c>
      <c r="L964" s="14">
        <v>39</v>
      </c>
      <c r="M964" s="14">
        <v>72</v>
      </c>
      <c r="N964" s="14"/>
      <c r="O964" s="14">
        <v>0</v>
      </c>
      <c r="P964" s="10">
        <v>-25.57</v>
      </c>
      <c r="Q964" s="10">
        <v>44.7</v>
      </c>
      <c r="R964" s="10">
        <v>38.799999999999997</v>
      </c>
      <c r="S964" s="16">
        <f t="shared" si="55"/>
        <v>4.9617000000000004</v>
      </c>
      <c r="T964" s="16">
        <f t="shared" si="56"/>
        <v>4.3067999999999991</v>
      </c>
    </row>
    <row r="965" spans="1:20" x14ac:dyDescent="0.25">
      <c r="A965" s="14">
        <v>2014</v>
      </c>
      <c r="B965" s="14" t="s">
        <v>135</v>
      </c>
      <c r="C965" s="14" t="s">
        <v>136</v>
      </c>
      <c r="D965" s="14">
        <v>1</v>
      </c>
      <c r="E965" s="14">
        <v>4</v>
      </c>
      <c r="F965" s="14">
        <v>4</v>
      </c>
      <c r="G965" s="14">
        <v>1</v>
      </c>
      <c r="H965" s="14" t="s">
        <v>2</v>
      </c>
      <c r="I965" s="15">
        <v>41834</v>
      </c>
      <c r="J965" s="14" t="s">
        <v>125</v>
      </c>
      <c r="K965" s="14">
        <v>146</v>
      </c>
      <c r="L965" s="14">
        <v>56</v>
      </c>
      <c r="M965" s="14">
        <v>90</v>
      </c>
      <c r="N965" s="14"/>
      <c r="O965" s="14">
        <v>0</v>
      </c>
      <c r="P965" s="10"/>
      <c r="Q965" s="10"/>
      <c r="R965" s="10"/>
      <c r="T965" s="16"/>
    </row>
    <row r="966" spans="1:20" x14ac:dyDescent="0.25">
      <c r="A966" s="14">
        <v>2014</v>
      </c>
      <c r="B966" s="14" t="s">
        <v>135</v>
      </c>
      <c r="C966" s="14" t="s">
        <v>136</v>
      </c>
      <c r="D966" s="14">
        <v>1</v>
      </c>
      <c r="E966" s="14">
        <v>5</v>
      </c>
      <c r="F966" s="14">
        <v>5</v>
      </c>
      <c r="G966" s="14">
        <v>1</v>
      </c>
      <c r="H966" s="14" t="s">
        <v>6</v>
      </c>
      <c r="I966" s="15">
        <v>41834</v>
      </c>
      <c r="J966" s="14" t="s">
        <v>125</v>
      </c>
      <c r="K966" s="14">
        <v>121</v>
      </c>
      <c r="L966" s="14">
        <v>44</v>
      </c>
      <c r="M966" s="14">
        <v>77</v>
      </c>
      <c r="N966" s="14"/>
      <c r="O966" s="14">
        <v>0</v>
      </c>
      <c r="P966" s="10">
        <v>-25.43</v>
      </c>
      <c r="Q966" s="10">
        <v>43</v>
      </c>
      <c r="R966" s="10">
        <v>35.6</v>
      </c>
      <c r="S966" s="16">
        <f t="shared" ref="S966" si="57">K966*Q966/1000</f>
        <v>5.2030000000000003</v>
      </c>
      <c r="T966" s="16">
        <f t="shared" si="56"/>
        <v>4.3076000000000008</v>
      </c>
    </row>
    <row r="967" spans="1:20" x14ac:dyDescent="0.25">
      <c r="A967" s="14">
        <v>2014</v>
      </c>
      <c r="B967" s="14" t="s">
        <v>135</v>
      </c>
      <c r="C967" s="14" t="s">
        <v>136</v>
      </c>
      <c r="D967" s="14">
        <v>1</v>
      </c>
      <c r="E967" s="14">
        <v>6</v>
      </c>
      <c r="F967" s="14">
        <v>6</v>
      </c>
      <c r="G967" s="14">
        <v>1</v>
      </c>
      <c r="H967" s="14" t="s">
        <v>12</v>
      </c>
      <c r="I967" s="15">
        <v>41834</v>
      </c>
      <c r="J967" s="14" t="s">
        <v>125</v>
      </c>
      <c r="K967" s="14">
        <v>155</v>
      </c>
      <c r="L967" s="14">
        <v>58</v>
      </c>
      <c r="M967" s="14">
        <v>97</v>
      </c>
      <c r="N967" s="14"/>
      <c r="O967" s="14">
        <v>0</v>
      </c>
      <c r="P967" s="10"/>
      <c r="Q967" s="10"/>
      <c r="R967" s="10"/>
      <c r="T967" s="16"/>
    </row>
    <row r="968" spans="1:20" x14ac:dyDescent="0.25">
      <c r="A968" s="14">
        <v>2014</v>
      </c>
      <c r="B968" s="14" t="s">
        <v>135</v>
      </c>
      <c r="C968" s="14" t="s">
        <v>136</v>
      </c>
      <c r="D968" s="14">
        <v>2</v>
      </c>
      <c r="E968" s="14">
        <v>6</v>
      </c>
      <c r="F968" s="14">
        <v>7</v>
      </c>
      <c r="G968" s="14">
        <v>1</v>
      </c>
      <c r="H968" s="14" t="s">
        <v>9</v>
      </c>
      <c r="I968" s="15">
        <v>41834</v>
      </c>
      <c r="J968" s="14" t="s">
        <v>125</v>
      </c>
      <c r="K968" s="14">
        <v>177</v>
      </c>
      <c r="L968" s="14">
        <v>59</v>
      </c>
      <c r="M968" s="14">
        <v>118</v>
      </c>
      <c r="N968" s="14"/>
      <c r="O968" s="14">
        <v>0</v>
      </c>
      <c r="P968" s="10">
        <v>-25.07</v>
      </c>
      <c r="Q968" s="10">
        <v>39.1</v>
      </c>
      <c r="R968" s="10">
        <v>50</v>
      </c>
      <c r="S968" s="16">
        <f t="shared" ref="S968:S970" si="58">K968*Q968/1000</f>
        <v>6.9207000000000001</v>
      </c>
      <c r="T968" s="16">
        <f t="shared" si="56"/>
        <v>8.85</v>
      </c>
    </row>
    <row r="969" spans="1:20" x14ac:dyDescent="0.25">
      <c r="A969" s="14">
        <v>2014</v>
      </c>
      <c r="B969" s="14" t="s">
        <v>135</v>
      </c>
      <c r="C969" s="14" t="s">
        <v>136</v>
      </c>
      <c r="D969" s="14">
        <v>2</v>
      </c>
      <c r="E969" s="14">
        <v>5</v>
      </c>
      <c r="F969" s="14">
        <v>8</v>
      </c>
      <c r="G969" s="14">
        <v>1</v>
      </c>
      <c r="H969" s="14" t="s">
        <v>13</v>
      </c>
      <c r="I969" s="15">
        <v>41834</v>
      </c>
      <c r="J969" s="14" t="s">
        <v>125</v>
      </c>
      <c r="K969" s="14">
        <v>149</v>
      </c>
      <c r="L969" s="14">
        <v>60</v>
      </c>
      <c r="M969" s="14">
        <v>89</v>
      </c>
      <c r="N969" s="14"/>
      <c r="O969" s="14">
        <v>0</v>
      </c>
      <c r="P969" s="10">
        <v>-25.57</v>
      </c>
      <c r="Q969" s="10">
        <v>39.799999999999997</v>
      </c>
      <c r="R969" s="10">
        <v>27.4</v>
      </c>
      <c r="S969" s="16">
        <f t="shared" si="58"/>
        <v>5.9302000000000001</v>
      </c>
      <c r="T969" s="16">
        <f t="shared" si="56"/>
        <v>4.0826000000000002</v>
      </c>
    </row>
    <row r="970" spans="1:20" x14ac:dyDescent="0.25">
      <c r="A970" s="14">
        <v>2014</v>
      </c>
      <c r="B970" s="14" t="s">
        <v>135</v>
      </c>
      <c r="C970" s="14" t="s">
        <v>136</v>
      </c>
      <c r="D970" s="14">
        <v>2</v>
      </c>
      <c r="E970" s="14">
        <v>4</v>
      </c>
      <c r="F970" s="14">
        <v>9</v>
      </c>
      <c r="G970" s="14">
        <v>1</v>
      </c>
      <c r="H970" s="14" t="s">
        <v>10</v>
      </c>
      <c r="I970" s="15">
        <v>41834</v>
      </c>
      <c r="J970" s="14" t="s">
        <v>125</v>
      </c>
      <c r="K970" s="14">
        <v>151</v>
      </c>
      <c r="L970" s="14">
        <v>49</v>
      </c>
      <c r="M970" s="14">
        <v>102</v>
      </c>
      <c r="N970" s="14"/>
      <c r="O970" s="14">
        <v>0</v>
      </c>
      <c r="P970" s="10">
        <v>-25.36</v>
      </c>
      <c r="Q970" s="10">
        <v>45.2</v>
      </c>
      <c r="R970" s="10">
        <v>13.2</v>
      </c>
      <c r="S970" s="16">
        <f t="shared" si="58"/>
        <v>6.8252000000000006</v>
      </c>
      <c r="T970" s="16">
        <f t="shared" si="56"/>
        <v>1.9931999999999999</v>
      </c>
    </row>
    <row r="971" spans="1:20" x14ac:dyDescent="0.25">
      <c r="A971" s="14">
        <v>2014</v>
      </c>
      <c r="B971" s="14" t="s">
        <v>135</v>
      </c>
      <c r="C971" s="14" t="s">
        <v>136</v>
      </c>
      <c r="D971" s="14">
        <v>2</v>
      </c>
      <c r="E971" s="14">
        <v>3</v>
      </c>
      <c r="F971" s="14">
        <v>10</v>
      </c>
      <c r="G971" s="14">
        <v>1</v>
      </c>
      <c r="H971" s="14" t="s">
        <v>14</v>
      </c>
      <c r="I971" s="15">
        <v>41834</v>
      </c>
      <c r="J971" s="14" t="s">
        <v>125</v>
      </c>
      <c r="K971" s="14">
        <v>113</v>
      </c>
      <c r="L971" s="14">
        <v>38</v>
      </c>
      <c r="M971" s="14">
        <v>75</v>
      </c>
      <c r="N971" s="14"/>
      <c r="O971" s="14">
        <v>0</v>
      </c>
      <c r="P971" s="10"/>
      <c r="Q971" s="10"/>
      <c r="R971" s="10"/>
      <c r="T971" s="16"/>
    </row>
    <row r="972" spans="1:20" x14ac:dyDescent="0.25">
      <c r="A972" s="14">
        <v>2014</v>
      </c>
      <c r="B972" s="14" t="s">
        <v>135</v>
      </c>
      <c r="C972" s="14" t="s">
        <v>136</v>
      </c>
      <c r="D972" s="14">
        <v>2</v>
      </c>
      <c r="E972" s="14">
        <v>2</v>
      </c>
      <c r="F972" s="14">
        <v>11</v>
      </c>
      <c r="G972" s="14">
        <v>1</v>
      </c>
      <c r="H972" s="14" t="s">
        <v>5</v>
      </c>
      <c r="I972" s="15">
        <v>41834</v>
      </c>
      <c r="J972" s="14" t="s">
        <v>125</v>
      </c>
      <c r="K972" s="14">
        <v>188</v>
      </c>
      <c r="L972" s="14">
        <v>65</v>
      </c>
      <c r="M972" s="14">
        <v>123</v>
      </c>
      <c r="N972" s="14"/>
      <c r="O972" s="14">
        <v>0</v>
      </c>
      <c r="P972" s="10">
        <v>-25.68</v>
      </c>
      <c r="Q972" s="10">
        <v>49.7</v>
      </c>
      <c r="R972" s="10">
        <v>19.100000000000001</v>
      </c>
      <c r="S972" s="16">
        <f t="shared" ref="S972:S1009" si="59">K972*Q972/1000</f>
        <v>9.3436000000000003</v>
      </c>
      <c r="T972" s="16">
        <f t="shared" si="56"/>
        <v>3.5908000000000002</v>
      </c>
    </row>
    <row r="973" spans="1:20" x14ac:dyDescent="0.25">
      <c r="A973" s="14">
        <v>2014</v>
      </c>
      <c r="B973" s="14" t="s">
        <v>135</v>
      </c>
      <c r="C973" s="14" t="s">
        <v>136</v>
      </c>
      <c r="D973" s="14">
        <v>2</v>
      </c>
      <c r="E973" s="14">
        <v>1</v>
      </c>
      <c r="F973" s="14">
        <v>12</v>
      </c>
      <c r="G973" s="14">
        <v>1</v>
      </c>
      <c r="H973" s="14" t="s">
        <v>3</v>
      </c>
      <c r="I973" s="15">
        <v>41834</v>
      </c>
      <c r="J973" s="14" t="s">
        <v>125</v>
      </c>
      <c r="K973" s="14">
        <v>175</v>
      </c>
      <c r="L973" s="14">
        <v>56</v>
      </c>
      <c r="M973" s="14">
        <v>119</v>
      </c>
      <c r="N973" s="14"/>
      <c r="O973" s="14">
        <v>0</v>
      </c>
      <c r="P973" s="10">
        <v>-25.69</v>
      </c>
      <c r="Q973" s="10">
        <v>47.7</v>
      </c>
      <c r="R973" s="10">
        <v>12.3</v>
      </c>
      <c r="S973" s="16">
        <f t="shared" si="59"/>
        <v>8.3475000000000001</v>
      </c>
      <c r="T973" s="16">
        <f t="shared" si="56"/>
        <v>2.1524999999999999</v>
      </c>
    </row>
    <row r="974" spans="1:20" x14ac:dyDescent="0.25">
      <c r="A974" s="14">
        <v>2014</v>
      </c>
      <c r="B974" s="14" t="s">
        <v>135</v>
      </c>
      <c r="C974" s="14" t="s">
        <v>136</v>
      </c>
      <c r="D974" s="14">
        <v>3</v>
      </c>
      <c r="E974" s="14">
        <v>1</v>
      </c>
      <c r="F974" s="14">
        <v>1</v>
      </c>
      <c r="G974" s="14">
        <v>2</v>
      </c>
      <c r="H974" s="14" t="s">
        <v>9</v>
      </c>
      <c r="I974" s="15">
        <v>41834</v>
      </c>
      <c r="J974" s="14" t="s">
        <v>125</v>
      </c>
      <c r="K974" s="14">
        <v>155</v>
      </c>
      <c r="L974" s="14">
        <v>58</v>
      </c>
      <c r="M974" s="14">
        <v>97</v>
      </c>
      <c r="N974" s="14"/>
      <c r="O974" s="14">
        <v>0</v>
      </c>
      <c r="P974" s="10">
        <v>-25.59</v>
      </c>
      <c r="Q974" s="10">
        <v>45.3</v>
      </c>
      <c r="R974" s="10">
        <v>17.399999999999999</v>
      </c>
      <c r="S974" s="16">
        <f t="shared" si="59"/>
        <v>7.0214999999999996</v>
      </c>
      <c r="T974" s="16">
        <f t="shared" si="56"/>
        <v>2.6970000000000001</v>
      </c>
    </row>
    <row r="975" spans="1:20" x14ac:dyDescent="0.25">
      <c r="A975" s="14">
        <v>2014</v>
      </c>
      <c r="B975" s="14" t="s">
        <v>135</v>
      </c>
      <c r="C975" s="14" t="s">
        <v>136</v>
      </c>
      <c r="D975" s="14">
        <v>3</v>
      </c>
      <c r="E975" s="14">
        <v>2</v>
      </c>
      <c r="F975" s="14">
        <v>2</v>
      </c>
      <c r="G975" s="14">
        <v>2</v>
      </c>
      <c r="H975" s="14" t="s">
        <v>10</v>
      </c>
      <c r="I975" s="15">
        <v>41834</v>
      </c>
      <c r="J975" s="14" t="s">
        <v>125</v>
      </c>
      <c r="K975" s="14">
        <v>143</v>
      </c>
      <c r="L975" s="14">
        <v>48</v>
      </c>
      <c r="M975" s="14">
        <v>95</v>
      </c>
      <c r="N975" s="14"/>
      <c r="O975" s="14">
        <v>0</v>
      </c>
      <c r="P975" s="10">
        <v>-25.49</v>
      </c>
      <c r="Q975" s="10">
        <v>47</v>
      </c>
      <c r="R975" s="10">
        <v>16.100000000000001</v>
      </c>
      <c r="S975" s="16">
        <f t="shared" si="59"/>
        <v>6.7210000000000001</v>
      </c>
      <c r="T975" s="16">
        <f t="shared" si="56"/>
        <v>2.3023000000000002</v>
      </c>
    </row>
    <row r="976" spans="1:20" x14ac:dyDescent="0.25">
      <c r="A976" s="14">
        <v>2014</v>
      </c>
      <c r="B976" s="14" t="s">
        <v>135</v>
      </c>
      <c r="C976" s="14" t="s">
        <v>136</v>
      </c>
      <c r="D976" s="14">
        <v>3</v>
      </c>
      <c r="E976" s="14">
        <v>3</v>
      </c>
      <c r="F976" s="14">
        <v>3</v>
      </c>
      <c r="G976" s="14">
        <v>2</v>
      </c>
      <c r="H976" s="14" t="s">
        <v>5</v>
      </c>
      <c r="I976" s="15">
        <v>41834</v>
      </c>
      <c r="J976" s="14" t="s">
        <v>125</v>
      </c>
      <c r="K976" s="14">
        <v>139</v>
      </c>
      <c r="L976" s="14">
        <v>46</v>
      </c>
      <c r="M976" s="14">
        <v>93</v>
      </c>
      <c r="N976" s="14"/>
      <c r="O976" s="14">
        <v>0</v>
      </c>
      <c r="P976" s="10">
        <v>-25.58</v>
      </c>
      <c r="Q976" s="10">
        <v>49.1</v>
      </c>
      <c r="R976" s="10">
        <v>33.1</v>
      </c>
      <c r="S976" s="16">
        <f t="shared" si="59"/>
        <v>6.8249000000000004</v>
      </c>
      <c r="T976" s="16">
        <f t="shared" si="56"/>
        <v>4.6009000000000002</v>
      </c>
    </row>
    <row r="977" spans="1:20" x14ac:dyDescent="0.25">
      <c r="A977" s="14">
        <v>2014</v>
      </c>
      <c r="B977" s="14" t="s">
        <v>135</v>
      </c>
      <c r="C977" s="14" t="s">
        <v>136</v>
      </c>
      <c r="D977" s="14">
        <v>3</v>
      </c>
      <c r="E977" s="14">
        <v>4</v>
      </c>
      <c r="F977" s="14">
        <v>4</v>
      </c>
      <c r="G977" s="14">
        <v>2</v>
      </c>
      <c r="H977" s="14" t="s">
        <v>13</v>
      </c>
      <c r="I977" s="15">
        <v>41834</v>
      </c>
      <c r="J977" s="14" t="s">
        <v>125</v>
      </c>
      <c r="K977" s="14">
        <v>121</v>
      </c>
      <c r="L977" s="14">
        <v>47</v>
      </c>
      <c r="M977" s="14">
        <v>74</v>
      </c>
      <c r="N977" s="14"/>
      <c r="O977" s="14">
        <v>0</v>
      </c>
      <c r="P977" s="10">
        <v>-25.75</v>
      </c>
      <c r="Q977" s="10">
        <v>40</v>
      </c>
      <c r="R977" s="10">
        <v>24.9</v>
      </c>
      <c r="S977" s="16">
        <f t="shared" si="59"/>
        <v>4.84</v>
      </c>
      <c r="T977" s="16">
        <f t="shared" si="56"/>
        <v>3.0128999999999997</v>
      </c>
    </row>
    <row r="978" spans="1:20" x14ac:dyDescent="0.25">
      <c r="A978" s="14">
        <v>2014</v>
      </c>
      <c r="B978" s="14" t="s">
        <v>135</v>
      </c>
      <c r="C978" s="14" t="s">
        <v>136</v>
      </c>
      <c r="D978" s="14">
        <v>3</v>
      </c>
      <c r="E978" s="14">
        <v>5</v>
      </c>
      <c r="F978" s="14">
        <v>5</v>
      </c>
      <c r="G978" s="14">
        <v>2</v>
      </c>
      <c r="H978" s="14" t="s">
        <v>14</v>
      </c>
      <c r="I978" s="15">
        <v>41834</v>
      </c>
      <c r="J978" s="14" t="s">
        <v>125</v>
      </c>
      <c r="K978" s="14">
        <v>100</v>
      </c>
      <c r="L978" s="14">
        <v>34</v>
      </c>
      <c r="M978" s="14">
        <v>66</v>
      </c>
      <c r="N978" s="14"/>
      <c r="O978" s="14">
        <v>0</v>
      </c>
      <c r="P978" s="10">
        <v>-25.28</v>
      </c>
      <c r="Q978" s="10">
        <v>45.1</v>
      </c>
      <c r="R978" s="10">
        <v>19.399999999999999</v>
      </c>
      <c r="S978" s="16">
        <f t="shared" si="59"/>
        <v>4.51</v>
      </c>
      <c r="T978" s="16">
        <f t="shared" si="56"/>
        <v>1.9399999999999997</v>
      </c>
    </row>
    <row r="979" spans="1:20" x14ac:dyDescent="0.25">
      <c r="A979" s="14">
        <v>2014</v>
      </c>
      <c r="B979" s="14" t="s">
        <v>135</v>
      </c>
      <c r="C979" s="14" t="s">
        <v>136</v>
      </c>
      <c r="D979" s="14">
        <v>3</v>
      </c>
      <c r="E979" s="14">
        <v>6</v>
      </c>
      <c r="F979" s="14">
        <v>6</v>
      </c>
      <c r="G979" s="14">
        <v>2</v>
      </c>
      <c r="H979" s="14" t="s">
        <v>3</v>
      </c>
      <c r="I979" s="15">
        <v>41834</v>
      </c>
      <c r="J979" s="14" t="s">
        <v>125</v>
      </c>
      <c r="K979" s="14">
        <v>153</v>
      </c>
      <c r="L979" s="14">
        <v>47</v>
      </c>
      <c r="M979" s="14">
        <v>106</v>
      </c>
      <c r="N979" s="14"/>
      <c r="O979" s="14">
        <v>0</v>
      </c>
      <c r="P979" s="10">
        <v>-25.68</v>
      </c>
      <c r="Q979" s="10">
        <v>46.7</v>
      </c>
      <c r="R979" s="10">
        <v>16.7</v>
      </c>
      <c r="S979" s="16">
        <f t="shared" si="59"/>
        <v>7.1451000000000002</v>
      </c>
      <c r="T979" s="16">
        <f t="shared" si="56"/>
        <v>2.5550999999999999</v>
      </c>
    </row>
    <row r="980" spans="1:20" x14ac:dyDescent="0.25">
      <c r="A980" s="14">
        <v>2014</v>
      </c>
      <c r="B980" s="14" t="s">
        <v>135</v>
      </c>
      <c r="C980" s="14" t="s">
        <v>136</v>
      </c>
      <c r="D980" s="14">
        <v>4</v>
      </c>
      <c r="E980" s="14">
        <v>6</v>
      </c>
      <c r="F980" s="14">
        <v>7</v>
      </c>
      <c r="G980" s="14">
        <v>2</v>
      </c>
      <c r="H980" s="14" t="s">
        <v>2</v>
      </c>
      <c r="I980" s="15">
        <v>41834</v>
      </c>
      <c r="J980" s="14" t="s">
        <v>125</v>
      </c>
      <c r="K980" s="14">
        <v>154</v>
      </c>
      <c r="L980" s="14">
        <v>53</v>
      </c>
      <c r="M980" s="14">
        <v>100</v>
      </c>
      <c r="N980" s="14"/>
      <c r="O980" s="14">
        <v>0</v>
      </c>
      <c r="P980" s="10">
        <v>-25.47</v>
      </c>
      <c r="Q980" s="10">
        <v>46.4</v>
      </c>
      <c r="R980" s="10">
        <v>23.7</v>
      </c>
      <c r="S980" s="16">
        <f t="shared" si="59"/>
        <v>7.1455999999999991</v>
      </c>
      <c r="T980" s="16">
        <f t="shared" si="56"/>
        <v>3.6497999999999999</v>
      </c>
    </row>
    <row r="981" spans="1:20" x14ac:dyDescent="0.25">
      <c r="A981" s="14">
        <v>2014</v>
      </c>
      <c r="B981" s="14" t="s">
        <v>135</v>
      </c>
      <c r="C981" s="14" t="s">
        <v>136</v>
      </c>
      <c r="D981" s="14">
        <v>4</v>
      </c>
      <c r="E981" s="14">
        <v>5</v>
      </c>
      <c r="F981" s="14">
        <v>8</v>
      </c>
      <c r="G981" s="14">
        <v>2</v>
      </c>
      <c r="H981" s="14" t="s">
        <v>8</v>
      </c>
      <c r="I981" s="15">
        <v>41834</v>
      </c>
      <c r="J981" s="14" t="s">
        <v>125</v>
      </c>
      <c r="K981" s="14">
        <v>126</v>
      </c>
      <c r="L981" s="14">
        <v>44</v>
      </c>
      <c r="M981" s="14">
        <v>82</v>
      </c>
      <c r="N981" s="14"/>
      <c r="O981" s="14">
        <v>0</v>
      </c>
      <c r="P981" s="10">
        <v>-25.79</v>
      </c>
      <c r="Q981" s="10">
        <v>46</v>
      </c>
      <c r="R981" s="10">
        <v>15.8</v>
      </c>
      <c r="S981" s="16">
        <f t="shared" si="59"/>
        <v>5.7960000000000003</v>
      </c>
      <c r="T981" s="16">
        <f t="shared" si="56"/>
        <v>1.9908000000000001</v>
      </c>
    </row>
    <row r="982" spans="1:20" x14ac:dyDescent="0.25">
      <c r="A982" s="14">
        <v>2014</v>
      </c>
      <c r="B982" s="14" t="s">
        <v>135</v>
      </c>
      <c r="C982" s="14" t="s">
        <v>136</v>
      </c>
      <c r="D982" s="14">
        <v>4</v>
      </c>
      <c r="E982" s="14">
        <v>4</v>
      </c>
      <c r="F982" s="14">
        <v>9</v>
      </c>
      <c r="G982" s="14">
        <v>2</v>
      </c>
      <c r="H982" s="14" t="s">
        <v>12</v>
      </c>
      <c r="I982" s="15">
        <v>41834</v>
      </c>
      <c r="J982" s="14" t="s">
        <v>125</v>
      </c>
      <c r="K982" s="14">
        <v>114</v>
      </c>
      <c r="L982" s="14">
        <v>45</v>
      </c>
      <c r="M982" s="14">
        <v>70</v>
      </c>
      <c r="N982" s="14"/>
      <c r="O982" s="14">
        <v>0</v>
      </c>
      <c r="P982" s="10">
        <v>-25.57</v>
      </c>
      <c r="Q982" s="10">
        <v>41</v>
      </c>
      <c r="R982" s="10">
        <v>26.8</v>
      </c>
      <c r="S982" s="16">
        <f t="shared" si="59"/>
        <v>4.6740000000000004</v>
      </c>
      <c r="T982" s="16">
        <f t="shared" si="56"/>
        <v>3.0552000000000001</v>
      </c>
    </row>
    <row r="983" spans="1:20" x14ac:dyDescent="0.25">
      <c r="A983" s="14">
        <v>2014</v>
      </c>
      <c r="B983" s="14" t="s">
        <v>135</v>
      </c>
      <c r="C983" s="14" t="s">
        <v>136</v>
      </c>
      <c r="D983" s="14">
        <v>4</v>
      </c>
      <c r="E983" s="14">
        <v>3</v>
      </c>
      <c r="F983" s="14">
        <v>10</v>
      </c>
      <c r="G983" s="14">
        <v>2</v>
      </c>
      <c r="H983" s="14" t="s">
        <v>7</v>
      </c>
      <c r="I983" s="15">
        <v>41834</v>
      </c>
      <c r="J983" s="14" t="s">
        <v>125</v>
      </c>
      <c r="K983" s="14">
        <v>142</v>
      </c>
      <c r="L983" s="14">
        <v>26</v>
      </c>
      <c r="M983" s="14">
        <v>115</v>
      </c>
      <c r="N983" s="14"/>
      <c r="O983" s="14">
        <v>0</v>
      </c>
      <c r="P983" s="10">
        <v>-25.07</v>
      </c>
      <c r="Q983" s="10">
        <v>38.700000000000003</v>
      </c>
      <c r="R983" s="10">
        <v>48.9</v>
      </c>
      <c r="S983" s="16">
        <f t="shared" si="59"/>
        <v>5.495400000000001</v>
      </c>
      <c r="T983" s="16">
        <f t="shared" si="56"/>
        <v>6.9438000000000004</v>
      </c>
    </row>
    <row r="984" spans="1:20" x14ac:dyDescent="0.25">
      <c r="A984" s="14">
        <v>2014</v>
      </c>
      <c r="B984" s="14" t="s">
        <v>135</v>
      </c>
      <c r="C984" s="14" t="s">
        <v>136</v>
      </c>
      <c r="D984" s="14">
        <v>4</v>
      </c>
      <c r="E984" s="14">
        <v>2</v>
      </c>
      <c r="F984" s="14">
        <v>11</v>
      </c>
      <c r="G984" s="14">
        <v>2</v>
      </c>
      <c r="H984" s="14" t="s">
        <v>6</v>
      </c>
      <c r="I984" s="15">
        <v>41834</v>
      </c>
      <c r="J984" s="14" t="s">
        <v>125</v>
      </c>
      <c r="K984" s="14">
        <v>101</v>
      </c>
      <c r="L984" s="14">
        <v>19</v>
      </c>
      <c r="M984" s="14">
        <v>82</v>
      </c>
      <c r="N984" s="14"/>
      <c r="O984" s="14">
        <v>0</v>
      </c>
      <c r="P984" s="10">
        <v>-25.5</v>
      </c>
      <c r="Q984" s="10">
        <v>43.2</v>
      </c>
      <c r="R984" s="10">
        <v>40.4</v>
      </c>
      <c r="S984" s="16">
        <f t="shared" si="59"/>
        <v>4.3632000000000009</v>
      </c>
      <c r="T984" s="16">
        <f t="shared" si="56"/>
        <v>4.0804</v>
      </c>
    </row>
    <row r="985" spans="1:20" x14ac:dyDescent="0.25">
      <c r="A985" s="14">
        <v>2014</v>
      </c>
      <c r="B985" s="14" t="s">
        <v>135</v>
      </c>
      <c r="C985" s="14" t="s">
        <v>136</v>
      </c>
      <c r="D985" s="14">
        <v>4</v>
      </c>
      <c r="E985" s="14">
        <v>1</v>
      </c>
      <c r="F985" s="14">
        <v>12</v>
      </c>
      <c r="G985" s="14">
        <v>2</v>
      </c>
      <c r="H985" s="14" t="s">
        <v>4</v>
      </c>
      <c r="I985" s="15">
        <v>41834</v>
      </c>
      <c r="J985" s="14" t="s">
        <v>125</v>
      </c>
      <c r="K985" s="14">
        <v>100</v>
      </c>
      <c r="L985" s="14">
        <v>34</v>
      </c>
      <c r="M985" s="14">
        <v>66</v>
      </c>
      <c r="N985" s="14"/>
      <c r="O985" s="14">
        <v>0</v>
      </c>
      <c r="P985" s="10"/>
      <c r="Q985" s="10"/>
      <c r="R985" s="10"/>
      <c r="T985" s="16"/>
    </row>
    <row r="986" spans="1:20" x14ac:dyDescent="0.25">
      <c r="A986" s="14">
        <v>2014</v>
      </c>
      <c r="B986" s="14" t="s">
        <v>135</v>
      </c>
      <c r="C986" s="14" t="s">
        <v>136</v>
      </c>
      <c r="D986" s="14">
        <v>5</v>
      </c>
      <c r="E986" s="14">
        <v>1</v>
      </c>
      <c r="F986" s="14">
        <v>1</v>
      </c>
      <c r="G986" s="14">
        <v>3</v>
      </c>
      <c r="H986" s="14" t="s">
        <v>10</v>
      </c>
      <c r="I986" s="15">
        <v>41834</v>
      </c>
      <c r="J986" s="14" t="s">
        <v>125</v>
      </c>
      <c r="K986" s="14">
        <v>157</v>
      </c>
      <c r="L986" s="14">
        <v>56</v>
      </c>
      <c r="M986" s="14">
        <v>101</v>
      </c>
      <c r="N986" s="14"/>
      <c r="O986" s="14">
        <v>0</v>
      </c>
      <c r="P986" s="10">
        <v>-25.68</v>
      </c>
      <c r="Q986" s="10">
        <v>38.4</v>
      </c>
      <c r="R986" s="10">
        <v>47.8</v>
      </c>
      <c r="S986" s="16">
        <f t="shared" si="59"/>
        <v>6.0288000000000004</v>
      </c>
      <c r="T986" s="16">
        <f t="shared" si="56"/>
        <v>7.504599999999999</v>
      </c>
    </row>
    <row r="987" spans="1:20" x14ac:dyDescent="0.25">
      <c r="A987" s="14">
        <v>2014</v>
      </c>
      <c r="B987" s="14" t="s">
        <v>135</v>
      </c>
      <c r="C987" s="14" t="s">
        <v>136</v>
      </c>
      <c r="D987" s="14">
        <v>5</v>
      </c>
      <c r="E987" s="14">
        <v>2</v>
      </c>
      <c r="F987" s="14">
        <v>2</v>
      </c>
      <c r="G987" s="14">
        <v>3</v>
      </c>
      <c r="H987" s="14" t="s">
        <v>7</v>
      </c>
      <c r="I987" s="15">
        <v>41834</v>
      </c>
      <c r="J987" s="14" t="s">
        <v>125</v>
      </c>
      <c r="K987" s="14">
        <v>172</v>
      </c>
      <c r="L987" s="14">
        <v>59</v>
      </c>
      <c r="M987" s="14">
        <v>113</v>
      </c>
      <c r="N987" s="14"/>
      <c r="O987" s="14">
        <v>0</v>
      </c>
      <c r="P987" s="10">
        <v>-25.35</v>
      </c>
      <c r="Q987" s="10">
        <v>43.1</v>
      </c>
      <c r="R987" s="10">
        <v>33</v>
      </c>
      <c r="S987" s="16">
        <f t="shared" si="59"/>
        <v>7.4131999999999998</v>
      </c>
      <c r="T987" s="16">
        <f t="shared" si="56"/>
        <v>5.6760000000000002</v>
      </c>
    </row>
    <row r="988" spans="1:20" x14ac:dyDescent="0.25">
      <c r="A988" s="14">
        <v>2014</v>
      </c>
      <c r="B988" s="14" t="s">
        <v>135</v>
      </c>
      <c r="C988" s="14" t="s">
        <v>136</v>
      </c>
      <c r="D988" s="14">
        <v>5</v>
      </c>
      <c r="E988" s="14">
        <v>3</v>
      </c>
      <c r="F988" s="14">
        <v>3</v>
      </c>
      <c r="G988" s="14">
        <v>3</v>
      </c>
      <c r="H988" s="14" t="s">
        <v>13</v>
      </c>
      <c r="I988" s="15">
        <v>41834</v>
      </c>
      <c r="J988" s="14" t="s">
        <v>125</v>
      </c>
      <c r="K988" s="14">
        <v>150</v>
      </c>
      <c r="L988" s="14">
        <v>60</v>
      </c>
      <c r="M988" s="14">
        <v>90</v>
      </c>
      <c r="N988" s="14"/>
      <c r="O988" s="14">
        <v>0</v>
      </c>
      <c r="P988" s="10">
        <v>-26</v>
      </c>
      <c r="Q988" s="10">
        <v>47</v>
      </c>
      <c r="R988" s="10">
        <v>23.7</v>
      </c>
      <c r="S988" s="16">
        <f t="shared" si="59"/>
        <v>7.05</v>
      </c>
      <c r="T988" s="16">
        <f t="shared" si="56"/>
        <v>3.5550000000000002</v>
      </c>
    </row>
    <row r="989" spans="1:20" x14ac:dyDescent="0.25">
      <c r="A989" s="14">
        <v>2014</v>
      </c>
      <c r="B989" s="14" t="s">
        <v>135</v>
      </c>
      <c r="C989" s="14" t="s">
        <v>136</v>
      </c>
      <c r="D989" s="14">
        <v>5</v>
      </c>
      <c r="E989" s="14">
        <v>4</v>
      </c>
      <c r="F989" s="14">
        <v>4</v>
      </c>
      <c r="G989" s="14">
        <v>3</v>
      </c>
      <c r="H989" s="14" t="s">
        <v>8</v>
      </c>
      <c r="I989" s="15">
        <v>41834</v>
      </c>
      <c r="J989" s="14" t="s">
        <v>125</v>
      </c>
      <c r="K989" s="14">
        <v>159</v>
      </c>
      <c r="L989" s="14">
        <v>59</v>
      </c>
      <c r="M989" s="14">
        <v>100</v>
      </c>
      <c r="N989" s="14"/>
      <c r="O989" s="14">
        <v>0</v>
      </c>
      <c r="P989" s="10">
        <v>-25.55</v>
      </c>
      <c r="Q989" s="10">
        <v>40.9</v>
      </c>
      <c r="R989" s="10">
        <v>60.7</v>
      </c>
      <c r="S989" s="16">
        <f t="shared" si="59"/>
        <v>6.5030999999999999</v>
      </c>
      <c r="T989" s="16">
        <f t="shared" si="56"/>
        <v>9.6513000000000009</v>
      </c>
    </row>
    <row r="990" spans="1:20" x14ac:dyDescent="0.25">
      <c r="A990" s="14">
        <v>2014</v>
      </c>
      <c r="B990" s="14" t="s">
        <v>135</v>
      </c>
      <c r="C990" s="14" t="s">
        <v>136</v>
      </c>
      <c r="D990" s="14">
        <v>5</v>
      </c>
      <c r="E990" s="14">
        <v>5</v>
      </c>
      <c r="F990" s="14">
        <v>5</v>
      </c>
      <c r="G990" s="14">
        <v>3</v>
      </c>
      <c r="H990" s="14" t="s">
        <v>3</v>
      </c>
      <c r="I990" s="15">
        <v>41834</v>
      </c>
      <c r="J990" s="14" t="s">
        <v>125</v>
      </c>
      <c r="K990" s="14">
        <v>169</v>
      </c>
      <c r="L990" s="14">
        <v>54</v>
      </c>
      <c r="M990" s="14">
        <v>115</v>
      </c>
      <c r="N990" s="14"/>
      <c r="O990" s="14">
        <v>0</v>
      </c>
      <c r="P990" s="10">
        <v>-25.61</v>
      </c>
      <c r="Q990" s="10">
        <v>43.1</v>
      </c>
      <c r="R990" s="10">
        <v>24.7</v>
      </c>
      <c r="S990" s="16">
        <f t="shared" si="59"/>
        <v>7.2839000000000009</v>
      </c>
      <c r="T990" s="16">
        <f t="shared" si="56"/>
        <v>4.1743000000000006</v>
      </c>
    </row>
    <row r="991" spans="1:20" x14ac:dyDescent="0.25">
      <c r="A991" s="14">
        <v>2014</v>
      </c>
      <c r="B991" s="14" t="s">
        <v>135</v>
      </c>
      <c r="C991" s="14" t="s">
        <v>136</v>
      </c>
      <c r="D991" s="14">
        <v>5</v>
      </c>
      <c r="E991" s="14">
        <v>6</v>
      </c>
      <c r="F991" s="14">
        <v>6</v>
      </c>
      <c r="G991" s="14">
        <v>3</v>
      </c>
      <c r="H991" s="14" t="s">
        <v>4</v>
      </c>
      <c r="I991" s="15">
        <v>41834</v>
      </c>
      <c r="J991" s="14" t="s">
        <v>125</v>
      </c>
      <c r="K991" s="14">
        <v>120</v>
      </c>
      <c r="L991" s="14">
        <v>43</v>
      </c>
      <c r="M991" s="14">
        <v>77</v>
      </c>
      <c r="N991" s="14"/>
      <c r="O991" s="14">
        <v>0</v>
      </c>
      <c r="P991" s="10">
        <v>-25.84</v>
      </c>
      <c r="Q991" s="10">
        <v>43.3</v>
      </c>
      <c r="R991" s="10">
        <v>36.1</v>
      </c>
      <c r="S991" s="16">
        <f t="shared" si="59"/>
        <v>5.1959999999999997</v>
      </c>
      <c r="T991" s="16">
        <f t="shared" si="56"/>
        <v>4.3319999999999999</v>
      </c>
    </row>
    <row r="992" spans="1:20" x14ac:dyDescent="0.25">
      <c r="A992" s="14">
        <v>2014</v>
      </c>
      <c r="B992" s="14" t="s">
        <v>135</v>
      </c>
      <c r="C992" s="14" t="s">
        <v>136</v>
      </c>
      <c r="D992" s="14">
        <v>6</v>
      </c>
      <c r="E992" s="14">
        <v>6</v>
      </c>
      <c r="F992" s="14">
        <v>7</v>
      </c>
      <c r="G992" s="14">
        <v>3</v>
      </c>
      <c r="H992" s="14" t="s">
        <v>5</v>
      </c>
      <c r="I992" s="15">
        <v>41834</v>
      </c>
      <c r="J992" s="14" t="s">
        <v>125</v>
      </c>
      <c r="K992" s="14">
        <v>128</v>
      </c>
      <c r="L992" s="14">
        <v>41</v>
      </c>
      <c r="M992" s="14">
        <v>87</v>
      </c>
      <c r="N992" s="14"/>
      <c r="O992" s="14">
        <v>0</v>
      </c>
      <c r="P992" s="10">
        <v>-25.83</v>
      </c>
      <c r="Q992" s="10">
        <v>44.4</v>
      </c>
      <c r="R992" s="10">
        <v>15.9</v>
      </c>
      <c r="S992" s="16">
        <f t="shared" si="59"/>
        <v>5.6832000000000003</v>
      </c>
      <c r="T992" s="16">
        <f t="shared" si="56"/>
        <v>2.0352000000000001</v>
      </c>
    </row>
    <row r="993" spans="1:20" x14ac:dyDescent="0.25">
      <c r="A993" s="14">
        <v>2014</v>
      </c>
      <c r="B993" s="14" t="s">
        <v>135</v>
      </c>
      <c r="C993" s="14" t="s">
        <v>136</v>
      </c>
      <c r="D993" s="14">
        <v>6</v>
      </c>
      <c r="E993" s="14">
        <v>5</v>
      </c>
      <c r="F993" s="14">
        <v>8</v>
      </c>
      <c r="G993" s="14">
        <v>3</v>
      </c>
      <c r="H993" s="14" t="s">
        <v>6</v>
      </c>
      <c r="I993" s="15">
        <v>41834</v>
      </c>
      <c r="J993" s="14" t="s">
        <v>125</v>
      </c>
      <c r="K993" s="14">
        <v>138</v>
      </c>
      <c r="L993" s="14">
        <v>50</v>
      </c>
      <c r="M993" s="14">
        <v>88</v>
      </c>
      <c r="N993" s="14"/>
      <c r="O993" s="14">
        <v>0</v>
      </c>
      <c r="P993" s="10">
        <v>-25.79</v>
      </c>
      <c r="Q993" s="10">
        <v>46.9</v>
      </c>
      <c r="R993" s="10">
        <v>11.5</v>
      </c>
      <c r="S993" s="16">
        <f t="shared" si="59"/>
        <v>6.4722</v>
      </c>
      <c r="T993" s="16">
        <f t="shared" si="56"/>
        <v>1.587</v>
      </c>
    </row>
    <row r="994" spans="1:20" x14ac:dyDescent="0.25">
      <c r="A994" s="14">
        <v>2014</v>
      </c>
      <c r="B994" s="14" t="s">
        <v>135</v>
      </c>
      <c r="C994" s="14" t="s">
        <v>136</v>
      </c>
      <c r="D994" s="14">
        <v>6</v>
      </c>
      <c r="E994" s="14">
        <v>4</v>
      </c>
      <c r="F994" s="14">
        <v>9</v>
      </c>
      <c r="G994" s="14">
        <v>3</v>
      </c>
      <c r="H994" s="14" t="s">
        <v>9</v>
      </c>
      <c r="I994" s="15">
        <v>41834</v>
      </c>
      <c r="J994" s="14" t="s">
        <v>125</v>
      </c>
      <c r="K994" s="14">
        <v>160</v>
      </c>
      <c r="L994" s="14">
        <v>58</v>
      </c>
      <c r="M994" s="14">
        <v>102</v>
      </c>
      <c r="N994" s="14"/>
      <c r="O994" s="14">
        <v>0</v>
      </c>
      <c r="P994" s="10">
        <v>-25.23</v>
      </c>
      <c r="Q994" s="10">
        <v>42.9</v>
      </c>
      <c r="R994" s="10">
        <v>37.1</v>
      </c>
      <c r="S994" s="16">
        <f t="shared" si="59"/>
        <v>6.8639999999999999</v>
      </c>
      <c r="T994" s="16">
        <f t="shared" si="56"/>
        <v>5.9359999999999999</v>
      </c>
    </row>
    <row r="995" spans="1:20" x14ac:dyDescent="0.25">
      <c r="A995" s="14">
        <v>2014</v>
      </c>
      <c r="B995" s="14" t="s">
        <v>135</v>
      </c>
      <c r="C995" s="14" t="s">
        <v>136</v>
      </c>
      <c r="D995" s="14">
        <v>6</v>
      </c>
      <c r="E995" s="14">
        <v>3</v>
      </c>
      <c r="F995" s="14">
        <v>10</v>
      </c>
      <c r="G995" s="14">
        <v>3</v>
      </c>
      <c r="H995" s="14" t="s">
        <v>2</v>
      </c>
      <c r="I995" s="15">
        <v>41834</v>
      </c>
      <c r="J995" s="14" t="s">
        <v>125</v>
      </c>
      <c r="K995" s="14">
        <v>157</v>
      </c>
      <c r="L995" s="14">
        <v>55</v>
      </c>
      <c r="M995" s="14">
        <v>102</v>
      </c>
      <c r="N995" s="14"/>
      <c r="O995" s="14">
        <v>0</v>
      </c>
      <c r="P995" s="10">
        <v>-25.9</v>
      </c>
      <c r="Q995" s="10">
        <v>44.9</v>
      </c>
      <c r="R995" s="10">
        <v>32.799999999999997</v>
      </c>
      <c r="S995" s="16">
        <f t="shared" si="59"/>
        <v>7.0493000000000006</v>
      </c>
      <c r="T995" s="16">
        <f t="shared" si="56"/>
        <v>5.1495999999999995</v>
      </c>
    </row>
    <row r="996" spans="1:20" x14ac:dyDescent="0.25">
      <c r="A996" s="14">
        <v>2014</v>
      </c>
      <c r="B996" s="14" t="s">
        <v>135</v>
      </c>
      <c r="C996" s="14" t="s">
        <v>136</v>
      </c>
      <c r="D996" s="14">
        <v>6</v>
      </c>
      <c r="E996" s="14">
        <v>2</v>
      </c>
      <c r="F996" s="14">
        <v>11</v>
      </c>
      <c r="G996" s="14">
        <v>3</v>
      </c>
      <c r="H996" s="14" t="s">
        <v>14</v>
      </c>
      <c r="I996" s="15">
        <v>41834</v>
      </c>
      <c r="J996" s="14" t="s">
        <v>125</v>
      </c>
      <c r="K996" s="14">
        <v>127</v>
      </c>
      <c r="L996" s="14">
        <v>42</v>
      </c>
      <c r="M996" s="14">
        <v>85</v>
      </c>
      <c r="N996" s="14"/>
      <c r="O996" s="14">
        <v>0</v>
      </c>
      <c r="P996" s="10">
        <v>-25.83</v>
      </c>
      <c r="Q996" s="10">
        <v>45.4</v>
      </c>
      <c r="R996" s="10">
        <v>17.600000000000001</v>
      </c>
      <c r="S996" s="16">
        <f t="shared" si="59"/>
        <v>5.7658000000000005</v>
      </c>
      <c r="T996" s="16">
        <f t="shared" si="56"/>
        <v>2.2352000000000003</v>
      </c>
    </row>
    <row r="997" spans="1:20" x14ac:dyDescent="0.25">
      <c r="A997" s="14">
        <v>2014</v>
      </c>
      <c r="B997" s="14" t="s">
        <v>135</v>
      </c>
      <c r="C997" s="14" t="s">
        <v>136</v>
      </c>
      <c r="D997" s="14">
        <v>6</v>
      </c>
      <c r="E997" s="14">
        <v>1</v>
      </c>
      <c r="F997" s="14">
        <v>12</v>
      </c>
      <c r="G997" s="14">
        <v>3</v>
      </c>
      <c r="H997" s="14" t="s">
        <v>12</v>
      </c>
      <c r="I997" s="15">
        <v>41834</v>
      </c>
      <c r="J997" s="14" t="s">
        <v>125</v>
      </c>
      <c r="K997" s="14">
        <v>134</v>
      </c>
      <c r="L997" s="14">
        <v>53</v>
      </c>
      <c r="M997" s="14">
        <v>81</v>
      </c>
      <c r="N997" s="14"/>
      <c r="O997" s="14">
        <v>0</v>
      </c>
      <c r="P997" s="10">
        <v>-25.99</v>
      </c>
      <c r="Q997" s="10">
        <v>40.9</v>
      </c>
      <c r="R997" s="10">
        <v>13.1</v>
      </c>
      <c r="S997" s="16">
        <f t="shared" si="59"/>
        <v>5.480599999999999</v>
      </c>
      <c r="T997" s="16">
        <f t="shared" si="56"/>
        <v>1.7553999999999998</v>
      </c>
    </row>
    <row r="998" spans="1:20" x14ac:dyDescent="0.25">
      <c r="A998" s="14">
        <v>2014</v>
      </c>
      <c r="B998" s="14" t="s">
        <v>135</v>
      </c>
      <c r="C998" s="14" t="s">
        <v>136</v>
      </c>
      <c r="D998" s="14">
        <v>7</v>
      </c>
      <c r="E998" s="14">
        <v>1</v>
      </c>
      <c r="F998" s="14">
        <v>1</v>
      </c>
      <c r="G998" s="14">
        <v>4</v>
      </c>
      <c r="H998" s="14" t="s">
        <v>5</v>
      </c>
      <c r="I998" s="15">
        <v>41834</v>
      </c>
      <c r="J998" s="14" t="s">
        <v>125</v>
      </c>
      <c r="K998" s="14">
        <v>185</v>
      </c>
      <c r="L998" s="14">
        <v>59</v>
      </c>
      <c r="M998" s="14">
        <v>125</v>
      </c>
      <c r="N998" s="14"/>
      <c r="O998" s="14">
        <v>0</v>
      </c>
      <c r="P998" s="10">
        <v>-25.99</v>
      </c>
      <c r="Q998" s="10">
        <v>46.5</v>
      </c>
      <c r="R998" s="10">
        <v>35.700000000000003</v>
      </c>
      <c r="S998" s="16">
        <f t="shared" si="59"/>
        <v>8.6024999999999991</v>
      </c>
      <c r="T998" s="16">
        <f t="shared" si="56"/>
        <v>6.6045000000000007</v>
      </c>
    </row>
    <row r="999" spans="1:20" x14ac:dyDescent="0.25">
      <c r="A999" s="14">
        <v>2014</v>
      </c>
      <c r="B999" s="14" t="s">
        <v>135</v>
      </c>
      <c r="C999" s="14" t="s">
        <v>136</v>
      </c>
      <c r="D999" s="14">
        <v>7</v>
      </c>
      <c r="E999" s="14">
        <v>2</v>
      </c>
      <c r="F999" s="14">
        <v>2</v>
      </c>
      <c r="G999" s="14">
        <v>4</v>
      </c>
      <c r="H999" s="14" t="s">
        <v>2</v>
      </c>
      <c r="I999" s="15">
        <v>41834</v>
      </c>
      <c r="J999" s="14" t="s">
        <v>125</v>
      </c>
      <c r="K999" s="14">
        <v>168</v>
      </c>
      <c r="L999" s="14">
        <v>58</v>
      </c>
      <c r="M999" s="14">
        <v>110</v>
      </c>
      <c r="N999" s="14"/>
      <c r="O999" s="14">
        <v>0</v>
      </c>
      <c r="P999" s="10">
        <v>-25.32</v>
      </c>
      <c r="Q999" s="10">
        <v>39.5</v>
      </c>
      <c r="R999" s="10">
        <v>30.8</v>
      </c>
      <c r="S999" s="16">
        <f t="shared" si="59"/>
        <v>6.6360000000000001</v>
      </c>
      <c r="T999" s="16">
        <f t="shared" si="56"/>
        <v>5.1744000000000003</v>
      </c>
    </row>
    <row r="1000" spans="1:20" x14ac:dyDescent="0.25">
      <c r="A1000" s="14">
        <v>2014</v>
      </c>
      <c r="B1000" s="14" t="s">
        <v>135</v>
      </c>
      <c r="C1000" s="14" t="s">
        <v>136</v>
      </c>
      <c r="D1000" s="14">
        <v>7</v>
      </c>
      <c r="E1000" s="14">
        <v>3</v>
      </c>
      <c r="F1000" s="14">
        <v>3</v>
      </c>
      <c r="G1000" s="14">
        <v>4</v>
      </c>
      <c r="H1000" s="14" t="s">
        <v>12</v>
      </c>
      <c r="I1000" s="15">
        <v>41834</v>
      </c>
      <c r="J1000" s="14" t="s">
        <v>125</v>
      </c>
      <c r="K1000" s="14">
        <v>122</v>
      </c>
      <c r="L1000" s="14">
        <v>46</v>
      </c>
      <c r="M1000" s="14">
        <v>76</v>
      </c>
      <c r="N1000" s="14"/>
      <c r="O1000" s="14">
        <v>0</v>
      </c>
      <c r="P1000" s="10">
        <v>-25.89</v>
      </c>
      <c r="Q1000" s="10">
        <v>43.7</v>
      </c>
      <c r="R1000" s="10">
        <v>36.9</v>
      </c>
      <c r="S1000" s="16">
        <f t="shared" si="59"/>
        <v>5.3314000000000004</v>
      </c>
      <c r="T1000" s="16">
        <f t="shared" si="56"/>
        <v>4.5018000000000002</v>
      </c>
    </row>
    <row r="1001" spans="1:20" x14ac:dyDescent="0.25">
      <c r="A1001" s="14">
        <v>2014</v>
      </c>
      <c r="B1001" s="14" t="s">
        <v>135</v>
      </c>
      <c r="C1001" s="14" t="s">
        <v>136</v>
      </c>
      <c r="D1001" s="14">
        <v>7</v>
      </c>
      <c r="E1001" s="14">
        <v>4</v>
      </c>
      <c r="F1001" s="14">
        <v>4</v>
      </c>
      <c r="G1001" s="14">
        <v>4</v>
      </c>
      <c r="H1001" s="14" t="s">
        <v>14</v>
      </c>
      <c r="I1001" s="15">
        <v>41834</v>
      </c>
      <c r="J1001" s="14" t="s">
        <v>125</v>
      </c>
      <c r="K1001" s="14">
        <v>110</v>
      </c>
      <c r="L1001" s="14">
        <v>37</v>
      </c>
      <c r="M1001" s="14">
        <v>74</v>
      </c>
      <c r="N1001" s="14"/>
      <c r="O1001" s="14">
        <v>0</v>
      </c>
      <c r="P1001" s="10">
        <v>-25.65</v>
      </c>
      <c r="Q1001" s="10">
        <v>44.1</v>
      </c>
      <c r="R1001" s="10">
        <v>31.4</v>
      </c>
      <c r="S1001" s="16">
        <f t="shared" si="59"/>
        <v>4.851</v>
      </c>
      <c r="T1001" s="16">
        <f t="shared" si="56"/>
        <v>3.4540000000000002</v>
      </c>
    </row>
    <row r="1002" spans="1:20" x14ac:dyDescent="0.25">
      <c r="A1002" s="14">
        <v>2014</v>
      </c>
      <c r="B1002" s="14" t="s">
        <v>135</v>
      </c>
      <c r="C1002" s="14" t="s">
        <v>136</v>
      </c>
      <c r="D1002" s="14">
        <v>7</v>
      </c>
      <c r="E1002" s="14">
        <v>5</v>
      </c>
      <c r="F1002" s="14">
        <v>5</v>
      </c>
      <c r="G1002" s="14">
        <v>4</v>
      </c>
      <c r="H1002" s="14" t="s">
        <v>9</v>
      </c>
      <c r="I1002" s="15">
        <v>41834</v>
      </c>
      <c r="J1002" s="14" t="s">
        <v>125</v>
      </c>
      <c r="K1002" s="14">
        <v>167</v>
      </c>
      <c r="L1002" s="14">
        <v>59</v>
      </c>
      <c r="M1002" s="14">
        <v>108</v>
      </c>
      <c r="N1002" s="14"/>
      <c r="O1002" s="14">
        <v>0</v>
      </c>
      <c r="P1002" s="10">
        <v>-25.83</v>
      </c>
      <c r="Q1002" s="10">
        <v>41.6</v>
      </c>
      <c r="R1002" s="10">
        <v>16.600000000000001</v>
      </c>
      <c r="S1002" s="16">
        <f t="shared" si="59"/>
        <v>6.9471999999999996</v>
      </c>
      <c r="T1002" s="16">
        <f t="shared" si="56"/>
        <v>2.7722000000000002</v>
      </c>
    </row>
    <row r="1003" spans="1:20" x14ac:dyDescent="0.25">
      <c r="A1003" s="14">
        <v>2014</v>
      </c>
      <c r="B1003" s="14" t="s">
        <v>135</v>
      </c>
      <c r="C1003" s="14" t="s">
        <v>136</v>
      </c>
      <c r="D1003" s="14">
        <v>7</v>
      </c>
      <c r="E1003" s="14">
        <v>6</v>
      </c>
      <c r="F1003" s="14">
        <v>6</v>
      </c>
      <c r="G1003" s="14">
        <v>4</v>
      </c>
      <c r="H1003" s="14" t="s">
        <v>7</v>
      </c>
      <c r="I1003" s="15">
        <v>41834</v>
      </c>
      <c r="J1003" s="14" t="s">
        <v>125</v>
      </c>
      <c r="K1003" s="14">
        <v>156</v>
      </c>
      <c r="L1003" s="14">
        <v>56</v>
      </c>
      <c r="M1003" s="14">
        <v>99</v>
      </c>
      <c r="N1003" s="14"/>
      <c r="O1003" s="14">
        <v>0</v>
      </c>
      <c r="P1003" s="10">
        <v>-25.69</v>
      </c>
      <c r="Q1003" s="10">
        <v>39.9</v>
      </c>
      <c r="R1003" s="10">
        <v>29.4</v>
      </c>
      <c r="S1003" s="16">
        <f t="shared" si="59"/>
        <v>6.2243999999999993</v>
      </c>
      <c r="T1003" s="16">
        <f t="shared" si="56"/>
        <v>4.5863999999999994</v>
      </c>
    </row>
    <row r="1004" spans="1:20" x14ac:dyDescent="0.25">
      <c r="A1004" s="14">
        <v>2014</v>
      </c>
      <c r="B1004" s="14" t="s">
        <v>135</v>
      </c>
      <c r="C1004" s="14" t="s">
        <v>136</v>
      </c>
      <c r="D1004" s="14">
        <v>8</v>
      </c>
      <c r="E1004" s="14">
        <v>6</v>
      </c>
      <c r="F1004" s="14">
        <v>7</v>
      </c>
      <c r="G1004" s="14">
        <v>4</v>
      </c>
      <c r="H1004" s="14" t="s">
        <v>8</v>
      </c>
      <c r="I1004" s="15">
        <v>41834</v>
      </c>
      <c r="J1004" s="14" t="s">
        <v>125</v>
      </c>
      <c r="K1004" s="14">
        <v>151</v>
      </c>
      <c r="L1004" s="14">
        <v>56</v>
      </c>
      <c r="M1004" s="14">
        <v>95</v>
      </c>
      <c r="N1004" s="14"/>
      <c r="O1004" s="14">
        <v>0</v>
      </c>
      <c r="P1004" s="10">
        <v>-25.44</v>
      </c>
      <c r="Q1004" s="10">
        <v>37.6</v>
      </c>
      <c r="R1004" s="10">
        <v>51.2</v>
      </c>
      <c r="S1004" s="16">
        <f t="shared" si="59"/>
        <v>5.6776</v>
      </c>
      <c r="T1004" s="16">
        <f t="shared" si="56"/>
        <v>7.7312000000000003</v>
      </c>
    </row>
    <row r="1005" spans="1:20" x14ac:dyDescent="0.25">
      <c r="A1005" s="14">
        <v>2014</v>
      </c>
      <c r="B1005" s="14" t="s">
        <v>135</v>
      </c>
      <c r="C1005" s="14" t="s">
        <v>136</v>
      </c>
      <c r="D1005" s="14">
        <v>8</v>
      </c>
      <c r="E1005" s="14">
        <v>5</v>
      </c>
      <c r="F1005" s="14">
        <v>8</v>
      </c>
      <c r="G1005" s="14">
        <v>4</v>
      </c>
      <c r="H1005" s="14" t="s">
        <v>10</v>
      </c>
      <c r="I1005" s="15">
        <v>41834</v>
      </c>
      <c r="J1005" s="14" t="s">
        <v>125</v>
      </c>
      <c r="K1005" s="14">
        <v>159</v>
      </c>
      <c r="L1005" s="14">
        <v>52</v>
      </c>
      <c r="M1005" s="14">
        <v>107</v>
      </c>
      <c r="N1005" s="14"/>
      <c r="O1005" s="14">
        <v>0</v>
      </c>
      <c r="P1005" s="10">
        <v>-25.87</v>
      </c>
      <c r="Q1005" s="10">
        <v>42.9</v>
      </c>
      <c r="R1005" s="10">
        <v>8.1999999999999993</v>
      </c>
      <c r="S1005" s="16">
        <f t="shared" si="59"/>
        <v>6.8210999999999995</v>
      </c>
      <c r="T1005" s="16">
        <f t="shared" si="56"/>
        <v>1.3037999999999998</v>
      </c>
    </row>
    <row r="1006" spans="1:20" x14ac:dyDescent="0.25">
      <c r="A1006" s="14">
        <v>2014</v>
      </c>
      <c r="B1006" s="14" t="s">
        <v>135</v>
      </c>
      <c r="C1006" s="14" t="s">
        <v>136</v>
      </c>
      <c r="D1006" s="14">
        <v>8</v>
      </c>
      <c r="E1006" s="14">
        <v>4</v>
      </c>
      <c r="F1006" s="14">
        <v>9</v>
      </c>
      <c r="G1006" s="14">
        <v>4</v>
      </c>
      <c r="H1006" s="14" t="s">
        <v>6</v>
      </c>
      <c r="I1006" s="15">
        <v>41834</v>
      </c>
      <c r="J1006" s="14" t="s">
        <v>125</v>
      </c>
      <c r="K1006" s="14">
        <v>147</v>
      </c>
      <c r="L1006" s="14">
        <v>55</v>
      </c>
      <c r="M1006" s="14">
        <v>92</v>
      </c>
      <c r="N1006" s="14"/>
      <c r="O1006" s="14">
        <v>0</v>
      </c>
      <c r="P1006" s="10">
        <v>-25.82</v>
      </c>
      <c r="Q1006" s="10">
        <v>39.9</v>
      </c>
      <c r="R1006" s="10">
        <v>11.5</v>
      </c>
      <c r="S1006" s="16">
        <f t="shared" si="59"/>
        <v>5.8653000000000004</v>
      </c>
      <c r="T1006" s="16">
        <f t="shared" si="56"/>
        <v>1.6904999999999999</v>
      </c>
    </row>
    <row r="1007" spans="1:20" x14ac:dyDescent="0.25">
      <c r="A1007" s="14">
        <v>2014</v>
      </c>
      <c r="B1007" s="14" t="s">
        <v>135</v>
      </c>
      <c r="C1007" s="14" t="s">
        <v>136</v>
      </c>
      <c r="D1007" s="14">
        <v>8</v>
      </c>
      <c r="E1007" s="14">
        <v>3</v>
      </c>
      <c r="F1007" s="14">
        <v>10</v>
      </c>
      <c r="G1007" s="14">
        <v>4</v>
      </c>
      <c r="H1007" s="14" t="s">
        <v>3</v>
      </c>
      <c r="I1007" s="15">
        <v>41834</v>
      </c>
      <c r="J1007" s="14" t="s">
        <v>125</v>
      </c>
      <c r="K1007" s="14">
        <v>177</v>
      </c>
      <c r="L1007" s="14">
        <v>53</v>
      </c>
      <c r="M1007" s="14">
        <v>124</v>
      </c>
      <c r="N1007" s="14"/>
      <c r="O1007" s="14">
        <v>0</v>
      </c>
      <c r="P1007" s="10">
        <v>-25.87</v>
      </c>
      <c r="Q1007" s="10">
        <v>36.5</v>
      </c>
      <c r="R1007" s="10">
        <v>28.2</v>
      </c>
      <c r="S1007" s="16">
        <f t="shared" si="59"/>
        <v>6.4604999999999997</v>
      </c>
      <c r="T1007" s="16">
        <f t="shared" si="56"/>
        <v>4.9913999999999996</v>
      </c>
    </row>
    <row r="1008" spans="1:20" x14ac:dyDescent="0.25">
      <c r="A1008" s="14">
        <v>2014</v>
      </c>
      <c r="B1008" s="14" t="s">
        <v>135</v>
      </c>
      <c r="C1008" s="14" t="s">
        <v>136</v>
      </c>
      <c r="D1008" s="14">
        <v>8</v>
      </c>
      <c r="E1008" s="14">
        <v>2</v>
      </c>
      <c r="F1008" s="14">
        <v>11</v>
      </c>
      <c r="G1008" s="14">
        <v>4</v>
      </c>
      <c r="H1008" s="14" t="s">
        <v>13</v>
      </c>
      <c r="I1008" s="15">
        <v>41834</v>
      </c>
      <c r="J1008" s="14" t="s">
        <v>125</v>
      </c>
      <c r="K1008" s="14">
        <v>136</v>
      </c>
      <c r="L1008" s="14">
        <v>55</v>
      </c>
      <c r="M1008" s="14">
        <v>81</v>
      </c>
      <c r="N1008" s="14"/>
      <c r="O1008" s="14">
        <v>0</v>
      </c>
      <c r="P1008" s="10">
        <v>-26.14</v>
      </c>
      <c r="Q1008" s="10">
        <v>45</v>
      </c>
      <c r="R1008" s="10">
        <v>20.9</v>
      </c>
      <c r="S1008" s="16">
        <f t="shared" si="59"/>
        <v>6.12</v>
      </c>
      <c r="T1008" s="16">
        <f t="shared" si="56"/>
        <v>2.8423999999999996</v>
      </c>
    </row>
    <row r="1009" spans="1:20" x14ac:dyDescent="0.25">
      <c r="A1009" s="14">
        <v>2014</v>
      </c>
      <c r="B1009" s="14" t="s">
        <v>135</v>
      </c>
      <c r="C1009" s="14" t="s">
        <v>136</v>
      </c>
      <c r="D1009" s="14">
        <v>8</v>
      </c>
      <c r="E1009" s="14">
        <v>1</v>
      </c>
      <c r="F1009" s="14">
        <v>12</v>
      </c>
      <c r="G1009" s="14">
        <v>4</v>
      </c>
      <c r="H1009" s="14" t="s">
        <v>4</v>
      </c>
      <c r="I1009" s="15">
        <v>41834</v>
      </c>
      <c r="J1009" s="14" t="s">
        <v>125</v>
      </c>
      <c r="K1009" s="14">
        <v>111</v>
      </c>
      <c r="L1009" s="14">
        <v>38</v>
      </c>
      <c r="M1009" s="14">
        <v>73</v>
      </c>
      <c r="N1009" s="14"/>
      <c r="O1009" s="14">
        <v>0</v>
      </c>
      <c r="P1009" s="10">
        <v>-26.05</v>
      </c>
      <c r="Q1009" s="10">
        <v>48.2</v>
      </c>
      <c r="R1009" s="10">
        <v>11.6</v>
      </c>
      <c r="S1009" s="16">
        <f t="shared" si="59"/>
        <v>5.350200000000001</v>
      </c>
      <c r="T1009" s="16">
        <f t="shared" si="56"/>
        <v>1.2875999999999999</v>
      </c>
    </row>
    <row r="1010" spans="1:20" x14ac:dyDescent="0.25">
      <c r="A1010" s="14">
        <v>2014</v>
      </c>
      <c r="B1010" s="14" t="s">
        <v>135</v>
      </c>
      <c r="C1010" s="14" t="s">
        <v>136</v>
      </c>
      <c r="D1010" s="14">
        <v>1</v>
      </c>
      <c r="E1010" s="14">
        <v>1</v>
      </c>
      <c r="F1010" s="14">
        <v>1</v>
      </c>
      <c r="G1010" s="14">
        <v>1</v>
      </c>
      <c r="H1010" s="14" t="s">
        <v>7</v>
      </c>
      <c r="I1010" s="15">
        <v>41856</v>
      </c>
      <c r="J1010" s="14" t="s">
        <v>126</v>
      </c>
      <c r="K1010" s="14">
        <v>488</v>
      </c>
      <c r="L1010" s="14">
        <v>196</v>
      </c>
      <c r="M1010" s="14">
        <v>251</v>
      </c>
      <c r="N1010" s="14"/>
      <c r="O1010" s="14">
        <v>40</v>
      </c>
      <c r="P1010" s="10"/>
      <c r="Q1010" s="10"/>
      <c r="R1010" s="10"/>
      <c r="T1010" s="16"/>
    </row>
    <row r="1011" spans="1:20" x14ac:dyDescent="0.25">
      <c r="A1011" s="14">
        <v>2014</v>
      </c>
      <c r="B1011" s="14" t="s">
        <v>135</v>
      </c>
      <c r="C1011" s="14" t="s">
        <v>136</v>
      </c>
      <c r="D1011" s="14">
        <v>1</v>
      </c>
      <c r="E1011" s="14">
        <v>2</v>
      </c>
      <c r="F1011" s="14">
        <v>2</v>
      </c>
      <c r="G1011" s="14">
        <v>1</v>
      </c>
      <c r="H1011" s="14" t="s">
        <v>8</v>
      </c>
      <c r="I1011" s="15">
        <v>41856</v>
      </c>
      <c r="J1011" s="14" t="s">
        <v>126</v>
      </c>
      <c r="K1011" s="14">
        <v>550</v>
      </c>
      <c r="L1011" s="14">
        <v>211</v>
      </c>
      <c r="M1011" s="14">
        <v>329</v>
      </c>
      <c r="N1011" s="14"/>
      <c r="O1011" s="14">
        <v>10</v>
      </c>
      <c r="P1011" s="10"/>
      <c r="Q1011" s="10"/>
      <c r="R1011" s="10"/>
      <c r="T1011" s="16"/>
    </row>
    <row r="1012" spans="1:20" x14ac:dyDescent="0.25">
      <c r="A1012" s="14">
        <v>2014</v>
      </c>
      <c r="B1012" s="14" t="s">
        <v>135</v>
      </c>
      <c r="C1012" s="14" t="s">
        <v>136</v>
      </c>
      <c r="D1012" s="14">
        <v>1</v>
      </c>
      <c r="E1012" s="14">
        <v>3</v>
      </c>
      <c r="F1012" s="14">
        <v>3</v>
      </c>
      <c r="G1012" s="14">
        <v>1</v>
      </c>
      <c r="H1012" s="14" t="s">
        <v>4</v>
      </c>
      <c r="I1012" s="15">
        <v>41856</v>
      </c>
      <c r="J1012" s="14" t="s">
        <v>126</v>
      </c>
      <c r="K1012" s="14">
        <v>329</v>
      </c>
      <c r="L1012" s="14">
        <v>114</v>
      </c>
      <c r="M1012" s="14">
        <v>212</v>
      </c>
      <c r="N1012" s="14"/>
      <c r="O1012" s="14">
        <v>4</v>
      </c>
      <c r="P1012" s="10"/>
      <c r="Q1012" s="10"/>
      <c r="R1012" s="10"/>
      <c r="T1012" s="16"/>
    </row>
    <row r="1013" spans="1:20" x14ac:dyDescent="0.25">
      <c r="A1013" s="14">
        <v>2014</v>
      </c>
      <c r="B1013" s="14" t="s">
        <v>135</v>
      </c>
      <c r="C1013" s="14" t="s">
        <v>136</v>
      </c>
      <c r="D1013" s="14">
        <v>1</v>
      </c>
      <c r="E1013" s="14">
        <v>4</v>
      </c>
      <c r="F1013" s="14">
        <v>4</v>
      </c>
      <c r="G1013" s="14">
        <v>1</v>
      </c>
      <c r="H1013" s="14" t="s">
        <v>2</v>
      </c>
      <c r="I1013" s="15">
        <v>41856</v>
      </c>
      <c r="J1013" s="14" t="s">
        <v>126</v>
      </c>
      <c r="K1013" s="14">
        <v>619</v>
      </c>
      <c r="L1013" s="14">
        <v>235</v>
      </c>
      <c r="M1013" s="14">
        <v>343</v>
      </c>
      <c r="N1013" s="14"/>
      <c r="O1013" s="14">
        <v>40</v>
      </c>
      <c r="P1013" s="10"/>
      <c r="Q1013" s="10"/>
      <c r="R1013" s="10"/>
      <c r="T1013" s="16"/>
    </row>
    <row r="1014" spans="1:20" x14ac:dyDescent="0.25">
      <c r="A1014" s="14">
        <v>2014</v>
      </c>
      <c r="B1014" s="14" t="s">
        <v>135</v>
      </c>
      <c r="C1014" s="14" t="s">
        <v>136</v>
      </c>
      <c r="D1014" s="14">
        <v>1</v>
      </c>
      <c r="E1014" s="14">
        <v>5</v>
      </c>
      <c r="F1014" s="14">
        <v>5</v>
      </c>
      <c r="G1014" s="14">
        <v>1</v>
      </c>
      <c r="H1014" s="14" t="s">
        <v>6</v>
      </c>
      <c r="I1014" s="15">
        <v>41856</v>
      </c>
      <c r="J1014" s="14" t="s">
        <v>126</v>
      </c>
      <c r="K1014" s="14">
        <v>389</v>
      </c>
      <c r="L1014" s="14">
        <v>140</v>
      </c>
      <c r="M1014" s="14">
        <v>244</v>
      </c>
      <c r="N1014" s="14"/>
      <c r="O1014" s="14">
        <v>5</v>
      </c>
      <c r="P1014" s="10"/>
      <c r="Q1014" s="10"/>
      <c r="R1014" s="10"/>
      <c r="T1014" s="16"/>
    </row>
    <row r="1015" spans="1:20" x14ac:dyDescent="0.25">
      <c r="A1015" s="14">
        <v>2014</v>
      </c>
      <c r="B1015" s="14" t="s">
        <v>135</v>
      </c>
      <c r="C1015" s="14" t="s">
        <v>136</v>
      </c>
      <c r="D1015" s="14">
        <v>1</v>
      </c>
      <c r="E1015" s="14">
        <v>6</v>
      </c>
      <c r="F1015" s="14">
        <v>6</v>
      </c>
      <c r="G1015" s="14">
        <v>1</v>
      </c>
      <c r="H1015" s="14" t="s">
        <v>12</v>
      </c>
      <c r="I1015" s="15">
        <v>41842</v>
      </c>
      <c r="J1015" s="14" t="s">
        <v>126</v>
      </c>
      <c r="K1015" s="14">
        <v>225</v>
      </c>
      <c r="L1015" s="14">
        <v>74</v>
      </c>
      <c r="M1015" s="14">
        <v>151</v>
      </c>
      <c r="N1015" s="14"/>
      <c r="O1015" s="14">
        <v>0</v>
      </c>
      <c r="P1015" s="10"/>
      <c r="Q1015" s="10"/>
      <c r="R1015" s="10"/>
      <c r="T1015" s="16"/>
    </row>
    <row r="1016" spans="1:20" x14ac:dyDescent="0.25">
      <c r="A1016" s="14">
        <v>2014</v>
      </c>
      <c r="B1016" s="14" t="s">
        <v>135</v>
      </c>
      <c r="C1016" s="14" t="s">
        <v>136</v>
      </c>
      <c r="D1016" s="14">
        <v>2</v>
      </c>
      <c r="E1016" s="14">
        <v>6</v>
      </c>
      <c r="F1016" s="14">
        <v>7</v>
      </c>
      <c r="G1016" s="14">
        <v>1</v>
      </c>
      <c r="H1016" s="14" t="s">
        <v>9</v>
      </c>
      <c r="I1016" s="15">
        <v>41856</v>
      </c>
      <c r="J1016" s="14" t="s">
        <v>126</v>
      </c>
      <c r="K1016" s="14">
        <v>546</v>
      </c>
      <c r="L1016" s="14">
        <v>226</v>
      </c>
      <c r="M1016" s="14">
        <v>277</v>
      </c>
      <c r="N1016" s="14"/>
      <c r="O1016" s="14">
        <v>43</v>
      </c>
      <c r="P1016" s="10"/>
      <c r="Q1016" s="10"/>
      <c r="R1016" s="10"/>
      <c r="T1016" s="16"/>
    </row>
    <row r="1017" spans="1:20" x14ac:dyDescent="0.25">
      <c r="A1017" s="14">
        <v>2014</v>
      </c>
      <c r="B1017" s="14" t="s">
        <v>135</v>
      </c>
      <c r="C1017" s="14" t="s">
        <v>136</v>
      </c>
      <c r="D1017" s="14">
        <v>2</v>
      </c>
      <c r="E1017" s="14">
        <v>5</v>
      </c>
      <c r="F1017" s="14">
        <v>8</v>
      </c>
      <c r="G1017" s="14">
        <v>1</v>
      </c>
      <c r="H1017" s="14" t="s">
        <v>13</v>
      </c>
      <c r="I1017" s="15">
        <v>41842</v>
      </c>
      <c r="J1017" s="14" t="s">
        <v>126</v>
      </c>
      <c r="K1017" s="14">
        <v>312</v>
      </c>
      <c r="L1017" s="14">
        <v>125</v>
      </c>
      <c r="M1017" s="14">
        <v>181</v>
      </c>
      <c r="N1017" s="14"/>
      <c r="O1017" s="14">
        <v>6</v>
      </c>
      <c r="P1017" s="10"/>
      <c r="Q1017" s="10"/>
      <c r="R1017" s="10"/>
      <c r="T1017" s="16"/>
    </row>
    <row r="1018" spans="1:20" x14ac:dyDescent="0.25">
      <c r="A1018" s="14">
        <v>2014</v>
      </c>
      <c r="B1018" s="14" t="s">
        <v>135</v>
      </c>
      <c r="C1018" s="14" t="s">
        <v>136</v>
      </c>
      <c r="D1018" s="14">
        <v>2</v>
      </c>
      <c r="E1018" s="14">
        <v>4</v>
      </c>
      <c r="F1018" s="14">
        <v>9</v>
      </c>
      <c r="G1018" s="14">
        <v>1</v>
      </c>
      <c r="H1018" s="14" t="s">
        <v>10</v>
      </c>
      <c r="I1018" s="15">
        <v>41856</v>
      </c>
      <c r="J1018" s="14" t="s">
        <v>126</v>
      </c>
      <c r="K1018" s="14">
        <v>512</v>
      </c>
      <c r="L1018" s="14">
        <v>176</v>
      </c>
      <c r="M1018" s="14">
        <v>256</v>
      </c>
      <c r="N1018" s="14"/>
      <c r="O1018" s="14">
        <v>79</v>
      </c>
      <c r="P1018" s="10"/>
      <c r="Q1018" s="10"/>
      <c r="R1018" s="10"/>
      <c r="T1018" s="16"/>
    </row>
    <row r="1019" spans="1:20" x14ac:dyDescent="0.25">
      <c r="A1019" s="14">
        <v>2014</v>
      </c>
      <c r="B1019" s="14" t="s">
        <v>135</v>
      </c>
      <c r="C1019" s="14" t="s">
        <v>136</v>
      </c>
      <c r="D1019" s="14">
        <v>2</v>
      </c>
      <c r="E1019" s="14">
        <v>3</v>
      </c>
      <c r="F1019" s="14">
        <v>10</v>
      </c>
      <c r="G1019" s="14">
        <v>1</v>
      </c>
      <c r="H1019" s="14" t="s">
        <v>14</v>
      </c>
      <c r="I1019" s="15">
        <v>41863</v>
      </c>
      <c r="J1019" s="14" t="s">
        <v>126</v>
      </c>
      <c r="K1019" s="14">
        <v>677</v>
      </c>
      <c r="L1019" s="14">
        <v>269</v>
      </c>
      <c r="M1019" s="14">
        <v>334</v>
      </c>
      <c r="N1019" s="14"/>
      <c r="O1019" s="14">
        <v>74</v>
      </c>
      <c r="P1019" s="10"/>
      <c r="Q1019" s="10"/>
      <c r="R1019" s="10"/>
      <c r="T1019" s="16"/>
    </row>
    <row r="1020" spans="1:20" x14ac:dyDescent="0.25">
      <c r="A1020" s="14">
        <v>2014</v>
      </c>
      <c r="B1020" s="14" t="s">
        <v>135</v>
      </c>
      <c r="C1020" s="14" t="s">
        <v>136</v>
      </c>
      <c r="D1020" s="14">
        <v>2</v>
      </c>
      <c r="E1020" s="14">
        <v>2</v>
      </c>
      <c r="F1020" s="14">
        <v>11</v>
      </c>
      <c r="G1020" s="14">
        <v>1</v>
      </c>
      <c r="H1020" s="14" t="s">
        <v>5</v>
      </c>
      <c r="I1020" s="15">
        <v>41856</v>
      </c>
      <c r="J1020" s="14" t="s">
        <v>126</v>
      </c>
      <c r="K1020" s="14">
        <v>434</v>
      </c>
      <c r="L1020" s="14">
        <v>157</v>
      </c>
      <c r="M1020" s="14">
        <v>239</v>
      </c>
      <c r="N1020" s="14"/>
      <c r="O1020" s="14">
        <v>38</v>
      </c>
      <c r="P1020" s="10"/>
      <c r="Q1020" s="10"/>
      <c r="R1020" s="10"/>
      <c r="T1020" s="16"/>
    </row>
    <row r="1021" spans="1:20" x14ac:dyDescent="0.25">
      <c r="A1021" s="14">
        <v>2014</v>
      </c>
      <c r="B1021" s="14" t="s">
        <v>135</v>
      </c>
      <c r="C1021" s="14" t="s">
        <v>136</v>
      </c>
      <c r="D1021" s="14">
        <v>2</v>
      </c>
      <c r="E1021" s="14">
        <v>1</v>
      </c>
      <c r="F1021" s="14">
        <v>12</v>
      </c>
      <c r="G1021" s="14">
        <v>1</v>
      </c>
      <c r="H1021" s="14" t="s">
        <v>3</v>
      </c>
      <c r="I1021" s="15">
        <v>41863</v>
      </c>
      <c r="J1021" s="14" t="s">
        <v>126</v>
      </c>
      <c r="K1021" s="14">
        <v>617</v>
      </c>
      <c r="L1021" s="14">
        <v>219</v>
      </c>
      <c r="M1021" s="14">
        <v>325</v>
      </c>
      <c r="N1021" s="14"/>
      <c r="O1021" s="14">
        <v>73</v>
      </c>
      <c r="P1021" s="10"/>
      <c r="Q1021" s="10"/>
      <c r="R1021" s="10"/>
      <c r="T1021" s="16"/>
    </row>
    <row r="1022" spans="1:20" x14ac:dyDescent="0.25">
      <c r="A1022" s="14">
        <v>2014</v>
      </c>
      <c r="B1022" s="14" t="s">
        <v>135</v>
      </c>
      <c r="C1022" s="14" t="s">
        <v>136</v>
      </c>
      <c r="D1022" s="14">
        <v>3</v>
      </c>
      <c r="E1022" s="14">
        <v>1</v>
      </c>
      <c r="F1022" s="14">
        <v>1</v>
      </c>
      <c r="G1022" s="14">
        <v>2</v>
      </c>
      <c r="H1022" s="14" t="s">
        <v>9</v>
      </c>
      <c r="I1022" s="15">
        <v>41856</v>
      </c>
      <c r="J1022" s="14" t="s">
        <v>126</v>
      </c>
      <c r="K1022" s="14">
        <v>440</v>
      </c>
      <c r="L1022" s="14">
        <v>181</v>
      </c>
      <c r="M1022" s="14">
        <v>222</v>
      </c>
      <c r="N1022" s="14"/>
      <c r="O1022" s="14">
        <v>37</v>
      </c>
      <c r="P1022" s="10"/>
      <c r="Q1022" s="10"/>
      <c r="R1022" s="10"/>
      <c r="T1022" s="16"/>
    </row>
    <row r="1023" spans="1:20" x14ac:dyDescent="0.25">
      <c r="A1023" s="14">
        <v>2014</v>
      </c>
      <c r="B1023" s="14" t="s">
        <v>135</v>
      </c>
      <c r="C1023" s="14" t="s">
        <v>136</v>
      </c>
      <c r="D1023" s="14">
        <v>3</v>
      </c>
      <c r="E1023" s="14">
        <v>2</v>
      </c>
      <c r="F1023" s="14">
        <v>2</v>
      </c>
      <c r="G1023" s="14">
        <v>2</v>
      </c>
      <c r="H1023" s="14" t="s">
        <v>10</v>
      </c>
      <c r="I1023" s="15">
        <v>41856</v>
      </c>
      <c r="J1023" s="14" t="s">
        <v>126</v>
      </c>
      <c r="K1023" s="14">
        <v>552</v>
      </c>
      <c r="L1023" s="14">
        <v>213</v>
      </c>
      <c r="M1023" s="14">
        <v>313</v>
      </c>
      <c r="N1023" s="14"/>
      <c r="O1023" s="14">
        <v>26</v>
      </c>
      <c r="P1023" s="10"/>
      <c r="Q1023" s="10"/>
      <c r="R1023" s="10"/>
      <c r="T1023" s="16"/>
    </row>
    <row r="1024" spans="1:20" x14ac:dyDescent="0.25">
      <c r="A1024" s="14">
        <v>2014</v>
      </c>
      <c r="B1024" s="14" t="s">
        <v>135</v>
      </c>
      <c r="C1024" s="14" t="s">
        <v>136</v>
      </c>
      <c r="D1024" s="14">
        <v>3</v>
      </c>
      <c r="E1024" s="14">
        <v>3</v>
      </c>
      <c r="F1024" s="14">
        <v>3</v>
      </c>
      <c r="G1024" s="14">
        <v>2</v>
      </c>
      <c r="H1024" s="14" t="s">
        <v>5</v>
      </c>
      <c r="I1024" s="15">
        <v>41856</v>
      </c>
      <c r="J1024" s="14" t="s">
        <v>126</v>
      </c>
      <c r="K1024" s="14">
        <v>447</v>
      </c>
      <c r="L1024" s="14">
        <v>170</v>
      </c>
      <c r="M1024" s="14">
        <v>254</v>
      </c>
      <c r="N1024" s="14"/>
      <c r="O1024" s="14">
        <v>22</v>
      </c>
      <c r="P1024" s="10"/>
      <c r="Q1024" s="10"/>
      <c r="R1024" s="10"/>
      <c r="T1024" s="16"/>
    </row>
    <row r="1025" spans="1:20" x14ac:dyDescent="0.25">
      <c r="A1025" s="14">
        <v>2014</v>
      </c>
      <c r="B1025" s="14" t="s">
        <v>135</v>
      </c>
      <c r="C1025" s="14" t="s">
        <v>136</v>
      </c>
      <c r="D1025" s="14">
        <v>3</v>
      </c>
      <c r="E1025" s="14">
        <v>4</v>
      </c>
      <c r="F1025" s="14">
        <v>4</v>
      </c>
      <c r="G1025" s="14">
        <v>2</v>
      </c>
      <c r="H1025" s="14" t="s">
        <v>13</v>
      </c>
      <c r="I1025" s="15">
        <v>41842</v>
      </c>
      <c r="J1025" s="14" t="s">
        <v>126</v>
      </c>
      <c r="K1025" s="14">
        <v>135</v>
      </c>
      <c r="L1025" s="14">
        <v>52</v>
      </c>
      <c r="M1025" s="14">
        <v>83</v>
      </c>
      <c r="N1025" s="14"/>
      <c r="O1025" s="14">
        <v>0</v>
      </c>
      <c r="P1025" s="10"/>
      <c r="Q1025" s="10"/>
      <c r="R1025" s="10"/>
      <c r="T1025" s="16"/>
    </row>
    <row r="1026" spans="1:20" x14ac:dyDescent="0.25">
      <c r="A1026" s="14">
        <v>2014</v>
      </c>
      <c r="B1026" s="14" t="s">
        <v>135</v>
      </c>
      <c r="C1026" s="14" t="s">
        <v>136</v>
      </c>
      <c r="D1026" s="14">
        <v>3</v>
      </c>
      <c r="E1026" s="14">
        <v>5</v>
      </c>
      <c r="F1026" s="14">
        <v>5</v>
      </c>
      <c r="G1026" s="14">
        <v>2</v>
      </c>
      <c r="H1026" s="14" t="s">
        <v>14</v>
      </c>
      <c r="I1026" s="15">
        <v>41863</v>
      </c>
      <c r="J1026" s="14" t="s">
        <v>126</v>
      </c>
      <c r="K1026" s="14">
        <v>506</v>
      </c>
      <c r="L1026" s="14">
        <v>149</v>
      </c>
      <c r="M1026" s="14">
        <v>323</v>
      </c>
      <c r="N1026" s="14"/>
      <c r="O1026" s="14">
        <v>33</v>
      </c>
      <c r="P1026" s="10"/>
      <c r="Q1026" s="10"/>
      <c r="R1026" s="10"/>
      <c r="T1026" s="16"/>
    </row>
    <row r="1027" spans="1:20" x14ac:dyDescent="0.25">
      <c r="A1027" s="14">
        <v>2014</v>
      </c>
      <c r="B1027" s="14" t="s">
        <v>135</v>
      </c>
      <c r="C1027" s="14" t="s">
        <v>136</v>
      </c>
      <c r="D1027" s="14">
        <v>3</v>
      </c>
      <c r="E1027" s="14">
        <v>6</v>
      </c>
      <c r="F1027" s="14">
        <v>6</v>
      </c>
      <c r="G1027" s="14">
        <v>2</v>
      </c>
      <c r="H1027" s="14" t="s">
        <v>3</v>
      </c>
      <c r="I1027" s="15">
        <v>41863</v>
      </c>
      <c r="J1027" s="14" t="s">
        <v>126</v>
      </c>
      <c r="K1027" s="14">
        <v>431</v>
      </c>
      <c r="L1027" s="14">
        <v>156</v>
      </c>
      <c r="M1027" s="14">
        <v>230</v>
      </c>
      <c r="N1027" s="14"/>
      <c r="O1027" s="14">
        <v>44</v>
      </c>
      <c r="P1027" s="10"/>
      <c r="Q1027" s="10"/>
      <c r="R1027" s="10"/>
      <c r="T1027" s="16"/>
    </row>
    <row r="1028" spans="1:20" x14ac:dyDescent="0.25">
      <c r="A1028" s="14">
        <v>2014</v>
      </c>
      <c r="B1028" s="14" t="s">
        <v>135</v>
      </c>
      <c r="C1028" s="14" t="s">
        <v>136</v>
      </c>
      <c r="D1028" s="14">
        <v>4</v>
      </c>
      <c r="E1028" s="14">
        <v>6</v>
      </c>
      <c r="F1028" s="14">
        <v>7</v>
      </c>
      <c r="G1028" s="14">
        <v>2</v>
      </c>
      <c r="H1028" s="14" t="s">
        <v>2</v>
      </c>
      <c r="I1028" s="15">
        <v>41856</v>
      </c>
      <c r="J1028" s="14" t="s">
        <v>126</v>
      </c>
      <c r="K1028" s="14">
        <v>477</v>
      </c>
      <c r="L1028" s="14">
        <v>191</v>
      </c>
      <c r="M1028" s="14">
        <v>258</v>
      </c>
      <c r="N1028" s="14"/>
      <c r="O1028" s="14">
        <v>28</v>
      </c>
      <c r="P1028" s="10"/>
      <c r="Q1028" s="10"/>
      <c r="R1028" s="10"/>
      <c r="T1028" s="16"/>
    </row>
    <row r="1029" spans="1:20" x14ac:dyDescent="0.25">
      <c r="A1029" s="14">
        <v>2014</v>
      </c>
      <c r="B1029" s="14" t="s">
        <v>135</v>
      </c>
      <c r="C1029" s="14" t="s">
        <v>136</v>
      </c>
      <c r="D1029" s="14">
        <v>4</v>
      </c>
      <c r="E1029" s="14">
        <v>5</v>
      </c>
      <c r="F1029" s="14">
        <v>8</v>
      </c>
      <c r="G1029" s="14">
        <v>2</v>
      </c>
      <c r="H1029" s="14" t="s">
        <v>8</v>
      </c>
      <c r="I1029" s="15">
        <v>41856</v>
      </c>
      <c r="J1029" s="14" t="s">
        <v>126</v>
      </c>
      <c r="K1029" s="14">
        <v>482</v>
      </c>
      <c r="L1029" s="14">
        <v>189</v>
      </c>
      <c r="M1029" s="14">
        <v>272</v>
      </c>
      <c r="N1029" s="14"/>
      <c r="O1029" s="14">
        <v>20</v>
      </c>
      <c r="P1029" s="10"/>
      <c r="Q1029" s="10"/>
      <c r="R1029" s="10"/>
      <c r="T1029" s="16"/>
    </row>
    <row r="1030" spans="1:20" x14ac:dyDescent="0.25">
      <c r="A1030" s="14">
        <v>2014</v>
      </c>
      <c r="B1030" s="14" t="s">
        <v>135</v>
      </c>
      <c r="C1030" s="14" t="s">
        <v>136</v>
      </c>
      <c r="D1030" s="14">
        <v>4</v>
      </c>
      <c r="E1030" s="14">
        <v>4</v>
      </c>
      <c r="F1030" s="14">
        <v>9</v>
      </c>
      <c r="G1030" s="14">
        <v>2</v>
      </c>
      <c r="H1030" s="14" t="s">
        <v>12</v>
      </c>
      <c r="I1030" s="15">
        <v>41842</v>
      </c>
      <c r="J1030" s="14" t="s">
        <v>126</v>
      </c>
      <c r="K1030" s="14">
        <v>186</v>
      </c>
      <c r="L1030" s="14">
        <v>64</v>
      </c>
      <c r="M1030" s="14">
        <v>123</v>
      </c>
      <c r="N1030" s="14"/>
      <c r="O1030" s="14">
        <v>0</v>
      </c>
      <c r="P1030" s="10"/>
      <c r="Q1030" s="10"/>
      <c r="R1030" s="10"/>
      <c r="T1030" s="16"/>
    </row>
    <row r="1031" spans="1:20" x14ac:dyDescent="0.25">
      <c r="A1031" s="14">
        <v>2014</v>
      </c>
      <c r="B1031" s="14" t="s">
        <v>135</v>
      </c>
      <c r="C1031" s="14" t="s">
        <v>136</v>
      </c>
      <c r="D1031" s="14">
        <v>4</v>
      </c>
      <c r="E1031" s="14">
        <v>3</v>
      </c>
      <c r="F1031" s="14">
        <v>10</v>
      </c>
      <c r="G1031" s="14">
        <v>2</v>
      </c>
      <c r="H1031" s="14" t="s">
        <v>7</v>
      </c>
      <c r="I1031" s="15">
        <v>41856</v>
      </c>
      <c r="J1031" s="14" t="s">
        <v>126</v>
      </c>
      <c r="K1031" s="14">
        <v>395</v>
      </c>
      <c r="L1031" s="14">
        <v>171</v>
      </c>
      <c r="M1031" s="14">
        <v>190</v>
      </c>
      <c r="N1031" s="14"/>
      <c r="O1031" s="14">
        <v>34</v>
      </c>
      <c r="P1031" s="10"/>
      <c r="Q1031" s="10"/>
      <c r="R1031" s="10"/>
      <c r="T1031" s="16"/>
    </row>
    <row r="1032" spans="1:20" x14ac:dyDescent="0.25">
      <c r="A1032" s="14">
        <v>2014</v>
      </c>
      <c r="B1032" s="14" t="s">
        <v>135</v>
      </c>
      <c r="C1032" s="14" t="s">
        <v>136</v>
      </c>
      <c r="D1032" s="14">
        <v>4</v>
      </c>
      <c r="E1032" s="14">
        <v>2</v>
      </c>
      <c r="F1032" s="14">
        <v>11</v>
      </c>
      <c r="G1032" s="14">
        <v>2</v>
      </c>
      <c r="H1032" s="14" t="s">
        <v>6</v>
      </c>
      <c r="I1032" s="15">
        <v>41856</v>
      </c>
      <c r="J1032" s="14" t="s">
        <v>126</v>
      </c>
      <c r="K1032" s="14">
        <v>412</v>
      </c>
      <c r="L1032" s="14">
        <v>169</v>
      </c>
      <c r="M1032" s="14">
        <v>225</v>
      </c>
      <c r="N1032" s="14"/>
      <c r="O1032" s="14">
        <v>18</v>
      </c>
      <c r="P1032" s="10"/>
      <c r="Q1032" s="10"/>
      <c r="R1032" s="10"/>
      <c r="T1032" s="16"/>
    </row>
    <row r="1033" spans="1:20" x14ac:dyDescent="0.25">
      <c r="A1033" s="14">
        <v>2014</v>
      </c>
      <c r="B1033" s="14" t="s">
        <v>135</v>
      </c>
      <c r="C1033" s="14" t="s">
        <v>136</v>
      </c>
      <c r="D1033" s="14">
        <v>4</v>
      </c>
      <c r="E1033" s="14">
        <v>1</v>
      </c>
      <c r="F1033" s="14">
        <v>12</v>
      </c>
      <c r="G1033" s="14">
        <v>2</v>
      </c>
      <c r="H1033" s="14" t="s">
        <v>4</v>
      </c>
      <c r="I1033" s="15">
        <v>41856</v>
      </c>
      <c r="J1033" s="14" t="s">
        <v>126</v>
      </c>
      <c r="K1033" s="14">
        <v>357</v>
      </c>
      <c r="L1033" s="14">
        <v>116</v>
      </c>
      <c r="M1033" s="14">
        <v>232</v>
      </c>
      <c r="N1033" s="14"/>
      <c r="O1033" s="14">
        <v>8</v>
      </c>
      <c r="P1033" s="10"/>
      <c r="Q1033" s="10"/>
      <c r="R1033" s="10"/>
      <c r="T1033" s="16"/>
    </row>
    <row r="1034" spans="1:20" x14ac:dyDescent="0.25">
      <c r="A1034" s="14">
        <v>2014</v>
      </c>
      <c r="B1034" s="14" t="s">
        <v>135</v>
      </c>
      <c r="C1034" s="14" t="s">
        <v>136</v>
      </c>
      <c r="D1034" s="14">
        <v>5</v>
      </c>
      <c r="E1034" s="14">
        <v>1</v>
      </c>
      <c r="F1034" s="14">
        <v>1</v>
      </c>
      <c r="G1034" s="14">
        <v>3</v>
      </c>
      <c r="H1034" s="14" t="s">
        <v>10</v>
      </c>
      <c r="I1034" s="15">
        <v>41856</v>
      </c>
      <c r="J1034" s="14" t="s">
        <v>126</v>
      </c>
      <c r="K1034" s="14">
        <v>484</v>
      </c>
      <c r="L1034" s="14">
        <v>185</v>
      </c>
      <c r="M1034" s="14">
        <v>262</v>
      </c>
      <c r="N1034" s="14"/>
      <c r="O1034" s="14">
        <v>37</v>
      </c>
      <c r="P1034" s="10"/>
      <c r="Q1034" s="10"/>
      <c r="R1034" s="10"/>
      <c r="T1034" s="16"/>
    </row>
    <row r="1035" spans="1:20" x14ac:dyDescent="0.25">
      <c r="A1035" s="14">
        <v>2014</v>
      </c>
      <c r="B1035" s="14" t="s">
        <v>135</v>
      </c>
      <c r="C1035" s="14" t="s">
        <v>136</v>
      </c>
      <c r="D1035" s="14">
        <v>5</v>
      </c>
      <c r="E1035" s="14">
        <v>2</v>
      </c>
      <c r="F1035" s="14">
        <v>2</v>
      </c>
      <c r="G1035" s="14">
        <v>3</v>
      </c>
      <c r="H1035" s="14" t="s">
        <v>7</v>
      </c>
      <c r="I1035" s="15">
        <v>41856</v>
      </c>
      <c r="J1035" s="14" t="s">
        <v>126</v>
      </c>
      <c r="K1035" s="14">
        <v>479</v>
      </c>
      <c r="L1035" s="14">
        <v>214</v>
      </c>
      <c r="M1035" s="14">
        <v>240</v>
      </c>
      <c r="N1035" s="14"/>
      <c r="O1035" s="14">
        <v>25</v>
      </c>
      <c r="P1035" s="10"/>
      <c r="Q1035" s="10"/>
      <c r="R1035" s="10"/>
      <c r="T1035" s="16"/>
    </row>
    <row r="1036" spans="1:20" x14ac:dyDescent="0.25">
      <c r="A1036" s="14">
        <v>2014</v>
      </c>
      <c r="B1036" s="14" t="s">
        <v>135</v>
      </c>
      <c r="C1036" s="14" t="s">
        <v>136</v>
      </c>
      <c r="D1036" s="14">
        <v>5</v>
      </c>
      <c r="E1036" s="14">
        <v>3</v>
      </c>
      <c r="F1036" s="14">
        <v>3</v>
      </c>
      <c r="G1036" s="14">
        <v>3</v>
      </c>
      <c r="H1036" s="14" t="s">
        <v>13</v>
      </c>
      <c r="I1036" s="15">
        <v>41842</v>
      </c>
      <c r="J1036" s="14" t="s">
        <v>126</v>
      </c>
      <c r="K1036" s="14">
        <v>213</v>
      </c>
      <c r="L1036" s="14">
        <v>89</v>
      </c>
      <c r="M1036" s="14">
        <v>122</v>
      </c>
      <c r="N1036" s="14"/>
      <c r="O1036" s="14">
        <v>2</v>
      </c>
      <c r="P1036" s="10"/>
      <c r="Q1036" s="10"/>
      <c r="R1036" s="10"/>
      <c r="T1036" s="16"/>
    </row>
    <row r="1037" spans="1:20" x14ac:dyDescent="0.25">
      <c r="A1037" s="14">
        <v>2014</v>
      </c>
      <c r="B1037" s="14" t="s">
        <v>135</v>
      </c>
      <c r="C1037" s="14" t="s">
        <v>136</v>
      </c>
      <c r="D1037" s="14">
        <v>5</v>
      </c>
      <c r="E1037" s="14">
        <v>4</v>
      </c>
      <c r="F1037" s="14">
        <v>4</v>
      </c>
      <c r="G1037" s="14">
        <v>3</v>
      </c>
      <c r="H1037" s="14" t="s">
        <v>8</v>
      </c>
      <c r="I1037" s="15">
        <v>41856</v>
      </c>
      <c r="J1037" s="14" t="s">
        <v>126</v>
      </c>
      <c r="K1037" s="14">
        <v>418</v>
      </c>
      <c r="L1037" s="14">
        <v>180</v>
      </c>
      <c r="M1037" s="14">
        <v>230</v>
      </c>
      <c r="N1037" s="14"/>
      <c r="O1037" s="14">
        <v>8</v>
      </c>
      <c r="P1037" s="10"/>
      <c r="Q1037" s="10"/>
      <c r="R1037" s="10"/>
      <c r="T1037" s="16"/>
    </row>
    <row r="1038" spans="1:20" x14ac:dyDescent="0.25">
      <c r="A1038" s="14">
        <v>2014</v>
      </c>
      <c r="B1038" s="14" t="s">
        <v>135</v>
      </c>
      <c r="C1038" s="14" t="s">
        <v>136</v>
      </c>
      <c r="D1038" s="14">
        <v>5</v>
      </c>
      <c r="E1038" s="14">
        <v>5</v>
      </c>
      <c r="F1038" s="14">
        <v>5</v>
      </c>
      <c r="G1038" s="14">
        <v>3</v>
      </c>
      <c r="H1038" s="14" t="s">
        <v>3</v>
      </c>
      <c r="I1038" s="15">
        <v>41863</v>
      </c>
      <c r="J1038" s="14" t="s">
        <v>126</v>
      </c>
      <c r="K1038" s="14">
        <v>680</v>
      </c>
      <c r="L1038" s="14">
        <v>255</v>
      </c>
      <c r="M1038" s="14">
        <v>363</v>
      </c>
      <c r="N1038" s="14"/>
      <c r="O1038" s="14">
        <v>62</v>
      </c>
      <c r="P1038" s="10"/>
      <c r="Q1038" s="10"/>
      <c r="R1038" s="10"/>
      <c r="T1038" s="16"/>
    </row>
    <row r="1039" spans="1:20" x14ac:dyDescent="0.25">
      <c r="A1039" s="14">
        <v>2014</v>
      </c>
      <c r="B1039" s="14" t="s">
        <v>135</v>
      </c>
      <c r="C1039" s="14" t="s">
        <v>136</v>
      </c>
      <c r="D1039" s="14">
        <v>5</v>
      </c>
      <c r="E1039" s="14">
        <v>6</v>
      </c>
      <c r="F1039" s="14">
        <v>6</v>
      </c>
      <c r="G1039" s="14">
        <v>3</v>
      </c>
      <c r="H1039" s="14" t="s">
        <v>4</v>
      </c>
      <c r="I1039" s="15">
        <v>41856</v>
      </c>
      <c r="J1039" s="14" t="s">
        <v>126</v>
      </c>
      <c r="K1039" s="14">
        <v>340</v>
      </c>
      <c r="L1039" s="14">
        <v>115</v>
      </c>
      <c r="M1039" s="14">
        <v>218</v>
      </c>
      <c r="N1039" s="14"/>
      <c r="O1039" s="14">
        <v>7</v>
      </c>
      <c r="P1039" s="10"/>
      <c r="Q1039" s="10"/>
      <c r="R1039" s="10"/>
      <c r="T1039" s="16"/>
    </row>
    <row r="1040" spans="1:20" x14ac:dyDescent="0.25">
      <c r="A1040" s="14">
        <v>2014</v>
      </c>
      <c r="B1040" s="14" t="s">
        <v>135</v>
      </c>
      <c r="C1040" s="14" t="s">
        <v>136</v>
      </c>
      <c r="D1040" s="14">
        <v>6</v>
      </c>
      <c r="E1040" s="14">
        <v>6</v>
      </c>
      <c r="F1040" s="14">
        <v>7</v>
      </c>
      <c r="G1040" s="14">
        <v>3</v>
      </c>
      <c r="H1040" s="14" t="s">
        <v>5</v>
      </c>
      <c r="I1040" s="15">
        <v>41856</v>
      </c>
      <c r="J1040" s="14" t="s">
        <v>126</v>
      </c>
      <c r="K1040" s="14">
        <v>373</v>
      </c>
      <c r="L1040" s="14">
        <v>157</v>
      </c>
      <c r="M1040" s="14">
        <v>192</v>
      </c>
      <c r="N1040" s="14"/>
      <c r="O1040" s="14">
        <v>25</v>
      </c>
      <c r="P1040" s="10"/>
      <c r="Q1040" s="10"/>
      <c r="R1040" s="10"/>
      <c r="T1040" s="16"/>
    </row>
    <row r="1041" spans="1:20" x14ac:dyDescent="0.25">
      <c r="A1041" s="14">
        <v>2014</v>
      </c>
      <c r="B1041" s="14" t="s">
        <v>135</v>
      </c>
      <c r="C1041" s="14" t="s">
        <v>136</v>
      </c>
      <c r="D1041" s="14">
        <v>6</v>
      </c>
      <c r="E1041" s="14">
        <v>5</v>
      </c>
      <c r="F1041" s="14">
        <v>8</v>
      </c>
      <c r="G1041" s="14">
        <v>3</v>
      </c>
      <c r="H1041" s="14" t="s">
        <v>6</v>
      </c>
      <c r="I1041" s="15">
        <v>41856</v>
      </c>
      <c r="J1041" s="14" t="s">
        <v>126</v>
      </c>
      <c r="K1041" s="14">
        <v>406</v>
      </c>
      <c r="L1041" s="14">
        <v>172</v>
      </c>
      <c r="M1041" s="14">
        <v>219</v>
      </c>
      <c r="N1041" s="14"/>
      <c r="O1041" s="14">
        <v>15</v>
      </c>
      <c r="P1041" s="10"/>
      <c r="Q1041" s="10"/>
      <c r="R1041" s="10"/>
      <c r="T1041" s="16"/>
    </row>
    <row r="1042" spans="1:20" x14ac:dyDescent="0.25">
      <c r="A1042" s="14">
        <v>2014</v>
      </c>
      <c r="B1042" s="14" t="s">
        <v>135</v>
      </c>
      <c r="C1042" s="14" t="s">
        <v>136</v>
      </c>
      <c r="D1042" s="14">
        <v>6</v>
      </c>
      <c r="E1042" s="14">
        <v>4</v>
      </c>
      <c r="F1042" s="14">
        <v>9</v>
      </c>
      <c r="G1042" s="14">
        <v>3</v>
      </c>
      <c r="H1042" s="14" t="s">
        <v>9</v>
      </c>
      <c r="I1042" s="15">
        <v>41856</v>
      </c>
      <c r="J1042" s="14" t="s">
        <v>126</v>
      </c>
      <c r="K1042" s="14">
        <v>321</v>
      </c>
      <c r="L1042" s="14">
        <v>131</v>
      </c>
      <c r="M1042" s="14">
        <v>159</v>
      </c>
      <c r="N1042" s="14"/>
      <c r="O1042" s="14">
        <v>31</v>
      </c>
      <c r="P1042" s="10"/>
      <c r="Q1042" s="10"/>
      <c r="R1042" s="10"/>
      <c r="T1042" s="16"/>
    </row>
    <row r="1043" spans="1:20" x14ac:dyDescent="0.25">
      <c r="A1043" s="14">
        <v>2014</v>
      </c>
      <c r="B1043" s="14" t="s">
        <v>135</v>
      </c>
      <c r="C1043" s="14" t="s">
        <v>136</v>
      </c>
      <c r="D1043" s="14">
        <v>6</v>
      </c>
      <c r="E1043" s="14">
        <v>3</v>
      </c>
      <c r="F1043" s="14">
        <v>10</v>
      </c>
      <c r="G1043" s="14">
        <v>3</v>
      </c>
      <c r="H1043" s="14" t="s">
        <v>2</v>
      </c>
      <c r="I1043" s="15">
        <v>41856</v>
      </c>
      <c r="J1043" s="14" t="s">
        <v>126</v>
      </c>
      <c r="K1043" s="14">
        <v>392</v>
      </c>
      <c r="L1043" s="14">
        <v>168</v>
      </c>
      <c r="M1043" s="14">
        <v>193</v>
      </c>
      <c r="N1043" s="14"/>
      <c r="O1043" s="14">
        <v>31</v>
      </c>
      <c r="P1043" s="10"/>
      <c r="Q1043" s="10"/>
      <c r="R1043" s="10"/>
      <c r="T1043" s="16"/>
    </row>
    <row r="1044" spans="1:20" x14ac:dyDescent="0.25">
      <c r="A1044" s="14">
        <v>2014</v>
      </c>
      <c r="B1044" s="14" t="s">
        <v>135</v>
      </c>
      <c r="C1044" s="14" t="s">
        <v>136</v>
      </c>
      <c r="D1044" s="14">
        <v>6</v>
      </c>
      <c r="E1044" s="14">
        <v>2</v>
      </c>
      <c r="F1044" s="14">
        <v>11</v>
      </c>
      <c r="G1044" s="14">
        <v>3</v>
      </c>
      <c r="H1044" s="14" t="s">
        <v>14</v>
      </c>
      <c r="I1044" s="15">
        <v>41863</v>
      </c>
      <c r="J1044" s="14" t="s">
        <v>126</v>
      </c>
      <c r="K1044" s="14">
        <v>496</v>
      </c>
      <c r="L1044" s="14">
        <v>186</v>
      </c>
      <c r="M1044" s="14">
        <v>248</v>
      </c>
      <c r="N1044" s="14"/>
      <c r="O1044" s="14">
        <v>62</v>
      </c>
      <c r="P1044" s="10"/>
      <c r="Q1044" s="10"/>
      <c r="R1044" s="10"/>
      <c r="T1044" s="16"/>
    </row>
    <row r="1045" spans="1:20" x14ac:dyDescent="0.25">
      <c r="A1045" s="14">
        <v>2014</v>
      </c>
      <c r="B1045" s="14" t="s">
        <v>135</v>
      </c>
      <c r="C1045" s="14" t="s">
        <v>136</v>
      </c>
      <c r="D1045" s="14">
        <v>6</v>
      </c>
      <c r="E1045" s="14">
        <v>1</v>
      </c>
      <c r="F1045" s="14">
        <v>12</v>
      </c>
      <c r="G1045" s="14">
        <v>3</v>
      </c>
      <c r="H1045" s="14" t="s">
        <v>12</v>
      </c>
      <c r="I1045" s="15">
        <v>41842</v>
      </c>
      <c r="J1045" s="14" t="s">
        <v>126</v>
      </c>
      <c r="K1045" s="14">
        <v>250</v>
      </c>
      <c r="L1045" s="14">
        <v>85</v>
      </c>
      <c r="M1045" s="14">
        <v>164</v>
      </c>
      <c r="N1045" s="14"/>
      <c r="O1045" s="14">
        <v>1</v>
      </c>
      <c r="P1045" s="10"/>
      <c r="Q1045" s="10"/>
      <c r="R1045" s="10"/>
      <c r="T1045" s="16"/>
    </row>
    <row r="1046" spans="1:20" x14ac:dyDescent="0.25">
      <c r="A1046" s="14">
        <v>2014</v>
      </c>
      <c r="B1046" s="14" t="s">
        <v>135</v>
      </c>
      <c r="C1046" s="14" t="s">
        <v>136</v>
      </c>
      <c r="D1046" s="14">
        <v>7</v>
      </c>
      <c r="E1046" s="14">
        <v>1</v>
      </c>
      <c r="F1046" s="14">
        <v>1</v>
      </c>
      <c r="G1046" s="14">
        <v>4</v>
      </c>
      <c r="H1046" s="14" t="s">
        <v>5</v>
      </c>
      <c r="I1046" s="15">
        <v>41856</v>
      </c>
      <c r="J1046" s="14" t="s">
        <v>126</v>
      </c>
      <c r="K1046" s="14">
        <v>400</v>
      </c>
      <c r="L1046" s="14">
        <v>159</v>
      </c>
      <c r="M1046" s="14">
        <v>202</v>
      </c>
      <c r="N1046" s="14"/>
      <c r="O1046" s="14">
        <v>39</v>
      </c>
      <c r="P1046" s="10"/>
      <c r="Q1046" s="10"/>
      <c r="R1046" s="10"/>
      <c r="T1046" s="16"/>
    </row>
    <row r="1047" spans="1:20" x14ac:dyDescent="0.25">
      <c r="A1047" s="14">
        <v>2014</v>
      </c>
      <c r="B1047" s="14" t="s">
        <v>135</v>
      </c>
      <c r="C1047" s="14" t="s">
        <v>136</v>
      </c>
      <c r="D1047" s="14">
        <v>7</v>
      </c>
      <c r="E1047" s="14">
        <v>2</v>
      </c>
      <c r="F1047" s="14">
        <v>2</v>
      </c>
      <c r="G1047" s="14">
        <v>4</v>
      </c>
      <c r="H1047" s="14" t="s">
        <v>2</v>
      </c>
      <c r="I1047" s="15">
        <v>41856</v>
      </c>
      <c r="J1047" s="14" t="s">
        <v>126</v>
      </c>
      <c r="K1047" s="14">
        <v>481</v>
      </c>
      <c r="L1047" s="14">
        <v>189</v>
      </c>
      <c r="M1047" s="14">
        <v>244</v>
      </c>
      <c r="N1047" s="14"/>
      <c r="O1047" s="14">
        <v>48</v>
      </c>
      <c r="P1047" s="10"/>
      <c r="Q1047" s="10"/>
      <c r="R1047" s="10"/>
      <c r="T1047" s="16"/>
    </row>
    <row r="1048" spans="1:20" x14ac:dyDescent="0.25">
      <c r="A1048" s="14">
        <v>2014</v>
      </c>
      <c r="B1048" s="14" t="s">
        <v>135</v>
      </c>
      <c r="C1048" s="14" t="s">
        <v>136</v>
      </c>
      <c r="D1048" s="14">
        <v>7</v>
      </c>
      <c r="E1048" s="14">
        <v>3</v>
      </c>
      <c r="F1048" s="14">
        <v>3</v>
      </c>
      <c r="G1048" s="14">
        <v>4</v>
      </c>
      <c r="H1048" s="14" t="s">
        <v>12</v>
      </c>
      <c r="I1048" s="15">
        <v>41842</v>
      </c>
      <c r="J1048" s="14" t="s">
        <v>126</v>
      </c>
      <c r="K1048" s="14">
        <v>228</v>
      </c>
      <c r="L1048" s="14">
        <v>74</v>
      </c>
      <c r="M1048" s="14">
        <v>154</v>
      </c>
      <c r="N1048" s="14"/>
      <c r="O1048" s="14">
        <v>0</v>
      </c>
      <c r="P1048" s="10"/>
      <c r="Q1048" s="10"/>
      <c r="R1048" s="10"/>
      <c r="T1048" s="16"/>
    </row>
    <row r="1049" spans="1:20" x14ac:dyDescent="0.25">
      <c r="A1049" s="14">
        <v>2014</v>
      </c>
      <c r="B1049" s="14" t="s">
        <v>135</v>
      </c>
      <c r="C1049" s="14" t="s">
        <v>136</v>
      </c>
      <c r="D1049" s="14">
        <v>7</v>
      </c>
      <c r="E1049" s="14">
        <v>4</v>
      </c>
      <c r="F1049" s="14">
        <v>4</v>
      </c>
      <c r="G1049" s="14">
        <v>4</v>
      </c>
      <c r="H1049" s="14" t="s">
        <v>14</v>
      </c>
      <c r="I1049" s="15">
        <v>41863</v>
      </c>
      <c r="J1049" s="14" t="s">
        <v>126</v>
      </c>
      <c r="K1049" s="14">
        <v>505</v>
      </c>
      <c r="L1049" s="14">
        <v>198</v>
      </c>
      <c r="M1049" s="14">
        <v>246</v>
      </c>
      <c r="N1049" s="14"/>
      <c r="O1049" s="14">
        <v>61</v>
      </c>
      <c r="P1049" s="10"/>
      <c r="Q1049" s="10"/>
      <c r="R1049" s="10"/>
      <c r="T1049" s="16"/>
    </row>
    <row r="1050" spans="1:20" x14ac:dyDescent="0.25">
      <c r="A1050" s="14">
        <v>2014</v>
      </c>
      <c r="B1050" s="14" t="s">
        <v>135</v>
      </c>
      <c r="C1050" s="14" t="s">
        <v>136</v>
      </c>
      <c r="D1050" s="14">
        <v>7</v>
      </c>
      <c r="E1050" s="14">
        <v>5</v>
      </c>
      <c r="F1050" s="14">
        <v>5</v>
      </c>
      <c r="G1050" s="14">
        <v>4</v>
      </c>
      <c r="H1050" s="14" t="s">
        <v>9</v>
      </c>
      <c r="I1050" s="15">
        <v>41856</v>
      </c>
      <c r="J1050" s="14" t="s">
        <v>126</v>
      </c>
      <c r="K1050" s="14">
        <v>558</v>
      </c>
      <c r="L1050" s="14">
        <v>231</v>
      </c>
      <c r="M1050" s="14">
        <v>293</v>
      </c>
      <c r="N1050" s="14"/>
      <c r="O1050" s="14">
        <v>35</v>
      </c>
      <c r="P1050" s="10"/>
      <c r="Q1050" s="10"/>
      <c r="R1050" s="10"/>
      <c r="T1050" s="16"/>
    </row>
    <row r="1051" spans="1:20" x14ac:dyDescent="0.25">
      <c r="A1051" s="14">
        <v>2014</v>
      </c>
      <c r="B1051" s="14" t="s">
        <v>135</v>
      </c>
      <c r="C1051" s="14" t="s">
        <v>136</v>
      </c>
      <c r="D1051" s="14">
        <v>7</v>
      </c>
      <c r="E1051" s="14">
        <v>6</v>
      </c>
      <c r="F1051" s="14">
        <v>6</v>
      </c>
      <c r="G1051" s="14">
        <v>4</v>
      </c>
      <c r="H1051" s="14" t="s">
        <v>7</v>
      </c>
      <c r="I1051" s="15">
        <v>41856</v>
      </c>
      <c r="J1051" s="14" t="s">
        <v>126</v>
      </c>
      <c r="K1051" s="14">
        <v>439</v>
      </c>
      <c r="L1051" s="14">
        <v>177</v>
      </c>
      <c r="M1051" s="14">
        <v>233</v>
      </c>
      <c r="N1051" s="14"/>
      <c r="O1051" s="14">
        <v>28</v>
      </c>
      <c r="P1051" s="10"/>
      <c r="Q1051" s="10"/>
      <c r="R1051" s="10"/>
      <c r="T1051" s="16"/>
    </row>
    <row r="1052" spans="1:20" x14ac:dyDescent="0.25">
      <c r="A1052" s="14">
        <v>2014</v>
      </c>
      <c r="B1052" s="14" t="s">
        <v>135</v>
      </c>
      <c r="C1052" s="14" t="s">
        <v>136</v>
      </c>
      <c r="D1052" s="14">
        <v>8</v>
      </c>
      <c r="E1052" s="14">
        <v>6</v>
      </c>
      <c r="F1052" s="14">
        <v>7</v>
      </c>
      <c r="G1052" s="14">
        <v>4</v>
      </c>
      <c r="H1052" s="14" t="s">
        <v>8</v>
      </c>
      <c r="I1052" s="15">
        <v>41856</v>
      </c>
      <c r="J1052" s="14" t="s">
        <v>126</v>
      </c>
      <c r="K1052" s="14">
        <v>504</v>
      </c>
      <c r="L1052" s="14">
        <v>199</v>
      </c>
      <c r="M1052" s="14">
        <v>292</v>
      </c>
      <c r="N1052" s="14"/>
      <c r="O1052" s="14">
        <v>13</v>
      </c>
      <c r="P1052" s="10"/>
      <c r="Q1052" s="10"/>
      <c r="R1052" s="10"/>
      <c r="T1052" s="16"/>
    </row>
    <row r="1053" spans="1:20" x14ac:dyDescent="0.25">
      <c r="A1053" s="14">
        <v>2014</v>
      </c>
      <c r="B1053" s="14" t="s">
        <v>135</v>
      </c>
      <c r="C1053" s="14" t="s">
        <v>136</v>
      </c>
      <c r="D1053" s="14">
        <v>8</v>
      </c>
      <c r="E1053" s="14">
        <v>5</v>
      </c>
      <c r="F1053" s="14">
        <v>8</v>
      </c>
      <c r="G1053" s="14">
        <v>4</v>
      </c>
      <c r="H1053" s="14" t="s">
        <v>10</v>
      </c>
      <c r="I1053" s="15">
        <v>41856</v>
      </c>
      <c r="J1053" s="14" t="s">
        <v>126</v>
      </c>
      <c r="K1053" s="14">
        <v>466</v>
      </c>
      <c r="L1053" s="14">
        <v>191</v>
      </c>
      <c r="M1053" s="14">
        <v>249</v>
      </c>
      <c r="N1053" s="14"/>
      <c r="O1053" s="14">
        <v>27</v>
      </c>
      <c r="P1053" s="10"/>
      <c r="Q1053" s="10"/>
      <c r="R1053" s="10"/>
      <c r="T1053" s="16"/>
    </row>
    <row r="1054" spans="1:20" x14ac:dyDescent="0.25">
      <c r="A1054" s="14">
        <v>2014</v>
      </c>
      <c r="B1054" s="14" t="s">
        <v>135</v>
      </c>
      <c r="C1054" s="14" t="s">
        <v>136</v>
      </c>
      <c r="D1054" s="14">
        <v>8</v>
      </c>
      <c r="E1054" s="14">
        <v>4</v>
      </c>
      <c r="F1054" s="14">
        <v>9</v>
      </c>
      <c r="G1054" s="14">
        <v>4</v>
      </c>
      <c r="H1054" s="14" t="s">
        <v>6</v>
      </c>
      <c r="I1054" s="15">
        <v>41856</v>
      </c>
      <c r="J1054" s="14" t="s">
        <v>126</v>
      </c>
      <c r="K1054" s="14">
        <v>495</v>
      </c>
      <c r="L1054" s="14">
        <v>191</v>
      </c>
      <c r="M1054" s="14">
        <v>283</v>
      </c>
      <c r="N1054" s="14"/>
      <c r="O1054" s="14">
        <v>21</v>
      </c>
      <c r="P1054" s="10"/>
      <c r="Q1054" s="10"/>
      <c r="R1054" s="10"/>
      <c r="T1054" s="16"/>
    </row>
    <row r="1055" spans="1:20" x14ac:dyDescent="0.25">
      <c r="A1055" s="14">
        <v>2014</v>
      </c>
      <c r="B1055" s="14" t="s">
        <v>135</v>
      </c>
      <c r="C1055" s="14" t="s">
        <v>136</v>
      </c>
      <c r="D1055" s="14">
        <v>8</v>
      </c>
      <c r="E1055" s="14">
        <v>3</v>
      </c>
      <c r="F1055" s="14">
        <v>10</v>
      </c>
      <c r="G1055" s="14">
        <v>4</v>
      </c>
      <c r="H1055" s="14" t="s">
        <v>3</v>
      </c>
      <c r="I1055" s="15">
        <v>41863</v>
      </c>
      <c r="J1055" s="14" t="s">
        <v>126</v>
      </c>
      <c r="K1055" s="14">
        <v>716</v>
      </c>
      <c r="L1055" s="14">
        <v>261</v>
      </c>
      <c r="M1055" s="14">
        <v>378</v>
      </c>
      <c r="N1055" s="14"/>
      <c r="O1055" s="14">
        <v>77</v>
      </c>
      <c r="P1055" s="10"/>
      <c r="Q1055" s="10"/>
      <c r="R1055" s="10"/>
      <c r="T1055" s="16"/>
    </row>
    <row r="1056" spans="1:20" x14ac:dyDescent="0.25">
      <c r="A1056" s="14">
        <v>2014</v>
      </c>
      <c r="B1056" s="14" t="s">
        <v>135</v>
      </c>
      <c r="C1056" s="14" t="s">
        <v>136</v>
      </c>
      <c r="D1056" s="14">
        <v>8</v>
      </c>
      <c r="E1056" s="14">
        <v>2</v>
      </c>
      <c r="F1056" s="14">
        <v>11</v>
      </c>
      <c r="G1056" s="14">
        <v>4</v>
      </c>
      <c r="H1056" s="14" t="s">
        <v>13</v>
      </c>
      <c r="I1056" s="15">
        <v>41842</v>
      </c>
      <c r="J1056" s="14" t="s">
        <v>126</v>
      </c>
      <c r="K1056" s="14">
        <v>208</v>
      </c>
      <c r="L1056" s="14">
        <v>85</v>
      </c>
      <c r="M1056" s="14">
        <v>124</v>
      </c>
      <c r="N1056" s="14"/>
      <c r="O1056" s="14">
        <v>0</v>
      </c>
      <c r="P1056" s="10"/>
      <c r="Q1056" s="10"/>
      <c r="R1056" s="10"/>
      <c r="T1056" s="16"/>
    </row>
    <row r="1057" spans="1:20" x14ac:dyDescent="0.25">
      <c r="A1057" s="14">
        <v>2014</v>
      </c>
      <c r="B1057" s="14" t="s">
        <v>135</v>
      </c>
      <c r="C1057" s="14" t="s">
        <v>136</v>
      </c>
      <c r="D1057" s="14">
        <v>8</v>
      </c>
      <c r="E1057" s="14">
        <v>1</v>
      </c>
      <c r="F1057" s="14">
        <v>12</v>
      </c>
      <c r="G1057" s="14">
        <v>4</v>
      </c>
      <c r="H1057" s="14" t="s">
        <v>4</v>
      </c>
      <c r="I1057" s="15">
        <v>41856</v>
      </c>
      <c r="J1057" s="14" t="s">
        <v>126</v>
      </c>
      <c r="K1057" s="14">
        <v>419</v>
      </c>
      <c r="L1057" s="14">
        <v>150</v>
      </c>
      <c r="M1057" s="14">
        <v>254</v>
      </c>
      <c r="N1057" s="14"/>
      <c r="O1057" s="14">
        <v>15</v>
      </c>
      <c r="P1057" s="10"/>
      <c r="Q1057" s="10"/>
      <c r="R1057" s="10"/>
      <c r="T1057" s="16"/>
    </row>
    <row r="1058" spans="1:20" x14ac:dyDescent="0.25">
      <c r="A1058" s="14">
        <v>2014</v>
      </c>
      <c r="B1058" s="14" t="s">
        <v>135</v>
      </c>
      <c r="C1058" s="14" t="s">
        <v>136</v>
      </c>
      <c r="D1058" s="14">
        <v>1</v>
      </c>
      <c r="E1058" s="14">
        <v>1</v>
      </c>
      <c r="F1058" s="14">
        <v>1</v>
      </c>
      <c r="G1058" s="14">
        <v>1</v>
      </c>
      <c r="H1058" s="14" t="s">
        <v>7</v>
      </c>
      <c r="I1058" s="15">
        <v>41871</v>
      </c>
      <c r="J1058" s="14" t="s">
        <v>127</v>
      </c>
      <c r="K1058" s="14">
        <v>704</v>
      </c>
      <c r="L1058" s="14">
        <v>359</v>
      </c>
      <c r="M1058" s="14">
        <v>340</v>
      </c>
      <c r="N1058" s="14"/>
      <c r="O1058" s="14">
        <v>4</v>
      </c>
      <c r="P1058" s="10">
        <v>-25.48</v>
      </c>
      <c r="Q1058" s="10">
        <v>21.1</v>
      </c>
      <c r="R1058" s="10">
        <v>95.2</v>
      </c>
      <c r="S1058" s="16">
        <f t="shared" ref="S1058:S1059" si="60">K1058*Q1058/1000</f>
        <v>14.854400000000002</v>
      </c>
      <c r="T1058" s="16">
        <f t="shared" ref="T1058:T1090" si="61">K1058*R1058/1000</f>
        <v>67.020800000000008</v>
      </c>
    </row>
    <row r="1059" spans="1:20" x14ac:dyDescent="0.25">
      <c r="A1059" s="14">
        <v>2014</v>
      </c>
      <c r="B1059" s="14" t="s">
        <v>135</v>
      </c>
      <c r="C1059" s="14" t="s">
        <v>136</v>
      </c>
      <c r="D1059" s="14">
        <v>1</v>
      </c>
      <c r="E1059" s="14">
        <v>2</v>
      </c>
      <c r="F1059" s="14">
        <v>2</v>
      </c>
      <c r="G1059" s="14">
        <v>1</v>
      </c>
      <c r="H1059" s="14" t="s">
        <v>8</v>
      </c>
      <c r="I1059" s="15">
        <v>41871</v>
      </c>
      <c r="J1059" s="14" t="s">
        <v>127</v>
      </c>
      <c r="K1059" s="14">
        <v>726</v>
      </c>
      <c r="L1059" s="14">
        <v>325</v>
      </c>
      <c r="M1059" s="14">
        <v>317</v>
      </c>
      <c r="N1059" s="14"/>
      <c r="O1059" s="14">
        <v>84</v>
      </c>
      <c r="P1059" s="10">
        <v>-25.64</v>
      </c>
      <c r="Q1059" s="10">
        <v>29.3</v>
      </c>
      <c r="R1059" s="10">
        <v>56.6</v>
      </c>
      <c r="S1059" s="16">
        <f t="shared" si="60"/>
        <v>21.271799999999999</v>
      </c>
      <c r="T1059" s="16">
        <f t="shared" si="61"/>
        <v>41.0916</v>
      </c>
    </row>
    <row r="1060" spans="1:20" x14ac:dyDescent="0.25">
      <c r="A1060" s="14">
        <v>2014</v>
      </c>
      <c r="B1060" s="14" t="s">
        <v>135</v>
      </c>
      <c r="C1060" s="14" t="s">
        <v>136</v>
      </c>
      <c r="D1060" s="14">
        <v>1</v>
      </c>
      <c r="E1060" s="14">
        <v>3</v>
      </c>
      <c r="F1060" s="14">
        <v>3</v>
      </c>
      <c r="G1060" s="14">
        <v>1</v>
      </c>
      <c r="H1060" s="14" t="s">
        <v>4</v>
      </c>
      <c r="I1060" s="15">
        <v>41871</v>
      </c>
      <c r="J1060" s="14" t="s">
        <v>127</v>
      </c>
      <c r="K1060" s="14">
        <v>592</v>
      </c>
      <c r="L1060" s="14">
        <v>200</v>
      </c>
      <c r="M1060" s="14">
        <v>348</v>
      </c>
      <c r="N1060" s="14"/>
      <c r="O1060" s="14">
        <v>45</v>
      </c>
      <c r="P1060" s="10"/>
      <c r="Q1060" s="10"/>
      <c r="R1060" s="10"/>
      <c r="T1060" s="16"/>
    </row>
    <row r="1061" spans="1:20" x14ac:dyDescent="0.25">
      <c r="A1061" s="14">
        <v>2014</v>
      </c>
      <c r="B1061" s="14" t="s">
        <v>135</v>
      </c>
      <c r="C1061" s="14" t="s">
        <v>136</v>
      </c>
      <c r="D1061" s="14">
        <v>1</v>
      </c>
      <c r="E1061" s="14">
        <v>4</v>
      </c>
      <c r="F1061" s="14">
        <v>4</v>
      </c>
      <c r="G1061" s="14">
        <v>1</v>
      </c>
      <c r="H1061" s="14" t="s">
        <v>2</v>
      </c>
      <c r="I1061" s="15">
        <v>41871</v>
      </c>
      <c r="J1061" s="14" t="s">
        <v>127</v>
      </c>
      <c r="K1061" s="14">
        <v>666</v>
      </c>
      <c r="L1061" s="14">
        <v>300</v>
      </c>
      <c r="M1061" s="14">
        <v>317</v>
      </c>
      <c r="N1061" s="14"/>
      <c r="O1061" s="14">
        <v>49</v>
      </c>
      <c r="P1061" s="10"/>
      <c r="Q1061" s="10"/>
      <c r="R1061" s="10"/>
      <c r="T1061" s="16"/>
    </row>
    <row r="1062" spans="1:20" x14ac:dyDescent="0.25">
      <c r="A1062" s="14">
        <v>2014</v>
      </c>
      <c r="B1062" s="14" t="s">
        <v>135</v>
      </c>
      <c r="C1062" s="14" t="s">
        <v>136</v>
      </c>
      <c r="D1062" s="14">
        <v>1</v>
      </c>
      <c r="E1062" s="14">
        <v>5</v>
      </c>
      <c r="F1062" s="14">
        <v>5</v>
      </c>
      <c r="G1062" s="14">
        <v>1</v>
      </c>
      <c r="H1062" s="14" t="s">
        <v>6</v>
      </c>
      <c r="I1062" s="15">
        <v>41871</v>
      </c>
      <c r="J1062" s="14" t="s">
        <v>127</v>
      </c>
      <c r="K1062" s="14">
        <v>701</v>
      </c>
      <c r="L1062" s="14">
        <v>361</v>
      </c>
      <c r="M1062" s="14">
        <v>292</v>
      </c>
      <c r="N1062" s="14"/>
      <c r="O1062" s="14">
        <v>49</v>
      </c>
      <c r="P1062" s="10">
        <v>-25.9</v>
      </c>
      <c r="Q1062" s="10">
        <v>21.6</v>
      </c>
      <c r="R1062" s="10">
        <v>91</v>
      </c>
      <c r="S1062" s="16">
        <f t="shared" ref="S1062" si="62">K1062*Q1062/1000</f>
        <v>15.1416</v>
      </c>
      <c r="T1062" s="16">
        <f t="shared" si="61"/>
        <v>63.790999999999997</v>
      </c>
    </row>
    <row r="1063" spans="1:20" x14ac:dyDescent="0.25">
      <c r="A1063" s="14">
        <v>2014</v>
      </c>
      <c r="B1063" s="14" t="s">
        <v>135</v>
      </c>
      <c r="C1063" s="14" t="s">
        <v>136</v>
      </c>
      <c r="D1063" s="14">
        <v>1</v>
      </c>
      <c r="E1063" s="14">
        <v>6</v>
      </c>
      <c r="F1063" s="14">
        <v>6</v>
      </c>
      <c r="G1063" s="14">
        <v>1</v>
      </c>
      <c r="H1063" s="14" t="s">
        <v>12</v>
      </c>
      <c r="I1063" s="15">
        <v>41863</v>
      </c>
      <c r="J1063" s="14" t="s">
        <v>127</v>
      </c>
      <c r="K1063" s="14">
        <v>498</v>
      </c>
      <c r="L1063" s="14">
        <v>203</v>
      </c>
      <c r="M1063" s="14">
        <v>267</v>
      </c>
      <c r="N1063" s="14"/>
      <c r="O1063" s="14">
        <v>29</v>
      </c>
      <c r="P1063" s="10"/>
      <c r="Q1063" s="10"/>
      <c r="R1063" s="10"/>
      <c r="T1063" s="16"/>
    </row>
    <row r="1064" spans="1:20" x14ac:dyDescent="0.25">
      <c r="A1064" s="14">
        <v>2014</v>
      </c>
      <c r="B1064" s="14" t="s">
        <v>135</v>
      </c>
      <c r="C1064" s="14" t="s">
        <v>136</v>
      </c>
      <c r="D1064" s="14">
        <v>2</v>
      </c>
      <c r="E1064" s="14">
        <v>6</v>
      </c>
      <c r="F1064" s="14">
        <v>7</v>
      </c>
      <c r="G1064" s="14">
        <v>1</v>
      </c>
      <c r="H1064" s="14" t="s">
        <v>9</v>
      </c>
      <c r="I1064" s="15">
        <v>41871</v>
      </c>
      <c r="J1064" s="14" t="s">
        <v>127</v>
      </c>
      <c r="K1064" s="14">
        <v>797</v>
      </c>
      <c r="L1064" s="14">
        <v>459</v>
      </c>
      <c r="M1064" s="14">
        <v>327</v>
      </c>
      <c r="N1064" s="14"/>
      <c r="O1064" s="14">
        <v>11</v>
      </c>
      <c r="P1064" s="10">
        <v>-25.55</v>
      </c>
      <c r="Q1064" s="10">
        <v>22.7</v>
      </c>
      <c r="R1064" s="10">
        <v>87.6</v>
      </c>
      <c r="S1064" s="16">
        <f t="shared" ref="S1064" si="63">K1064*Q1064/1000</f>
        <v>18.091899999999999</v>
      </c>
      <c r="T1064" s="16">
        <f t="shared" si="61"/>
        <v>69.8172</v>
      </c>
    </row>
    <row r="1065" spans="1:20" x14ac:dyDescent="0.25">
      <c r="A1065" s="14">
        <v>2014</v>
      </c>
      <c r="B1065" s="14" t="s">
        <v>135</v>
      </c>
      <c r="C1065" s="14" t="s">
        <v>136</v>
      </c>
      <c r="D1065" s="14">
        <v>2</v>
      </c>
      <c r="E1065" s="14">
        <v>5</v>
      </c>
      <c r="F1065" s="14">
        <v>8</v>
      </c>
      <c r="G1065" s="14">
        <v>1</v>
      </c>
      <c r="H1065" s="14" t="s">
        <v>13</v>
      </c>
      <c r="I1065" s="15">
        <v>41863</v>
      </c>
      <c r="J1065" s="14" t="s">
        <v>127</v>
      </c>
      <c r="K1065" s="14">
        <v>614</v>
      </c>
      <c r="L1065" s="14">
        <v>309</v>
      </c>
      <c r="M1065" s="14">
        <v>270</v>
      </c>
      <c r="N1065" s="14"/>
      <c r="O1065" s="14">
        <v>35</v>
      </c>
      <c r="P1065" s="10"/>
      <c r="Q1065" s="10"/>
      <c r="R1065" s="10"/>
      <c r="T1065" s="16"/>
    </row>
    <row r="1066" spans="1:20" x14ac:dyDescent="0.25">
      <c r="A1066" s="14">
        <v>2014</v>
      </c>
      <c r="B1066" s="14" t="s">
        <v>135</v>
      </c>
      <c r="C1066" s="14" t="s">
        <v>136</v>
      </c>
      <c r="D1066" s="14">
        <v>2</v>
      </c>
      <c r="E1066" s="14">
        <v>4</v>
      </c>
      <c r="F1066" s="14">
        <v>9</v>
      </c>
      <c r="G1066" s="14">
        <v>1</v>
      </c>
      <c r="H1066" s="14" t="s">
        <v>10</v>
      </c>
      <c r="I1066" s="15">
        <v>41871</v>
      </c>
      <c r="J1066" s="14" t="s">
        <v>127</v>
      </c>
      <c r="K1066" s="14">
        <v>736</v>
      </c>
      <c r="L1066" s="14">
        <v>394</v>
      </c>
      <c r="M1066" s="14">
        <v>281</v>
      </c>
      <c r="N1066" s="14"/>
      <c r="O1066" s="14">
        <v>61</v>
      </c>
      <c r="P1066" s="10">
        <v>-25.36</v>
      </c>
      <c r="Q1066" s="10">
        <v>23.4</v>
      </c>
      <c r="R1066" s="10">
        <v>90</v>
      </c>
      <c r="S1066" s="16">
        <f t="shared" ref="S1066:S1129" si="64">K1066*Q1066/1000</f>
        <v>17.222399999999997</v>
      </c>
      <c r="T1066" s="16">
        <f t="shared" si="61"/>
        <v>66.239999999999995</v>
      </c>
    </row>
    <row r="1067" spans="1:20" x14ac:dyDescent="0.25">
      <c r="A1067" s="14">
        <v>2014</v>
      </c>
      <c r="B1067" s="14" t="s">
        <v>135</v>
      </c>
      <c r="C1067" s="14" t="s">
        <v>136</v>
      </c>
      <c r="D1067" s="14">
        <v>2</v>
      </c>
      <c r="E1067" s="14">
        <v>3</v>
      </c>
      <c r="F1067" s="14">
        <v>10</v>
      </c>
      <c r="G1067" s="14">
        <v>1</v>
      </c>
      <c r="H1067" s="14" t="s">
        <v>14</v>
      </c>
      <c r="I1067" s="15">
        <v>41871</v>
      </c>
      <c r="J1067" s="14" t="s">
        <v>127</v>
      </c>
      <c r="K1067" s="14">
        <v>686</v>
      </c>
      <c r="L1067" s="14">
        <v>320</v>
      </c>
      <c r="M1067" s="14">
        <v>348</v>
      </c>
      <c r="N1067" s="14"/>
      <c r="O1067" s="14">
        <v>18</v>
      </c>
      <c r="P1067" s="10">
        <v>-25.62</v>
      </c>
      <c r="Q1067" s="10">
        <v>29.3</v>
      </c>
      <c r="R1067" s="10">
        <v>65.2</v>
      </c>
      <c r="S1067" s="16">
        <f t="shared" si="64"/>
        <v>20.099799999999998</v>
      </c>
      <c r="T1067" s="16">
        <f t="shared" si="61"/>
        <v>44.727200000000003</v>
      </c>
    </row>
    <row r="1068" spans="1:20" x14ac:dyDescent="0.25">
      <c r="A1068" s="14">
        <v>2014</v>
      </c>
      <c r="B1068" s="14" t="s">
        <v>135</v>
      </c>
      <c r="C1068" s="14" t="s">
        <v>136</v>
      </c>
      <c r="D1068" s="14">
        <v>2</v>
      </c>
      <c r="E1068" s="14">
        <v>2</v>
      </c>
      <c r="F1068" s="14">
        <v>11</v>
      </c>
      <c r="G1068" s="14">
        <v>1</v>
      </c>
      <c r="H1068" s="14" t="s">
        <v>5</v>
      </c>
      <c r="I1068" s="15">
        <v>41871</v>
      </c>
      <c r="J1068" s="14" t="s">
        <v>127</v>
      </c>
      <c r="K1068" s="14">
        <v>810</v>
      </c>
      <c r="L1068" s="14">
        <v>323</v>
      </c>
      <c r="M1068" s="14">
        <v>301</v>
      </c>
      <c r="N1068" s="14"/>
      <c r="O1068" s="14">
        <v>186</v>
      </c>
      <c r="P1068" s="10">
        <v>-25.54</v>
      </c>
      <c r="Q1068" s="10">
        <v>29.9</v>
      </c>
      <c r="R1068" s="10">
        <v>77.8</v>
      </c>
      <c r="S1068" s="16">
        <f t="shared" si="64"/>
        <v>24.219000000000001</v>
      </c>
      <c r="T1068" s="16">
        <f t="shared" si="61"/>
        <v>63.018000000000001</v>
      </c>
    </row>
    <row r="1069" spans="1:20" x14ac:dyDescent="0.25">
      <c r="A1069" s="14">
        <v>2014</v>
      </c>
      <c r="B1069" s="14" t="s">
        <v>135</v>
      </c>
      <c r="C1069" s="14" t="s">
        <v>136</v>
      </c>
      <c r="D1069" s="14">
        <v>2</v>
      </c>
      <c r="E1069" s="14">
        <v>1</v>
      </c>
      <c r="F1069" s="14">
        <v>12</v>
      </c>
      <c r="G1069" s="14">
        <v>1</v>
      </c>
      <c r="H1069" s="14" t="s">
        <v>3</v>
      </c>
      <c r="I1069" s="15">
        <v>41871</v>
      </c>
      <c r="J1069" s="14" t="s">
        <v>127</v>
      </c>
      <c r="K1069" s="14">
        <v>715</v>
      </c>
      <c r="L1069" s="14">
        <v>319</v>
      </c>
      <c r="M1069" s="14">
        <v>358</v>
      </c>
      <c r="N1069" s="14"/>
      <c r="O1069" s="14">
        <v>38</v>
      </c>
      <c r="P1069" s="10">
        <v>-25.76</v>
      </c>
      <c r="Q1069" s="10">
        <v>24.9</v>
      </c>
      <c r="R1069" s="10">
        <v>66.099999999999994</v>
      </c>
      <c r="S1069" s="16">
        <f t="shared" si="64"/>
        <v>17.8035</v>
      </c>
      <c r="T1069" s="16">
        <f t="shared" si="61"/>
        <v>47.261499999999991</v>
      </c>
    </row>
    <row r="1070" spans="1:20" x14ac:dyDescent="0.25">
      <c r="A1070" s="14">
        <v>2014</v>
      </c>
      <c r="B1070" s="14" t="s">
        <v>135</v>
      </c>
      <c r="C1070" s="14" t="s">
        <v>136</v>
      </c>
      <c r="D1070" s="14">
        <v>3</v>
      </c>
      <c r="E1070" s="14">
        <v>1</v>
      </c>
      <c r="F1070" s="14">
        <v>1</v>
      </c>
      <c r="G1070" s="14">
        <v>2</v>
      </c>
      <c r="H1070" s="14" t="s">
        <v>9</v>
      </c>
      <c r="I1070" s="15">
        <v>41871</v>
      </c>
      <c r="J1070" s="14" t="s">
        <v>127</v>
      </c>
      <c r="K1070" s="14">
        <v>759</v>
      </c>
      <c r="L1070" s="14">
        <v>342</v>
      </c>
      <c r="M1070" s="14">
        <v>253</v>
      </c>
      <c r="N1070" s="14"/>
      <c r="O1070" s="14">
        <v>163</v>
      </c>
      <c r="P1070" s="10">
        <v>-25.76</v>
      </c>
      <c r="Q1070" s="10">
        <v>21.6</v>
      </c>
      <c r="R1070" s="10">
        <v>87.3</v>
      </c>
      <c r="S1070" s="16">
        <f t="shared" si="64"/>
        <v>16.394400000000001</v>
      </c>
      <c r="T1070" s="16">
        <f t="shared" si="61"/>
        <v>66.2607</v>
      </c>
    </row>
    <row r="1071" spans="1:20" x14ac:dyDescent="0.25">
      <c r="A1071" s="14">
        <v>2014</v>
      </c>
      <c r="B1071" s="14" t="s">
        <v>135</v>
      </c>
      <c r="C1071" s="14" t="s">
        <v>136</v>
      </c>
      <c r="D1071" s="14">
        <v>3</v>
      </c>
      <c r="E1071" s="14">
        <v>2</v>
      </c>
      <c r="F1071" s="14">
        <v>2</v>
      </c>
      <c r="G1071" s="14">
        <v>2</v>
      </c>
      <c r="H1071" s="14" t="s">
        <v>10</v>
      </c>
      <c r="I1071" s="15">
        <v>41871</v>
      </c>
      <c r="J1071" s="14" t="s">
        <v>127</v>
      </c>
      <c r="K1071" s="14">
        <v>785</v>
      </c>
      <c r="L1071" s="14">
        <v>428</v>
      </c>
      <c r="M1071" s="14">
        <v>345</v>
      </c>
      <c r="N1071" s="14"/>
      <c r="O1071" s="14">
        <v>12</v>
      </c>
      <c r="P1071" s="10">
        <v>-25.46</v>
      </c>
      <c r="Q1071" s="10">
        <v>22.2</v>
      </c>
      <c r="R1071" s="10">
        <v>84.2</v>
      </c>
      <c r="S1071" s="16">
        <f t="shared" si="64"/>
        <v>17.427</v>
      </c>
      <c r="T1071" s="16">
        <f t="shared" si="61"/>
        <v>66.096999999999994</v>
      </c>
    </row>
    <row r="1072" spans="1:20" x14ac:dyDescent="0.25">
      <c r="A1072" s="14">
        <v>2014</v>
      </c>
      <c r="B1072" s="14" t="s">
        <v>135</v>
      </c>
      <c r="C1072" s="14" t="s">
        <v>136</v>
      </c>
      <c r="D1072" s="14">
        <v>3</v>
      </c>
      <c r="E1072" s="14">
        <v>3</v>
      </c>
      <c r="F1072" s="14">
        <v>3</v>
      </c>
      <c r="G1072" s="14">
        <v>2</v>
      </c>
      <c r="H1072" s="14" t="s">
        <v>5</v>
      </c>
      <c r="I1072" s="15">
        <v>41871</v>
      </c>
      <c r="J1072" s="14" t="s">
        <v>127</v>
      </c>
      <c r="K1072" s="14">
        <v>698</v>
      </c>
      <c r="L1072" s="14">
        <v>376</v>
      </c>
      <c r="M1072" s="14">
        <v>308</v>
      </c>
      <c r="N1072" s="14"/>
      <c r="O1072" s="14">
        <v>13</v>
      </c>
      <c r="P1072" s="10">
        <v>-25.72</v>
      </c>
      <c r="Q1072" s="10">
        <v>24.1</v>
      </c>
      <c r="R1072" s="10">
        <v>89.1</v>
      </c>
      <c r="S1072" s="16">
        <f t="shared" si="64"/>
        <v>16.8218</v>
      </c>
      <c r="T1072" s="16">
        <f t="shared" si="61"/>
        <v>62.191799999999994</v>
      </c>
    </row>
    <row r="1073" spans="1:20" x14ac:dyDescent="0.25">
      <c r="A1073" s="14">
        <v>2014</v>
      </c>
      <c r="B1073" s="14" t="s">
        <v>135</v>
      </c>
      <c r="C1073" s="14" t="s">
        <v>136</v>
      </c>
      <c r="D1073" s="14">
        <v>3</v>
      </c>
      <c r="E1073" s="14">
        <v>4</v>
      </c>
      <c r="F1073" s="14">
        <v>4</v>
      </c>
      <c r="G1073" s="14">
        <v>2</v>
      </c>
      <c r="H1073" s="14" t="s">
        <v>13</v>
      </c>
      <c r="I1073" s="15">
        <v>41863</v>
      </c>
      <c r="J1073" s="14" t="s">
        <v>127</v>
      </c>
      <c r="K1073" s="14">
        <v>511</v>
      </c>
      <c r="L1073" s="14">
        <v>216</v>
      </c>
      <c r="M1073" s="14">
        <v>281</v>
      </c>
      <c r="N1073" s="14"/>
      <c r="O1073" s="14">
        <v>14</v>
      </c>
      <c r="P1073" s="10"/>
      <c r="Q1073" s="10"/>
      <c r="R1073" s="10"/>
      <c r="S1073" s="16">
        <f t="shared" si="64"/>
        <v>0</v>
      </c>
      <c r="T1073" s="16">
        <f t="shared" si="61"/>
        <v>0</v>
      </c>
    </row>
    <row r="1074" spans="1:20" x14ac:dyDescent="0.25">
      <c r="A1074" s="14">
        <v>2014</v>
      </c>
      <c r="B1074" s="14" t="s">
        <v>135</v>
      </c>
      <c r="C1074" s="14" t="s">
        <v>136</v>
      </c>
      <c r="D1074" s="14">
        <v>3</v>
      </c>
      <c r="E1074" s="14">
        <v>5</v>
      </c>
      <c r="F1074" s="14">
        <v>5</v>
      </c>
      <c r="G1074" s="14">
        <v>2</v>
      </c>
      <c r="H1074" s="14" t="s">
        <v>14</v>
      </c>
      <c r="I1074" s="15">
        <v>41871</v>
      </c>
      <c r="J1074" s="14" t="s">
        <v>127</v>
      </c>
      <c r="K1074" s="14">
        <v>685</v>
      </c>
      <c r="L1074" s="14">
        <v>305</v>
      </c>
      <c r="M1074" s="14">
        <v>330</v>
      </c>
      <c r="N1074" s="14"/>
      <c r="O1074" s="14">
        <v>49</v>
      </c>
      <c r="P1074" s="10">
        <v>-25.49</v>
      </c>
      <c r="Q1074" s="10">
        <v>22.6</v>
      </c>
      <c r="R1074" s="10">
        <v>77</v>
      </c>
      <c r="S1074" s="16">
        <f t="shared" si="64"/>
        <v>15.481000000000002</v>
      </c>
      <c r="T1074" s="16">
        <f t="shared" si="61"/>
        <v>52.744999999999997</v>
      </c>
    </row>
    <row r="1075" spans="1:20" x14ac:dyDescent="0.25">
      <c r="A1075" s="14">
        <v>2014</v>
      </c>
      <c r="B1075" s="14" t="s">
        <v>135</v>
      </c>
      <c r="C1075" s="14" t="s">
        <v>136</v>
      </c>
      <c r="D1075" s="14">
        <v>3</v>
      </c>
      <c r="E1075" s="14">
        <v>6</v>
      </c>
      <c r="F1075" s="14">
        <v>6</v>
      </c>
      <c r="G1075" s="14">
        <v>2</v>
      </c>
      <c r="H1075" s="14" t="s">
        <v>3</v>
      </c>
      <c r="I1075" s="15">
        <v>41871</v>
      </c>
      <c r="J1075" s="14" t="s">
        <v>127</v>
      </c>
      <c r="K1075" s="14">
        <v>685</v>
      </c>
      <c r="L1075" s="14">
        <v>295</v>
      </c>
      <c r="M1075" s="14">
        <v>346</v>
      </c>
      <c r="N1075" s="14"/>
      <c r="O1075" s="14">
        <v>43</v>
      </c>
      <c r="P1075" s="10">
        <v>-25.39</v>
      </c>
      <c r="Q1075" s="10">
        <v>23.2</v>
      </c>
      <c r="R1075" s="10">
        <v>91.7</v>
      </c>
      <c r="S1075" s="16">
        <f t="shared" si="64"/>
        <v>15.891999999999999</v>
      </c>
      <c r="T1075" s="16">
        <f t="shared" si="61"/>
        <v>62.814500000000002</v>
      </c>
    </row>
    <row r="1076" spans="1:20" x14ac:dyDescent="0.25">
      <c r="A1076" s="14">
        <v>2014</v>
      </c>
      <c r="B1076" s="14" t="s">
        <v>135</v>
      </c>
      <c r="C1076" s="14" t="s">
        <v>136</v>
      </c>
      <c r="D1076" s="14">
        <v>4</v>
      </c>
      <c r="E1076" s="14">
        <v>6</v>
      </c>
      <c r="F1076" s="14">
        <v>7</v>
      </c>
      <c r="G1076" s="14">
        <v>2</v>
      </c>
      <c r="H1076" s="14" t="s">
        <v>2</v>
      </c>
      <c r="I1076" s="15">
        <v>41871</v>
      </c>
      <c r="J1076" s="14" t="s">
        <v>127</v>
      </c>
      <c r="K1076" s="14">
        <v>716</v>
      </c>
      <c r="L1076" s="14">
        <v>392</v>
      </c>
      <c r="M1076" s="14">
        <v>272</v>
      </c>
      <c r="N1076" s="14"/>
      <c r="O1076" s="14">
        <v>52</v>
      </c>
      <c r="P1076" s="10">
        <v>-25.59</v>
      </c>
      <c r="Q1076" s="10">
        <v>21.9</v>
      </c>
      <c r="R1076" s="10">
        <v>70.3</v>
      </c>
      <c r="S1076" s="16">
        <f t="shared" si="64"/>
        <v>15.680399999999999</v>
      </c>
      <c r="T1076" s="16">
        <f t="shared" si="61"/>
        <v>50.334799999999994</v>
      </c>
    </row>
    <row r="1077" spans="1:20" x14ac:dyDescent="0.25">
      <c r="A1077" s="14">
        <v>2014</v>
      </c>
      <c r="B1077" s="14" t="s">
        <v>135</v>
      </c>
      <c r="C1077" s="14" t="s">
        <v>136</v>
      </c>
      <c r="D1077" s="14">
        <v>4</v>
      </c>
      <c r="E1077" s="14">
        <v>5</v>
      </c>
      <c r="F1077" s="14">
        <v>8</v>
      </c>
      <c r="G1077" s="14">
        <v>2</v>
      </c>
      <c r="H1077" s="14" t="s">
        <v>8</v>
      </c>
      <c r="I1077" s="15">
        <v>41871</v>
      </c>
      <c r="J1077" s="14" t="s">
        <v>127</v>
      </c>
      <c r="K1077" s="14">
        <v>768</v>
      </c>
      <c r="L1077" s="14">
        <v>332</v>
      </c>
      <c r="M1077" s="14">
        <v>357</v>
      </c>
      <c r="N1077" s="14"/>
      <c r="O1077" s="14">
        <v>79</v>
      </c>
      <c r="P1077" s="10">
        <v>-25.58</v>
      </c>
      <c r="Q1077" s="10">
        <v>21</v>
      </c>
      <c r="R1077" s="10">
        <v>97.8</v>
      </c>
      <c r="S1077" s="16">
        <f t="shared" si="64"/>
        <v>16.128</v>
      </c>
      <c r="T1077" s="16">
        <f t="shared" si="61"/>
        <v>75.110399999999998</v>
      </c>
    </row>
    <row r="1078" spans="1:20" x14ac:dyDescent="0.25">
      <c r="A1078" s="14">
        <v>2014</v>
      </c>
      <c r="B1078" s="14" t="s">
        <v>135</v>
      </c>
      <c r="C1078" s="14" t="s">
        <v>136</v>
      </c>
      <c r="D1078" s="14">
        <v>4</v>
      </c>
      <c r="E1078" s="14">
        <v>4</v>
      </c>
      <c r="F1078" s="14">
        <v>9</v>
      </c>
      <c r="G1078" s="14">
        <v>2</v>
      </c>
      <c r="H1078" s="14" t="s">
        <v>12</v>
      </c>
      <c r="I1078" s="15">
        <v>41863</v>
      </c>
      <c r="J1078" s="14" t="s">
        <v>127</v>
      </c>
      <c r="K1078" s="14">
        <v>630</v>
      </c>
      <c r="L1078" s="14">
        <v>279</v>
      </c>
      <c r="M1078" s="14">
        <v>316</v>
      </c>
      <c r="N1078" s="14"/>
      <c r="O1078" s="14">
        <v>35</v>
      </c>
      <c r="P1078" s="10">
        <v>-25.43</v>
      </c>
      <c r="Q1078" s="10">
        <v>24.9</v>
      </c>
      <c r="R1078" s="10">
        <v>89.3</v>
      </c>
      <c r="S1078" s="16">
        <f t="shared" si="64"/>
        <v>15.686999999999999</v>
      </c>
      <c r="T1078" s="16">
        <f t="shared" si="61"/>
        <v>56.259</v>
      </c>
    </row>
    <row r="1079" spans="1:20" x14ac:dyDescent="0.25">
      <c r="A1079" s="14">
        <v>2014</v>
      </c>
      <c r="B1079" s="14" t="s">
        <v>135</v>
      </c>
      <c r="C1079" s="14" t="s">
        <v>136</v>
      </c>
      <c r="D1079" s="14">
        <v>4</v>
      </c>
      <c r="E1079" s="14">
        <v>3</v>
      </c>
      <c r="F1079" s="14">
        <v>10</v>
      </c>
      <c r="G1079" s="14">
        <v>2</v>
      </c>
      <c r="H1079" s="14" t="s">
        <v>7</v>
      </c>
      <c r="I1079" s="15">
        <v>41871</v>
      </c>
      <c r="J1079" s="14" t="s">
        <v>127</v>
      </c>
      <c r="K1079" s="14">
        <v>694</v>
      </c>
      <c r="L1079" s="14">
        <v>394</v>
      </c>
      <c r="M1079" s="14">
        <v>270</v>
      </c>
      <c r="N1079" s="14"/>
      <c r="O1079" s="14">
        <v>29</v>
      </c>
      <c r="P1079" s="10">
        <v>-25.46</v>
      </c>
      <c r="Q1079" s="10">
        <v>23.5</v>
      </c>
      <c r="R1079" s="10">
        <v>93.3</v>
      </c>
      <c r="S1079" s="16">
        <f t="shared" si="64"/>
        <v>16.309000000000001</v>
      </c>
      <c r="T1079" s="16">
        <f t="shared" si="61"/>
        <v>64.750199999999992</v>
      </c>
    </row>
    <row r="1080" spans="1:20" x14ac:dyDescent="0.25">
      <c r="A1080" s="14">
        <v>2014</v>
      </c>
      <c r="B1080" s="14" t="s">
        <v>135</v>
      </c>
      <c r="C1080" s="14" t="s">
        <v>136</v>
      </c>
      <c r="D1080" s="14">
        <v>4</v>
      </c>
      <c r="E1080" s="14">
        <v>2</v>
      </c>
      <c r="F1080" s="14">
        <v>11</v>
      </c>
      <c r="G1080" s="14">
        <v>2</v>
      </c>
      <c r="H1080" s="14" t="s">
        <v>6</v>
      </c>
      <c r="I1080" s="15">
        <v>41871</v>
      </c>
      <c r="J1080" s="14" t="s">
        <v>127</v>
      </c>
      <c r="K1080" s="14">
        <v>609</v>
      </c>
      <c r="L1080" s="14">
        <v>295</v>
      </c>
      <c r="M1080" s="14">
        <v>298</v>
      </c>
      <c r="N1080" s="14"/>
      <c r="O1080" s="14">
        <v>16</v>
      </c>
      <c r="P1080" s="10">
        <v>-25.8</v>
      </c>
      <c r="Q1080" s="10">
        <v>26.2</v>
      </c>
      <c r="R1080" s="10">
        <v>75.5</v>
      </c>
      <c r="S1080" s="16">
        <f t="shared" si="64"/>
        <v>15.9558</v>
      </c>
      <c r="T1080" s="16">
        <f t="shared" si="61"/>
        <v>45.979500000000002</v>
      </c>
    </row>
    <row r="1081" spans="1:20" x14ac:dyDescent="0.25">
      <c r="A1081" s="14">
        <v>2014</v>
      </c>
      <c r="B1081" s="14" t="s">
        <v>135</v>
      </c>
      <c r="C1081" s="14" t="s">
        <v>136</v>
      </c>
      <c r="D1081" s="14">
        <v>4</v>
      </c>
      <c r="E1081" s="14">
        <v>1</v>
      </c>
      <c r="F1081" s="14">
        <v>12</v>
      </c>
      <c r="G1081" s="14">
        <v>2</v>
      </c>
      <c r="H1081" s="14" t="s">
        <v>4</v>
      </c>
      <c r="I1081" s="15">
        <v>41871</v>
      </c>
      <c r="J1081" s="14" t="s">
        <v>127</v>
      </c>
      <c r="K1081" s="14">
        <v>638</v>
      </c>
      <c r="L1081" s="14">
        <v>256</v>
      </c>
      <c r="M1081" s="14">
        <v>311</v>
      </c>
      <c r="N1081" s="14"/>
      <c r="O1081" s="14">
        <v>72</v>
      </c>
      <c r="P1081" s="10">
        <v>-25.73</v>
      </c>
      <c r="Q1081" s="10">
        <v>22.1</v>
      </c>
      <c r="R1081" s="10">
        <v>100.6</v>
      </c>
      <c r="S1081" s="16">
        <f t="shared" si="64"/>
        <v>14.099800000000002</v>
      </c>
      <c r="T1081" s="16">
        <f t="shared" si="61"/>
        <v>64.1828</v>
      </c>
    </row>
    <row r="1082" spans="1:20" x14ac:dyDescent="0.25">
      <c r="A1082" s="14">
        <v>2014</v>
      </c>
      <c r="B1082" s="14" t="s">
        <v>135</v>
      </c>
      <c r="C1082" s="14" t="s">
        <v>136</v>
      </c>
      <c r="D1082" s="14">
        <v>5</v>
      </c>
      <c r="E1082" s="14">
        <v>1</v>
      </c>
      <c r="F1082" s="14">
        <v>1</v>
      </c>
      <c r="G1082" s="14">
        <v>3</v>
      </c>
      <c r="H1082" s="14" t="s">
        <v>10</v>
      </c>
      <c r="I1082" s="15">
        <v>41871</v>
      </c>
      <c r="J1082" s="14" t="s">
        <v>127</v>
      </c>
      <c r="K1082" s="14">
        <v>887</v>
      </c>
      <c r="L1082" s="14">
        <v>450</v>
      </c>
      <c r="M1082" s="14">
        <v>357</v>
      </c>
      <c r="N1082" s="14"/>
      <c r="O1082" s="14">
        <v>80</v>
      </c>
      <c r="P1082" s="10">
        <v>-25.8</v>
      </c>
      <c r="Q1082" s="10">
        <v>21.6</v>
      </c>
      <c r="R1082" s="10">
        <v>80.2</v>
      </c>
      <c r="S1082" s="16">
        <f t="shared" si="64"/>
        <v>19.159200000000002</v>
      </c>
      <c r="T1082" s="16">
        <f t="shared" si="61"/>
        <v>71.137400000000014</v>
      </c>
    </row>
    <row r="1083" spans="1:20" x14ac:dyDescent="0.25">
      <c r="A1083" s="14">
        <v>2014</v>
      </c>
      <c r="B1083" s="14" t="s">
        <v>135</v>
      </c>
      <c r="C1083" s="14" t="s">
        <v>136</v>
      </c>
      <c r="D1083" s="14">
        <v>5</v>
      </c>
      <c r="E1083" s="14">
        <v>2</v>
      </c>
      <c r="F1083" s="14">
        <v>2</v>
      </c>
      <c r="G1083" s="14">
        <v>3</v>
      </c>
      <c r="H1083" s="14" t="s">
        <v>7</v>
      </c>
      <c r="I1083" s="15">
        <v>41871</v>
      </c>
      <c r="J1083" s="14" t="s">
        <v>127</v>
      </c>
      <c r="K1083" s="14">
        <v>699</v>
      </c>
      <c r="L1083" s="14">
        <v>371</v>
      </c>
      <c r="M1083" s="14">
        <v>299</v>
      </c>
      <c r="N1083" s="14"/>
      <c r="O1083" s="14">
        <v>29</v>
      </c>
      <c r="P1083" s="10">
        <v>-25.85</v>
      </c>
      <c r="Q1083" s="10">
        <v>20.3</v>
      </c>
      <c r="R1083" s="10">
        <v>79.8</v>
      </c>
      <c r="S1083" s="16">
        <f t="shared" si="64"/>
        <v>14.1897</v>
      </c>
      <c r="T1083" s="16">
        <f t="shared" si="61"/>
        <v>55.780199999999994</v>
      </c>
    </row>
    <row r="1084" spans="1:20" x14ac:dyDescent="0.25">
      <c r="A1084" s="14">
        <v>2014</v>
      </c>
      <c r="B1084" s="14" t="s">
        <v>135</v>
      </c>
      <c r="C1084" s="14" t="s">
        <v>136</v>
      </c>
      <c r="D1084" s="14">
        <v>5</v>
      </c>
      <c r="E1084" s="14">
        <v>3</v>
      </c>
      <c r="F1084" s="14">
        <v>3</v>
      </c>
      <c r="G1084" s="14">
        <v>3</v>
      </c>
      <c r="H1084" s="14" t="s">
        <v>13</v>
      </c>
      <c r="I1084" s="15">
        <v>41863</v>
      </c>
      <c r="J1084" s="14" t="s">
        <v>127</v>
      </c>
      <c r="K1084" s="14">
        <v>686</v>
      </c>
      <c r="L1084" s="14">
        <v>356</v>
      </c>
      <c r="M1084" s="14">
        <v>293</v>
      </c>
      <c r="N1084" s="14"/>
      <c r="O1084" s="14">
        <v>37</v>
      </c>
      <c r="P1084" s="10"/>
      <c r="Q1084" s="10"/>
      <c r="R1084" s="10"/>
      <c r="S1084" s="16"/>
      <c r="T1084" s="16"/>
    </row>
    <row r="1085" spans="1:20" x14ac:dyDescent="0.25">
      <c r="A1085" s="14">
        <v>2014</v>
      </c>
      <c r="B1085" s="14" t="s">
        <v>135</v>
      </c>
      <c r="C1085" s="14" t="s">
        <v>136</v>
      </c>
      <c r="D1085" s="14">
        <v>5</v>
      </c>
      <c r="E1085" s="14">
        <v>4</v>
      </c>
      <c r="F1085" s="14">
        <v>4</v>
      </c>
      <c r="G1085" s="14">
        <v>3</v>
      </c>
      <c r="H1085" s="14" t="s">
        <v>8</v>
      </c>
      <c r="I1085" s="15">
        <v>41871</v>
      </c>
      <c r="J1085" s="14" t="s">
        <v>127</v>
      </c>
      <c r="K1085" s="14">
        <v>813</v>
      </c>
      <c r="L1085" s="14">
        <v>356</v>
      </c>
      <c r="M1085" s="14">
        <v>353</v>
      </c>
      <c r="N1085" s="14"/>
      <c r="O1085" s="14">
        <v>104</v>
      </c>
      <c r="P1085" s="10">
        <v>-25.46</v>
      </c>
      <c r="Q1085" s="10">
        <v>23.7</v>
      </c>
      <c r="R1085" s="10">
        <v>78</v>
      </c>
      <c r="S1085" s="16">
        <f t="shared" si="64"/>
        <v>19.268099999999997</v>
      </c>
      <c r="T1085" s="16">
        <f t="shared" si="61"/>
        <v>63.414000000000001</v>
      </c>
    </row>
    <row r="1086" spans="1:20" x14ac:dyDescent="0.25">
      <c r="A1086" s="14">
        <v>2014</v>
      </c>
      <c r="B1086" s="14" t="s">
        <v>135</v>
      </c>
      <c r="C1086" s="14" t="s">
        <v>136</v>
      </c>
      <c r="D1086" s="14">
        <v>5</v>
      </c>
      <c r="E1086" s="14">
        <v>5</v>
      </c>
      <c r="F1086" s="14">
        <v>5</v>
      </c>
      <c r="G1086" s="14">
        <v>3</v>
      </c>
      <c r="H1086" s="14" t="s">
        <v>3</v>
      </c>
      <c r="I1086" s="15">
        <v>41871</v>
      </c>
      <c r="J1086" s="14" t="s">
        <v>127</v>
      </c>
      <c r="K1086" s="14">
        <v>766</v>
      </c>
      <c r="L1086" s="14">
        <v>325</v>
      </c>
      <c r="M1086" s="14">
        <v>405</v>
      </c>
      <c r="N1086" s="14"/>
      <c r="O1086" s="14">
        <v>35</v>
      </c>
      <c r="P1086" s="10">
        <v>-25.77</v>
      </c>
      <c r="Q1086" s="10">
        <v>25.5</v>
      </c>
      <c r="R1086" s="10">
        <v>71.099999999999994</v>
      </c>
      <c r="S1086" s="16">
        <f t="shared" si="64"/>
        <v>19.533000000000001</v>
      </c>
      <c r="T1086" s="16">
        <f t="shared" si="61"/>
        <v>54.462600000000002</v>
      </c>
    </row>
    <row r="1087" spans="1:20" x14ac:dyDescent="0.25">
      <c r="A1087" s="14">
        <v>2014</v>
      </c>
      <c r="B1087" s="14" t="s">
        <v>135</v>
      </c>
      <c r="C1087" s="14" t="s">
        <v>136</v>
      </c>
      <c r="D1087" s="14">
        <v>5</v>
      </c>
      <c r="E1087" s="14">
        <v>6</v>
      </c>
      <c r="F1087" s="14">
        <v>6</v>
      </c>
      <c r="G1087" s="14">
        <v>3</v>
      </c>
      <c r="H1087" s="14" t="s">
        <v>4</v>
      </c>
      <c r="I1087" s="15">
        <v>41871</v>
      </c>
      <c r="J1087" s="14" t="s">
        <v>127</v>
      </c>
      <c r="K1087" s="14">
        <v>629</v>
      </c>
      <c r="L1087" s="14">
        <v>242</v>
      </c>
      <c r="M1087" s="14">
        <v>354</v>
      </c>
      <c r="N1087" s="14"/>
      <c r="O1087" s="14">
        <v>33</v>
      </c>
      <c r="P1087" s="10"/>
      <c r="Q1087" s="10"/>
      <c r="R1087" s="10"/>
      <c r="S1087" s="16"/>
      <c r="T1087" s="16"/>
    </row>
    <row r="1088" spans="1:20" x14ac:dyDescent="0.25">
      <c r="A1088" s="14">
        <v>2014</v>
      </c>
      <c r="B1088" s="14" t="s">
        <v>135</v>
      </c>
      <c r="C1088" s="14" t="s">
        <v>136</v>
      </c>
      <c r="D1088" s="14">
        <v>6</v>
      </c>
      <c r="E1088" s="14">
        <v>6</v>
      </c>
      <c r="F1088" s="14">
        <v>7</v>
      </c>
      <c r="G1088" s="14">
        <v>3</v>
      </c>
      <c r="H1088" s="14" t="s">
        <v>5</v>
      </c>
      <c r="I1088" s="15">
        <v>41871</v>
      </c>
      <c r="J1088" s="14" t="s">
        <v>127</v>
      </c>
      <c r="K1088" s="14">
        <v>740</v>
      </c>
      <c r="L1088" s="14">
        <v>365</v>
      </c>
      <c r="M1088" s="14">
        <v>303</v>
      </c>
      <c r="N1088" s="14"/>
      <c r="O1088" s="14">
        <v>72</v>
      </c>
      <c r="P1088" s="10">
        <v>-25.37</v>
      </c>
      <c r="Q1088" s="10">
        <v>24.1</v>
      </c>
      <c r="R1088" s="10">
        <v>66.5</v>
      </c>
      <c r="S1088" s="16">
        <f t="shared" si="64"/>
        <v>17.834</v>
      </c>
      <c r="T1088" s="16">
        <f t="shared" si="61"/>
        <v>49.21</v>
      </c>
    </row>
    <row r="1089" spans="1:20" x14ac:dyDescent="0.25">
      <c r="A1089" s="14">
        <v>2014</v>
      </c>
      <c r="B1089" s="14" t="s">
        <v>135</v>
      </c>
      <c r="C1089" s="14" t="s">
        <v>136</v>
      </c>
      <c r="D1089" s="14">
        <v>6</v>
      </c>
      <c r="E1089" s="14">
        <v>5</v>
      </c>
      <c r="F1089" s="14">
        <v>8</v>
      </c>
      <c r="G1089" s="14">
        <v>3</v>
      </c>
      <c r="H1089" s="14" t="s">
        <v>6</v>
      </c>
      <c r="I1089" s="15">
        <v>41871</v>
      </c>
      <c r="J1089" s="14" t="s">
        <v>127</v>
      </c>
      <c r="K1089" s="14">
        <v>679</v>
      </c>
      <c r="L1089" s="14">
        <v>340</v>
      </c>
      <c r="M1089" s="14">
        <v>300</v>
      </c>
      <c r="N1089" s="14"/>
      <c r="O1089" s="14">
        <v>40</v>
      </c>
      <c r="P1089" s="10">
        <v>-25.5</v>
      </c>
      <c r="Q1089" s="10">
        <v>21.1</v>
      </c>
      <c r="R1089" s="10">
        <v>76.400000000000006</v>
      </c>
      <c r="S1089" s="16">
        <f t="shared" si="64"/>
        <v>14.326900000000002</v>
      </c>
      <c r="T1089" s="16">
        <f t="shared" si="61"/>
        <v>51.875600000000006</v>
      </c>
    </row>
    <row r="1090" spans="1:20" x14ac:dyDescent="0.25">
      <c r="A1090" s="14">
        <v>2014</v>
      </c>
      <c r="B1090" s="14" t="s">
        <v>135</v>
      </c>
      <c r="C1090" s="14" t="s">
        <v>136</v>
      </c>
      <c r="D1090" s="14">
        <v>6</v>
      </c>
      <c r="E1090" s="14">
        <v>4</v>
      </c>
      <c r="F1090" s="14">
        <v>9</v>
      </c>
      <c r="G1090" s="14">
        <v>3</v>
      </c>
      <c r="H1090" s="14" t="s">
        <v>9</v>
      </c>
      <c r="I1090" s="15">
        <v>41871</v>
      </c>
      <c r="J1090" s="14" t="s">
        <v>127</v>
      </c>
      <c r="K1090" s="14">
        <v>681</v>
      </c>
      <c r="L1090" s="14">
        <v>333</v>
      </c>
      <c r="M1090" s="14">
        <v>279</v>
      </c>
      <c r="N1090" s="14"/>
      <c r="O1090" s="14">
        <v>69</v>
      </c>
      <c r="P1090" s="10">
        <v>-25.08</v>
      </c>
      <c r="Q1090" s="10">
        <v>21.4</v>
      </c>
      <c r="R1090" s="10">
        <v>82.9</v>
      </c>
      <c r="S1090" s="16">
        <f t="shared" si="64"/>
        <v>14.573399999999999</v>
      </c>
      <c r="T1090" s="16">
        <f t="shared" si="61"/>
        <v>56.454900000000002</v>
      </c>
    </row>
    <row r="1091" spans="1:20" x14ac:dyDescent="0.25">
      <c r="A1091" s="14">
        <v>2014</v>
      </c>
      <c r="B1091" s="14" t="s">
        <v>135</v>
      </c>
      <c r="C1091" s="14" t="s">
        <v>136</v>
      </c>
      <c r="D1091" s="14">
        <v>6</v>
      </c>
      <c r="E1091" s="14">
        <v>3</v>
      </c>
      <c r="F1091" s="14">
        <v>10</v>
      </c>
      <c r="G1091" s="14">
        <v>3</v>
      </c>
      <c r="H1091" s="14" t="s">
        <v>2</v>
      </c>
      <c r="I1091" s="15">
        <v>41871</v>
      </c>
      <c r="J1091" s="14" t="s">
        <v>127</v>
      </c>
      <c r="K1091" s="14">
        <v>1124</v>
      </c>
      <c r="L1091" s="14">
        <v>574</v>
      </c>
      <c r="M1091" s="14">
        <v>368</v>
      </c>
      <c r="N1091" s="14"/>
      <c r="O1091" s="14">
        <v>182</v>
      </c>
      <c r="P1091" s="10">
        <v>-25.64</v>
      </c>
      <c r="Q1091" s="10">
        <v>20.6</v>
      </c>
      <c r="R1091" s="10">
        <v>77.900000000000006</v>
      </c>
      <c r="S1091" s="16">
        <f t="shared" si="64"/>
        <v>23.154400000000003</v>
      </c>
      <c r="T1091" s="16">
        <f t="shared" ref="T1091:T1153" si="65">K1091*R1091/1000</f>
        <v>87.559600000000003</v>
      </c>
    </row>
    <row r="1092" spans="1:20" x14ac:dyDescent="0.25">
      <c r="A1092" s="14">
        <v>2014</v>
      </c>
      <c r="B1092" s="14" t="s">
        <v>135</v>
      </c>
      <c r="C1092" s="14" t="s">
        <v>136</v>
      </c>
      <c r="D1092" s="14">
        <v>6</v>
      </c>
      <c r="E1092" s="14">
        <v>2</v>
      </c>
      <c r="F1092" s="14">
        <v>11</v>
      </c>
      <c r="G1092" s="14">
        <v>3</v>
      </c>
      <c r="H1092" s="14" t="s">
        <v>14</v>
      </c>
      <c r="I1092" s="15">
        <v>41871</v>
      </c>
      <c r="J1092" s="14" t="s">
        <v>127</v>
      </c>
      <c r="K1092" s="14">
        <v>811</v>
      </c>
      <c r="L1092" s="14">
        <v>375</v>
      </c>
      <c r="M1092" s="14">
        <v>349</v>
      </c>
      <c r="N1092" s="14"/>
      <c r="O1092" s="14">
        <v>87</v>
      </c>
      <c r="P1092" s="10"/>
      <c r="Q1092" s="10"/>
      <c r="R1092" s="10"/>
      <c r="S1092" s="16"/>
      <c r="T1092" s="16"/>
    </row>
    <row r="1093" spans="1:20" x14ac:dyDescent="0.25">
      <c r="A1093" s="14">
        <v>2014</v>
      </c>
      <c r="B1093" s="14" t="s">
        <v>135</v>
      </c>
      <c r="C1093" s="14" t="s">
        <v>136</v>
      </c>
      <c r="D1093" s="14">
        <v>6</v>
      </c>
      <c r="E1093" s="14">
        <v>1</v>
      </c>
      <c r="F1093" s="14">
        <v>12</v>
      </c>
      <c r="G1093" s="14">
        <v>3</v>
      </c>
      <c r="H1093" s="14" t="s">
        <v>12</v>
      </c>
      <c r="I1093" s="15">
        <v>41863</v>
      </c>
      <c r="J1093" s="14" t="s">
        <v>127</v>
      </c>
      <c r="K1093" s="14">
        <v>542</v>
      </c>
      <c r="L1093" s="14">
        <v>235</v>
      </c>
      <c r="M1093" s="14">
        <v>259</v>
      </c>
      <c r="N1093" s="14"/>
      <c r="O1093" s="14">
        <v>48</v>
      </c>
      <c r="P1093" s="10"/>
      <c r="Q1093" s="10"/>
      <c r="R1093" s="10"/>
      <c r="S1093" s="16"/>
      <c r="T1093" s="16"/>
    </row>
    <row r="1094" spans="1:20" x14ac:dyDescent="0.25">
      <c r="A1094" s="14">
        <v>2014</v>
      </c>
      <c r="B1094" s="14" t="s">
        <v>135</v>
      </c>
      <c r="C1094" s="14" t="s">
        <v>136</v>
      </c>
      <c r="D1094" s="14">
        <v>7</v>
      </c>
      <c r="E1094" s="14">
        <v>1</v>
      </c>
      <c r="F1094" s="14">
        <v>1</v>
      </c>
      <c r="G1094" s="14">
        <v>4</v>
      </c>
      <c r="H1094" s="14" t="s">
        <v>5</v>
      </c>
      <c r="I1094" s="15">
        <v>41871</v>
      </c>
      <c r="J1094" s="14" t="s">
        <v>127</v>
      </c>
      <c r="K1094" s="14">
        <v>784</v>
      </c>
      <c r="L1094" s="14">
        <v>331</v>
      </c>
      <c r="M1094" s="14">
        <v>324</v>
      </c>
      <c r="N1094" s="14"/>
      <c r="O1094" s="14">
        <v>130</v>
      </c>
      <c r="P1094" s="10"/>
      <c r="Q1094" s="10"/>
      <c r="R1094" s="10"/>
      <c r="S1094" s="16"/>
      <c r="T1094" s="16"/>
    </row>
    <row r="1095" spans="1:20" x14ac:dyDescent="0.25">
      <c r="A1095" s="14">
        <v>2014</v>
      </c>
      <c r="B1095" s="14" t="s">
        <v>135</v>
      </c>
      <c r="C1095" s="14" t="s">
        <v>136</v>
      </c>
      <c r="D1095" s="14">
        <v>7</v>
      </c>
      <c r="E1095" s="14">
        <v>2</v>
      </c>
      <c r="F1095" s="14">
        <v>2</v>
      </c>
      <c r="G1095" s="14">
        <v>4</v>
      </c>
      <c r="H1095" s="14" t="s">
        <v>2</v>
      </c>
      <c r="I1095" s="15">
        <v>41871</v>
      </c>
      <c r="J1095" s="14" t="s">
        <v>127</v>
      </c>
      <c r="K1095" s="14">
        <v>622</v>
      </c>
      <c r="L1095" s="14">
        <v>294</v>
      </c>
      <c r="M1095" s="14">
        <v>225</v>
      </c>
      <c r="N1095" s="14"/>
      <c r="O1095" s="14">
        <v>103</v>
      </c>
      <c r="P1095" s="10">
        <v>-25.57</v>
      </c>
      <c r="Q1095" s="10">
        <v>22.2</v>
      </c>
      <c r="R1095" s="10">
        <v>60.2</v>
      </c>
      <c r="S1095" s="16">
        <f t="shared" si="64"/>
        <v>13.808399999999999</v>
      </c>
      <c r="T1095" s="16">
        <f t="shared" si="65"/>
        <v>37.444400000000002</v>
      </c>
    </row>
    <row r="1096" spans="1:20" x14ac:dyDescent="0.25">
      <c r="A1096" s="14">
        <v>2014</v>
      </c>
      <c r="B1096" s="14" t="s">
        <v>135</v>
      </c>
      <c r="C1096" s="14" t="s">
        <v>136</v>
      </c>
      <c r="D1096" s="14">
        <v>7</v>
      </c>
      <c r="E1096" s="14">
        <v>3</v>
      </c>
      <c r="F1096" s="14">
        <v>3</v>
      </c>
      <c r="G1096" s="14">
        <v>4</v>
      </c>
      <c r="H1096" s="14" t="s">
        <v>12</v>
      </c>
      <c r="I1096" s="15">
        <v>41863</v>
      </c>
      <c r="J1096" s="14" t="s">
        <v>127</v>
      </c>
      <c r="K1096" s="14">
        <v>582</v>
      </c>
      <c r="L1096" s="14">
        <v>326</v>
      </c>
      <c r="M1096" s="14">
        <v>238</v>
      </c>
      <c r="N1096" s="14"/>
      <c r="O1096" s="14">
        <v>17</v>
      </c>
      <c r="P1096" s="10"/>
      <c r="Q1096" s="10"/>
      <c r="R1096" s="10"/>
      <c r="S1096" s="16"/>
      <c r="T1096" s="16"/>
    </row>
    <row r="1097" spans="1:20" x14ac:dyDescent="0.25">
      <c r="A1097" s="14">
        <v>2014</v>
      </c>
      <c r="B1097" s="14" t="s">
        <v>135</v>
      </c>
      <c r="C1097" s="14" t="s">
        <v>136</v>
      </c>
      <c r="D1097" s="14">
        <v>7</v>
      </c>
      <c r="E1097" s="14">
        <v>4</v>
      </c>
      <c r="F1097" s="14">
        <v>4</v>
      </c>
      <c r="G1097" s="14">
        <v>4</v>
      </c>
      <c r="H1097" s="14" t="s">
        <v>14</v>
      </c>
      <c r="I1097" s="15">
        <v>41871</v>
      </c>
      <c r="J1097" s="14" t="s">
        <v>127</v>
      </c>
      <c r="K1097" s="14">
        <v>635</v>
      </c>
      <c r="L1097" s="14">
        <v>243</v>
      </c>
      <c r="M1097" s="14">
        <v>311</v>
      </c>
      <c r="N1097" s="14"/>
      <c r="O1097" s="14">
        <v>81</v>
      </c>
      <c r="P1097" s="10"/>
      <c r="Q1097" s="10"/>
      <c r="R1097" s="10"/>
      <c r="S1097" s="16"/>
      <c r="T1097" s="16"/>
    </row>
    <row r="1098" spans="1:20" x14ac:dyDescent="0.25">
      <c r="A1098" s="14">
        <v>2014</v>
      </c>
      <c r="B1098" s="14" t="s">
        <v>135</v>
      </c>
      <c r="C1098" s="14" t="s">
        <v>136</v>
      </c>
      <c r="D1098" s="14">
        <v>7</v>
      </c>
      <c r="E1098" s="14">
        <v>5</v>
      </c>
      <c r="F1098" s="14">
        <v>5</v>
      </c>
      <c r="G1098" s="14">
        <v>4</v>
      </c>
      <c r="H1098" s="14" t="s">
        <v>9</v>
      </c>
      <c r="I1098" s="15">
        <v>41871</v>
      </c>
      <c r="J1098" s="14" t="s">
        <v>127</v>
      </c>
      <c r="K1098" s="14">
        <v>751</v>
      </c>
      <c r="L1098" s="14">
        <v>333</v>
      </c>
      <c r="M1098" s="14">
        <v>331</v>
      </c>
      <c r="N1098" s="14"/>
      <c r="O1098" s="14">
        <v>87</v>
      </c>
      <c r="P1098" s="10"/>
      <c r="Q1098" s="10"/>
      <c r="R1098" s="10"/>
      <c r="S1098" s="16"/>
      <c r="T1098" s="16"/>
    </row>
    <row r="1099" spans="1:20" x14ac:dyDescent="0.25">
      <c r="A1099" s="14">
        <v>2014</v>
      </c>
      <c r="B1099" s="14" t="s">
        <v>135</v>
      </c>
      <c r="C1099" s="14" t="s">
        <v>136</v>
      </c>
      <c r="D1099" s="14">
        <v>7</v>
      </c>
      <c r="E1099" s="14">
        <v>6</v>
      </c>
      <c r="F1099" s="14">
        <v>6</v>
      </c>
      <c r="G1099" s="14">
        <v>4</v>
      </c>
      <c r="H1099" s="14" t="s">
        <v>7</v>
      </c>
      <c r="I1099" s="15">
        <v>41871</v>
      </c>
      <c r="J1099" s="14" t="s">
        <v>127</v>
      </c>
      <c r="K1099" s="14">
        <v>742</v>
      </c>
      <c r="L1099" s="14">
        <v>352</v>
      </c>
      <c r="M1099" s="14">
        <v>316</v>
      </c>
      <c r="N1099" s="14"/>
      <c r="O1099" s="14">
        <v>74</v>
      </c>
      <c r="P1099" s="10">
        <v>-25.77</v>
      </c>
      <c r="Q1099" s="10">
        <v>20.7</v>
      </c>
      <c r="R1099" s="10">
        <v>82.6</v>
      </c>
      <c r="S1099" s="16">
        <f t="shared" si="64"/>
        <v>15.359399999999999</v>
      </c>
      <c r="T1099" s="16">
        <f t="shared" si="65"/>
        <v>61.289199999999994</v>
      </c>
    </row>
    <row r="1100" spans="1:20" x14ac:dyDescent="0.25">
      <c r="A1100" s="14">
        <v>2014</v>
      </c>
      <c r="B1100" s="14" t="s">
        <v>135</v>
      </c>
      <c r="C1100" s="14" t="s">
        <v>136</v>
      </c>
      <c r="D1100" s="14">
        <v>8</v>
      </c>
      <c r="E1100" s="14">
        <v>6</v>
      </c>
      <c r="F1100" s="14">
        <v>7</v>
      </c>
      <c r="G1100" s="14">
        <v>4</v>
      </c>
      <c r="H1100" s="14" t="s">
        <v>8</v>
      </c>
      <c r="I1100" s="15">
        <v>41871</v>
      </c>
      <c r="J1100" s="14" t="s">
        <v>127</v>
      </c>
      <c r="K1100" s="14">
        <v>730</v>
      </c>
      <c r="L1100" s="14">
        <v>366</v>
      </c>
      <c r="M1100" s="14">
        <v>317</v>
      </c>
      <c r="N1100" s="14"/>
      <c r="O1100" s="14">
        <v>47</v>
      </c>
      <c r="P1100" s="10">
        <v>-25.68</v>
      </c>
      <c r="Q1100" s="10">
        <v>21.7</v>
      </c>
      <c r="R1100" s="10">
        <v>92.3</v>
      </c>
      <c r="S1100" s="16">
        <f t="shared" si="64"/>
        <v>15.840999999999999</v>
      </c>
      <c r="T1100" s="16">
        <f t="shared" si="65"/>
        <v>67.379000000000005</v>
      </c>
    </row>
    <row r="1101" spans="1:20" x14ac:dyDescent="0.25">
      <c r="A1101" s="14">
        <v>2014</v>
      </c>
      <c r="B1101" s="14" t="s">
        <v>135</v>
      </c>
      <c r="C1101" s="14" t="s">
        <v>136</v>
      </c>
      <c r="D1101" s="14">
        <v>8</v>
      </c>
      <c r="E1101" s="14">
        <v>5</v>
      </c>
      <c r="F1101" s="14">
        <v>8</v>
      </c>
      <c r="G1101" s="14">
        <v>4</v>
      </c>
      <c r="H1101" s="14" t="s">
        <v>10</v>
      </c>
      <c r="I1101" s="15">
        <v>41871</v>
      </c>
      <c r="J1101" s="14" t="s">
        <v>127</v>
      </c>
      <c r="K1101" s="14">
        <v>735</v>
      </c>
      <c r="L1101" s="14">
        <v>391</v>
      </c>
      <c r="M1101" s="14">
        <v>289</v>
      </c>
      <c r="N1101" s="14"/>
      <c r="O1101" s="14">
        <v>55</v>
      </c>
      <c r="P1101" s="10"/>
      <c r="Q1101" s="10"/>
      <c r="R1101" s="10"/>
      <c r="S1101" s="16"/>
      <c r="T1101" s="16"/>
    </row>
    <row r="1102" spans="1:20" x14ac:dyDescent="0.25">
      <c r="A1102" s="14">
        <v>2014</v>
      </c>
      <c r="B1102" s="14" t="s">
        <v>135</v>
      </c>
      <c r="C1102" s="14" t="s">
        <v>136</v>
      </c>
      <c r="D1102" s="14">
        <v>8</v>
      </c>
      <c r="E1102" s="14">
        <v>4</v>
      </c>
      <c r="F1102" s="14">
        <v>9</v>
      </c>
      <c r="G1102" s="14">
        <v>4</v>
      </c>
      <c r="H1102" s="14" t="s">
        <v>6</v>
      </c>
      <c r="I1102" s="15">
        <v>41871</v>
      </c>
      <c r="J1102" s="14" t="s">
        <v>127</v>
      </c>
      <c r="K1102" s="14">
        <v>793</v>
      </c>
      <c r="L1102" s="14">
        <v>382</v>
      </c>
      <c r="M1102" s="14">
        <v>366</v>
      </c>
      <c r="N1102" s="14"/>
      <c r="O1102" s="14">
        <v>44</v>
      </c>
      <c r="P1102" s="10"/>
      <c r="Q1102" s="10"/>
      <c r="R1102" s="10"/>
      <c r="S1102" s="16"/>
      <c r="T1102" s="16"/>
    </row>
    <row r="1103" spans="1:20" x14ac:dyDescent="0.25">
      <c r="A1103" s="14">
        <v>2014</v>
      </c>
      <c r="B1103" s="14" t="s">
        <v>135</v>
      </c>
      <c r="C1103" s="14" t="s">
        <v>136</v>
      </c>
      <c r="D1103" s="14">
        <v>8</v>
      </c>
      <c r="E1103" s="14">
        <v>3</v>
      </c>
      <c r="F1103" s="14">
        <v>10</v>
      </c>
      <c r="G1103" s="14">
        <v>4</v>
      </c>
      <c r="H1103" s="14" t="s">
        <v>3</v>
      </c>
      <c r="I1103" s="15">
        <v>41871</v>
      </c>
      <c r="J1103" s="14" t="s">
        <v>127</v>
      </c>
      <c r="K1103" s="14">
        <v>763</v>
      </c>
      <c r="L1103" s="14">
        <v>321</v>
      </c>
      <c r="M1103" s="14">
        <v>367</v>
      </c>
      <c r="N1103" s="14"/>
      <c r="O1103" s="14">
        <v>75</v>
      </c>
      <c r="P1103" s="10">
        <v>-25.59</v>
      </c>
      <c r="Q1103" s="10">
        <v>28.5</v>
      </c>
      <c r="R1103" s="10">
        <v>73.5</v>
      </c>
      <c r="S1103" s="16">
        <f t="shared" si="64"/>
        <v>21.7455</v>
      </c>
      <c r="T1103" s="16">
        <f t="shared" si="65"/>
        <v>56.080500000000001</v>
      </c>
    </row>
    <row r="1104" spans="1:20" x14ac:dyDescent="0.25">
      <c r="A1104" s="14">
        <v>2014</v>
      </c>
      <c r="B1104" s="14" t="s">
        <v>135</v>
      </c>
      <c r="C1104" s="14" t="s">
        <v>136</v>
      </c>
      <c r="D1104" s="14">
        <v>8</v>
      </c>
      <c r="E1104" s="14">
        <v>2</v>
      </c>
      <c r="F1104" s="14">
        <v>11</v>
      </c>
      <c r="G1104" s="14">
        <v>4</v>
      </c>
      <c r="H1104" s="14" t="s">
        <v>13</v>
      </c>
      <c r="I1104" s="15">
        <v>41863</v>
      </c>
      <c r="J1104" s="14" t="s">
        <v>127</v>
      </c>
      <c r="K1104" s="14">
        <v>510</v>
      </c>
      <c r="L1104" s="14">
        <v>223</v>
      </c>
      <c r="M1104" s="14">
        <v>248</v>
      </c>
      <c r="N1104" s="14"/>
      <c r="O1104" s="14">
        <v>38</v>
      </c>
      <c r="P1104" s="10"/>
      <c r="Q1104" s="10"/>
      <c r="R1104" s="10"/>
      <c r="S1104" s="16"/>
      <c r="T1104" s="16"/>
    </row>
    <row r="1105" spans="1:20" x14ac:dyDescent="0.25">
      <c r="A1105" s="14">
        <v>2014</v>
      </c>
      <c r="B1105" s="14" t="s">
        <v>135</v>
      </c>
      <c r="C1105" s="14" t="s">
        <v>136</v>
      </c>
      <c r="D1105" s="14">
        <v>8</v>
      </c>
      <c r="E1105" s="14">
        <v>1</v>
      </c>
      <c r="F1105" s="14">
        <v>12</v>
      </c>
      <c r="G1105" s="14">
        <v>4</v>
      </c>
      <c r="H1105" s="14" t="s">
        <v>4</v>
      </c>
      <c r="I1105" s="15">
        <v>41871</v>
      </c>
      <c r="J1105" s="14" t="s">
        <v>127</v>
      </c>
      <c r="K1105" s="14">
        <v>590</v>
      </c>
      <c r="L1105" s="14">
        <v>269</v>
      </c>
      <c r="M1105" s="14">
        <v>280</v>
      </c>
      <c r="N1105" s="14"/>
      <c r="O1105" s="14">
        <v>41</v>
      </c>
      <c r="P1105" s="10"/>
      <c r="Q1105" s="10"/>
      <c r="R1105" s="10"/>
      <c r="S1105" s="16"/>
      <c r="T1105" s="16"/>
    </row>
    <row r="1106" spans="1:20" x14ac:dyDescent="0.25">
      <c r="A1106" s="14">
        <v>2014</v>
      </c>
      <c r="B1106" s="14" t="s">
        <v>135</v>
      </c>
      <c r="C1106" s="14" t="s">
        <v>136</v>
      </c>
      <c r="D1106" s="14">
        <v>1</v>
      </c>
      <c r="E1106" s="14">
        <v>1</v>
      </c>
      <c r="F1106" s="14">
        <v>1</v>
      </c>
      <c r="G1106" s="14">
        <v>1</v>
      </c>
      <c r="H1106" s="14" t="s">
        <v>7</v>
      </c>
      <c r="I1106" s="15">
        <v>41891</v>
      </c>
      <c r="J1106" s="14" t="s">
        <v>128</v>
      </c>
      <c r="K1106" s="14">
        <v>1214</v>
      </c>
      <c r="L1106" s="14">
        <v>509</v>
      </c>
      <c r="M1106" s="14">
        <v>330</v>
      </c>
      <c r="N1106" s="14">
        <v>125</v>
      </c>
      <c r="O1106" s="14">
        <v>250</v>
      </c>
      <c r="P1106" s="10">
        <v>-26.15</v>
      </c>
      <c r="Q1106" s="10">
        <v>15.2</v>
      </c>
      <c r="R1106" s="10">
        <v>70</v>
      </c>
      <c r="S1106" s="16">
        <f t="shared" si="64"/>
        <v>18.4528</v>
      </c>
      <c r="T1106" s="16">
        <f t="shared" si="65"/>
        <v>84.98</v>
      </c>
    </row>
    <row r="1107" spans="1:20" x14ac:dyDescent="0.25">
      <c r="A1107" s="14">
        <v>2014</v>
      </c>
      <c r="B1107" s="14" t="s">
        <v>135</v>
      </c>
      <c r="C1107" s="14" t="s">
        <v>136</v>
      </c>
      <c r="D1107" s="14">
        <v>1</v>
      </c>
      <c r="E1107" s="14">
        <v>2</v>
      </c>
      <c r="F1107" s="14">
        <v>2</v>
      </c>
      <c r="G1107" s="14">
        <v>1</v>
      </c>
      <c r="H1107" s="14" t="s">
        <v>8</v>
      </c>
      <c r="I1107" s="15">
        <v>41891</v>
      </c>
      <c r="J1107" s="14" t="s">
        <v>128</v>
      </c>
      <c r="K1107" s="14">
        <v>1175</v>
      </c>
      <c r="L1107" s="14">
        <v>561</v>
      </c>
      <c r="M1107" s="14">
        <v>364</v>
      </c>
      <c r="N1107" s="14">
        <v>146</v>
      </c>
      <c r="O1107" s="14">
        <v>104</v>
      </c>
      <c r="P1107" s="10">
        <v>-26.22</v>
      </c>
      <c r="Q1107" s="10">
        <v>16.7</v>
      </c>
      <c r="R1107" s="10">
        <v>49.2</v>
      </c>
      <c r="S1107" s="16">
        <f t="shared" si="64"/>
        <v>19.622499999999999</v>
      </c>
      <c r="T1107" s="16">
        <f t="shared" si="65"/>
        <v>57.81</v>
      </c>
    </row>
    <row r="1108" spans="1:20" x14ac:dyDescent="0.25">
      <c r="A1108" s="14">
        <v>2014</v>
      </c>
      <c r="B1108" s="14" t="s">
        <v>135</v>
      </c>
      <c r="C1108" s="14" t="s">
        <v>136</v>
      </c>
      <c r="D1108" s="14">
        <v>1</v>
      </c>
      <c r="E1108" s="14">
        <v>3</v>
      </c>
      <c r="F1108" s="14">
        <v>3</v>
      </c>
      <c r="G1108" s="14">
        <v>1</v>
      </c>
      <c r="H1108" s="14" t="s">
        <v>4</v>
      </c>
      <c r="I1108" s="15">
        <v>41898</v>
      </c>
      <c r="J1108" s="14" t="s">
        <v>128</v>
      </c>
      <c r="K1108" s="14">
        <v>1310</v>
      </c>
      <c r="L1108" s="14">
        <v>600</v>
      </c>
      <c r="M1108" s="14">
        <v>403</v>
      </c>
      <c r="N1108" s="14">
        <v>235</v>
      </c>
      <c r="O1108" s="14">
        <v>72</v>
      </c>
      <c r="P1108" s="10">
        <v>-26.14</v>
      </c>
      <c r="Q1108" s="10">
        <v>17.2</v>
      </c>
      <c r="R1108" s="10">
        <v>67</v>
      </c>
      <c r="S1108" s="16">
        <f t="shared" si="64"/>
        <v>22.532</v>
      </c>
      <c r="T1108" s="16">
        <f t="shared" si="65"/>
        <v>87.77</v>
      </c>
    </row>
    <row r="1109" spans="1:20" x14ac:dyDescent="0.25">
      <c r="A1109" s="14">
        <v>2014</v>
      </c>
      <c r="B1109" s="14" t="s">
        <v>135</v>
      </c>
      <c r="C1109" s="14" t="s">
        <v>136</v>
      </c>
      <c r="D1109" s="14">
        <v>1</v>
      </c>
      <c r="E1109" s="14">
        <v>4</v>
      </c>
      <c r="F1109" s="14">
        <v>4</v>
      </c>
      <c r="G1109" s="14">
        <v>1</v>
      </c>
      <c r="H1109" s="14" t="s">
        <v>2</v>
      </c>
      <c r="I1109" s="15">
        <v>41891</v>
      </c>
      <c r="J1109" s="14" t="s">
        <v>128</v>
      </c>
      <c r="K1109" s="14">
        <v>1088</v>
      </c>
      <c r="L1109" s="14">
        <v>511</v>
      </c>
      <c r="M1109" s="14">
        <v>240</v>
      </c>
      <c r="N1109" s="14">
        <v>187</v>
      </c>
      <c r="O1109" s="14">
        <v>150</v>
      </c>
      <c r="P1109" s="10">
        <v>-26.23</v>
      </c>
      <c r="Q1109" s="10">
        <v>14.6</v>
      </c>
      <c r="R1109" s="10">
        <v>53.8</v>
      </c>
      <c r="S1109" s="16">
        <f t="shared" si="64"/>
        <v>15.884799999999998</v>
      </c>
      <c r="T1109" s="16">
        <f t="shared" si="65"/>
        <v>58.534399999999991</v>
      </c>
    </row>
    <row r="1110" spans="1:20" x14ac:dyDescent="0.25">
      <c r="A1110" s="14">
        <v>2014</v>
      </c>
      <c r="B1110" s="14" t="s">
        <v>135</v>
      </c>
      <c r="C1110" s="14" t="s">
        <v>136</v>
      </c>
      <c r="D1110" s="14">
        <v>1</v>
      </c>
      <c r="E1110" s="14">
        <v>5</v>
      </c>
      <c r="F1110" s="14">
        <v>5</v>
      </c>
      <c r="G1110" s="14">
        <v>1</v>
      </c>
      <c r="H1110" s="14" t="s">
        <v>6</v>
      </c>
      <c r="I1110" s="15">
        <v>41891</v>
      </c>
      <c r="J1110" s="14" t="s">
        <v>128</v>
      </c>
      <c r="K1110" s="14">
        <v>1113</v>
      </c>
      <c r="L1110" s="14">
        <v>569</v>
      </c>
      <c r="M1110" s="14">
        <v>271</v>
      </c>
      <c r="N1110" s="14">
        <v>176</v>
      </c>
      <c r="O1110" s="14">
        <v>96</v>
      </c>
      <c r="P1110" s="10">
        <v>-26.16</v>
      </c>
      <c r="Q1110" s="10">
        <v>16.899999999999999</v>
      </c>
      <c r="R1110" s="10">
        <v>73.900000000000006</v>
      </c>
      <c r="S1110" s="16">
        <f t="shared" si="64"/>
        <v>18.809699999999996</v>
      </c>
      <c r="T1110" s="16">
        <f t="shared" si="65"/>
        <v>82.250700000000009</v>
      </c>
    </row>
    <row r="1111" spans="1:20" x14ac:dyDescent="0.25">
      <c r="A1111" s="14">
        <v>2014</v>
      </c>
      <c r="B1111" s="14" t="s">
        <v>135</v>
      </c>
      <c r="C1111" s="14" t="s">
        <v>136</v>
      </c>
      <c r="D1111" s="14">
        <v>1</v>
      </c>
      <c r="E1111" s="14">
        <v>6</v>
      </c>
      <c r="F1111" s="14">
        <v>6</v>
      </c>
      <c r="G1111" s="14">
        <v>1</v>
      </c>
      <c r="H1111" s="14" t="s">
        <v>12</v>
      </c>
      <c r="I1111" s="15">
        <v>41891</v>
      </c>
      <c r="J1111" s="14" t="s">
        <v>128</v>
      </c>
      <c r="K1111" s="14">
        <v>1127</v>
      </c>
      <c r="L1111" s="14">
        <v>583</v>
      </c>
      <c r="M1111" s="14">
        <v>281</v>
      </c>
      <c r="N1111" s="14">
        <v>168</v>
      </c>
      <c r="O1111" s="14">
        <v>95</v>
      </c>
      <c r="P1111" s="10">
        <v>-26.14</v>
      </c>
      <c r="Q1111" s="10">
        <v>13.2</v>
      </c>
      <c r="R1111" s="10">
        <v>81.400000000000006</v>
      </c>
      <c r="S1111" s="16">
        <f t="shared" si="64"/>
        <v>14.8764</v>
      </c>
      <c r="T1111" s="16">
        <f t="shared" si="65"/>
        <v>91.737800000000007</v>
      </c>
    </row>
    <row r="1112" spans="1:20" x14ac:dyDescent="0.25">
      <c r="A1112" s="14">
        <v>2014</v>
      </c>
      <c r="B1112" s="14" t="s">
        <v>135</v>
      </c>
      <c r="C1112" s="14" t="s">
        <v>136</v>
      </c>
      <c r="D1112" s="14">
        <v>2</v>
      </c>
      <c r="E1112" s="14">
        <v>6</v>
      </c>
      <c r="F1112" s="14">
        <v>7</v>
      </c>
      <c r="G1112" s="14">
        <v>1</v>
      </c>
      <c r="H1112" s="14" t="s">
        <v>9</v>
      </c>
      <c r="I1112" s="15">
        <v>41891</v>
      </c>
      <c r="J1112" s="14" t="s">
        <v>128</v>
      </c>
      <c r="K1112" s="14">
        <v>1713</v>
      </c>
      <c r="L1112" s="14">
        <v>803</v>
      </c>
      <c r="M1112" s="14">
        <v>414</v>
      </c>
      <c r="N1112" s="14">
        <v>234</v>
      </c>
      <c r="O1112" s="14">
        <v>263</v>
      </c>
      <c r="P1112" s="10">
        <v>-26.31</v>
      </c>
      <c r="Q1112" s="10">
        <v>12.1</v>
      </c>
      <c r="R1112" s="10">
        <v>79.2</v>
      </c>
      <c r="S1112" s="16">
        <f t="shared" si="64"/>
        <v>20.7273</v>
      </c>
      <c r="T1112" s="16">
        <f t="shared" si="65"/>
        <v>135.6696</v>
      </c>
    </row>
    <row r="1113" spans="1:20" x14ac:dyDescent="0.25">
      <c r="A1113" s="14">
        <v>2014</v>
      </c>
      <c r="B1113" s="14" t="s">
        <v>135</v>
      </c>
      <c r="C1113" s="14" t="s">
        <v>136</v>
      </c>
      <c r="D1113" s="14">
        <v>2</v>
      </c>
      <c r="E1113" s="14">
        <v>5</v>
      </c>
      <c r="F1113" s="14">
        <v>8</v>
      </c>
      <c r="G1113" s="14">
        <v>1</v>
      </c>
      <c r="H1113" s="14" t="s">
        <v>13</v>
      </c>
      <c r="I1113" s="15">
        <v>41883</v>
      </c>
      <c r="J1113" s="14" t="s">
        <v>128</v>
      </c>
      <c r="K1113" s="14">
        <v>997</v>
      </c>
      <c r="L1113" s="14">
        <v>503</v>
      </c>
      <c r="M1113" s="14">
        <v>257</v>
      </c>
      <c r="N1113" s="14">
        <v>186</v>
      </c>
      <c r="O1113" s="14">
        <v>51</v>
      </c>
      <c r="P1113" s="10">
        <v>-26.1</v>
      </c>
      <c r="Q1113" s="10">
        <v>19.3</v>
      </c>
      <c r="R1113" s="10">
        <v>64.7</v>
      </c>
      <c r="S1113" s="16">
        <f t="shared" si="64"/>
        <v>19.242100000000001</v>
      </c>
      <c r="T1113" s="16">
        <f t="shared" si="65"/>
        <v>64.505899999999997</v>
      </c>
    </row>
    <row r="1114" spans="1:20" x14ac:dyDescent="0.25">
      <c r="A1114" s="14">
        <v>2014</v>
      </c>
      <c r="B1114" s="14" t="s">
        <v>135</v>
      </c>
      <c r="C1114" s="14" t="s">
        <v>136</v>
      </c>
      <c r="D1114" s="14">
        <v>2</v>
      </c>
      <c r="E1114" s="14">
        <v>4</v>
      </c>
      <c r="F1114" s="14">
        <v>9</v>
      </c>
      <c r="G1114" s="14">
        <v>1</v>
      </c>
      <c r="H1114" s="14" t="s">
        <v>10</v>
      </c>
      <c r="I1114" s="15">
        <v>41891</v>
      </c>
      <c r="J1114" s="14" t="s">
        <v>128</v>
      </c>
      <c r="K1114" s="14">
        <v>1253</v>
      </c>
      <c r="L1114" s="14">
        <v>573</v>
      </c>
      <c r="M1114" s="14">
        <v>284</v>
      </c>
      <c r="N1114" s="14">
        <v>289</v>
      </c>
      <c r="O1114" s="14">
        <v>108</v>
      </c>
      <c r="P1114" s="10">
        <v>-25.8</v>
      </c>
      <c r="Q1114" s="10">
        <v>15.3</v>
      </c>
      <c r="R1114" s="10">
        <v>70.2</v>
      </c>
      <c r="S1114" s="16">
        <f t="shared" si="64"/>
        <v>19.170900000000003</v>
      </c>
      <c r="T1114" s="16">
        <f t="shared" si="65"/>
        <v>87.960599999999999</v>
      </c>
    </row>
    <row r="1115" spans="1:20" x14ac:dyDescent="0.25">
      <c r="A1115" s="14">
        <v>2014</v>
      </c>
      <c r="B1115" s="14" t="s">
        <v>135</v>
      </c>
      <c r="C1115" s="14" t="s">
        <v>136</v>
      </c>
      <c r="D1115" s="14">
        <v>2</v>
      </c>
      <c r="E1115" s="14">
        <v>3</v>
      </c>
      <c r="F1115" s="14">
        <v>10</v>
      </c>
      <c r="G1115" s="14">
        <v>1</v>
      </c>
      <c r="H1115" s="14" t="s">
        <v>14</v>
      </c>
      <c r="I1115" s="15">
        <v>41898</v>
      </c>
      <c r="J1115" s="14" t="s">
        <v>128</v>
      </c>
      <c r="K1115" s="14">
        <v>1203</v>
      </c>
      <c r="L1115" s="14">
        <v>607</v>
      </c>
      <c r="M1115" s="14">
        <v>260</v>
      </c>
      <c r="N1115" s="14">
        <v>204</v>
      </c>
      <c r="O1115" s="14">
        <v>132</v>
      </c>
      <c r="P1115" s="10">
        <v>-26.12</v>
      </c>
      <c r="Q1115" s="10">
        <v>14.3</v>
      </c>
      <c r="R1115" s="10">
        <v>79.2</v>
      </c>
      <c r="S1115" s="16">
        <f t="shared" si="64"/>
        <v>17.202900000000003</v>
      </c>
      <c r="T1115" s="16">
        <f t="shared" si="65"/>
        <v>95.277600000000007</v>
      </c>
    </row>
    <row r="1116" spans="1:20" x14ac:dyDescent="0.25">
      <c r="A1116" s="14">
        <v>2014</v>
      </c>
      <c r="B1116" s="14" t="s">
        <v>135</v>
      </c>
      <c r="C1116" s="14" t="s">
        <v>136</v>
      </c>
      <c r="D1116" s="14">
        <v>2</v>
      </c>
      <c r="E1116" s="14">
        <v>2</v>
      </c>
      <c r="F1116" s="14">
        <v>11</v>
      </c>
      <c r="G1116" s="14">
        <v>1</v>
      </c>
      <c r="H1116" s="14" t="s">
        <v>5</v>
      </c>
      <c r="I1116" s="15">
        <v>41891</v>
      </c>
      <c r="J1116" s="14" t="s">
        <v>128</v>
      </c>
      <c r="K1116" s="14">
        <v>1321</v>
      </c>
      <c r="L1116" s="14">
        <v>565</v>
      </c>
      <c r="M1116" s="14">
        <v>348</v>
      </c>
      <c r="N1116" s="14">
        <v>258</v>
      </c>
      <c r="O1116" s="14">
        <v>150</v>
      </c>
      <c r="P1116" s="10">
        <v>-25.76</v>
      </c>
      <c r="Q1116" s="10">
        <v>17.899999999999999</v>
      </c>
      <c r="R1116" s="10">
        <v>65.8</v>
      </c>
      <c r="S1116" s="16">
        <f t="shared" si="64"/>
        <v>23.645899999999997</v>
      </c>
      <c r="T1116" s="16">
        <f t="shared" si="65"/>
        <v>86.921800000000005</v>
      </c>
    </row>
    <row r="1117" spans="1:20" x14ac:dyDescent="0.25">
      <c r="A1117" s="14">
        <v>2014</v>
      </c>
      <c r="B1117" s="14" t="s">
        <v>135</v>
      </c>
      <c r="C1117" s="14" t="s">
        <v>136</v>
      </c>
      <c r="D1117" s="14">
        <v>2</v>
      </c>
      <c r="E1117" s="14">
        <v>1</v>
      </c>
      <c r="F1117" s="14">
        <v>12</v>
      </c>
      <c r="G1117" s="14">
        <v>1</v>
      </c>
      <c r="H1117" s="14" t="s">
        <v>3</v>
      </c>
      <c r="I1117" s="15">
        <v>41898</v>
      </c>
      <c r="J1117" s="14" t="s">
        <v>128</v>
      </c>
      <c r="K1117" s="14">
        <v>1218</v>
      </c>
      <c r="L1117" s="14">
        <v>504</v>
      </c>
      <c r="M1117" s="14">
        <v>290</v>
      </c>
      <c r="N1117" s="14">
        <v>193</v>
      </c>
      <c r="O1117" s="14">
        <v>232</v>
      </c>
      <c r="P1117" s="10">
        <v>-25.88</v>
      </c>
      <c r="Q1117" s="10">
        <v>16.899999999999999</v>
      </c>
      <c r="R1117" s="10">
        <v>75.400000000000006</v>
      </c>
      <c r="S1117" s="16">
        <f t="shared" si="64"/>
        <v>20.584199999999996</v>
      </c>
      <c r="T1117" s="16">
        <f t="shared" si="65"/>
        <v>91.83720000000001</v>
      </c>
    </row>
    <row r="1118" spans="1:20" x14ac:dyDescent="0.25">
      <c r="A1118" s="14">
        <v>2014</v>
      </c>
      <c r="B1118" s="14" t="s">
        <v>135</v>
      </c>
      <c r="C1118" s="14" t="s">
        <v>136</v>
      </c>
      <c r="D1118" s="14">
        <v>3</v>
      </c>
      <c r="E1118" s="14">
        <v>1</v>
      </c>
      <c r="F1118" s="14">
        <v>1</v>
      </c>
      <c r="G1118" s="14">
        <v>2</v>
      </c>
      <c r="H1118" s="14" t="s">
        <v>9</v>
      </c>
      <c r="I1118" s="15">
        <v>41891</v>
      </c>
      <c r="J1118" s="14" t="s">
        <v>128</v>
      </c>
      <c r="K1118" s="14">
        <v>1033</v>
      </c>
      <c r="L1118" s="14">
        <v>527</v>
      </c>
      <c r="M1118" s="14">
        <v>221</v>
      </c>
      <c r="N1118" s="14">
        <v>171</v>
      </c>
      <c r="O1118" s="14">
        <v>114</v>
      </c>
      <c r="P1118" s="10">
        <v>-26.14</v>
      </c>
      <c r="Q1118" s="10">
        <v>13</v>
      </c>
      <c r="R1118" s="10">
        <v>75.8</v>
      </c>
      <c r="S1118" s="16">
        <f t="shared" si="64"/>
        <v>13.429</v>
      </c>
      <c r="T1118" s="16">
        <f t="shared" si="65"/>
        <v>78.301400000000001</v>
      </c>
    </row>
    <row r="1119" spans="1:20" x14ac:dyDescent="0.25">
      <c r="A1119" s="14">
        <v>2014</v>
      </c>
      <c r="B1119" s="14" t="s">
        <v>135</v>
      </c>
      <c r="C1119" s="14" t="s">
        <v>136</v>
      </c>
      <c r="D1119" s="14">
        <v>3</v>
      </c>
      <c r="E1119" s="14">
        <v>2</v>
      </c>
      <c r="F1119" s="14">
        <v>2</v>
      </c>
      <c r="G1119" s="14">
        <v>2</v>
      </c>
      <c r="H1119" s="14" t="s">
        <v>10</v>
      </c>
      <c r="I1119" s="15">
        <v>41891</v>
      </c>
      <c r="J1119" s="14" t="s">
        <v>128</v>
      </c>
      <c r="K1119" s="14">
        <v>1203</v>
      </c>
      <c r="L1119" s="14">
        <v>549</v>
      </c>
      <c r="M1119" s="14">
        <v>307</v>
      </c>
      <c r="N1119" s="14">
        <v>246</v>
      </c>
      <c r="O1119" s="14">
        <v>102</v>
      </c>
      <c r="P1119" s="10">
        <v>-26.33</v>
      </c>
      <c r="Q1119" s="10">
        <v>16.600000000000001</v>
      </c>
      <c r="R1119" s="10">
        <v>68.400000000000006</v>
      </c>
      <c r="S1119" s="16">
        <f t="shared" si="64"/>
        <v>19.969800000000003</v>
      </c>
      <c r="T1119" s="16">
        <f t="shared" si="65"/>
        <v>82.285200000000017</v>
      </c>
    </row>
    <row r="1120" spans="1:20" x14ac:dyDescent="0.25">
      <c r="A1120" s="14">
        <v>2014</v>
      </c>
      <c r="B1120" s="14" t="s">
        <v>135</v>
      </c>
      <c r="C1120" s="14" t="s">
        <v>136</v>
      </c>
      <c r="D1120" s="14">
        <v>3</v>
      </c>
      <c r="E1120" s="14">
        <v>3</v>
      </c>
      <c r="F1120" s="14">
        <v>3</v>
      </c>
      <c r="G1120" s="14">
        <v>2</v>
      </c>
      <c r="H1120" s="14" t="s">
        <v>5</v>
      </c>
      <c r="I1120" s="15">
        <v>41891</v>
      </c>
      <c r="J1120" s="14" t="s">
        <v>128</v>
      </c>
      <c r="K1120" s="14">
        <v>1119</v>
      </c>
      <c r="L1120" s="14">
        <v>506</v>
      </c>
      <c r="M1120" s="14">
        <v>264</v>
      </c>
      <c r="N1120" s="14">
        <v>223</v>
      </c>
      <c r="O1120" s="14">
        <v>126</v>
      </c>
      <c r="P1120" s="10">
        <v>-25.87</v>
      </c>
      <c r="Q1120" s="10">
        <v>17.5</v>
      </c>
      <c r="R1120" s="10">
        <v>71.2</v>
      </c>
      <c r="S1120" s="16">
        <f t="shared" si="64"/>
        <v>19.5825</v>
      </c>
      <c r="T1120" s="16">
        <f t="shared" si="65"/>
        <v>79.672800000000009</v>
      </c>
    </row>
    <row r="1121" spans="1:20" x14ac:dyDescent="0.25">
      <c r="A1121" s="14">
        <v>2014</v>
      </c>
      <c r="B1121" s="14" t="s">
        <v>135</v>
      </c>
      <c r="C1121" s="14" t="s">
        <v>136</v>
      </c>
      <c r="D1121" s="14">
        <v>3</v>
      </c>
      <c r="E1121" s="14">
        <v>4</v>
      </c>
      <c r="F1121" s="14">
        <v>4</v>
      </c>
      <c r="G1121" s="14">
        <v>2</v>
      </c>
      <c r="H1121" s="14" t="s">
        <v>13</v>
      </c>
      <c r="I1121" s="15">
        <v>41883</v>
      </c>
      <c r="J1121" s="14" t="s">
        <v>128</v>
      </c>
      <c r="K1121" s="14">
        <v>1067</v>
      </c>
      <c r="L1121" s="14">
        <v>552</v>
      </c>
      <c r="M1121" s="14">
        <v>257</v>
      </c>
      <c r="N1121" s="14">
        <v>221</v>
      </c>
      <c r="O1121" s="14">
        <v>37</v>
      </c>
      <c r="P1121" s="10">
        <v>-26.3</v>
      </c>
      <c r="Q1121" s="10">
        <v>15.9</v>
      </c>
      <c r="R1121" s="10">
        <v>76.099999999999994</v>
      </c>
      <c r="S1121" s="16">
        <f t="shared" si="64"/>
        <v>16.965299999999999</v>
      </c>
      <c r="T1121" s="16">
        <f t="shared" si="65"/>
        <v>81.198700000000002</v>
      </c>
    </row>
    <row r="1122" spans="1:20" x14ac:dyDescent="0.25">
      <c r="A1122" s="14">
        <v>2014</v>
      </c>
      <c r="B1122" s="14" t="s">
        <v>135</v>
      </c>
      <c r="C1122" s="14" t="s">
        <v>136</v>
      </c>
      <c r="D1122" s="14">
        <v>3</v>
      </c>
      <c r="E1122" s="14">
        <v>5</v>
      </c>
      <c r="F1122" s="14">
        <v>5</v>
      </c>
      <c r="G1122" s="14">
        <v>2</v>
      </c>
      <c r="H1122" s="14" t="s">
        <v>14</v>
      </c>
      <c r="I1122" s="15">
        <v>41898</v>
      </c>
      <c r="J1122" s="14" t="s">
        <v>128</v>
      </c>
      <c r="K1122" s="14">
        <v>1380</v>
      </c>
      <c r="L1122" s="14">
        <v>698</v>
      </c>
      <c r="M1122" s="14">
        <v>247</v>
      </c>
      <c r="N1122" s="14">
        <v>273</v>
      </c>
      <c r="O1122" s="14">
        <v>161</v>
      </c>
      <c r="P1122" s="10">
        <v>-25.94</v>
      </c>
      <c r="Q1122" s="10">
        <v>13.7</v>
      </c>
      <c r="R1122" s="10">
        <v>79.2</v>
      </c>
      <c r="S1122" s="16">
        <f t="shared" si="64"/>
        <v>18.905999999999999</v>
      </c>
      <c r="T1122" s="16">
        <f t="shared" si="65"/>
        <v>109.29600000000001</v>
      </c>
    </row>
    <row r="1123" spans="1:20" x14ac:dyDescent="0.25">
      <c r="A1123" s="14">
        <v>2014</v>
      </c>
      <c r="B1123" s="14" t="s">
        <v>135</v>
      </c>
      <c r="C1123" s="14" t="s">
        <v>136</v>
      </c>
      <c r="D1123" s="14">
        <v>3</v>
      </c>
      <c r="E1123" s="14">
        <v>6</v>
      </c>
      <c r="F1123" s="14">
        <v>6</v>
      </c>
      <c r="G1123" s="14">
        <v>2</v>
      </c>
      <c r="H1123" s="14" t="s">
        <v>3</v>
      </c>
      <c r="I1123" s="15">
        <v>41898</v>
      </c>
      <c r="J1123" s="14" t="s">
        <v>128</v>
      </c>
      <c r="K1123" s="14">
        <v>1272</v>
      </c>
      <c r="L1123" s="14">
        <v>594</v>
      </c>
      <c r="M1123" s="14">
        <v>245</v>
      </c>
      <c r="N1123" s="14">
        <v>293</v>
      </c>
      <c r="O1123" s="14">
        <v>141</v>
      </c>
      <c r="P1123" s="10">
        <v>-26.06</v>
      </c>
      <c r="Q1123" s="10">
        <v>11.7</v>
      </c>
      <c r="R1123" s="10">
        <v>72.5</v>
      </c>
      <c r="S1123" s="16">
        <f t="shared" si="64"/>
        <v>14.882400000000001</v>
      </c>
      <c r="T1123" s="16">
        <f t="shared" si="65"/>
        <v>92.22</v>
      </c>
    </row>
    <row r="1124" spans="1:20" x14ac:dyDescent="0.25">
      <c r="A1124" s="14">
        <v>2014</v>
      </c>
      <c r="B1124" s="14" t="s">
        <v>135</v>
      </c>
      <c r="C1124" s="14" t="s">
        <v>136</v>
      </c>
      <c r="D1124" s="14">
        <v>4</v>
      </c>
      <c r="E1124" s="14">
        <v>6</v>
      </c>
      <c r="F1124" s="14">
        <v>7</v>
      </c>
      <c r="G1124" s="14">
        <v>2</v>
      </c>
      <c r="H1124" s="14" t="s">
        <v>2</v>
      </c>
      <c r="I1124" s="15">
        <v>41891</v>
      </c>
      <c r="J1124" s="14" t="s">
        <v>128</v>
      </c>
      <c r="K1124" s="14">
        <v>1213</v>
      </c>
      <c r="L1124" s="14">
        <v>540</v>
      </c>
      <c r="M1124" s="14">
        <v>236</v>
      </c>
      <c r="N1124" s="14">
        <v>156</v>
      </c>
      <c r="O1124" s="14">
        <v>281</v>
      </c>
      <c r="P1124" s="10">
        <v>-26.24</v>
      </c>
      <c r="Q1124" s="10">
        <v>13.1</v>
      </c>
      <c r="R1124" s="10">
        <v>65.599999999999994</v>
      </c>
      <c r="S1124" s="16">
        <f t="shared" si="64"/>
        <v>15.8903</v>
      </c>
      <c r="T1124" s="16">
        <f t="shared" si="65"/>
        <v>79.572799999999987</v>
      </c>
    </row>
    <row r="1125" spans="1:20" x14ac:dyDescent="0.25">
      <c r="A1125" s="14">
        <v>2014</v>
      </c>
      <c r="B1125" s="14" t="s">
        <v>135</v>
      </c>
      <c r="C1125" s="14" t="s">
        <v>136</v>
      </c>
      <c r="D1125" s="14">
        <v>4</v>
      </c>
      <c r="E1125" s="14">
        <v>5</v>
      </c>
      <c r="F1125" s="14">
        <v>8</v>
      </c>
      <c r="G1125" s="14">
        <v>2</v>
      </c>
      <c r="H1125" s="14" t="s">
        <v>8</v>
      </c>
      <c r="I1125" s="15">
        <v>41891</v>
      </c>
      <c r="J1125" s="14" t="s">
        <v>128</v>
      </c>
      <c r="K1125" s="14">
        <v>1192</v>
      </c>
      <c r="L1125" s="14">
        <v>575</v>
      </c>
      <c r="M1125" s="14">
        <v>328</v>
      </c>
      <c r="N1125" s="14">
        <v>173</v>
      </c>
      <c r="O1125" s="14">
        <v>116</v>
      </c>
      <c r="P1125" s="10">
        <v>-26.07</v>
      </c>
      <c r="Q1125" s="10">
        <v>17.5</v>
      </c>
      <c r="R1125" s="10">
        <v>64.400000000000006</v>
      </c>
      <c r="S1125" s="16">
        <f t="shared" si="64"/>
        <v>20.86</v>
      </c>
      <c r="T1125" s="16">
        <f t="shared" si="65"/>
        <v>76.764800000000008</v>
      </c>
    </row>
    <row r="1126" spans="1:20" x14ac:dyDescent="0.25">
      <c r="A1126" s="14">
        <v>2014</v>
      </c>
      <c r="B1126" s="14" t="s">
        <v>135</v>
      </c>
      <c r="C1126" s="14" t="s">
        <v>136</v>
      </c>
      <c r="D1126" s="14">
        <v>4</v>
      </c>
      <c r="E1126" s="14">
        <v>4</v>
      </c>
      <c r="F1126" s="14">
        <v>9</v>
      </c>
      <c r="G1126" s="14">
        <v>2</v>
      </c>
      <c r="H1126" s="14" t="s">
        <v>12</v>
      </c>
      <c r="I1126" s="15">
        <v>41891</v>
      </c>
      <c r="J1126" s="14" t="s">
        <v>128</v>
      </c>
      <c r="K1126" s="14">
        <v>1186</v>
      </c>
      <c r="L1126" s="14">
        <v>587</v>
      </c>
      <c r="M1126" s="14">
        <v>322</v>
      </c>
      <c r="N1126" s="14">
        <v>161</v>
      </c>
      <c r="O1126" s="14">
        <v>116</v>
      </c>
      <c r="P1126" s="10">
        <v>-26.4</v>
      </c>
      <c r="Q1126" s="10">
        <v>15.7</v>
      </c>
      <c r="R1126" s="10">
        <v>43.3</v>
      </c>
      <c r="S1126" s="16">
        <f t="shared" si="64"/>
        <v>18.620200000000001</v>
      </c>
      <c r="T1126" s="16">
        <f t="shared" si="65"/>
        <v>51.353799999999993</v>
      </c>
    </row>
    <row r="1127" spans="1:20" x14ac:dyDescent="0.25">
      <c r="A1127" s="14">
        <v>2014</v>
      </c>
      <c r="B1127" s="14" t="s">
        <v>135</v>
      </c>
      <c r="C1127" s="14" t="s">
        <v>136</v>
      </c>
      <c r="D1127" s="14">
        <v>4</v>
      </c>
      <c r="E1127" s="14">
        <v>3</v>
      </c>
      <c r="F1127" s="14">
        <v>10</v>
      </c>
      <c r="G1127" s="14">
        <v>2</v>
      </c>
      <c r="H1127" s="14" t="s">
        <v>7</v>
      </c>
      <c r="I1127" s="15">
        <v>41891</v>
      </c>
      <c r="J1127" s="14" t="s">
        <v>128</v>
      </c>
      <c r="K1127" s="14">
        <v>1121</v>
      </c>
      <c r="L1127" s="14">
        <v>502</v>
      </c>
      <c r="M1127" s="14">
        <v>240</v>
      </c>
      <c r="N1127" s="14">
        <v>167</v>
      </c>
      <c r="O1127" s="14">
        <v>212</v>
      </c>
      <c r="P1127" s="10">
        <v>-25.97</v>
      </c>
      <c r="Q1127" s="10">
        <v>16.5</v>
      </c>
      <c r="R1127" s="10">
        <v>76.2</v>
      </c>
      <c r="S1127" s="16">
        <f t="shared" si="64"/>
        <v>18.496500000000001</v>
      </c>
      <c r="T1127" s="16">
        <f t="shared" si="65"/>
        <v>85.420199999999994</v>
      </c>
    </row>
    <row r="1128" spans="1:20" x14ac:dyDescent="0.25">
      <c r="A1128" s="14">
        <v>2014</v>
      </c>
      <c r="B1128" s="14" t="s">
        <v>135</v>
      </c>
      <c r="C1128" s="14" t="s">
        <v>136</v>
      </c>
      <c r="D1128" s="14">
        <v>4</v>
      </c>
      <c r="E1128" s="14">
        <v>2</v>
      </c>
      <c r="F1128" s="14">
        <v>11</v>
      </c>
      <c r="G1128" s="14">
        <v>2</v>
      </c>
      <c r="H1128" s="14" t="s">
        <v>6</v>
      </c>
      <c r="I1128" s="15">
        <v>41891</v>
      </c>
      <c r="J1128" s="14" t="s">
        <v>128</v>
      </c>
      <c r="K1128" s="14">
        <v>1160</v>
      </c>
      <c r="L1128" s="14">
        <v>560</v>
      </c>
      <c r="M1128" s="14">
        <v>298</v>
      </c>
      <c r="N1128" s="14">
        <v>161</v>
      </c>
      <c r="O1128" s="14">
        <v>141</v>
      </c>
      <c r="P1128" s="10">
        <v>-26.25</v>
      </c>
      <c r="Q1128" s="10">
        <v>14.6</v>
      </c>
      <c r="R1128" s="10">
        <v>58.3</v>
      </c>
      <c r="S1128" s="16">
        <f t="shared" si="64"/>
        <v>16.936</v>
      </c>
      <c r="T1128" s="16">
        <f t="shared" si="65"/>
        <v>67.628</v>
      </c>
    </row>
    <row r="1129" spans="1:20" x14ac:dyDescent="0.25">
      <c r="A1129" s="14">
        <v>2014</v>
      </c>
      <c r="B1129" s="14" t="s">
        <v>135</v>
      </c>
      <c r="C1129" s="14" t="s">
        <v>136</v>
      </c>
      <c r="D1129" s="14">
        <v>4</v>
      </c>
      <c r="E1129" s="14">
        <v>1</v>
      </c>
      <c r="F1129" s="14">
        <v>12</v>
      </c>
      <c r="G1129" s="14">
        <v>2</v>
      </c>
      <c r="H1129" s="14" t="s">
        <v>4</v>
      </c>
      <c r="I1129" s="15">
        <v>41898</v>
      </c>
      <c r="J1129" s="14" t="s">
        <v>128</v>
      </c>
      <c r="K1129" s="14">
        <v>1278</v>
      </c>
      <c r="L1129" s="14">
        <v>599</v>
      </c>
      <c r="M1129" s="14">
        <v>324</v>
      </c>
      <c r="N1129" s="14">
        <v>215</v>
      </c>
      <c r="O1129" s="14">
        <v>140</v>
      </c>
      <c r="P1129" s="10">
        <v>-26.18</v>
      </c>
      <c r="Q1129" s="10">
        <v>14</v>
      </c>
      <c r="R1129" s="10">
        <v>89.2</v>
      </c>
      <c r="S1129" s="16">
        <f t="shared" si="64"/>
        <v>17.891999999999999</v>
      </c>
      <c r="T1129" s="16">
        <f t="shared" si="65"/>
        <v>113.99760000000001</v>
      </c>
    </row>
    <row r="1130" spans="1:20" x14ac:dyDescent="0.25">
      <c r="A1130" s="14">
        <v>2014</v>
      </c>
      <c r="B1130" s="14" t="s">
        <v>135</v>
      </c>
      <c r="C1130" s="14" t="s">
        <v>136</v>
      </c>
      <c r="D1130" s="14">
        <v>5</v>
      </c>
      <c r="E1130" s="14">
        <v>1</v>
      </c>
      <c r="F1130" s="14">
        <v>1</v>
      </c>
      <c r="G1130" s="14">
        <v>3</v>
      </c>
      <c r="H1130" s="14" t="s">
        <v>10</v>
      </c>
      <c r="I1130" s="15">
        <v>41891</v>
      </c>
      <c r="J1130" s="14" t="s">
        <v>128</v>
      </c>
      <c r="K1130" s="14">
        <v>1275</v>
      </c>
      <c r="L1130" s="14">
        <v>571</v>
      </c>
      <c r="M1130" s="14">
        <v>282</v>
      </c>
      <c r="N1130" s="14">
        <v>258</v>
      </c>
      <c r="O1130" s="14">
        <v>164</v>
      </c>
      <c r="P1130" s="10">
        <v>-25.78</v>
      </c>
      <c r="Q1130" s="10">
        <v>15.6</v>
      </c>
      <c r="R1130" s="10">
        <v>80.3</v>
      </c>
      <c r="S1130" s="16">
        <f t="shared" ref="S1130:S1153" si="66">K1130*Q1130/1000</f>
        <v>19.89</v>
      </c>
      <c r="T1130" s="16">
        <f t="shared" si="65"/>
        <v>102.38249999999999</v>
      </c>
    </row>
    <row r="1131" spans="1:20" x14ac:dyDescent="0.25">
      <c r="A1131" s="14">
        <v>2014</v>
      </c>
      <c r="B1131" s="14" t="s">
        <v>135</v>
      </c>
      <c r="C1131" s="14" t="s">
        <v>136</v>
      </c>
      <c r="D1131" s="14">
        <v>5</v>
      </c>
      <c r="E1131" s="14">
        <v>2</v>
      </c>
      <c r="F1131" s="14">
        <v>2</v>
      </c>
      <c r="G1131" s="14">
        <v>3</v>
      </c>
      <c r="H1131" s="14" t="s">
        <v>7</v>
      </c>
      <c r="I1131" s="15">
        <v>41891</v>
      </c>
      <c r="J1131" s="14" t="s">
        <v>128</v>
      </c>
      <c r="K1131" s="14">
        <v>1168</v>
      </c>
      <c r="L1131" s="14">
        <v>577</v>
      </c>
      <c r="M1131" s="14">
        <v>264</v>
      </c>
      <c r="N1131" s="14">
        <v>165</v>
      </c>
      <c r="O1131" s="14">
        <v>162</v>
      </c>
      <c r="P1131" s="10">
        <v>-26.28</v>
      </c>
      <c r="Q1131" s="10">
        <v>13.4</v>
      </c>
      <c r="R1131" s="10">
        <v>74.599999999999994</v>
      </c>
      <c r="S1131" s="16">
        <f t="shared" si="66"/>
        <v>15.651200000000001</v>
      </c>
      <c r="T1131" s="16">
        <f t="shared" si="65"/>
        <v>87.132799999999989</v>
      </c>
    </row>
    <row r="1132" spans="1:20" x14ac:dyDescent="0.25">
      <c r="A1132" s="14">
        <v>2014</v>
      </c>
      <c r="B1132" s="14" t="s">
        <v>135</v>
      </c>
      <c r="C1132" s="14" t="s">
        <v>136</v>
      </c>
      <c r="D1132" s="14">
        <v>5</v>
      </c>
      <c r="E1132" s="14">
        <v>3</v>
      </c>
      <c r="F1132" s="14">
        <v>3</v>
      </c>
      <c r="G1132" s="14">
        <v>3</v>
      </c>
      <c r="H1132" s="14" t="s">
        <v>13</v>
      </c>
      <c r="I1132" s="15">
        <v>41883</v>
      </c>
      <c r="J1132" s="14" t="s">
        <v>128</v>
      </c>
      <c r="K1132" s="14">
        <v>993</v>
      </c>
      <c r="L1132" s="14">
        <v>506</v>
      </c>
      <c r="M1132" s="14">
        <v>231</v>
      </c>
      <c r="N1132" s="14">
        <v>208</v>
      </c>
      <c r="O1132" s="14">
        <v>49</v>
      </c>
      <c r="P1132" s="10">
        <v>-25.98</v>
      </c>
      <c r="Q1132" s="10">
        <v>12.4</v>
      </c>
      <c r="R1132" s="10">
        <v>85.5</v>
      </c>
      <c r="S1132" s="16">
        <f t="shared" si="66"/>
        <v>12.3132</v>
      </c>
      <c r="T1132" s="16">
        <f t="shared" si="65"/>
        <v>84.901499999999999</v>
      </c>
    </row>
    <row r="1133" spans="1:20" x14ac:dyDescent="0.25">
      <c r="A1133" s="14">
        <v>2014</v>
      </c>
      <c r="B1133" s="14" t="s">
        <v>135</v>
      </c>
      <c r="C1133" s="14" t="s">
        <v>136</v>
      </c>
      <c r="D1133" s="14">
        <v>5</v>
      </c>
      <c r="E1133" s="14">
        <v>4</v>
      </c>
      <c r="F1133" s="14">
        <v>4</v>
      </c>
      <c r="G1133" s="14">
        <v>3</v>
      </c>
      <c r="H1133" s="14" t="s">
        <v>8</v>
      </c>
      <c r="I1133" s="15">
        <v>41891</v>
      </c>
      <c r="J1133" s="14" t="s">
        <v>128</v>
      </c>
      <c r="K1133" s="14">
        <v>1078</v>
      </c>
      <c r="L1133" s="14">
        <v>540</v>
      </c>
      <c r="M1133" s="14">
        <v>268</v>
      </c>
      <c r="N1133" s="14">
        <v>204</v>
      </c>
      <c r="O1133" s="14">
        <v>66</v>
      </c>
      <c r="P1133" s="10">
        <v>-26.16</v>
      </c>
      <c r="Q1133" s="10">
        <v>12</v>
      </c>
      <c r="R1133" s="10">
        <v>69.8</v>
      </c>
      <c r="S1133" s="16">
        <f t="shared" si="66"/>
        <v>12.936</v>
      </c>
      <c r="T1133" s="16">
        <f t="shared" si="65"/>
        <v>75.244399999999999</v>
      </c>
    </row>
    <row r="1134" spans="1:20" x14ac:dyDescent="0.25">
      <c r="A1134" s="14">
        <v>2014</v>
      </c>
      <c r="B1134" s="14" t="s">
        <v>135</v>
      </c>
      <c r="C1134" s="14" t="s">
        <v>136</v>
      </c>
      <c r="D1134" s="14">
        <v>5</v>
      </c>
      <c r="E1134" s="14">
        <v>5</v>
      </c>
      <c r="F1134" s="14">
        <v>5</v>
      </c>
      <c r="G1134" s="14">
        <v>3</v>
      </c>
      <c r="H1134" s="14" t="s">
        <v>3</v>
      </c>
      <c r="I1134" s="15">
        <v>41898</v>
      </c>
      <c r="J1134" s="14" t="s">
        <v>128</v>
      </c>
      <c r="K1134" s="14">
        <v>1329</v>
      </c>
      <c r="L1134" s="14">
        <v>633</v>
      </c>
      <c r="M1134" s="14">
        <v>274</v>
      </c>
      <c r="N1134" s="14">
        <v>290</v>
      </c>
      <c r="O1134" s="14">
        <v>133</v>
      </c>
      <c r="P1134" s="10">
        <v>-25.97</v>
      </c>
      <c r="Q1134" s="10">
        <v>9.9</v>
      </c>
      <c r="R1134" s="10">
        <v>95.5</v>
      </c>
      <c r="S1134" s="16">
        <f t="shared" si="66"/>
        <v>13.1571</v>
      </c>
      <c r="T1134" s="16">
        <f t="shared" si="65"/>
        <v>126.9195</v>
      </c>
    </row>
    <row r="1135" spans="1:20" x14ac:dyDescent="0.25">
      <c r="A1135" s="14">
        <v>2014</v>
      </c>
      <c r="B1135" s="14" t="s">
        <v>135</v>
      </c>
      <c r="C1135" s="14" t="s">
        <v>136</v>
      </c>
      <c r="D1135" s="14">
        <v>5</v>
      </c>
      <c r="E1135" s="14">
        <v>6</v>
      </c>
      <c r="F1135" s="14">
        <v>6</v>
      </c>
      <c r="G1135" s="14">
        <v>3</v>
      </c>
      <c r="H1135" s="14" t="s">
        <v>4</v>
      </c>
      <c r="I1135" s="15">
        <v>41898</v>
      </c>
      <c r="J1135" s="14" t="s">
        <v>128</v>
      </c>
      <c r="K1135" s="14">
        <v>1179</v>
      </c>
      <c r="L1135" s="14">
        <v>529</v>
      </c>
      <c r="M1135" s="14">
        <v>309</v>
      </c>
      <c r="N1135" s="14">
        <v>210</v>
      </c>
      <c r="O1135" s="14">
        <v>131</v>
      </c>
      <c r="P1135" s="10">
        <v>-25.97</v>
      </c>
      <c r="Q1135" s="10">
        <v>10.3</v>
      </c>
      <c r="R1135" s="10">
        <v>87.5</v>
      </c>
      <c r="S1135" s="16">
        <f t="shared" si="66"/>
        <v>12.143700000000001</v>
      </c>
      <c r="T1135" s="16">
        <f t="shared" si="65"/>
        <v>103.16249999999999</v>
      </c>
    </row>
    <row r="1136" spans="1:20" x14ac:dyDescent="0.25">
      <c r="A1136" s="14">
        <v>2014</v>
      </c>
      <c r="B1136" s="14" t="s">
        <v>135</v>
      </c>
      <c r="C1136" s="14" t="s">
        <v>136</v>
      </c>
      <c r="D1136" s="14">
        <v>6</v>
      </c>
      <c r="E1136" s="14">
        <v>6</v>
      </c>
      <c r="F1136" s="14">
        <v>7</v>
      </c>
      <c r="G1136" s="14">
        <v>3</v>
      </c>
      <c r="H1136" s="14" t="s">
        <v>5</v>
      </c>
      <c r="I1136" s="15">
        <v>41891</v>
      </c>
      <c r="J1136" s="14" t="s">
        <v>128</v>
      </c>
      <c r="K1136" s="14">
        <v>1243</v>
      </c>
      <c r="L1136" s="14">
        <v>572</v>
      </c>
      <c r="M1136" s="14">
        <v>283</v>
      </c>
      <c r="N1136" s="14">
        <v>267</v>
      </c>
      <c r="O1136" s="14">
        <v>121</v>
      </c>
      <c r="P1136" s="10">
        <v>-25.87</v>
      </c>
      <c r="Q1136" s="10">
        <v>11.6</v>
      </c>
      <c r="R1136" s="10">
        <v>86.5</v>
      </c>
      <c r="S1136" s="16">
        <f t="shared" si="66"/>
        <v>14.418799999999999</v>
      </c>
      <c r="T1136" s="16">
        <f t="shared" si="65"/>
        <v>107.51949999999999</v>
      </c>
    </row>
    <row r="1137" spans="1:20" x14ac:dyDescent="0.25">
      <c r="A1137" s="14">
        <v>2014</v>
      </c>
      <c r="B1137" s="14" t="s">
        <v>135</v>
      </c>
      <c r="C1137" s="14" t="s">
        <v>136</v>
      </c>
      <c r="D1137" s="14">
        <v>6</v>
      </c>
      <c r="E1137" s="14">
        <v>5</v>
      </c>
      <c r="F1137" s="14">
        <v>8</v>
      </c>
      <c r="G1137" s="14">
        <v>3</v>
      </c>
      <c r="H1137" s="14" t="s">
        <v>6</v>
      </c>
      <c r="I1137" s="15">
        <v>41891</v>
      </c>
      <c r="J1137" s="14" t="s">
        <v>128</v>
      </c>
      <c r="K1137" s="14">
        <v>1152</v>
      </c>
      <c r="L1137" s="14">
        <v>594</v>
      </c>
      <c r="M1137" s="14">
        <v>251</v>
      </c>
      <c r="N1137" s="14">
        <v>192</v>
      </c>
      <c r="O1137" s="14">
        <v>115</v>
      </c>
      <c r="P1137" s="10">
        <v>-25.8</v>
      </c>
      <c r="Q1137" s="10">
        <v>12.1</v>
      </c>
      <c r="R1137" s="10">
        <v>89</v>
      </c>
      <c r="S1137" s="16">
        <f t="shared" si="66"/>
        <v>13.9392</v>
      </c>
      <c r="T1137" s="16">
        <f t="shared" si="65"/>
        <v>102.52800000000001</v>
      </c>
    </row>
    <row r="1138" spans="1:20" x14ac:dyDescent="0.25">
      <c r="A1138" s="14">
        <v>2014</v>
      </c>
      <c r="B1138" s="14" t="s">
        <v>135</v>
      </c>
      <c r="C1138" s="14" t="s">
        <v>136</v>
      </c>
      <c r="D1138" s="14">
        <v>6</v>
      </c>
      <c r="E1138" s="14">
        <v>4</v>
      </c>
      <c r="F1138" s="14">
        <v>9</v>
      </c>
      <c r="G1138" s="14">
        <v>3</v>
      </c>
      <c r="H1138" s="14" t="s">
        <v>9</v>
      </c>
      <c r="I1138" s="15">
        <v>41891</v>
      </c>
      <c r="J1138" s="14" t="s">
        <v>128</v>
      </c>
      <c r="K1138" s="14">
        <v>1233</v>
      </c>
      <c r="L1138" s="14">
        <v>661</v>
      </c>
      <c r="M1138" s="14">
        <v>227</v>
      </c>
      <c r="N1138" s="14">
        <v>247</v>
      </c>
      <c r="O1138" s="14">
        <v>98</v>
      </c>
      <c r="P1138" s="10">
        <v>-26</v>
      </c>
      <c r="Q1138" s="10">
        <v>9.1</v>
      </c>
      <c r="R1138" s="10">
        <v>106.4</v>
      </c>
      <c r="S1138" s="16">
        <f t="shared" si="66"/>
        <v>11.2203</v>
      </c>
      <c r="T1138" s="16">
        <f t="shared" si="65"/>
        <v>131.19120000000001</v>
      </c>
    </row>
    <row r="1139" spans="1:20" x14ac:dyDescent="0.25">
      <c r="A1139" s="14">
        <v>2014</v>
      </c>
      <c r="B1139" s="14" t="s">
        <v>135</v>
      </c>
      <c r="C1139" s="14" t="s">
        <v>136</v>
      </c>
      <c r="D1139" s="14">
        <v>6</v>
      </c>
      <c r="E1139" s="14">
        <v>3</v>
      </c>
      <c r="F1139" s="14">
        <v>10</v>
      </c>
      <c r="G1139" s="14">
        <v>3</v>
      </c>
      <c r="H1139" s="14" t="s">
        <v>2</v>
      </c>
      <c r="I1139" s="15">
        <v>41891</v>
      </c>
      <c r="J1139" s="14" t="s">
        <v>128</v>
      </c>
      <c r="K1139" s="14">
        <v>1183</v>
      </c>
      <c r="L1139" s="14">
        <v>599</v>
      </c>
      <c r="M1139" s="14">
        <v>220</v>
      </c>
      <c r="N1139" s="14">
        <v>206</v>
      </c>
      <c r="O1139" s="14">
        <v>157</v>
      </c>
      <c r="P1139" s="10">
        <v>-26.07</v>
      </c>
      <c r="Q1139" s="10">
        <v>11.2</v>
      </c>
      <c r="R1139" s="10">
        <v>68.599999999999994</v>
      </c>
      <c r="S1139" s="16">
        <f t="shared" si="66"/>
        <v>13.249599999999999</v>
      </c>
      <c r="T1139" s="16">
        <f t="shared" si="65"/>
        <v>81.15379999999999</v>
      </c>
    </row>
    <row r="1140" spans="1:20" x14ac:dyDescent="0.25">
      <c r="A1140" s="14">
        <v>2014</v>
      </c>
      <c r="B1140" s="14" t="s">
        <v>135</v>
      </c>
      <c r="C1140" s="14" t="s">
        <v>136</v>
      </c>
      <c r="D1140" s="14">
        <v>6</v>
      </c>
      <c r="E1140" s="14">
        <v>2</v>
      </c>
      <c r="F1140" s="14">
        <v>11</v>
      </c>
      <c r="G1140" s="14">
        <v>3</v>
      </c>
      <c r="H1140" s="14" t="s">
        <v>14</v>
      </c>
      <c r="I1140" s="15">
        <v>41898</v>
      </c>
      <c r="J1140" s="14" t="s">
        <v>128</v>
      </c>
      <c r="K1140" s="14">
        <v>1278</v>
      </c>
      <c r="L1140" s="14">
        <v>636</v>
      </c>
      <c r="M1140" s="14">
        <v>234</v>
      </c>
      <c r="N1140" s="14">
        <v>254</v>
      </c>
      <c r="O1140" s="14">
        <v>153</v>
      </c>
      <c r="P1140" s="10">
        <v>-25.49</v>
      </c>
      <c r="Q1140" s="10">
        <v>11.5</v>
      </c>
      <c r="R1140" s="10">
        <v>114.5</v>
      </c>
      <c r="S1140" s="16">
        <f t="shared" si="66"/>
        <v>14.696999999999999</v>
      </c>
      <c r="T1140" s="16">
        <f t="shared" si="65"/>
        <v>146.33099999999999</v>
      </c>
    </row>
    <row r="1141" spans="1:20" x14ac:dyDescent="0.25">
      <c r="A1141" s="14">
        <v>2014</v>
      </c>
      <c r="B1141" s="14" t="s">
        <v>135</v>
      </c>
      <c r="C1141" s="14" t="s">
        <v>136</v>
      </c>
      <c r="D1141" s="14">
        <v>6</v>
      </c>
      <c r="E1141" s="14">
        <v>1</v>
      </c>
      <c r="F1141" s="14">
        <v>12</v>
      </c>
      <c r="G1141" s="14">
        <v>3</v>
      </c>
      <c r="H1141" s="14" t="s">
        <v>12</v>
      </c>
      <c r="I1141" s="15">
        <v>41891</v>
      </c>
      <c r="J1141" s="14" t="s">
        <v>128</v>
      </c>
      <c r="K1141" s="14">
        <v>1229</v>
      </c>
      <c r="L1141" s="14">
        <v>659</v>
      </c>
      <c r="M1141" s="14">
        <v>252</v>
      </c>
      <c r="N1141" s="14">
        <v>200</v>
      </c>
      <c r="O1141" s="14">
        <v>118</v>
      </c>
      <c r="P1141" s="10">
        <v>-26.12</v>
      </c>
      <c r="Q1141" s="10">
        <v>11.7</v>
      </c>
      <c r="R1141" s="10">
        <v>103.2</v>
      </c>
      <c r="S1141" s="16">
        <f t="shared" si="66"/>
        <v>14.379299999999999</v>
      </c>
      <c r="T1141" s="16">
        <f t="shared" si="65"/>
        <v>126.83280000000001</v>
      </c>
    </row>
    <row r="1142" spans="1:20" x14ac:dyDescent="0.25">
      <c r="A1142" s="14">
        <v>2014</v>
      </c>
      <c r="B1142" s="14" t="s">
        <v>135</v>
      </c>
      <c r="C1142" s="14" t="s">
        <v>136</v>
      </c>
      <c r="D1142" s="14">
        <v>7</v>
      </c>
      <c r="E1142" s="14">
        <v>1</v>
      </c>
      <c r="F1142" s="14">
        <v>1</v>
      </c>
      <c r="G1142" s="14">
        <v>4</v>
      </c>
      <c r="H1142" s="14" t="s">
        <v>5</v>
      </c>
      <c r="I1142" s="15">
        <v>41891</v>
      </c>
      <c r="J1142" s="14" t="s">
        <v>128</v>
      </c>
      <c r="K1142" s="14">
        <v>1561</v>
      </c>
      <c r="L1142" s="14">
        <v>724</v>
      </c>
      <c r="M1142" s="14">
        <v>342</v>
      </c>
      <c r="N1142" s="14">
        <v>334</v>
      </c>
      <c r="O1142" s="14">
        <v>162</v>
      </c>
      <c r="P1142" s="10">
        <v>-25.76</v>
      </c>
      <c r="Q1142" s="10">
        <v>12.4</v>
      </c>
      <c r="R1142" s="10">
        <v>87.8</v>
      </c>
      <c r="S1142" s="16">
        <f t="shared" si="66"/>
        <v>19.356400000000001</v>
      </c>
      <c r="T1142" s="16">
        <f t="shared" si="65"/>
        <v>137.05579999999998</v>
      </c>
    </row>
    <row r="1143" spans="1:20" x14ac:dyDescent="0.25">
      <c r="A1143" s="14">
        <v>2014</v>
      </c>
      <c r="B1143" s="14" t="s">
        <v>135</v>
      </c>
      <c r="C1143" s="14" t="s">
        <v>136</v>
      </c>
      <c r="D1143" s="14">
        <v>7</v>
      </c>
      <c r="E1143" s="14">
        <v>2</v>
      </c>
      <c r="F1143" s="14">
        <v>2</v>
      </c>
      <c r="G1143" s="14">
        <v>4</v>
      </c>
      <c r="H1143" s="14" t="s">
        <v>2</v>
      </c>
      <c r="I1143" s="15">
        <v>41891</v>
      </c>
      <c r="J1143" s="14" t="s">
        <v>128</v>
      </c>
      <c r="K1143" s="14">
        <v>1213</v>
      </c>
      <c r="L1143" s="14">
        <v>593</v>
      </c>
      <c r="M1143" s="14">
        <v>213</v>
      </c>
      <c r="N1143" s="14">
        <v>243</v>
      </c>
      <c r="O1143" s="14">
        <v>164</v>
      </c>
      <c r="P1143" s="10">
        <v>-26.05</v>
      </c>
      <c r="Q1143" s="10">
        <v>10.9</v>
      </c>
      <c r="R1143" s="10">
        <v>80.3</v>
      </c>
      <c r="S1143" s="16">
        <f t="shared" si="66"/>
        <v>13.2217</v>
      </c>
      <c r="T1143" s="16">
        <f t="shared" si="65"/>
        <v>97.403899999999993</v>
      </c>
    </row>
    <row r="1144" spans="1:20" x14ac:dyDescent="0.25">
      <c r="A1144" s="14">
        <v>2014</v>
      </c>
      <c r="B1144" s="14" t="s">
        <v>135</v>
      </c>
      <c r="C1144" s="14" t="s">
        <v>136</v>
      </c>
      <c r="D1144" s="14">
        <v>7</v>
      </c>
      <c r="E1144" s="14">
        <v>3</v>
      </c>
      <c r="F1144" s="14">
        <v>3</v>
      </c>
      <c r="G1144" s="14">
        <v>4</v>
      </c>
      <c r="H1144" s="14" t="s">
        <v>12</v>
      </c>
      <c r="I1144" s="15">
        <v>41891</v>
      </c>
      <c r="J1144" s="14" t="s">
        <v>128</v>
      </c>
      <c r="K1144" s="14">
        <v>1250</v>
      </c>
      <c r="L1144" s="14">
        <v>620</v>
      </c>
      <c r="M1144" s="14">
        <v>303</v>
      </c>
      <c r="N1144" s="14">
        <v>210</v>
      </c>
      <c r="O1144" s="14">
        <v>118</v>
      </c>
      <c r="P1144" s="10">
        <v>-25.99</v>
      </c>
      <c r="Q1144" s="10">
        <v>11.2</v>
      </c>
      <c r="R1144" s="10">
        <v>83.8</v>
      </c>
      <c r="S1144" s="16">
        <f t="shared" si="66"/>
        <v>14</v>
      </c>
      <c r="T1144" s="16">
        <f t="shared" si="65"/>
        <v>104.75</v>
      </c>
    </row>
    <row r="1145" spans="1:20" x14ac:dyDescent="0.25">
      <c r="A1145" s="14">
        <v>2014</v>
      </c>
      <c r="B1145" s="14" t="s">
        <v>135</v>
      </c>
      <c r="C1145" s="14" t="s">
        <v>136</v>
      </c>
      <c r="D1145" s="14">
        <v>7</v>
      </c>
      <c r="E1145" s="14">
        <v>4</v>
      </c>
      <c r="F1145" s="14">
        <v>4</v>
      </c>
      <c r="G1145" s="14">
        <v>4</v>
      </c>
      <c r="H1145" s="14" t="s">
        <v>14</v>
      </c>
      <c r="I1145" s="15">
        <v>41898</v>
      </c>
      <c r="J1145" s="14" t="s">
        <v>128</v>
      </c>
      <c r="K1145" s="14">
        <v>1358</v>
      </c>
      <c r="L1145" s="14">
        <v>677</v>
      </c>
      <c r="M1145" s="14">
        <v>257</v>
      </c>
      <c r="N1145" s="14">
        <v>267</v>
      </c>
      <c r="O1145" s="14">
        <v>157</v>
      </c>
      <c r="P1145" s="10">
        <v>-26.29</v>
      </c>
      <c r="Q1145" s="10">
        <v>7.3</v>
      </c>
      <c r="R1145" s="10">
        <v>101.2</v>
      </c>
      <c r="S1145" s="16">
        <f t="shared" si="66"/>
        <v>9.9133999999999993</v>
      </c>
      <c r="T1145" s="16">
        <f t="shared" si="65"/>
        <v>137.42959999999999</v>
      </c>
    </row>
    <row r="1146" spans="1:20" x14ac:dyDescent="0.25">
      <c r="A1146" s="14">
        <v>2014</v>
      </c>
      <c r="B1146" s="14" t="s">
        <v>135</v>
      </c>
      <c r="C1146" s="14" t="s">
        <v>136</v>
      </c>
      <c r="D1146" s="14">
        <v>7</v>
      </c>
      <c r="E1146" s="14">
        <v>5</v>
      </c>
      <c r="F1146" s="14">
        <v>5</v>
      </c>
      <c r="G1146" s="14">
        <v>4</v>
      </c>
      <c r="H1146" s="14" t="s">
        <v>9</v>
      </c>
      <c r="I1146" s="15">
        <v>41891</v>
      </c>
      <c r="J1146" s="14" t="s">
        <v>128</v>
      </c>
      <c r="K1146" s="14">
        <v>1141</v>
      </c>
      <c r="L1146" s="14">
        <v>577</v>
      </c>
      <c r="M1146" s="14">
        <v>255</v>
      </c>
      <c r="N1146" s="14">
        <v>190</v>
      </c>
      <c r="O1146" s="14">
        <v>120</v>
      </c>
      <c r="P1146" s="10">
        <v>-25.98</v>
      </c>
      <c r="Q1146" s="10">
        <v>10.4</v>
      </c>
      <c r="R1146" s="10">
        <v>87.9</v>
      </c>
      <c r="S1146" s="16">
        <f t="shared" si="66"/>
        <v>11.866400000000001</v>
      </c>
      <c r="T1146" s="16">
        <f t="shared" si="65"/>
        <v>100.29390000000001</v>
      </c>
    </row>
    <row r="1147" spans="1:20" x14ac:dyDescent="0.25">
      <c r="A1147" s="14">
        <v>2014</v>
      </c>
      <c r="B1147" s="14" t="s">
        <v>135</v>
      </c>
      <c r="C1147" s="14" t="s">
        <v>136</v>
      </c>
      <c r="D1147" s="14">
        <v>7</v>
      </c>
      <c r="E1147" s="14">
        <v>6</v>
      </c>
      <c r="F1147" s="14">
        <v>6</v>
      </c>
      <c r="G1147" s="14">
        <v>4</v>
      </c>
      <c r="H1147" s="14" t="s">
        <v>7</v>
      </c>
      <c r="I1147" s="15">
        <v>41891</v>
      </c>
      <c r="J1147" s="14" t="s">
        <v>128</v>
      </c>
      <c r="K1147" s="14">
        <v>1137</v>
      </c>
      <c r="L1147" s="14">
        <v>590</v>
      </c>
      <c r="M1147" s="14">
        <v>275</v>
      </c>
      <c r="N1147" s="14">
        <v>191</v>
      </c>
      <c r="O1147" s="14">
        <v>80</v>
      </c>
      <c r="P1147" s="10">
        <v>-25.87</v>
      </c>
      <c r="Q1147" s="10">
        <v>12.4</v>
      </c>
      <c r="R1147" s="10">
        <v>106.6</v>
      </c>
      <c r="S1147" s="16">
        <f t="shared" si="66"/>
        <v>14.098800000000001</v>
      </c>
      <c r="T1147" s="16">
        <f t="shared" si="65"/>
        <v>121.2042</v>
      </c>
    </row>
    <row r="1148" spans="1:20" x14ac:dyDescent="0.25">
      <c r="A1148" s="14">
        <v>2014</v>
      </c>
      <c r="B1148" s="14" t="s">
        <v>135</v>
      </c>
      <c r="C1148" s="14" t="s">
        <v>136</v>
      </c>
      <c r="D1148" s="14">
        <v>8</v>
      </c>
      <c r="E1148" s="14">
        <v>6</v>
      </c>
      <c r="F1148" s="14">
        <v>7</v>
      </c>
      <c r="G1148" s="14">
        <v>4</v>
      </c>
      <c r="H1148" s="14" t="s">
        <v>8</v>
      </c>
      <c r="I1148" s="15">
        <v>41891</v>
      </c>
      <c r="J1148" s="14" t="s">
        <v>128</v>
      </c>
      <c r="K1148" s="14">
        <v>1156</v>
      </c>
      <c r="L1148" s="14">
        <v>572</v>
      </c>
      <c r="M1148" s="14">
        <v>290</v>
      </c>
      <c r="N1148" s="14">
        <v>209</v>
      </c>
      <c r="O1148" s="14">
        <v>84</v>
      </c>
      <c r="P1148" s="10">
        <v>-25.99</v>
      </c>
      <c r="Q1148" s="10">
        <v>8.8000000000000007</v>
      </c>
      <c r="R1148" s="10">
        <v>96.2</v>
      </c>
      <c r="S1148" s="16">
        <f t="shared" si="66"/>
        <v>10.172800000000001</v>
      </c>
      <c r="T1148" s="16">
        <f t="shared" si="65"/>
        <v>111.2072</v>
      </c>
    </row>
    <row r="1149" spans="1:20" x14ac:dyDescent="0.25">
      <c r="A1149" s="14">
        <v>2014</v>
      </c>
      <c r="B1149" s="14" t="s">
        <v>135</v>
      </c>
      <c r="C1149" s="14" t="s">
        <v>136</v>
      </c>
      <c r="D1149" s="14">
        <v>8</v>
      </c>
      <c r="E1149" s="14">
        <v>5</v>
      </c>
      <c r="F1149" s="14">
        <v>8</v>
      </c>
      <c r="G1149" s="14">
        <v>4</v>
      </c>
      <c r="H1149" s="14" t="s">
        <v>10</v>
      </c>
      <c r="I1149" s="15">
        <v>41891</v>
      </c>
      <c r="J1149" s="14" t="s">
        <v>128</v>
      </c>
      <c r="K1149" s="14">
        <v>1127</v>
      </c>
      <c r="L1149" s="14">
        <v>526</v>
      </c>
      <c r="M1149" s="14">
        <v>271</v>
      </c>
      <c r="N1149" s="14">
        <v>234</v>
      </c>
      <c r="O1149" s="14">
        <v>95</v>
      </c>
      <c r="P1149" s="10">
        <v>-26.07</v>
      </c>
      <c r="Q1149" s="10">
        <v>9.1999999999999993</v>
      </c>
      <c r="R1149" s="10">
        <v>83.1</v>
      </c>
      <c r="S1149" s="16">
        <f t="shared" si="66"/>
        <v>10.368399999999999</v>
      </c>
      <c r="T1149" s="16">
        <f t="shared" si="65"/>
        <v>93.653700000000001</v>
      </c>
    </row>
    <row r="1150" spans="1:20" x14ac:dyDescent="0.25">
      <c r="A1150" s="14">
        <v>2014</v>
      </c>
      <c r="B1150" s="14" t="s">
        <v>135</v>
      </c>
      <c r="C1150" s="14" t="s">
        <v>136</v>
      </c>
      <c r="D1150" s="14">
        <v>8</v>
      </c>
      <c r="E1150" s="14">
        <v>4</v>
      </c>
      <c r="F1150" s="14">
        <v>9</v>
      </c>
      <c r="G1150" s="14">
        <v>4</v>
      </c>
      <c r="H1150" s="14" t="s">
        <v>6</v>
      </c>
      <c r="I1150" s="15">
        <v>41891</v>
      </c>
      <c r="J1150" s="14" t="s">
        <v>128</v>
      </c>
      <c r="K1150" s="14">
        <v>1054</v>
      </c>
      <c r="L1150" s="14">
        <v>522</v>
      </c>
      <c r="M1150" s="14">
        <v>269</v>
      </c>
      <c r="N1150" s="14">
        <v>133</v>
      </c>
      <c r="O1150" s="14">
        <v>130</v>
      </c>
      <c r="P1150" s="10">
        <v>-26.15</v>
      </c>
      <c r="Q1150" s="10">
        <v>14.4</v>
      </c>
      <c r="R1150" s="10">
        <v>71.5</v>
      </c>
      <c r="S1150" s="16">
        <f t="shared" si="66"/>
        <v>15.1776</v>
      </c>
      <c r="T1150" s="16">
        <f t="shared" si="65"/>
        <v>75.361000000000004</v>
      </c>
    </row>
    <row r="1151" spans="1:20" x14ac:dyDescent="0.25">
      <c r="A1151" s="14">
        <v>2014</v>
      </c>
      <c r="B1151" s="14" t="s">
        <v>135</v>
      </c>
      <c r="C1151" s="14" t="s">
        <v>136</v>
      </c>
      <c r="D1151" s="14">
        <v>8</v>
      </c>
      <c r="E1151" s="14">
        <v>3</v>
      </c>
      <c r="F1151" s="14">
        <v>10</v>
      </c>
      <c r="G1151" s="14">
        <v>4</v>
      </c>
      <c r="H1151" s="14" t="s">
        <v>3</v>
      </c>
      <c r="I1151" s="15">
        <v>41898</v>
      </c>
      <c r="J1151" s="14" t="s">
        <v>128</v>
      </c>
      <c r="K1151" s="14">
        <v>1400</v>
      </c>
      <c r="L1151" s="14">
        <v>597</v>
      </c>
      <c r="M1151" s="14">
        <v>324</v>
      </c>
      <c r="N1151" s="14">
        <v>237</v>
      </c>
      <c r="O1151" s="14">
        <v>242</v>
      </c>
      <c r="P1151" s="10">
        <v>-26.08</v>
      </c>
      <c r="Q1151" s="10">
        <v>13.1</v>
      </c>
      <c r="R1151" s="10">
        <v>85</v>
      </c>
      <c r="S1151" s="16">
        <f t="shared" si="66"/>
        <v>18.34</v>
      </c>
      <c r="T1151" s="16">
        <f t="shared" si="65"/>
        <v>119</v>
      </c>
    </row>
    <row r="1152" spans="1:20" x14ac:dyDescent="0.25">
      <c r="A1152" s="14">
        <v>2014</v>
      </c>
      <c r="B1152" s="14" t="s">
        <v>135</v>
      </c>
      <c r="C1152" s="14" t="s">
        <v>136</v>
      </c>
      <c r="D1152" s="14">
        <v>8</v>
      </c>
      <c r="E1152" s="14">
        <v>2</v>
      </c>
      <c r="F1152" s="14">
        <v>11</v>
      </c>
      <c r="G1152" s="14">
        <v>4</v>
      </c>
      <c r="H1152" s="14" t="s">
        <v>13</v>
      </c>
      <c r="I1152" s="15">
        <v>41883</v>
      </c>
      <c r="J1152" s="14" t="s">
        <v>128</v>
      </c>
      <c r="K1152" s="14">
        <v>1113</v>
      </c>
      <c r="L1152" s="14">
        <v>567</v>
      </c>
      <c r="M1152" s="14">
        <v>267</v>
      </c>
      <c r="N1152" s="14">
        <v>194</v>
      </c>
      <c r="O1152" s="14">
        <v>85</v>
      </c>
      <c r="P1152" s="10">
        <v>-26.06</v>
      </c>
      <c r="Q1152" s="10">
        <v>13.4</v>
      </c>
      <c r="R1152" s="10">
        <v>91.8</v>
      </c>
      <c r="S1152" s="16">
        <f t="shared" si="66"/>
        <v>14.914200000000001</v>
      </c>
      <c r="T1152" s="16">
        <f t="shared" si="65"/>
        <v>102.1734</v>
      </c>
    </row>
    <row r="1153" spans="1:20" x14ac:dyDescent="0.25">
      <c r="A1153" s="14">
        <v>2014</v>
      </c>
      <c r="B1153" s="14" t="s">
        <v>135</v>
      </c>
      <c r="C1153" s="14" t="s">
        <v>136</v>
      </c>
      <c r="D1153" s="14">
        <v>8</v>
      </c>
      <c r="E1153" s="14">
        <v>1</v>
      </c>
      <c r="F1153" s="14">
        <v>12</v>
      </c>
      <c r="G1153" s="14">
        <v>4</v>
      </c>
      <c r="H1153" s="14" t="s">
        <v>4</v>
      </c>
      <c r="I1153" s="15">
        <v>41898</v>
      </c>
      <c r="J1153" s="14" t="s">
        <v>128</v>
      </c>
      <c r="K1153" s="14">
        <v>1221</v>
      </c>
      <c r="L1153" s="14">
        <v>631</v>
      </c>
      <c r="M1153" s="14">
        <v>264</v>
      </c>
      <c r="N1153" s="14">
        <v>210</v>
      </c>
      <c r="O1153" s="14">
        <v>115</v>
      </c>
      <c r="P1153" s="10">
        <v>-25.66</v>
      </c>
      <c r="Q1153" s="10">
        <v>10.1</v>
      </c>
      <c r="R1153" s="10">
        <v>129.69999999999999</v>
      </c>
      <c r="S1153" s="16">
        <f t="shared" si="66"/>
        <v>12.332100000000001</v>
      </c>
      <c r="T1153" s="16">
        <f t="shared" si="65"/>
        <v>158.36369999999999</v>
      </c>
    </row>
    <row r="1154" spans="1:20" x14ac:dyDescent="0.25">
      <c r="A1154" s="14">
        <v>2014</v>
      </c>
      <c r="B1154" s="14" t="s">
        <v>135</v>
      </c>
      <c r="C1154" s="14" t="s">
        <v>136</v>
      </c>
      <c r="D1154" s="14">
        <v>1</v>
      </c>
      <c r="E1154" s="14">
        <v>1</v>
      </c>
      <c r="F1154" s="14">
        <v>1</v>
      </c>
      <c r="G1154" s="14">
        <v>1</v>
      </c>
      <c r="H1154" s="14" t="s">
        <v>7</v>
      </c>
      <c r="I1154" s="15">
        <v>41947</v>
      </c>
      <c r="J1154" s="14" t="s">
        <v>129</v>
      </c>
      <c r="K1154" s="14">
        <v>1887</v>
      </c>
      <c r="L1154" s="14">
        <v>653</v>
      </c>
      <c r="M1154" s="14">
        <v>0</v>
      </c>
      <c r="N1154" s="14">
        <v>1063</v>
      </c>
      <c r="O1154" s="14">
        <v>171</v>
      </c>
      <c r="P1154" s="10"/>
      <c r="Q1154" s="10"/>
      <c r="R1154" s="10"/>
      <c r="S1154" s="16"/>
      <c r="T1154" s="16"/>
    </row>
    <row r="1155" spans="1:20" x14ac:dyDescent="0.25">
      <c r="A1155" s="14">
        <v>2014</v>
      </c>
      <c r="B1155" s="14" t="s">
        <v>135</v>
      </c>
      <c r="C1155" s="14" t="s">
        <v>136</v>
      </c>
      <c r="D1155" s="14">
        <v>1</v>
      </c>
      <c r="E1155" s="14">
        <v>2</v>
      </c>
      <c r="F1155" s="14">
        <v>2</v>
      </c>
      <c r="G1155" s="14">
        <v>1</v>
      </c>
      <c r="H1155" s="14" t="s">
        <v>8</v>
      </c>
      <c r="I1155" s="15">
        <v>41947</v>
      </c>
      <c r="J1155" s="14" t="s">
        <v>129</v>
      </c>
      <c r="K1155" s="14">
        <v>1923</v>
      </c>
      <c r="L1155" s="14">
        <v>570</v>
      </c>
      <c r="M1155" s="14">
        <v>0</v>
      </c>
      <c r="N1155" s="14">
        <v>1072</v>
      </c>
      <c r="O1155" s="14">
        <v>282</v>
      </c>
      <c r="P1155" s="10"/>
      <c r="Q1155" s="10"/>
      <c r="R1155" s="10"/>
      <c r="S1155" s="16"/>
      <c r="T1155" s="16"/>
    </row>
    <row r="1156" spans="1:20" x14ac:dyDescent="0.25">
      <c r="A1156" s="14">
        <v>2014</v>
      </c>
      <c r="B1156" s="14" t="s">
        <v>135</v>
      </c>
      <c r="C1156" s="14" t="s">
        <v>136</v>
      </c>
      <c r="D1156" s="14">
        <v>1</v>
      </c>
      <c r="E1156" s="14">
        <v>3</v>
      </c>
      <c r="F1156" s="14">
        <v>3</v>
      </c>
      <c r="G1156" s="14">
        <v>1</v>
      </c>
      <c r="H1156" s="14" t="s">
        <v>4</v>
      </c>
      <c r="I1156" s="15">
        <v>41947</v>
      </c>
      <c r="J1156" s="14" t="s">
        <v>129</v>
      </c>
      <c r="K1156" s="14">
        <v>1876</v>
      </c>
      <c r="L1156" s="14">
        <v>579</v>
      </c>
      <c r="M1156" s="14">
        <v>0</v>
      </c>
      <c r="N1156" s="14">
        <v>1080</v>
      </c>
      <c r="O1156" s="14">
        <v>217</v>
      </c>
      <c r="P1156" s="10"/>
      <c r="Q1156" s="10"/>
      <c r="R1156" s="10"/>
      <c r="S1156" s="16"/>
      <c r="T1156" s="16"/>
    </row>
    <row r="1157" spans="1:20" x14ac:dyDescent="0.25">
      <c r="A1157" s="14">
        <v>2014</v>
      </c>
      <c r="B1157" s="14" t="s">
        <v>135</v>
      </c>
      <c r="C1157" s="14" t="s">
        <v>136</v>
      </c>
      <c r="D1157" s="14">
        <v>1</v>
      </c>
      <c r="E1157" s="14">
        <v>4</v>
      </c>
      <c r="F1157" s="14">
        <v>4</v>
      </c>
      <c r="G1157" s="14">
        <v>1</v>
      </c>
      <c r="H1157" s="14" t="s">
        <v>2</v>
      </c>
      <c r="I1157" s="15">
        <v>41947</v>
      </c>
      <c r="J1157" s="14" t="s">
        <v>129</v>
      </c>
      <c r="K1157" s="14">
        <v>1893</v>
      </c>
      <c r="L1157" s="14">
        <v>573</v>
      </c>
      <c r="M1157" s="14">
        <v>0</v>
      </c>
      <c r="N1157" s="14">
        <v>1160</v>
      </c>
      <c r="O1157" s="14">
        <v>160</v>
      </c>
      <c r="P1157" s="10"/>
      <c r="Q1157" s="10"/>
      <c r="R1157" s="10"/>
      <c r="S1157" s="16"/>
      <c r="T1157" s="16"/>
    </row>
    <row r="1158" spans="1:20" x14ac:dyDescent="0.25">
      <c r="A1158" s="14">
        <v>2014</v>
      </c>
      <c r="B1158" s="14" t="s">
        <v>135</v>
      </c>
      <c r="C1158" s="14" t="s">
        <v>136</v>
      </c>
      <c r="D1158" s="14">
        <v>1</v>
      </c>
      <c r="E1158" s="14">
        <v>5</v>
      </c>
      <c r="F1158" s="14">
        <v>5</v>
      </c>
      <c r="G1158" s="14">
        <v>1</v>
      </c>
      <c r="H1158" s="14" t="s">
        <v>6</v>
      </c>
      <c r="I1158" s="15">
        <v>41947</v>
      </c>
      <c r="J1158" s="14" t="s">
        <v>129</v>
      </c>
      <c r="K1158" s="14">
        <v>1752</v>
      </c>
      <c r="L1158" s="14">
        <v>622</v>
      </c>
      <c r="M1158" s="14">
        <v>0</v>
      </c>
      <c r="N1158" s="14">
        <v>968</v>
      </c>
      <c r="O1158" s="14">
        <v>163</v>
      </c>
      <c r="P1158" s="10"/>
      <c r="Q1158" s="10"/>
      <c r="R1158" s="10"/>
      <c r="S1158" s="16"/>
      <c r="T1158" s="16"/>
    </row>
    <row r="1159" spans="1:20" x14ac:dyDescent="0.25">
      <c r="A1159" s="14">
        <v>2014</v>
      </c>
      <c r="B1159" s="14" t="s">
        <v>135</v>
      </c>
      <c r="C1159" s="14" t="s">
        <v>136</v>
      </c>
      <c r="D1159" s="14">
        <v>1</v>
      </c>
      <c r="E1159" s="14">
        <v>6</v>
      </c>
      <c r="F1159" s="14">
        <v>6</v>
      </c>
      <c r="G1159" s="14">
        <v>1</v>
      </c>
      <c r="H1159" s="14" t="s">
        <v>12</v>
      </c>
      <c r="I1159" s="15">
        <v>41947</v>
      </c>
      <c r="J1159" s="14" t="s">
        <v>129</v>
      </c>
      <c r="K1159" s="14">
        <v>1737</v>
      </c>
      <c r="L1159" s="14">
        <v>601</v>
      </c>
      <c r="M1159" s="14">
        <v>0</v>
      </c>
      <c r="N1159" s="14">
        <v>1037</v>
      </c>
      <c r="O1159" s="14">
        <v>99</v>
      </c>
      <c r="P1159" s="10"/>
      <c r="Q1159" s="10"/>
      <c r="R1159" s="10"/>
      <c r="S1159" s="16"/>
      <c r="T1159" s="16"/>
    </row>
    <row r="1160" spans="1:20" x14ac:dyDescent="0.25">
      <c r="A1160" s="14">
        <v>2014</v>
      </c>
      <c r="B1160" s="14" t="s">
        <v>135</v>
      </c>
      <c r="C1160" s="14" t="s">
        <v>136</v>
      </c>
      <c r="D1160" s="14">
        <v>2</v>
      </c>
      <c r="E1160" s="14">
        <v>6</v>
      </c>
      <c r="F1160" s="14">
        <v>7</v>
      </c>
      <c r="G1160" s="14">
        <v>1</v>
      </c>
      <c r="H1160" s="14" t="s">
        <v>9</v>
      </c>
      <c r="I1160" s="15">
        <v>41947</v>
      </c>
      <c r="J1160" s="14" t="s">
        <v>129</v>
      </c>
      <c r="K1160" s="14">
        <v>1871</v>
      </c>
      <c r="L1160" s="14">
        <v>595</v>
      </c>
      <c r="M1160" s="14">
        <v>0</v>
      </c>
      <c r="N1160" s="14">
        <v>1035</v>
      </c>
      <c r="O1160" s="14">
        <v>241</v>
      </c>
      <c r="P1160" s="10"/>
      <c r="Q1160" s="10"/>
      <c r="R1160" s="10"/>
      <c r="S1160" s="16"/>
      <c r="T1160" s="16"/>
    </row>
    <row r="1161" spans="1:20" x14ac:dyDescent="0.25">
      <c r="A1161" s="14">
        <v>2014</v>
      </c>
      <c r="B1161" s="14" t="s">
        <v>135</v>
      </c>
      <c r="C1161" s="14" t="s">
        <v>136</v>
      </c>
      <c r="D1161" s="14">
        <v>2</v>
      </c>
      <c r="E1161" s="14">
        <v>5</v>
      </c>
      <c r="F1161" s="14">
        <v>8</v>
      </c>
      <c r="G1161" s="14">
        <v>1</v>
      </c>
      <c r="H1161" s="14" t="s">
        <v>13</v>
      </c>
      <c r="I1161" s="15">
        <v>41947</v>
      </c>
      <c r="J1161" s="14" t="s">
        <v>129</v>
      </c>
      <c r="K1161" s="14">
        <v>1609</v>
      </c>
      <c r="L1161" s="14">
        <v>530</v>
      </c>
      <c r="M1161" s="14">
        <v>0</v>
      </c>
      <c r="N1161" s="14">
        <v>1007</v>
      </c>
      <c r="O1161" s="14">
        <v>72</v>
      </c>
      <c r="P1161" s="10"/>
      <c r="Q1161" s="10"/>
      <c r="R1161" s="10"/>
      <c r="S1161" s="16"/>
      <c r="T1161" s="16"/>
    </row>
    <row r="1162" spans="1:20" x14ac:dyDescent="0.25">
      <c r="A1162" s="14">
        <v>2014</v>
      </c>
      <c r="B1162" s="14" t="s">
        <v>135</v>
      </c>
      <c r="C1162" s="14" t="s">
        <v>136</v>
      </c>
      <c r="D1162" s="14">
        <v>2</v>
      </c>
      <c r="E1162" s="14">
        <v>4</v>
      </c>
      <c r="F1162" s="14">
        <v>9</v>
      </c>
      <c r="G1162" s="14">
        <v>1</v>
      </c>
      <c r="H1162" s="14" t="s">
        <v>10</v>
      </c>
      <c r="I1162" s="15">
        <v>41947</v>
      </c>
      <c r="J1162" s="14" t="s">
        <v>129</v>
      </c>
      <c r="K1162" s="14">
        <v>1865</v>
      </c>
      <c r="L1162" s="14">
        <v>559</v>
      </c>
      <c r="M1162" s="14">
        <v>0</v>
      </c>
      <c r="N1162" s="14">
        <v>1214</v>
      </c>
      <c r="O1162" s="14">
        <v>92</v>
      </c>
      <c r="P1162" s="10"/>
      <c r="Q1162" s="10"/>
      <c r="R1162" s="10"/>
      <c r="S1162" s="16"/>
      <c r="T1162" s="16"/>
    </row>
    <row r="1163" spans="1:20" x14ac:dyDescent="0.25">
      <c r="A1163" s="14">
        <v>2014</v>
      </c>
      <c r="B1163" s="14" t="s">
        <v>135</v>
      </c>
      <c r="C1163" s="14" t="s">
        <v>136</v>
      </c>
      <c r="D1163" s="14">
        <v>2</v>
      </c>
      <c r="E1163" s="14">
        <v>3</v>
      </c>
      <c r="F1163" s="14">
        <v>10</v>
      </c>
      <c r="G1163" s="14">
        <v>1</v>
      </c>
      <c r="H1163" s="14" t="s">
        <v>14</v>
      </c>
      <c r="I1163" s="15">
        <v>41947</v>
      </c>
      <c r="J1163" s="14" t="s">
        <v>129</v>
      </c>
      <c r="K1163" s="14">
        <v>1710</v>
      </c>
      <c r="L1163" s="14">
        <v>562</v>
      </c>
      <c r="M1163" s="14">
        <v>0</v>
      </c>
      <c r="N1163" s="14">
        <v>1048</v>
      </c>
      <c r="O1163" s="14">
        <v>100</v>
      </c>
      <c r="P1163" s="10"/>
      <c r="Q1163" s="10"/>
      <c r="R1163" s="10"/>
      <c r="S1163" s="16"/>
      <c r="T1163" s="16"/>
    </row>
    <row r="1164" spans="1:20" x14ac:dyDescent="0.25">
      <c r="A1164" s="14">
        <v>2014</v>
      </c>
      <c r="B1164" s="14" t="s">
        <v>135</v>
      </c>
      <c r="C1164" s="14" t="s">
        <v>136</v>
      </c>
      <c r="D1164" s="14">
        <v>2</v>
      </c>
      <c r="E1164" s="14">
        <v>2</v>
      </c>
      <c r="F1164" s="14">
        <v>11</v>
      </c>
      <c r="G1164" s="14">
        <v>1</v>
      </c>
      <c r="H1164" s="14" t="s">
        <v>5</v>
      </c>
      <c r="I1164" s="15">
        <v>41947</v>
      </c>
      <c r="J1164" s="14" t="s">
        <v>129</v>
      </c>
      <c r="K1164" s="14">
        <v>1911</v>
      </c>
      <c r="L1164" s="14">
        <v>552</v>
      </c>
      <c r="M1164" s="14">
        <v>0</v>
      </c>
      <c r="N1164" s="14">
        <v>1217</v>
      </c>
      <c r="O1164" s="14">
        <v>142</v>
      </c>
      <c r="P1164" s="10"/>
      <c r="Q1164" s="10"/>
      <c r="R1164" s="10"/>
      <c r="S1164" s="16"/>
      <c r="T1164" s="16"/>
    </row>
    <row r="1165" spans="1:20" x14ac:dyDescent="0.25">
      <c r="A1165" s="14">
        <v>2014</v>
      </c>
      <c r="B1165" s="14" t="s">
        <v>135</v>
      </c>
      <c r="C1165" s="14" t="s">
        <v>136</v>
      </c>
      <c r="D1165" s="14">
        <v>2</v>
      </c>
      <c r="E1165" s="14">
        <v>1</v>
      </c>
      <c r="F1165" s="14">
        <v>12</v>
      </c>
      <c r="G1165" s="14">
        <v>1</v>
      </c>
      <c r="H1165" s="14" t="s">
        <v>3</v>
      </c>
      <c r="I1165" s="15">
        <v>41947</v>
      </c>
      <c r="J1165" s="14" t="s">
        <v>129</v>
      </c>
      <c r="K1165" s="14">
        <v>1735</v>
      </c>
      <c r="L1165" s="14">
        <v>522</v>
      </c>
      <c r="M1165" s="14">
        <v>0</v>
      </c>
      <c r="N1165" s="14">
        <v>1082</v>
      </c>
      <c r="O1165" s="14">
        <v>131</v>
      </c>
      <c r="P1165" s="10"/>
      <c r="Q1165" s="10"/>
      <c r="R1165" s="10"/>
      <c r="S1165" s="16"/>
      <c r="T1165" s="16"/>
    </row>
    <row r="1166" spans="1:20" x14ac:dyDescent="0.25">
      <c r="A1166" s="14">
        <v>2014</v>
      </c>
      <c r="B1166" s="14" t="s">
        <v>135</v>
      </c>
      <c r="C1166" s="14" t="s">
        <v>136</v>
      </c>
      <c r="D1166" s="14">
        <v>3</v>
      </c>
      <c r="E1166" s="14">
        <v>1</v>
      </c>
      <c r="F1166" s="14">
        <v>1</v>
      </c>
      <c r="G1166" s="14">
        <v>2</v>
      </c>
      <c r="H1166" s="14" t="s">
        <v>9</v>
      </c>
      <c r="I1166" s="15">
        <v>41947</v>
      </c>
      <c r="J1166" s="14" t="s">
        <v>129</v>
      </c>
      <c r="K1166" s="14">
        <v>1639</v>
      </c>
      <c r="L1166" s="14">
        <v>590</v>
      </c>
      <c r="M1166" s="14">
        <v>0</v>
      </c>
      <c r="N1166" s="14">
        <v>931</v>
      </c>
      <c r="O1166" s="14">
        <v>117</v>
      </c>
      <c r="P1166" s="10"/>
      <c r="Q1166" s="10"/>
      <c r="R1166" s="10"/>
      <c r="S1166" s="16"/>
      <c r="T1166" s="16"/>
    </row>
    <row r="1167" spans="1:20" x14ac:dyDescent="0.25">
      <c r="A1167" s="14">
        <v>2014</v>
      </c>
      <c r="B1167" s="14" t="s">
        <v>135</v>
      </c>
      <c r="C1167" s="14" t="s">
        <v>136</v>
      </c>
      <c r="D1167" s="14">
        <v>3</v>
      </c>
      <c r="E1167" s="14">
        <v>2</v>
      </c>
      <c r="F1167" s="14">
        <v>2</v>
      </c>
      <c r="G1167" s="14">
        <v>2</v>
      </c>
      <c r="H1167" s="14" t="s">
        <v>10</v>
      </c>
      <c r="I1167" s="15">
        <v>41947</v>
      </c>
      <c r="J1167" s="14" t="s">
        <v>129</v>
      </c>
      <c r="K1167" s="14">
        <v>1901</v>
      </c>
      <c r="L1167" s="14">
        <v>582</v>
      </c>
      <c r="M1167" s="14">
        <v>0</v>
      </c>
      <c r="N1167" s="14">
        <v>1205</v>
      </c>
      <c r="O1167" s="14">
        <v>114</v>
      </c>
      <c r="P1167" s="10"/>
      <c r="Q1167" s="10"/>
      <c r="R1167" s="10"/>
      <c r="S1167" s="16"/>
      <c r="T1167" s="16"/>
    </row>
    <row r="1168" spans="1:20" x14ac:dyDescent="0.25">
      <c r="A1168" s="14">
        <v>2014</v>
      </c>
      <c r="B1168" s="14" t="s">
        <v>135</v>
      </c>
      <c r="C1168" s="14" t="s">
        <v>136</v>
      </c>
      <c r="D1168" s="14">
        <v>3</v>
      </c>
      <c r="E1168" s="14">
        <v>3</v>
      </c>
      <c r="F1168" s="14">
        <v>3</v>
      </c>
      <c r="G1168" s="14">
        <v>2</v>
      </c>
      <c r="H1168" s="14" t="s">
        <v>5</v>
      </c>
      <c r="I1168" s="15">
        <v>41947</v>
      </c>
      <c r="J1168" s="14" t="s">
        <v>129</v>
      </c>
      <c r="K1168" s="14">
        <v>2004</v>
      </c>
      <c r="L1168" s="14">
        <v>546</v>
      </c>
      <c r="M1168" s="14">
        <v>0</v>
      </c>
      <c r="N1168" s="14">
        <v>1300</v>
      </c>
      <c r="O1168" s="14">
        <v>158</v>
      </c>
      <c r="P1168" s="10"/>
      <c r="Q1168" s="10"/>
      <c r="R1168" s="10"/>
      <c r="S1168" s="16"/>
      <c r="T1168" s="16"/>
    </row>
    <row r="1169" spans="1:20" x14ac:dyDescent="0.25">
      <c r="A1169" s="14">
        <v>2014</v>
      </c>
      <c r="B1169" s="14" t="s">
        <v>135</v>
      </c>
      <c r="C1169" s="14" t="s">
        <v>136</v>
      </c>
      <c r="D1169" s="14">
        <v>3</v>
      </c>
      <c r="E1169" s="14">
        <v>4</v>
      </c>
      <c r="F1169" s="14">
        <v>4</v>
      </c>
      <c r="G1169" s="14">
        <v>2</v>
      </c>
      <c r="H1169" s="14" t="s">
        <v>13</v>
      </c>
      <c r="I1169" s="15">
        <v>41947</v>
      </c>
      <c r="J1169" s="14" t="s">
        <v>129</v>
      </c>
      <c r="K1169" s="14">
        <v>1797</v>
      </c>
      <c r="L1169" s="14">
        <v>598</v>
      </c>
      <c r="M1169" s="14">
        <v>0</v>
      </c>
      <c r="N1169" s="14">
        <v>1127</v>
      </c>
      <c r="O1169" s="14">
        <v>72</v>
      </c>
      <c r="P1169" s="10"/>
      <c r="Q1169" s="10"/>
      <c r="R1169" s="10"/>
      <c r="S1169" s="16"/>
      <c r="T1169" s="16"/>
    </row>
    <row r="1170" spans="1:20" x14ac:dyDescent="0.25">
      <c r="A1170" s="14">
        <v>2014</v>
      </c>
      <c r="B1170" s="14" t="s">
        <v>135</v>
      </c>
      <c r="C1170" s="14" t="s">
        <v>136</v>
      </c>
      <c r="D1170" s="14">
        <v>3</v>
      </c>
      <c r="E1170" s="14">
        <v>5</v>
      </c>
      <c r="F1170" s="14">
        <v>5</v>
      </c>
      <c r="G1170" s="14">
        <v>2</v>
      </c>
      <c r="H1170" s="14" t="s">
        <v>14</v>
      </c>
      <c r="I1170" s="15">
        <v>41947</v>
      </c>
      <c r="J1170" s="14" t="s">
        <v>129</v>
      </c>
      <c r="K1170" s="14">
        <v>1922</v>
      </c>
      <c r="L1170" s="14">
        <v>690</v>
      </c>
      <c r="M1170" s="14">
        <v>0</v>
      </c>
      <c r="N1170" s="14">
        <v>1123</v>
      </c>
      <c r="O1170" s="14">
        <v>108</v>
      </c>
      <c r="P1170" s="10"/>
      <c r="Q1170" s="10"/>
      <c r="R1170" s="10"/>
      <c r="S1170" s="16"/>
      <c r="T1170" s="16"/>
    </row>
    <row r="1171" spans="1:20" x14ac:dyDescent="0.25">
      <c r="A1171" s="14">
        <v>2014</v>
      </c>
      <c r="B1171" s="14" t="s">
        <v>135</v>
      </c>
      <c r="C1171" s="14" t="s">
        <v>136</v>
      </c>
      <c r="D1171" s="14">
        <v>3</v>
      </c>
      <c r="E1171" s="14">
        <v>6</v>
      </c>
      <c r="F1171" s="14">
        <v>6</v>
      </c>
      <c r="G1171" s="14">
        <v>2</v>
      </c>
      <c r="H1171" s="14" t="s">
        <v>3</v>
      </c>
      <c r="I1171" s="15">
        <v>41947</v>
      </c>
      <c r="J1171" s="14" t="s">
        <v>129</v>
      </c>
      <c r="K1171" s="14">
        <v>1914</v>
      </c>
      <c r="L1171" s="14">
        <v>579</v>
      </c>
      <c r="M1171" s="14">
        <v>0</v>
      </c>
      <c r="N1171" s="14">
        <v>1166</v>
      </c>
      <c r="O1171" s="14">
        <v>169</v>
      </c>
      <c r="P1171" s="10"/>
      <c r="Q1171" s="10"/>
      <c r="R1171" s="10"/>
      <c r="S1171" s="16"/>
      <c r="T1171" s="16"/>
    </row>
    <row r="1172" spans="1:20" x14ac:dyDescent="0.25">
      <c r="A1172" s="14">
        <v>2014</v>
      </c>
      <c r="B1172" s="14" t="s">
        <v>135</v>
      </c>
      <c r="C1172" s="14" t="s">
        <v>136</v>
      </c>
      <c r="D1172" s="14">
        <v>4</v>
      </c>
      <c r="E1172" s="14">
        <v>6</v>
      </c>
      <c r="F1172" s="14">
        <v>7</v>
      </c>
      <c r="G1172" s="14">
        <v>2</v>
      </c>
      <c r="H1172" s="14" t="s">
        <v>2</v>
      </c>
      <c r="I1172" s="15">
        <v>41947</v>
      </c>
      <c r="J1172" s="14" t="s">
        <v>129</v>
      </c>
      <c r="K1172" s="14">
        <v>1773</v>
      </c>
      <c r="L1172" s="14">
        <v>587</v>
      </c>
      <c r="M1172" s="14">
        <v>0</v>
      </c>
      <c r="N1172" s="14">
        <v>1081</v>
      </c>
      <c r="O1172" s="14">
        <v>105</v>
      </c>
      <c r="P1172" s="10"/>
      <c r="Q1172" s="10"/>
      <c r="R1172" s="10"/>
      <c r="S1172" s="16"/>
      <c r="T1172" s="16"/>
    </row>
    <row r="1173" spans="1:20" x14ac:dyDescent="0.25">
      <c r="A1173" s="14">
        <v>2014</v>
      </c>
      <c r="B1173" s="14" t="s">
        <v>135</v>
      </c>
      <c r="C1173" s="14" t="s">
        <v>136</v>
      </c>
      <c r="D1173" s="14">
        <v>4</v>
      </c>
      <c r="E1173" s="14">
        <v>5</v>
      </c>
      <c r="F1173" s="14">
        <v>8</v>
      </c>
      <c r="G1173" s="14">
        <v>2</v>
      </c>
      <c r="H1173" s="14" t="s">
        <v>8</v>
      </c>
      <c r="I1173" s="15">
        <v>41947</v>
      </c>
      <c r="J1173" s="14" t="s">
        <v>129</v>
      </c>
      <c r="K1173" s="14">
        <v>1890</v>
      </c>
      <c r="L1173" s="14">
        <v>633</v>
      </c>
      <c r="M1173" s="14">
        <v>0</v>
      </c>
      <c r="N1173" s="14">
        <v>1112</v>
      </c>
      <c r="O1173" s="14">
        <v>145</v>
      </c>
      <c r="P1173" s="10"/>
      <c r="Q1173" s="10"/>
      <c r="R1173" s="10"/>
      <c r="S1173" s="16"/>
      <c r="T1173" s="16"/>
    </row>
    <row r="1174" spans="1:20" x14ac:dyDescent="0.25">
      <c r="A1174" s="14">
        <v>2014</v>
      </c>
      <c r="B1174" s="14" t="s">
        <v>135</v>
      </c>
      <c r="C1174" s="14" t="s">
        <v>136</v>
      </c>
      <c r="D1174" s="14">
        <v>4</v>
      </c>
      <c r="E1174" s="14">
        <v>4</v>
      </c>
      <c r="F1174" s="14">
        <v>9</v>
      </c>
      <c r="G1174" s="14">
        <v>2</v>
      </c>
      <c r="H1174" s="14" t="s">
        <v>12</v>
      </c>
      <c r="I1174" s="15">
        <v>41947</v>
      </c>
      <c r="J1174" s="14" t="s">
        <v>129</v>
      </c>
      <c r="K1174" s="14">
        <v>1912</v>
      </c>
      <c r="L1174" s="14">
        <v>657</v>
      </c>
      <c r="M1174" s="14">
        <v>0</v>
      </c>
      <c r="N1174" s="14">
        <v>1123</v>
      </c>
      <c r="O1174" s="14">
        <v>132</v>
      </c>
      <c r="P1174" s="10"/>
      <c r="Q1174" s="10"/>
      <c r="R1174" s="10"/>
      <c r="S1174" s="16"/>
      <c r="T1174" s="16"/>
    </row>
    <row r="1175" spans="1:20" x14ac:dyDescent="0.25">
      <c r="A1175" s="14">
        <v>2014</v>
      </c>
      <c r="B1175" s="14" t="s">
        <v>135</v>
      </c>
      <c r="C1175" s="14" t="s">
        <v>136</v>
      </c>
      <c r="D1175" s="14">
        <v>4</v>
      </c>
      <c r="E1175" s="14">
        <v>3</v>
      </c>
      <c r="F1175" s="14">
        <v>10</v>
      </c>
      <c r="G1175" s="14">
        <v>2</v>
      </c>
      <c r="H1175" s="14" t="s">
        <v>7</v>
      </c>
      <c r="I1175" s="15">
        <v>41947</v>
      </c>
      <c r="J1175" s="14" t="s">
        <v>129</v>
      </c>
      <c r="K1175" s="14">
        <v>1837</v>
      </c>
      <c r="L1175" s="14">
        <v>609</v>
      </c>
      <c r="M1175" s="14">
        <v>0</v>
      </c>
      <c r="N1175" s="14">
        <v>1131</v>
      </c>
      <c r="O1175" s="14">
        <v>96</v>
      </c>
      <c r="P1175" s="10"/>
      <c r="Q1175" s="10"/>
      <c r="R1175" s="10"/>
      <c r="S1175" s="16"/>
      <c r="T1175" s="16"/>
    </row>
    <row r="1176" spans="1:20" x14ac:dyDescent="0.25">
      <c r="A1176" s="14">
        <v>2014</v>
      </c>
      <c r="B1176" s="14" t="s">
        <v>135</v>
      </c>
      <c r="C1176" s="14" t="s">
        <v>136</v>
      </c>
      <c r="D1176" s="14">
        <v>4</v>
      </c>
      <c r="E1176" s="14">
        <v>2</v>
      </c>
      <c r="F1176" s="14">
        <v>11</v>
      </c>
      <c r="G1176" s="14">
        <v>2</v>
      </c>
      <c r="H1176" s="14" t="s">
        <v>6</v>
      </c>
      <c r="I1176" s="15">
        <v>41947</v>
      </c>
      <c r="J1176" s="14" t="s">
        <v>129</v>
      </c>
      <c r="K1176" s="14">
        <v>1710</v>
      </c>
      <c r="L1176" s="14">
        <v>635</v>
      </c>
      <c r="M1176" s="14">
        <v>0</v>
      </c>
      <c r="N1176" s="14">
        <v>975</v>
      </c>
      <c r="O1176" s="14">
        <v>101</v>
      </c>
      <c r="P1176" s="10"/>
      <c r="Q1176" s="10"/>
      <c r="R1176" s="10"/>
      <c r="S1176" s="16"/>
      <c r="T1176" s="16"/>
    </row>
    <row r="1177" spans="1:20" x14ac:dyDescent="0.25">
      <c r="A1177" s="14">
        <v>2014</v>
      </c>
      <c r="B1177" s="14" t="s">
        <v>135</v>
      </c>
      <c r="C1177" s="14" t="s">
        <v>136</v>
      </c>
      <c r="D1177" s="14">
        <v>4</v>
      </c>
      <c r="E1177" s="14">
        <v>1</v>
      </c>
      <c r="F1177" s="14">
        <v>12</v>
      </c>
      <c r="G1177" s="14">
        <v>2</v>
      </c>
      <c r="H1177" s="14" t="s">
        <v>4</v>
      </c>
      <c r="I1177" s="15">
        <v>41947</v>
      </c>
      <c r="J1177" s="14" t="s">
        <v>129</v>
      </c>
      <c r="K1177" s="14">
        <v>1882</v>
      </c>
      <c r="L1177" s="14">
        <v>578</v>
      </c>
      <c r="M1177" s="14">
        <v>0</v>
      </c>
      <c r="N1177" s="14">
        <v>1049</v>
      </c>
      <c r="O1177" s="14">
        <v>255</v>
      </c>
      <c r="P1177" s="10"/>
      <c r="Q1177" s="10"/>
      <c r="R1177" s="10"/>
      <c r="S1177" s="16"/>
      <c r="T1177" s="16"/>
    </row>
    <row r="1178" spans="1:20" x14ac:dyDescent="0.25">
      <c r="A1178" s="14">
        <v>2014</v>
      </c>
      <c r="B1178" s="14" t="s">
        <v>135</v>
      </c>
      <c r="C1178" s="14" t="s">
        <v>136</v>
      </c>
      <c r="D1178" s="14">
        <v>5</v>
      </c>
      <c r="E1178" s="14">
        <v>1</v>
      </c>
      <c r="F1178" s="14">
        <v>1</v>
      </c>
      <c r="G1178" s="14">
        <v>3</v>
      </c>
      <c r="H1178" s="14" t="s">
        <v>10</v>
      </c>
      <c r="I1178" s="15">
        <v>41947</v>
      </c>
      <c r="J1178" s="14" t="s">
        <v>129</v>
      </c>
      <c r="K1178" s="14">
        <v>1779</v>
      </c>
      <c r="L1178" s="14">
        <v>573</v>
      </c>
      <c r="M1178" s="14">
        <v>0</v>
      </c>
      <c r="N1178" s="14">
        <v>1073</v>
      </c>
      <c r="O1178" s="14">
        <v>133</v>
      </c>
      <c r="P1178" s="10"/>
      <c r="Q1178" s="10"/>
      <c r="R1178" s="10"/>
      <c r="S1178" s="16"/>
      <c r="T1178" s="16"/>
    </row>
    <row r="1179" spans="1:20" x14ac:dyDescent="0.25">
      <c r="A1179" s="14">
        <v>2014</v>
      </c>
      <c r="B1179" s="14" t="s">
        <v>135</v>
      </c>
      <c r="C1179" s="14" t="s">
        <v>136</v>
      </c>
      <c r="D1179" s="14">
        <v>5</v>
      </c>
      <c r="E1179" s="14">
        <v>2</v>
      </c>
      <c r="F1179" s="14">
        <v>2</v>
      </c>
      <c r="G1179" s="14">
        <v>3</v>
      </c>
      <c r="H1179" s="14" t="s">
        <v>7</v>
      </c>
      <c r="I1179" s="15">
        <v>41947</v>
      </c>
      <c r="J1179" s="14" t="s">
        <v>129</v>
      </c>
      <c r="K1179" s="14">
        <v>1559</v>
      </c>
      <c r="L1179" s="14">
        <v>511</v>
      </c>
      <c r="M1179" s="14">
        <v>0</v>
      </c>
      <c r="N1179" s="14">
        <v>940</v>
      </c>
      <c r="O1179" s="14">
        <v>107</v>
      </c>
      <c r="P1179" s="10"/>
      <c r="Q1179" s="10"/>
      <c r="R1179" s="10"/>
      <c r="S1179" s="16"/>
      <c r="T1179" s="16"/>
    </row>
    <row r="1180" spans="1:20" x14ac:dyDescent="0.25">
      <c r="A1180" s="14">
        <v>2014</v>
      </c>
      <c r="B1180" s="14" t="s">
        <v>135</v>
      </c>
      <c r="C1180" s="14" t="s">
        <v>136</v>
      </c>
      <c r="D1180" s="14">
        <v>5</v>
      </c>
      <c r="E1180" s="14">
        <v>3</v>
      </c>
      <c r="F1180" s="14">
        <v>3</v>
      </c>
      <c r="G1180" s="14">
        <v>3</v>
      </c>
      <c r="H1180" s="14" t="s">
        <v>13</v>
      </c>
      <c r="I1180" s="15">
        <v>41947</v>
      </c>
      <c r="J1180" s="14" t="s">
        <v>129</v>
      </c>
      <c r="K1180" s="14">
        <v>1701</v>
      </c>
      <c r="L1180" s="14">
        <v>563</v>
      </c>
      <c r="M1180" s="14">
        <v>0</v>
      </c>
      <c r="N1180" s="14">
        <v>1027</v>
      </c>
      <c r="O1180" s="14">
        <v>111</v>
      </c>
      <c r="P1180" s="10"/>
      <c r="Q1180" s="10"/>
      <c r="R1180" s="10"/>
      <c r="S1180" s="16"/>
      <c r="T1180" s="16"/>
    </row>
    <row r="1181" spans="1:20" x14ac:dyDescent="0.25">
      <c r="A1181" s="14">
        <v>2014</v>
      </c>
      <c r="B1181" s="14" t="s">
        <v>135</v>
      </c>
      <c r="C1181" s="14" t="s">
        <v>136</v>
      </c>
      <c r="D1181" s="14">
        <v>5</v>
      </c>
      <c r="E1181" s="14">
        <v>4</v>
      </c>
      <c r="F1181" s="14">
        <v>4</v>
      </c>
      <c r="G1181" s="14">
        <v>3</v>
      </c>
      <c r="H1181" s="14" t="s">
        <v>8</v>
      </c>
      <c r="I1181" s="15">
        <v>41947</v>
      </c>
      <c r="J1181" s="14" t="s">
        <v>129</v>
      </c>
      <c r="K1181" s="14">
        <v>2027</v>
      </c>
      <c r="L1181" s="14">
        <v>603</v>
      </c>
      <c r="M1181" s="14">
        <v>0</v>
      </c>
      <c r="N1181" s="14">
        <v>1224</v>
      </c>
      <c r="O1181" s="14">
        <v>200</v>
      </c>
      <c r="P1181" s="10"/>
      <c r="Q1181" s="10"/>
      <c r="R1181" s="10"/>
      <c r="S1181" s="16"/>
      <c r="T1181" s="16"/>
    </row>
    <row r="1182" spans="1:20" x14ac:dyDescent="0.25">
      <c r="A1182" s="14">
        <v>2014</v>
      </c>
      <c r="B1182" s="14" t="s">
        <v>135</v>
      </c>
      <c r="C1182" s="14" t="s">
        <v>136</v>
      </c>
      <c r="D1182" s="14">
        <v>5</v>
      </c>
      <c r="E1182" s="14">
        <v>5</v>
      </c>
      <c r="F1182" s="14">
        <v>5</v>
      </c>
      <c r="G1182" s="14">
        <v>3</v>
      </c>
      <c r="H1182" s="14" t="s">
        <v>3</v>
      </c>
      <c r="I1182" s="15">
        <v>41947</v>
      </c>
      <c r="J1182" s="14" t="s">
        <v>129</v>
      </c>
      <c r="K1182" s="14">
        <v>1890</v>
      </c>
      <c r="L1182" s="14">
        <v>528</v>
      </c>
      <c r="M1182" s="14">
        <v>0</v>
      </c>
      <c r="N1182" s="14">
        <v>1103</v>
      </c>
      <c r="O1182" s="14">
        <v>258</v>
      </c>
      <c r="P1182" s="10"/>
      <c r="Q1182" s="10"/>
      <c r="R1182" s="10"/>
      <c r="S1182" s="16"/>
      <c r="T1182" s="16"/>
    </row>
    <row r="1183" spans="1:20" x14ac:dyDescent="0.25">
      <c r="A1183" s="14">
        <v>2014</v>
      </c>
      <c r="B1183" s="14" t="s">
        <v>135</v>
      </c>
      <c r="C1183" s="14" t="s">
        <v>136</v>
      </c>
      <c r="D1183" s="14">
        <v>5</v>
      </c>
      <c r="E1183" s="14">
        <v>6</v>
      </c>
      <c r="F1183" s="14">
        <v>6</v>
      </c>
      <c r="G1183" s="14">
        <v>3</v>
      </c>
      <c r="H1183" s="14" t="s">
        <v>4</v>
      </c>
      <c r="I1183" s="15">
        <v>41947</v>
      </c>
      <c r="J1183" s="14" t="s">
        <v>129</v>
      </c>
      <c r="K1183" s="14">
        <v>1867</v>
      </c>
      <c r="L1183" s="14">
        <v>564</v>
      </c>
      <c r="M1183" s="14">
        <v>0</v>
      </c>
      <c r="N1183" s="14">
        <v>1123</v>
      </c>
      <c r="O1183" s="14">
        <v>180</v>
      </c>
      <c r="P1183" s="10"/>
      <c r="Q1183" s="10"/>
      <c r="R1183" s="10"/>
      <c r="S1183" s="16"/>
      <c r="T1183" s="16"/>
    </row>
    <row r="1184" spans="1:20" x14ac:dyDescent="0.25">
      <c r="A1184" s="14">
        <v>2014</v>
      </c>
      <c r="B1184" s="14" t="s">
        <v>135</v>
      </c>
      <c r="C1184" s="14" t="s">
        <v>136</v>
      </c>
      <c r="D1184" s="14">
        <v>6</v>
      </c>
      <c r="E1184" s="14">
        <v>6</v>
      </c>
      <c r="F1184" s="14">
        <v>7</v>
      </c>
      <c r="G1184" s="14">
        <v>3</v>
      </c>
      <c r="H1184" s="14" t="s">
        <v>5</v>
      </c>
      <c r="I1184" s="15">
        <v>41947</v>
      </c>
      <c r="J1184" s="14" t="s">
        <v>129</v>
      </c>
      <c r="K1184" s="14">
        <v>1825</v>
      </c>
      <c r="L1184" s="14">
        <v>541</v>
      </c>
      <c r="M1184" s="14">
        <v>0</v>
      </c>
      <c r="N1184" s="14">
        <v>1158</v>
      </c>
      <c r="O1184" s="14">
        <v>126</v>
      </c>
      <c r="P1184" s="10"/>
      <c r="Q1184" s="10"/>
      <c r="R1184" s="10"/>
      <c r="S1184" s="16"/>
      <c r="T1184" s="16"/>
    </row>
    <row r="1185" spans="1:20" x14ac:dyDescent="0.25">
      <c r="A1185" s="14">
        <v>2014</v>
      </c>
      <c r="B1185" s="14" t="s">
        <v>135</v>
      </c>
      <c r="C1185" s="14" t="s">
        <v>136</v>
      </c>
      <c r="D1185" s="14">
        <v>6</v>
      </c>
      <c r="E1185" s="14">
        <v>5</v>
      </c>
      <c r="F1185" s="14">
        <v>8</v>
      </c>
      <c r="G1185" s="14">
        <v>3</v>
      </c>
      <c r="H1185" s="14" t="s">
        <v>6</v>
      </c>
      <c r="I1185" s="15">
        <v>41947</v>
      </c>
      <c r="J1185" s="14" t="s">
        <v>129</v>
      </c>
      <c r="K1185" s="14">
        <v>1561</v>
      </c>
      <c r="L1185" s="14">
        <v>539</v>
      </c>
      <c r="M1185" s="14">
        <v>0</v>
      </c>
      <c r="N1185" s="14">
        <v>896</v>
      </c>
      <c r="O1185" s="14">
        <v>126</v>
      </c>
      <c r="P1185" s="10"/>
      <c r="Q1185" s="10"/>
      <c r="R1185" s="10"/>
      <c r="S1185" s="16"/>
      <c r="T1185" s="16"/>
    </row>
    <row r="1186" spans="1:20" x14ac:dyDescent="0.25">
      <c r="A1186" s="14">
        <v>2014</v>
      </c>
      <c r="B1186" s="14" t="s">
        <v>135</v>
      </c>
      <c r="C1186" s="14" t="s">
        <v>136</v>
      </c>
      <c r="D1186" s="14">
        <v>6</v>
      </c>
      <c r="E1186" s="14">
        <v>4</v>
      </c>
      <c r="F1186" s="14">
        <v>9</v>
      </c>
      <c r="G1186" s="14">
        <v>3</v>
      </c>
      <c r="H1186" s="14" t="s">
        <v>9</v>
      </c>
      <c r="I1186" s="15">
        <v>41947</v>
      </c>
      <c r="J1186" s="14" t="s">
        <v>129</v>
      </c>
      <c r="K1186" s="14">
        <v>1466</v>
      </c>
      <c r="L1186" s="14">
        <v>522</v>
      </c>
      <c r="M1186" s="14">
        <v>0</v>
      </c>
      <c r="N1186" s="14">
        <v>832</v>
      </c>
      <c r="O1186" s="14">
        <v>112</v>
      </c>
      <c r="P1186" s="10"/>
      <c r="Q1186" s="10"/>
      <c r="R1186" s="10"/>
      <c r="S1186" s="16"/>
      <c r="T1186" s="16"/>
    </row>
    <row r="1187" spans="1:20" x14ac:dyDescent="0.25">
      <c r="A1187" s="14">
        <v>2014</v>
      </c>
      <c r="B1187" s="14" t="s">
        <v>135</v>
      </c>
      <c r="C1187" s="14" t="s">
        <v>136</v>
      </c>
      <c r="D1187" s="14">
        <v>6</v>
      </c>
      <c r="E1187" s="14">
        <v>3</v>
      </c>
      <c r="F1187" s="14">
        <v>10</v>
      </c>
      <c r="G1187" s="14">
        <v>3</v>
      </c>
      <c r="H1187" s="14" t="s">
        <v>2</v>
      </c>
      <c r="I1187" s="15">
        <v>41947</v>
      </c>
      <c r="J1187" s="14" t="s">
        <v>129</v>
      </c>
      <c r="K1187" s="14">
        <v>1690</v>
      </c>
      <c r="L1187" s="14">
        <v>535</v>
      </c>
      <c r="M1187" s="14">
        <v>0</v>
      </c>
      <c r="N1187" s="14">
        <v>1043</v>
      </c>
      <c r="O1187" s="14">
        <v>111</v>
      </c>
      <c r="P1187" s="10"/>
      <c r="Q1187" s="10"/>
      <c r="R1187" s="10"/>
      <c r="S1187" s="16"/>
      <c r="T1187" s="16"/>
    </row>
    <row r="1188" spans="1:20" x14ac:dyDescent="0.25">
      <c r="A1188" s="14">
        <v>2014</v>
      </c>
      <c r="B1188" s="14" t="s">
        <v>135</v>
      </c>
      <c r="C1188" s="14" t="s">
        <v>136</v>
      </c>
      <c r="D1188" s="14">
        <v>6</v>
      </c>
      <c r="E1188" s="14">
        <v>2</v>
      </c>
      <c r="F1188" s="14">
        <v>11</v>
      </c>
      <c r="G1188" s="14">
        <v>3</v>
      </c>
      <c r="H1188" s="14" t="s">
        <v>14</v>
      </c>
      <c r="I1188" s="15">
        <v>41947</v>
      </c>
      <c r="J1188" s="14" t="s">
        <v>129</v>
      </c>
      <c r="K1188" s="14">
        <v>1753</v>
      </c>
      <c r="L1188" s="14">
        <v>565</v>
      </c>
      <c r="M1188" s="14">
        <v>0</v>
      </c>
      <c r="N1188" s="14">
        <v>1092</v>
      </c>
      <c r="O1188" s="14">
        <v>96</v>
      </c>
      <c r="P1188" s="10"/>
      <c r="Q1188" s="10"/>
      <c r="R1188" s="10"/>
      <c r="S1188" s="16"/>
      <c r="T1188" s="16"/>
    </row>
    <row r="1189" spans="1:20" x14ac:dyDescent="0.25">
      <c r="A1189" s="14">
        <v>2014</v>
      </c>
      <c r="B1189" s="14" t="s">
        <v>135</v>
      </c>
      <c r="C1189" s="14" t="s">
        <v>136</v>
      </c>
      <c r="D1189" s="14">
        <v>6</v>
      </c>
      <c r="E1189" s="14">
        <v>1</v>
      </c>
      <c r="F1189" s="14">
        <v>12</v>
      </c>
      <c r="G1189" s="14">
        <v>3</v>
      </c>
      <c r="H1189" s="14" t="s">
        <v>12</v>
      </c>
      <c r="I1189" s="15">
        <v>41947</v>
      </c>
      <c r="J1189" s="14" t="s">
        <v>129</v>
      </c>
      <c r="K1189" s="14">
        <v>1648</v>
      </c>
      <c r="L1189" s="14">
        <v>551</v>
      </c>
      <c r="M1189" s="14">
        <v>0</v>
      </c>
      <c r="N1189" s="14">
        <v>958</v>
      </c>
      <c r="O1189" s="14">
        <v>140</v>
      </c>
      <c r="P1189" s="10"/>
      <c r="Q1189" s="10"/>
      <c r="R1189" s="10"/>
      <c r="S1189" s="16"/>
      <c r="T1189" s="16"/>
    </row>
    <row r="1190" spans="1:20" x14ac:dyDescent="0.25">
      <c r="A1190" s="14">
        <v>2014</v>
      </c>
      <c r="B1190" s="14" t="s">
        <v>135</v>
      </c>
      <c r="C1190" s="14" t="s">
        <v>136</v>
      </c>
      <c r="D1190" s="14">
        <v>7</v>
      </c>
      <c r="E1190" s="14">
        <v>1</v>
      </c>
      <c r="F1190" s="14">
        <v>1</v>
      </c>
      <c r="G1190" s="14">
        <v>4</v>
      </c>
      <c r="H1190" s="14" t="s">
        <v>5</v>
      </c>
      <c r="I1190" s="15">
        <v>41947</v>
      </c>
      <c r="J1190" s="14" t="s">
        <v>129</v>
      </c>
      <c r="K1190" s="14">
        <v>1643</v>
      </c>
      <c r="L1190" s="14">
        <v>475</v>
      </c>
      <c r="M1190" s="14">
        <v>0</v>
      </c>
      <c r="N1190" s="14">
        <v>1088</v>
      </c>
      <c r="O1190" s="14">
        <v>80</v>
      </c>
      <c r="P1190" s="10"/>
      <c r="Q1190" s="10"/>
      <c r="R1190" s="10"/>
      <c r="S1190" s="16"/>
      <c r="T1190" s="16"/>
    </row>
    <row r="1191" spans="1:20" x14ac:dyDescent="0.25">
      <c r="A1191" s="14">
        <v>2014</v>
      </c>
      <c r="B1191" s="14" t="s">
        <v>135</v>
      </c>
      <c r="C1191" s="14" t="s">
        <v>136</v>
      </c>
      <c r="D1191" s="14">
        <v>7</v>
      </c>
      <c r="E1191" s="14">
        <v>2</v>
      </c>
      <c r="F1191" s="14">
        <v>2</v>
      </c>
      <c r="G1191" s="14">
        <v>4</v>
      </c>
      <c r="H1191" s="14" t="s">
        <v>2</v>
      </c>
      <c r="I1191" s="15">
        <v>41947</v>
      </c>
      <c r="J1191" s="14" t="s">
        <v>129</v>
      </c>
      <c r="K1191" s="14">
        <v>1872</v>
      </c>
      <c r="L1191" s="14">
        <v>581</v>
      </c>
      <c r="M1191" s="14">
        <v>0</v>
      </c>
      <c r="N1191" s="14">
        <v>1177</v>
      </c>
      <c r="O1191" s="14">
        <v>115</v>
      </c>
      <c r="P1191" s="10"/>
      <c r="Q1191" s="10"/>
      <c r="R1191" s="10"/>
      <c r="S1191" s="16"/>
      <c r="T1191" s="16"/>
    </row>
    <row r="1192" spans="1:20" x14ac:dyDescent="0.25">
      <c r="A1192" s="14">
        <v>2014</v>
      </c>
      <c r="B1192" s="14" t="s">
        <v>135</v>
      </c>
      <c r="C1192" s="14" t="s">
        <v>136</v>
      </c>
      <c r="D1192" s="14">
        <v>7</v>
      </c>
      <c r="E1192" s="14">
        <v>3</v>
      </c>
      <c r="F1192" s="14">
        <v>3</v>
      </c>
      <c r="G1192" s="14">
        <v>4</v>
      </c>
      <c r="H1192" s="14" t="s">
        <v>12</v>
      </c>
      <c r="I1192" s="15">
        <v>41947</v>
      </c>
      <c r="J1192" s="14" t="s">
        <v>129</v>
      </c>
      <c r="K1192" s="14">
        <v>1753</v>
      </c>
      <c r="L1192" s="14">
        <v>580</v>
      </c>
      <c r="M1192" s="14">
        <v>0</v>
      </c>
      <c r="N1192" s="14">
        <v>1062</v>
      </c>
      <c r="O1192" s="14">
        <v>110</v>
      </c>
      <c r="P1192" s="10"/>
      <c r="Q1192" s="10"/>
      <c r="R1192" s="10"/>
      <c r="S1192" s="16"/>
      <c r="T1192" s="16"/>
    </row>
    <row r="1193" spans="1:20" x14ac:dyDescent="0.25">
      <c r="A1193" s="14">
        <v>2014</v>
      </c>
      <c r="B1193" s="14" t="s">
        <v>135</v>
      </c>
      <c r="C1193" s="14" t="s">
        <v>136</v>
      </c>
      <c r="D1193" s="14">
        <v>7</v>
      </c>
      <c r="E1193" s="14">
        <v>4</v>
      </c>
      <c r="F1193" s="14">
        <v>4</v>
      </c>
      <c r="G1193" s="14">
        <v>4</v>
      </c>
      <c r="H1193" s="14" t="s">
        <v>14</v>
      </c>
      <c r="I1193" s="15">
        <v>41947</v>
      </c>
      <c r="J1193" s="14" t="s">
        <v>129</v>
      </c>
      <c r="K1193" s="14">
        <v>1699</v>
      </c>
      <c r="L1193" s="14">
        <v>582</v>
      </c>
      <c r="M1193" s="14">
        <v>0</v>
      </c>
      <c r="N1193" s="14">
        <v>1031</v>
      </c>
      <c r="O1193" s="14">
        <v>86</v>
      </c>
      <c r="P1193" s="10"/>
      <c r="Q1193" s="10"/>
      <c r="R1193" s="10"/>
      <c r="S1193" s="16"/>
      <c r="T1193" s="16"/>
    </row>
    <row r="1194" spans="1:20" x14ac:dyDescent="0.25">
      <c r="A1194" s="14">
        <v>2014</v>
      </c>
      <c r="B1194" s="14" t="s">
        <v>135</v>
      </c>
      <c r="C1194" s="14" t="s">
        <v>136</v>
      </c>
      <c r="D1194" s="14">
        <v>7</v>
      </c>
      <c r="E1194" s="14">
        <v>5</v>
      </c>
      <c r="F1194" s="14">
        <v>5</v>
      </c>
      <c r="G1194" s="14">
        <v>4</v>
      </c>
      <c r="H1194" s="14" t="s">
        <v>9</v>
      </c>
      <c r="I1194" s="15">
        <v>41947</v>
      </c>
      <c r="J1194" s="14" t="s">
        <v>129</v>
      </c>
      <c r="K1194" s="14">
        <v>1732</v>
      </c>
      <c r="L1194" s="14">
        <v>572</v>
      </c>
      <c r="M1194" s="14">
        <v>0</v>
      </c>
      <c r="N1194" s="14">
        <v>1040</v>
      </c>
      <c r="O1194" s="14">
        <v>120</v>
      </c>
      <c r="P1194" s="10"/>
      <c r="Q1194" s="10"/>
      <c r="R1194" s="10"/>
      <c r="S1194" s="16"/>
      <c r="T1194" s="16"/>
    </row>
    <row r="1195" spans="1:20" x14ac:dyDescent="0.25">
      <c r="A1195" s="14">
        <v>2014</v>
      </c>
      <c r="B1195" s="14" t="s">
        <v>135</v>
      </c>
      <c r="C1195" s="14" t="s">
        <v>136</v>
      </c>
      <c r="D1195" s="14">
        <v>7</v>
      </c>
      <c r="E1195" s="14">
        <v>6</v>
      </c>
      <c r="F1195" s="14">
        <v>6</v>
      </c>
      <c r="G1195" s="14">
        <v>4</v>
      </c>
      <c r="H1195" s="14" t="s">
        <v>7</v>
      </c>
      <c r="I1195" s="15">
        <v>41947</v>
      </c>
      <c r="J1195" s="14" t="s">
        <v>129</v>
      </c>
      <c r="K1195" s="14">
        <v>1634</v>
      </c>
      <c r="L1195" s="14">
        <v>527</v>
      </c>
      <c r="M1195" s="14">
        <v>0</v>
      </c>
      <c r="N1195" s="14">
        <v>1021</v>
      </c>
      <c r="O1195" s="14">
        <v>86</v>
      </c>
      <c r="P1195" s="10"/>
      <c r="Q1195" s="10"/>
      <c r="R1195" s="10"/>
      <c r="S1195" s="16"/>
      <c r="T1195" s="16"/>
    </row>
    <row r="1196" spans="1:20" x14ac:dyDescent="0.25">
      <c r="A1196" s="14">
        <v>2014</v>
      </c>
      <c r="B1196" s="14" t="s">
        <v>135</v>
      </c>
      <c r="C1196" s="14" t="s">
        <v>136</v>
      </c>
      <c r="D1196" s="14">
        <v>8</v>
      </c>
      <c r="E1196" s="14">
        <v>6</v>
      </c>
      <c r="F1196" s="14">
        <v>7</v>
      </c>
      <c r="G1196" s="14">
        <v>4</v>
      </c>
      <c r="H1196" s="14" t="s">
        <v>8</v>
      </c>
      <c r="I1196" s="15">
        <v>41947</v>
      </c>
      <c r="J1196" s="14" t="s">
        <v>129</v>
      </c>
      <c r="K1196" s="14">
        <v>1995</v>
      </c>
      <c r="L1196" s="14">
        <v>679</v>
      </c>
      <c r="M1196" s="14">
        <v>0</v>
      </c>
      <c r="N1196" s="14">
        <v>1178</v>
      </c>
      <c r="O1196" s="14">
        <v>139</v>
      </c>
      <c r="P1196" s="10"/>
      <c r="Q1196" s="10"/>
      <c r="R1196" s="10"/>
      <c r="S1196" s="16"/>
      <c r="T1196" s="16"/>
    </row>
    <row r="1197" spans="1:20" x14ac:dyDescent="0.25">
      <c r="A1197" s="14">
        <v>2014</v>
      </c>
      <c r="B1197" s="14" t="s">
        <v>135</v>
      </c>
      <c r="C1197" s="14" t="s">
        <v>136</v>
      </c>
      <c r="D1197" s="14">
        <v>8</v>
      </c>
      <c r="E1197" s="14">
        <v>5</v>
      </c>
      <c r="F1197" s="14">
        <v>8</v>
      </c>
      <c r="G1197" s="14">
        <v>4</v>
      </c>
      <c r="H1197" s="14" t="s">
        <v>10</v>
      </c>
      <c r="I1197" s="15">
        <v>41947</v>
      </c>
      <c r="J1197" s="14" t="s">
        <v>129</v>
      </c>
      <c r="K1197" s="14">
        <v>1845</v>
      </c>
      <c r="L1197" s="14">
        <v>515</v>
      </c>
      <c r="M1197" s="14">
        <v>0</v>
      </c>
      <c r="N1197" s="14">
        <v>1158</v>
      </c>
      <c r="O1197" s="14">
        <v>172</v>
      </c>
      <c r="P1197" s="10"/>
      <c r="Q1197" s="10"/>
      <c r="R1197" s="10"/>
      <c r="S1197" s="16"/>
      <c r="T1197" s="16"/>
    </row>
    <row r="1198" spans="1:20" x14ac:dyDescent="0.25">
      <c r="A1198" s="14">
        <v>2014</v>
      </c>
      <c r="B1198" s="14" t="s">
        <v>135</v>
      </c>
      <c r="C1198" s="14" t="s">
        <v>136</v>
      </c>
      <c r="D1198" s="14">
        <v>8</v>
      </c>
      <c r="E1198" s="14">
        <v>4</v>
      </c>
      <c r="F1198" s="14">
        <v>9</v>
      </c>
      <c r="G1198" s="14">
        <v>4</v>
      </c>
      <c r="H1198" s="14" t="s">
        <v>6</v>
      </c>
      <c r="I1198" s="15">
        <v>41947</v>
      </c>
      <c r="J1198" s="14" t="s">
        <v>129</v>
      </c>
      <c r="K1198" s="14">
        <v>1772</v>
      </c>
      <c r="L1198" s="14">
        <v>623</v>
      </c>
      <c r="M1198" s="14">
        <v>0</v>
      </c>
      <c r="N1198" s="14">
        <v>1039</v>
      </c>
      <c r="O1198" s="14">
        <v>110</v>
      </c>
      <c r="P1198" s="10"/>
      <c r="Q1198" s="10"/>
      <c r="R1198" s="10"/>
      <c r="S1198" s="16"/>
      <c r="T1198" s="16"/>
    </row>
    <row r="1199" spans="1:20" x14ac:dyDescent="0.25">
      <c r="A1199" s="14">
        <v>2014</v>
      </c>
      <c r="B1199" s="14" t="s">
        <v>135</v>
      </c>
      <c r="C1199" s="14" t="s">
        <v>136</v>
      </c>
      <c r="D1199" s="14">
        <v>8</v>
      </c>
      <c r="E1199" s="14">
        <v>3</v>
      </c>
      <c r="F1199" s="14">
        <v>10</v>
      </c>
      <c r="G1199" s="14">
        <v>4</v>
      </c>
      <c r="H1199" s="14" t="s">
        <v>3</v>
      </c>
      <c r="I1199" s="15">
        <v>41947</v>
      </c>
      <c r="J1199" s="14" t="s">
        <v>129</v>
      </c>
      <c r="K1199" s="14">
        <v>2037</v>
      </c>
      <c r="L1199" s="14">
        <v>664</v>
      </c>
      <c r="M1199" s="14">
        <v>0</v>
      </c>
      <c r="N1199" s="14">
        <v>1218</v>
      </c>
      <c r="O1199" s="14">
        <v>155</v>
      </c>
      <c r="P1199" s="10"/>
      <c r="Q1199" s="10"/>
      <c r="R1199" s="10"/>
      <c r="S1199" s="16"/>
      <c r="T1199" s="16"/>
    </row>
    <row r="1200" spans="1:20" x14ac:dyDescent="0.25">
      <c r="A1200" s="14">
        <v>2014</v>
      </c>
      <c r="B1200" s="14" t="s">
        <v>135</v>
      </c>
      <c r="C1200" s="14" t="s">
        <v>136</v>
      </c>
      <c r="D1200" s="14">
        <v>8</v>
      </c>
      <c r="E1200" s="14">
        <v>2</v>
      </c>
      <c r="F1200" s="14">
        <v>11</v>
      </c>
      <c r="G1200" s="14">
        <v>4</v>
      </c>
      <c r="H1200" s="14" t="s">
        <v>13</v>
      </c>
      <c r="I1200" s="15">
        <v>41947</v>
      </c>
      <c r="J1200" s="14" t="s">
        <v>129</v>
      </c>
      <c r="K1200" s="14">
        <v>1698</v>
      </c>
      <c r="L1200" s="14">
        <v>527</v>
      </c>
      <c r="M1200" s="14">
        <v>0</v>
      </c>
      <c r="N1200" s="14">
        <v>1080</v>
      </c>
      <c r="O1200" s="14">
        <v>92</v>
      </c>
      <c r="P1200" s="10"/>
      <c r="Q1200" s="10"/>
      <c r="R1200" s="10"/>
      <c r="S1200" s="16"/>
      <c r="T1200" s="16"/>
    </row>
    <row r="1201" spans="1:20" x14ac:dyDescent="0.25">
      <c r="A1201" s="14">
        <v>2014</v>
      </c>
      <c r="B1201" s="14" t="s">
        <v>135</v>
      </c>
      <c r="C1201" s="14" t="s">
        <v>136</v>
      </c>
      <c r="D1201" s="14">
        <v>8</v>
      </c>
      <c r="E1201" s="14">
        <v>1</v>
      </c>
      <c r="F1201" s="14">
        <v>12</v>
      </c>
      <c r="G1201" s="14">
        <v>4</v>
      </c>
      <c r="H1201" s="14" t="s">
        <v>4</v>
      </c>
      <c r="I1201" s="15">
        <v>41947</v>
      </c>
      <c r="J1201" s="14" t="s">
        <v>129</v>
      </c>
      <c r="K1201" s="14">
        <v>1832</v>
      </c>
      <c r="L1201" s="14">
        <v>626</v>
      </c>
      <c r="M1201" s="14">
        <v>0</v>
      </c>
      <c r="N1201" s="14">
        <v>1066</v>
      </c>
      <c r="O1201" s="14">
        <v>140</v>
      </c>
      <c r="P1201" s="10"/>
      <c r="Q1201" s="10"/>
      <c r="R1201" s="10"/>
      <c r="S1201" s="16"/>
      <c r="T1201" s="16"/>
    </row>
    <row r="1202" spans="1:20" x14ac:dyDescent="0.25">
      <c r="A1202" s="14">
        <v>2014</v>
      </c>
      <c r="B1202" s="14" t="s">
        <v>137</v>
      </c>
      <c r="C1202" s="14" t="s">
        <v>138</v>
      </c>
      <c r="D1202" s="14">
        <v>1</v>
      </c>
      <c r="E1202" s="14">
        <v>1</v>
      </c>
      <c r="F1202" s="14">
        <v>1</v>
      </c>
      <c r="G1202" s="14">
        <v>1</v>
      </c>
      <c r="H1202" s="14" t="s">
        <v>14</v>
      </c>
      <c r="I1202" s="15">
        <v>41834</v>
      </c>
      <c r="J1202" s="14" t="s">
        <v>125</v>
      </c>
      <c r="K1202" s="14">
        <v>126</v>
      </c>
      <c r="L1202" s="14">
        <v>43</v>
      </c>
      <c r="M1202" s="14">
        <v>83</v>
      </c>
      <c r="N1202" s="14"/>
      <c r="O1202" s="14">
        <v>0</v>
      </c>
      <c r="P1202" s="10">
        <v>-25.38</v>
      </c>
      <c r="Q1202" s="10">
        <v>48.4</v>
      </c>
      <c r="R1202" s="10">
        <v>21.5</v>
      </c>
      <c r="S1202" s="16">
        <f t="shared" ref="S1202:S1249" si="67">K1202*Q1202/1000</f>
        <v>6.0983999999999998</v>
      </c>
      <c r="T1202" s="16">
        <f t="shared" ref="T1202:T1218" si="68">K1202*R1202/1000</f>
        <v>2.7090000000000001</v>
      </c>
    </row>
    <row r="1203" spans="1:20" x14ac:dyDescent="0.25">
      <c r="A1203" s="14">
        <v>2014</v>
      </c>
      <c r="B1203" s="14" t="s">
        <v>137</v>
      </c>
      <c r="C1203" s="14" t="s">
        <v>138</v>
      </c>
      <c r="D1203" s="14">
        <v>1</v>
      </c>
      <c r="E1203" s="14">
        <v>2</v>
      </c>
      <c r="F1203" s="14">
        <v>2</v>
      </c>
      <c r="G1203" s="14">
        <v>1</v>
      </c>
      <c r="H1203" s="14" t="s">
        <v>9</v>
      </c>
      <c r="I1203" s="15">
        <v>41834</v>
      </c>
      <c r="J1203" s="14" t="s">
        <v>125</v>
      </c>
      <c r="K1203" s="14">
        <v>150</v>
      </c>
      <c r="L1203" s="14">
        <v>55</v>
      </c>
      <c r="M1203" s="14">
        <v>95</v>
      </c>
      <c r="N1203" s="14"/>
      <c r="O1203" s="14">
        <v>0</v>
      </c>
      <c r="P1203" s="10">
        <v>-25.35</v>
      </c>
      <c r="Q1203" s="10">
        <v>48.9</v>
      </c>
      <c r="R1203" s="10">
        <v>40.5</v>
      </c>
      <c r="S1203" s="16">
        <f t="shared" si="67"/>
        <v>7.335</v>
      </c>
      <c r="T1203" s="16">
        <f t="shared" si="68"/>
        <v>6.0750000000000002</v>
      </c>
    </row>
    <row r="1204" spans="1:20" x14ac:dyDescent="0.25">
      <c r="A1204" s="14">
        <v>2014</v>
      </c>
      <c r="B1204" s="14" t="s">
        <v>137</v>
      </c>
      <c r="C1204" s="14" t="s">
        <v>138</v>
      </c>
      <c r="D1204" s="14">
        <v>1</v>
      </c>
      <c r="E1204" s="14">
        <v>3</v>
      </c>
      <c r="F1204" s="14">
        <v>3</v>
      </c>
      <c r="G1204" s="14">
        <v>1</v>
      </c>
      <c r="H1204" s="14" t="s">
        <v>5</v>
      </c>
      <c r="I1204" s="15">
        <v>41834</v>
      </c>
      <c r="J1204" s="14" t="s">
        <v>125</v>
      </c>
      <c r="K1204" s="14">
        <v>148</v>
      </c>
      <c r="L1204" s="14">
        <v>52</v>
      </c>
      <c r="M1204" s="14">
        <v>97</v>
      </c>
      <c r="N1204" s="14"/>
      <c r="O1204" s="14">
        <v>0</v>
      </c>
      <c r="P1204" s="10">
        <v>-25.54</v>
      </c>
      <c r="Q1204" s="10">
        <v>49.9</v>
      </c>
      <c r="R1204" s="10">
        <v>40.6</v>
      </c>
      <c r="S1204" s="16">
        <f t="shared" si="67"/>
        <v>7.3852000000000002</v>
      </c>
      <c r="T1204" s="16">
        <f t="shared" si="68"/>
        <v>6.0087999999999999</v>
      </c>
    </row>
    <row r="1205" spans="1:20" x14ac:dyDescent="0.25">
      <c r="A1205" s="14">
        <v>2014</v>
      </c>
      <c r="B1205" s="14" t="s">
        <v>137</v>
      </c>
      <c r="C1205" s="14" t="s">
        <v>138</v>
      </c>
      <c r="D1205" s="14">
        <v>1</v>
      </c>
      <c r="E1205" s="14">
        <v>4</v>
      </c>
      <c r="F1205" s="14">
        <v>4</v>
      </c>
      <c r="G1205" s="14">
        <v>1</v>
      </c>
      <c r="H1205" s="14" t="s">
        <v>12</v>
      </c>
      <c r="I1205" s="15">
        <v>41834</v>
      </c>
      <c r="J1205" s="14" t="s">
        <v>125</v>
      </c>
      <c r="K1205" s="14">
        <v>141</v>
      </c>
      <c r="L1205" s="14">
        <v>54</v>
      </c>
      <c r="M1205" s="14">
        <v>87</v>
      </c>
      <c r="N1205" s="14"/>
      <c r="O1205" s="14">
        <v>0</v>
      </c>
      <c r="P1205" s="10">
        <v>-25.45</v>
      </c>
      <c r="Q1205" s="10">
        <v>46</v>
      </c>
      <c r="R1205" s="10">
        <v>34.6</v>
      </c>
      <c r="S1205" s="16">
        <f t="shared" si="67"/>
        <v>6.4859999999999998</v>
      </c>
      <c r="T1205" s="16">
        <f t="shared" si="68"/>
        <v>4.8786000000000005</v>
      </c>
    </row>
    <row r="1206" spans="1:20" x14ac:dyDescent="0.25">
      <c r="A1206" s="14">
        <v>2014</v>
      </c>
      <c r="B1206" s="14" t="s">
        <v>137</v>
      </c>
      <c r="C1206" s="14" t="s">
        <v>138</v>
      </c>
      <c r="D1206" s="14">
        <v>1</v>
      </c>
      <c r="E1206" s="14">
        <v>5</v>
      </c>
      <c r="F1206" s="14">
        <v>5</v>
      </c>
      <c r="G1206" s="14">
        <v>1</v>
      </c>
      <c r="H1206" s="14" t="s">
        <v>10</v>
      </c>
      <c r="I1206" s="15">
        <v>41834</v>
      </c>
      <c r="J1206" s="14" t="s">
        <v>125</v>
      </c>
      <c r="K1206" s="14">
        <v>165</v>
      </c>
      <c r="L1206" s="14">
        <v>56</v>
      </c>
      <c r="M1206" s="14">
        <v>109</v>
      </c>
      <c r="N1206" s="14"/>
      <c r="O1206" s="14">
        <v>0</v>
      </c>
      <c r="P1206" s="10">
        <v>-25.82</v>
      </c>
      <c r="Q1206" s="10">
        <v>52.5</v>
      </c>
      <c r="R1206" s="10">
        <v>22.3</v>
      </c>
      <c r="S1206" s="16">
        <f t="shared" si="67"/>
        <v>8.6624999999999996</v>
      </c>
      <c r="T1206" s="16">
        <f t="shared" si="68"/>
        <v>3.6795</v>
      </c>
    </row>
    <row r="1207" spans="1:20" x14ac:dyDescent="0.25">
      <c r="A1207" s="14">
        <v>2014</v>
      </c>
      <c r="B1207" s="14" t="s">
        <v>137</v>
      </c>
      <c r="C1207" s="14" t="s">
        <v>138</v>
      </c>
      <c r="D1207" s="14">
        <v>1</v>
      </c>
      <c r="E1207" s="14">
        <v>6</v>
      </c>
      <c r="F1207" s="14">
        <v>6</v>
      </c>
      <c r="G1207" s="14">
        <v>1</v>
      </c>
      <c r="H1207" s="14" t="s">
        <v>4</v>
      </c>
      <c r="I1207" s="15">
        <v>41834</v>
      </c>
      <c r="J1207" s="14" t="s">
        <v>125</v>
      </c>
      <c r="K1207" s="14">
        <v>93</v>
      </c>
      <c r="L1207" s="14">
        <v>32</v>
      </c>
      <c r="M1207" s="14">
        <v>61</v>
      </c>
      <c r="N1207" s="14"/>
      <c r="O1207" s="14">
        <v>0</v>
      </c>
      <c r="P1207" s="10">
        <v>-26.03</v>
      </c>
      <c r="Q1207" s="10">
        <v>50.7</v>
      </c>
      <c r="R1207" s="10">
        <v>28.3</v>
      </c>
      <c r="S1207" s="16">
        <f t="shared" si="67"/>
        <v>4.7151000000000005</v>
      </c>
      <c r="T1207" s="16">
        <f t="shared" si="68"/>
        <v>2.6318999999999999</v>
      </c>
    </row>
    <row r="1208" spans="1:20" x14ac:dyDescent="0.25">
      <c r="A1208" s="14">
        <v>2014</v>
      </c>
      <c r="B1208" s="14" t="s">
        <v>137</v>
      </c>
      <c r="C1208" s="14" t="s">
        <v>138</v>
      </c>
      <c r="D1208" s="14">
        <v>2</v>
      </c>
      <c r="E1208" s="14">
        <v>6</v>
      </c>
      <c r="F1208" s="14">
        <v>7</v>
      </c>
      <c r="G1208" s="14">
        <v>1</v>
      </c>
      <c r="H1208" s="14" t="s">
        <v>7</v>
      </c>
      <c r="I1208" s="15">
        <v>41834</v>
      </c>
      <c r="J1208" s="14" t="s">
        <v>125</v>
      </c>
      <c r="K1208" s="14">
        <v>184</v>
      </c>
      <c r="L1208" s="14">
        <v>66</v>
      </c>
      <c r="M1208" s="14">
        <v>118</v>
      </c>
      <c r="N1208" s="14"/>
      <c r="O1208" s="14">
        <v>0</v>
      </c>
      <c r="P1208" s="10">
        <v>-25.47</v>
      </c>
      <c r="Q1208" s="10">
        <v>46.1</v>
      </c>
      <c r="R1208" s="10">
        <v>55.4</v>
      </c>
      <c r="S1208" s="16">
        <f t="shared" si="67"/>
        <v>8.4824000000000002</v>
      </c>
      <c r="T1208" s="16">
        <f t="shared" si="68"/>
        <v>10.1936</v>
      </c>
    </row>
    <row r="1209" spans="1:20" x14ac:dyDescent="0.25">
      <c r="A1209" s="14">
        <v>2014</v>
      </c>
      <c r="B1209" s="14" t="s">
        <v>137</v>
      </c>
      <c r="C1209" s="14" t="s">
        <v>138</v>
      </c>
      <c r="D1209" s="14">
        <v>2</v>
      </c>
      <c r="E1209" s="14">
        <v>5</v>
      </c>
      <c r="F1209" s="14">
        <v>8</v>
      </c>
      <c r="G1209" s="14">
        <v>1</v>
      </c>
      <c r="H1209" s="14" t="s">
        <v>3</v>
      </c>
      <c r="I1209" s="15">
        <v>41834</v>
      </c>
      <c r="J1209" s="14" t="s">
        <v>125</v>
      </c>
      <c r="K1209" s="14">
        <v>179</v>
      </c>
      <c r="L1209" s="14">
        <v>58</v>
      </c>
      <c r="M1209" s="14">
        <v>121</v>
      </c>
      <c r="N1209" s="14"/>
      <c r="O1209" s="14">
        <v>0</v>
      </c>
      <c r="P1209" s="10">
        <v>-25.16</v>
      </c>
      <c r="Q1209" s="10">
        <v>44.9</v>
      </c>
      <c r="R1209" s="10">
        <v>44.2</v>
      </c>
      <c r="S1209" s="16">
        <f t="shared" si="67"/>
        <v>8.0370999999999988</v>
      </c>
      <c r="T1209" s="16">
        <f t="shared" si="68"/>
        <v>7.9118000000000004</v>
      </c>
    </row>
    <row r="1210" spans="1:20" x14ac:dyDescent="0.25">
      <c r="A1210" s="14">
        <v>2014</v>
      </c>
      <c r="B1210" s="14" t="s">
        <v>137</v>
      </c>
      <c r="C1210" s="14" t="s">
        <v>138</v>
      </c>
      <c r="D1210" s="14">
        <v>2</v>
      </c>
      <c r="E1210" s="14">
        <v>4</v>
      </c>
      <c r="F1210" s="14">
        <v>9</v>
      </c>
      <c r="G1210" s="14">
        <v>1</v>
      </c>
      <c r="H1210" s="14" t="s">
        <v>6</v>
      </c>
      <c r="I1210" s="15">
        <v>41834</v>
      </c>
      <c r="J1210" s="14" t="s">
        <v>125</v>
      </c>
      <c r="K1210" s="14">
        <v>183</v>
      </c>
      <c r="L1210" s="14">
        <v>69</v>
      </c>
      <c r="M1210" s="14">
        <v>115</v>
      </c>
      <c r="N1210" s="14"/>
      <c r="O1210" s="14">
        <v>0</v>
      </c>
      <c r="P1210" s="10">
        <v>-25.87</v>
      </c>
      <c r="Q1210" s="10">
        <v>50.2</v>
      </c>
      <c r="R1210" s="10">
        <v>27.6</v>
      </c>
      <c r="S1210" s="16">
        <f t="shared" si="67"/>
        <v>9.1866000000000003</v>
      </c>
      <c r="T1210" s="16">
        <f t="shared" si="68"/>
        <v>5.0508000000000006</v>
      </c>
    </row>
    <row r="1211" spans="1:20" x14ac:dyDescent="0.25">
      <c r="A1211" s="14">
        <v>2014</v>
      </c>
      <c r="B1211" s="14" t="s">
        <v>137</v>
      </c>
      <c r="C1211" s="14" t="s">
        <v>138</v>
      </c>
      <c r="D1211" s="14">
        <v>2</v>
      </c>
      <c r="E1211" s="14">
        <v>3</v>
      </c>
      <c r="F1211" s="14">
        <v>10</v>
      </c>
      <c r="G1211" s="14">
        <v>1</v>
      </c>
      <c r="H1211" s="14" t="s">
        <v>2</v>
      </c>
      <c r="I1211" s="15">
        <v>41834</v>
      </c>
      <c r="J1211" s="14" t="s">
        <v>125</v>
      </c>
      <c r="K1211" s="14">
        <v>204</v>
      </c>
      <c r="L1211" s="14">
        <v>71</v>
      </c>
      <c r="M1211" s="14">
        <v>133</v>
      </c>
      <c r="N1211" s="14"/>
      <c r="O1211" s="14">
        <v>0</v>
      </c>
      <c r="P1211" s="10">
        <v>-25.78</v>
      </c>
      <c r="Q1211" s="10">
        <v>49.3</v>
      </c>
      <c r="R1211" s="10">
        <v>34.200000000000003</v>
      </c>
      <c r="S1211" s="16">
        <f t="shared" si="67"/>
        <v>10.057199999999998</v>
      </c>
      <c r="T1211" s="16">
        <f t="shared" si="68"/>
        <v>6.9767999999999999</v>
      </c>
    </row>
    <row r="1212" spans="1:20" x14ac:dyDescent="0.25">
      <c r="A1212" s="14">
        <v>2014</v>
      </c>
      <c r="B1212" s="14" t="s">
        <v>137</v>
      </c>
      <c r="C1212" s="14" t="s">
        <v>138</v>
      </c>
      <c r="D1212" s="14">
        <v>2</v>
      </c>
      <c r="E1212" s="14">
        <v>2</v>
      </c>
      <c r="F1212" s="14">
        <v>11</v>
      </c>
      <c r="G1212" s="14">
        <v>1</v>
      </c>
      <c r="H1212" s="14" t="s">
        <v>13</v>
      </c>
      <c r="I1212" s="15">
        <v>41834</v>
      </c>
      <c r="J1212" s="14" t="s">
        <v>125</v>
      </c>
      <c r="K1212" s="14">
        <v>140</v>
      </c>
      <c r="L1212" s="14">
        <v>59</v>
      </c>
      <c r="M1212" s="14">
        <v>80</v>
      </c>
      <c r="N1212" s="14"/>
      <c r="O1212" s="14">
        <v>0</v>
      </c>
      <c r="P1212" s="10">
        <v>-25.82</v>
      </c>
      <c r="Q1212" s="10">
        <v>44</v>
      </c>
      <c r="R1212" s="10">
        <v>47.4</v>
      </c>
      <c r="S1212" s="16">
        <f t="shared" si="67"/>
        <v>6.16</v>
      </c>
      <c r="T1212" s="16">
        <f t="shared" si="68"/>
        <v>6.6360000000000001</v>
      </c>
    </row>
    <row r="1213" spans="1:20" x14ac:dyDescent="0.25">
      <c r="A1213" s="14">
        <v>2014</v>
      </c>
      <c r="B1213" s="14" t="s">
        <v>137</v>
      </c>
      <c r="C1213" s="14" t="s">
        <v>138</v>
      </c>
      <c r="D1213" s="14">
        <v>2</v>
      </c>
      <c r="E1213" s="14">
        <v>1</v>
      </c>
      <c r="F1213" s="14">
        <v>12</v>
      </c>
      <c r="G1213" s="14">
        <v>1</v>
      </c>
      <c r="H1213" s="14" t="s">
        <v>8</v>
      </c>
      <c r="I1213" s="15">
        <v>41834</v>
      </c>
      <c r="J1213" s="14" t="s">
        <v>125</v>
      </c>
      <c r="K1213" s="14">
        <v>154</v>
      </c>
      <c r="L1213" s="14">
        <v>62</v>
      </c>
      <c r="M1213" s="14">
        <v>91</v>
      </c>
      <c r="N1213" s="14"/>
      <c r="O1213" s="14">
        <v>0</v>
      </c>
      <c r="P1213" s="10">
        <v>-25.55</v>
      </c>
      <c r="Q1213" s="10">
        <v>43.9</v>
      </c>
      <c r="R1213" s="10">
        <v>60</v>
      </c>
      <c r="S1213" s="16">
        <f t="shared" si="67"/>
        <v>6.7605999999999993</v>
      </c>
      <c r="T1213" s="16">
        <f t="shared" si="68"/>
        <v>9.24</v>
      </c>
    </row>
    <row r="1214" spans="1:20" x14ac:dyDescent="0.25">
      <c r="A1214" s="14">
        <v>2014</v>
      </c>
      <c r="B1214" s="14" t="s">
        <v>137</v>
      </c>
      <c r="C1214" s="14" t="s">
        <v>138</v>
      </c>
      <c r="D1214" s="14">
        <v>3</v>
      </c>
      <c r="E1214" s="14">
        <v>1</v>
      </c>
      <c r="F1214" s="14">
        <v>1</v>
      </c>
      <c r="G1214" s="14">
        <v>2</v>
      </c>
      <c r="H1214" s="14" t="s">
        <v>13</v>
      </c>
      <c r="I1214" s="15">
        <v>41834</v>
      </c>
      <c r="J1214" s="14" t="s">
        <v>125</v>
      </c>
      <c r="K1214" s="14">
        <v>150</v>
      </c>
      <c r="L1214" s="14">
        <v>64</v>
      </c>
      <c r="M1214" s="14">
        <v>87</v>
      </c>
      <c r="N1214" s="14"/>
      <c r="O1214" s="14">
        <v>0</v>
      </c>
      <c r="P1214" s="10">
        <v>-25.87</v>
      </c>
      <c r="Q1214" s="10">
        <v>45.4</v>
      </c>
      <c r="R1214" s="10">
        <v>41.7</v>
      </c>
      <c r="S1214" s="16">
        <f t="shared" si="67"/>
        <v>6.81</v>
      </c>
      <c r="T1214" s="16">
        <f t="shared" si="68"/>
        <v>6.2549999999999999</v>
      </c>
    </row>
    <row r="1215" spans="1:20" x14ac:dyDescent="0.25">
      <c r="A1215" s="14">
        <v>2014</v>
      </c>
      <c r="B1215" s="14" t="s">
        <v>137</v>
      </c>
      <c r="C1215" s="14" t="s">
        <v>138</v>
      </c>
      <c r="D1215" s="14">
        <v>3</v>
      </c>
      <c r="E1215" s="14">
        <v>2</v>
      </c>
      <c r="F1215" s="14">
        <v>2</v>
      </c>
      <c r="G1215" s="14">
        <v>2</v>
      </c>
      <c r="H1215" s="14" t="s">
        <v>4</v>
      </c>
      <c r="I1215" s="15">
        <v>41834</v>
      </c>
      <c r="J1215" s="14" t="s">
        <v>125</v>
      </c>
      <c r="K1215" s="14">
        <v>115</v>
      </c>
      <c r="L1215" s="14">
        <v>40</v>
      </c>
      <c r="M1215" s="14">
        <v>76</v>
      </c>
      <c r="N1215" s="14"/>
      <c r="O1215" s="14">
        <v>0</v>
      </c>
      <c r="P1215" s="10">
        <v>-26.05</v>
      </c>
      <c r="Q1215" s="10">
        <v>48.4</v>
      </c>
      <c r="R1215" s="10">
        <v>45</v>
      </c>
      <c r="S1215" s="16">
        <f t="shared" si="67"/>
        <v>5.5659999999999998</v>
      </c>
      <c r="T1215" s="16">
        <f t="shared" si="68"/>
        <v>5.1749999999999998</v>
      </c>
    </row>
    <row r="1216" spans="1:20" x14ac:dyDescent="0.25">
      <c r="A1216" s="14">
        <v>2014</v>
      </c>
      <c r="B1216" s="14" t="s">
        <v>137</v>
      </c>
      <c r="C1216" s="14" t="s">
        <v>138</v>
      </c>
      <c r="D1216" s="14">
        <v>3</v>
      </c>
      <c r="E1216" s="14">
        <v>3</v>
      </c>
      <c r="F1216" s="14">
        <v>3</v>
      </c>
      <c r="G1216" s="14">
        <v>2</v>
      </c>
      <c r="H1216" s="14" t="s">
        <v>8</v>
      </c>
      <c r="I1216" s="15">
        <v>41834</v>
      </c>
      <c r="J1216" s="14" t="s">
        <v>125</v>
      </c>
      <c r="K1216" s="14">
        <v>168</v>
      </c>
      <c r="L1216" s="14">
        <v>64</v>
      </c>
      <c r="M1216" s="14">
        <v>104</v>
      </c>
      <c r="N1216" s="14"/>
      <c r="O1216" s="14">
        <v>0</v>
      </c>
      <c r="P1216" s="10">
        <v>-25.49</v>
      </c>
      <c r="Q1216" s="10">
        <v>46.8</v>
      </c>
      <c r="R1216" s="10">
        <v>59</v>
      </c>
      <c r="S1216" s="16">
        <f t="shared" si="67"/>
        <v>7.8624000000000001</v>
      </c>
      <c r="T1216" s="16">
        <f t="shared" si="68"/>
        <v>9.9120000000000008</v>
      </c>
    </row>
    <row r="1217" spans="1:20" x14ac:dyDescent="0.25">
      <c r="A1217" s="14">
        <v>2014</v>
      </c>
      <c r="B1217" s="14" t="s">
        <v>137</v>
      </c>
      <c r="C1217" s="14" t="s">
        <v>138</v>
      </c>
      <c r="D1217" s="14">
        <v>3</v>
      </c>
      <c r="E1217" s="14">
        <v>4</v>
      </c>
      <c r="F1217" s="14">
        <v>4</v>
      </c>
      <c r="G1217" s="14">
        <v>2</v>
      </c>
      <c r="H1217" s="14" t="s">
        <v>5</v>
      </c>
      <c r="I1217" s="15">
        <v>41834</v>
      </c>
      <c r="J1217" s="14" t="s">
        <v>125</v>
      </c>
      <c r="K1217" s="14">
        <v>180</v>
      </c>
      <c r="L1217" s="14">
        <v>57</v>
      </c>
      <c r="M1217" s="14">
        <v>123</v>
      </c>
      <c r="N1217" s="14"/>
      <c r="O1217" s="14">
        <v>0</v>
      </c>
      <c r="P1217" s="10">
        <v>-25.8</v>
      </c>
      <c r="Q1217" s="10">
        <v>53.3</v>
      </c>
      <c r="R1217" s="10">
        <v>39.200000000000003</v>
      </c>
      <c r="S1217" s="16">
        <f t="shared" si="67"/>
        <v>9.5939999999999994</v>
      </c>
      <c r="T1217" s="16">
        <f t="shared" si="68"/>
        <v>7.0560000000000009</v>
      </c>
    </row>
    <row r="1218" spans="1:20" x14ac:dyDescent="0.25">
      <c r="A1218" s="14">
        <v>2014</v>
      </c>
      <c r="B1218" s="14" t="s">
        <v>137</v>
      </c>
      <c r="C1218" s="14" t="s">
        <v>138</v>
      </c>
      <c r="D1218" s="14">
        <v>3</v>
      </c>
      <c r="E1218" s="14">
        <v>5</v>
      </c>
      <c r="F1218" s="14">
        <v>5</v>
      </c>
      <c r="G1218" s="14">
        <v>2</v>
      </c>
      <c r="H1218" s="14" t="s">
        <v>6</v>
      </c>
      <c r="I1218" s="15">
        <v>41834</v>
      </c>
      <c r="J1218" s="14" t="s">
        <v>125</v>
      </c>
      <c r="K1218" s="14">
        <v>162</v>
      </c>
      <c r="L1218" s="14">
        <v>57</v>
      </c>
      <c r="M1218" s="14">
        <v>105</v>
      </c>
      <c r="N1218" s="14"/>
      <c r="O1218" s="14">
        <v>0</v>
      </c>
      <c r="P1218" s="10">
        <v>-25.23</v>
      </c>
      <c r="Q1218" s="10">
        <v>46.5</v>
      </c>
      <c r="R1218" s="10">
        <v>44.7</v>
      </c>
      <c r="S1218" s="16">
        <f t="shared" si="67"/>
        <v>7.5330000000000004</v>
      </c>
      <c r="T1218" s="16">
        <f t="shared" si="68"/>
        <v>7.2414000000000005</v>
      </c>
    </row>
    <row r="1219" spans="1:20" x14ac:dyDescent="0.25">
      <c r="A1219" s="14">
        <v>2014</v>
      </c>
      <c r="B1219" s="14" t="s">
        <v>137</v>
      </c>
      <c r="C1219" s="14" t="s">
        <v>138</v>
      </c>
      <c r="D1219" s="14">
        <v>3</v>
      </c>
      <c r="E1219" s="14">
        <v>6</v>
      </c>
      <c r="F1219" s="14">
        <v>6</v>
      </c>
      <c r="G1219" s="14">
        <v>2</v>
      </c>
      <c r="H1219" s="14" t="s">
        <v>3</v>
      </c>
      <c r="I1219" s="15">
        <v>41834</v>
      </c>
      <c r="J1219" s="14" t="s">
        <v>125</v>
      </c>
      <c r="K1219" s="14">
        <v>193</v>
      </c>
      <c r="L1219" s="14">
        <v>59</v>
      </c>
      <c r="M1219" s="14">
        <v>134</v>
      </c>
      <c r="N1219" s="14"/>
      <c r="O1219" s="14">
        <v>0</v>
      </c>
      <c r="P1219" s="10">
        <v>-25.56</v>
      </c>
      <c r="Q1219" s="10">
        <v>47.4</v>
      </c>
      <c r="R1219" s="10">
        <v>50.8</v>
      </c>
      <c r="S1219" s="16">
        <f t="shared" si="67"/>
        <v>9.1481999999999992</v>
      </c>
      <c r="T1219" s="16">
        <f t="shared" ref="T1219:T1249" si="69">K1219*R1219/1000</f>
        <v>9.8043999999999993</v>
      </c>
    </row>
    <row r="1220" spans="1:20" x14ac:dyDescent="0.25">
      <c r="A1220" s="14">
        <v>2014</v>
      </c>
      <c r="B1220" s="14" t="s">
        <v>137</v>
      </c>
      <c r="C1220" s="14" t="s">
        <v>138</v>
      </c>
      <c r="D1220" s="14">
        <v>4</v>
      </c>
      <c r="E1220" s="14">
        <v>6</v>
      </c>
      <c r="F1220" s="14">
        <v>7</v>
      </c>
      <c r="G1220" s="14">
        <v>2</v>
      </c>
      <c r="H1220" s="14" t="s">
        <v>12</v>
      </c>
      <c r="I1220" s="15">
        <v>41834</v>
      </c>
      <c r="J1220" s="14" t="s">
        <v>125</v>
      </c>
      <c r="K1220" s="14">
        <v>153</v>
      </c>
      <c r="L1220" s="14">
        <v>58</v>
      </c>
      <c r="M1220" s="14">
        <v>95</v>
      </c>
      <c r="N1220" s="14"/>
      <c r="O1220" s="14">
        <v>0</v>
      </c>
      <c r="P1220" s="10">
        <v>-25.99</v>
      </c>
      <c r="Q1220" s="10">
        <v>47.7</v>
      </c>
      <c r="R1220" s="10">
        <v>42.7</v>
      </c>
      <c r="S1220" s="16">
        <f t="shared" si="67"/>
        <v>7.2981000000000007</v>
      </c>
      <c r="T1220" s="16">
        <f t="shared" si="69"/>
        <v>6.5331000000000001</v>
      </c>
    </row>
    <row r="1221" spans="1:20" x14ac:dyDescent="0.25">
      <c r="A1221" s="14">
        <v>2014</v>
      </c>
      <c r="B1221" s="14" t="s">
        <v>137</v>
      </c>
      <c r="C1221" s="14" t="s">
        <v>138</v>
      </c>
      <c r="D1221" s="14">
        <v>4</v>
      </c>
      <c r="E1221" s="14">
        <v>5</v>
      </c>
      <c r="F1221" s="14">
        <v>8</v>
      </c>
      <c r="G1221" s="14">
        <v>2</v>
      </c>
      <c r="H1221" s="14" t="s">
        <v>9</v>
      </c>
      <c r="I1221" s="15">
        <v>41834</v>
      </c>
      <c r="J1221" s="14" t="s">
        <v>125</v>
      </c>
      <c r="K1221" s="14">
        <v>185</v>
      </c>
      <c r="L1221" s="14">
        <v>65</v>
      </c>
      <c r="M1221" s="14">
        <v>120</v>
      </c>
      <c r="N1221" s="14"/>
      <c r="O1221" s="14">
        <v>0</v>
      </c>
      <c r="P1221" s="10">
        <v>-25.68</v>
      </c>
      <c r="Q1221" s="10">
        <v>45.6</v>
      </c>
      <c r="R1221" s="10">
        <v>45.7</v>
      </c>
      <c r="S1221" s="16">
        <f t="shared" si="67"/>
        <v>8.4359999999999999</v>
      </c>
      <c r="T1221" s="16">
        <f t="shared" si="69"/>
        <v>8.4544999999999995</v>
      </c>
    </row>
    <row r="1222" spans="1:20" x14ac:dyDescent="0.25">
      <c r="A1222" s="14">
        <v>2014</v>
      </c>
      <c r="B1222" s="14" t="s">
        <v>137</v>
      </c>
      <c r="C1222" s="14" t="s">
        <v>138</v>
      </c>
      <c r="D1222" s="14">
        <v>4</v>
      </c>
      <c r="E1222" s="14">
        <v>4</v>
      </c>
      <c r="F1222" s="14">
        <v>9</v>
      </c>
      <c r="G1222" s="14">
        <v>2</v>
      </c>
      <c r="H1222" s="14" t="s">
        <v>14</v>
      </c>
      <c r="I1222" s="15">
        <v>41834</v>
      </c>
      <c r="J1222" s="14" t="s">
        <v>125</v>
      </c>
      <c r="K1222" s="14">
        <v>144</v>
      </c>
      <c r="L1222" s="14">
        <v>47</v>
      </c>
      <c r="M1222" s="14">
        <v>96</v>
      </c>
      <c r="N1222" s="14"/>
      <c r="O1222" s="14">
        <v>0</v>
      </c>
      <c r="P1222" s="10">
        <v>-25.5</v>
      </c>
      <c r="Q1222" s="10">
        <v>47.1</v>
      </c>
      <c r="R1222" s="10">
        <v>39.299999999999997</v>
      </c>
      <c r="S1222" s="16">
        <f t="shared" si="67"/>
        <v>6.7824000000000009</v>
      </c>
      <c r="T1222" s="16">
        <f t="shared" si="69"/>
        <v>5.6592000000000002</v>
      </c>
    </row>
    <row r="1223" spans="1:20" x14ac:dyDescent="0.25">
      <c r="A1223" s="14">
        <v>2014</v>
      </c>
      <c r="B1223" s="14" t="s">
        <v>137</v>
      </c>
      <c r="C1223" s="14" t="s">
        <v>138</v>
      </c>
      <c r="D1223" s="14">
        <v>4</v>
      </c>
      <c r="E1223" s="14">
        <v>3</v>
      </c>
      <c r="F1223" s="14">
        <v>10</v>
      </c>
      <c r="G1223" s="14">
        <v>2</v>
      </c>
      <c r="H1223" s="14" t="s">
        <v>7</v>
      </c>
      <c r="I1223" s="15">
        <v>41834</v>
      </c>
      <c r="J1223" s="14" t="s">
        <v>125</v>
      </c>
      <c r="K1223" s="14">
        <v>159</v>
      </c>
      <c r="L1223" s="14">
        <v>59</v>
      </c>
      <c r="M1223" s="14">
        <v>100</v>
      </c>
      <c r="N1223" s="14"/>
      <c r="O1223" s="14">
        <v>0</v>
      </c>
      <c r="P1223" s="10">
        <v>-25.55</v>
      </c>
      <c r="Q1223" s="10">
        <v>47.7</v>
      </c>
      <c r="R1223" s="10">
        <v>60.4</v>
      </c>
      <c r="S1223" s="16">
        <f t="shared" si="67"/>
        <v>7.5842999999999998</v>
      </c>
      <c r="T1223" s="16">
        <f t="shared" si="69"/>
        <v>9.6036000000000001</v>
      </c>
    </row>
    <row r="1224" spans="1:20" x14ac:dyDescent="0.25">
      <c r="A1224" s="14">
        <v>2014</v>
      </c>
      <c r="B1224" s="14" t="s">
        <v>137</v>
      </c>
      <c r="C1224" s="14" t="s">
        <v>138</v>
      </c>
      <c r="D1224" s="14">
        <v>4</v>
      </c>
      <c r="E1224" s="14">
        <v>2</v>
      </c>
      <c r="F1224" s="14">
        <v>11</v>
      </c>
      <c r="G1224" s="14">
        <v>2</v>
      </c>
      <c r="H1224" s="14" t="s">
        <v>2</v>
      </c>
      <c r="I1224" s="15">
        <v>41834</v>
      </c>
      <c r="J1224" s="14" t="s">
        <v>125</v>
      </c>
      <c r="K1224" s="14">
        <v>155</v>
      </c>
      <c r="L1224" s="14">
        <v>54</v>
      </c>
      <c r="M1224" s="14">
        <v>101</v>
      </c>
      <c r="N1224" s="14"/>
      <c r="O1224" s="14">
        <v>0</v>
      </c>
      <c r="P1224" s="10">
        <v>-25.52</v>
      </c>
      <c r="Q1224" s="10">
        <v>44.8</v>
      </c>
      <c r="R1224" s="10">
        <v>36.1</v>
      </c>
      <c r="S1224" s="16">
        <f t="shared" si="67"/>
        <v>6.944</v>
      </c>
      <c r="T1224" s="16">
        <f t="shared" si="69"/>
        <v>5.5955000000000004</v>
      </c>
    </row>
    <row r="1225" spans="1:20" x14ac:dyDescent="0.25">
      <c r="A1225" s="14">
        <v>2014</v>
      </c>
      <c r="B1225" s="14" t="s">
        <v>137</v>
      </c>
      <c r="C1225" s="14" t="s">
        <v>138</v>
      </c>
      <c r="D1225" s="14">
        <v>4</v>
      </c>
      <c r="E1225" s="14">
        <v>1</v>
      </c>
      <c r="F1225" s="14">
        <v>12</v>
      </c>
      <c r="G1225" s="14">
        <v>2</v>
      </c>
      <c r="H1225" s="14" t="s">
        <v>10</v>
      </c>
      <c r="I1225" s="15">
        <v>41834</v>
      </c>
      <c r="J1225" s="14" t="s">
        <v>125</v>
      </c>
      <c r="K1225" s="14">
        <v>168</v>
      </c>
      <c r="L1225" s="14">
        <v>58</v>
      </c>
      <c r="M1225" s="14">
        <v>110</v>
      </c>
      <c r="N1225" s="14"/>
      <c r="O1225" s="14">
        <v>0</v>
      </c>
      <c r="P1225" s="10">
        <v>-25.84</v>
      </c>
      <c r="Q1225" s="10">
        <v>47.7</v>
      </c>
      <c r="R1225" s="10">
        <v>43.3</v>
      </c>
      <c r="S1225" s="16">
        <f t="shared" si="67"/>
        <v>8.0136000000000003</v>
      </c>
      <c r="T1225" s="16">
        <f t="shared" si="69"/>
        <v>7.2744</v>
      </c>
    </row>
    <row r="1226" spans="1:20" x14ac:dyDescent="0.25">
      <c r="A1226" s="14">
        <v>2014</v>
      </c>
      <c r="B1226" s="14" t="s">
        <v>137</v>
      </c>
      <c r="C1226" s="14" t="s">
        <v>138</v>
      </c>
      <c r="D1226" s="14">
        <v>5</v>
      </c>
      <c r="E1226" s="14">
        <v>1</v>
      </c>
      <c r="F1226" s="14">
        <v>1</v>
      </c>
      <c r="G1226" s="14">
        <v>3</v>
      </c>
      <c r="H1226" s="14" t="s">
        <v>7</v>
      </c>
      <c r="I1226" s="15">
        <v>41834</v>
      </c>
      <c r="J1226" s="14" t="s">
        <v>125</v>
      </c>
      <c r="K1226" s="14">
        <v>125</v>
      </c>
      <c r="L1226" s="14">
        <v>46</v>
      </c>
      <c r="M1226" s="14">
        <v>80</v>
      </c>
      <c r="N1226" s="14"/>
      <c r="O1226" s="14">
        <v>0</v>
      </c>
      <c r="P1226" s="10">
        <v>-25.43</v>
      </c>
      <c r="Q1226" s="10">
        <v>49.8</v>
      </c>
      <c r="R1226" s="10">
        <v>30.1</v>
      </c>
      <c r="S1226" s="16">
        <f t="shared" si="67"/>
        <v>6.2249999999999996</v>
      </c>
      <c r="T1226" s="16">
        <f t="shared" si="69"/>
        <v>3.7625000000000002</v>
      </c>
    </row>
    <row r="1227" spans="1:20" x14ac:dyDescent="0.25">
      <c r="A1227" s="14">
        <v>2014</v>
      </c>
      <c r="B1227" s="14" t="s">
        <v>137</v>
      </c>
      <c r="C1227" s="14" t="s">
        <v>138</v>
      </c>
      <c r="D1227" s="14">
        <v>5</v>
      </c>
      <c r="E1227" s="14">
        <v>2</v>
      </c>
      <c r="F1227" s="14">
        <v>2</v>
      </c>
      <c r="G1227" s="14">
        <v>3</v>
      </c>
      <c r="H1227" s="14" t="s">
        <v>14</v>
      </c>
      <c r="I1227" s="15">
        <v>41834</v>
      </c>
      <c r="J1227" s="14" t="s">
        <v>125</v>
      </c>
      <c r="K1227" s="14">
        <v>131</v>
      </c>
      <c r="L1227" s="14">
        <v>44</v>
      </c>
      <c r="M1227" s="14">
        <v>87</v>
      </c>
      <c r="N1227" s="14"/>
      <c r="O1227" s="14">
        <v>0</v>
      </c>
      <c r="P1227" s="10">
        <v>-24.95</v>
      </c>
      <c r="Q1227" s="10">
        <v>47.6</v>
      </c>
      <c r="R1227" s="10">
        <v>26.9</v>
      </c>
      <c r="S1227" s="16">
        <f t="shared" si="67"/>
        <v>6.2356000000000007</v>
      </c>
      <c r="T1227" s="16">
        <f t="shared" si="69"/>
        <v>3.5238999999999998</v>
      </c>
    </row>
    <row r="1228" spans="1:20" x14ac:dyDescent="0.25">
      <c r="A1228" s="14">
        <v>2014</v>
      </c>
      <c r="B1228" s="14" t="s">
        <v>137</v>
      </c>
      <c r="C1228" s="14" t="s">
        <v>138</v>
      </c>
      <c r="D1228" s="14">
        <v>5</v>
      </c>
      <c r="E1228" s="14">
        <v>3</v>
      </c>
      <c r="F1228" s="14">
        <v>3</v>
      </c>
      <c r="G1228" s="14">
        <v>3</v>
      </c>
      <c r="H1228" s="14" t="s">
        <v>6</v>
      </c>
      <c r="I1228" s="15">
        <v>41834</v>
      </c>
      <c r="J1228" s="14" t="s">
        <v>125</v>
      </c>
      <c r="K1228" s="14">
        <v>119</v>
      </c>
      <c r="L1228" s="14">
        <v>44</v>
      </c>
      <c r="M1228" s="14">
        <v>75</v>
      </c>
      <c r="N1228" s="14"/>
      <c r="O1228" s="14">
        <v>0</v>
      </c>
      <c r="P1228" s="10">
        <v>-24.81</v>
      </c>
      <c r="Q1228" s="10">
        <v>47.1</v>
      </c>
      <c r="R1228" s="10">
        <v>33.1</v>
      </c>
      <c r="S1228" s="16">
        <f t="shared" si="67"/>
        <v>5.6049000000000007</v>
      </c>
      <c r="T1228" s="16">
        <f t="shared" si="69"/>
        <v>3.9389000000000003</v>
      </c>
    </row>
    <row r="1229" spans="1:20" x14ac:dyDescent="0.25">
      <c r="A1229" s="14">
        <v>2014</v>
      </c>
      <c r="B1229" s="14" t="s">
        <v>137</v>
      </c>
      <c r="C1229" s="14" t="s">
        <v>138</v>
      </c>
      <c r="D1229" s="14">
        <v>5</v>
      </c>
      <c r="E1229" s="14">
        <v>4</v>
      </c>
      <c r="F1229" s="14">
        <v>4</v>
      </c>
      <c r="G1229" s="14">
        <v>3</v>
      </c>
      <c r="H1229" s="14" t="s">
        <v>13</v>
      </c>
      <c r="I1229" s="15">
        <v>41834</v>
      </c>
      <c r="J1229" s="14" t="s">
        <v>125</v>
      </c>
      <c r="K1229" s="14">
        <v>159</v>
      </c>
      <c r="L1229" s="14">
        <v>69</v>
      </c>
      <c r="M1229" s="14">
        <v>89</v>
      </c>
      <c r="N1229" s="14"/>
      <c r="O1229" s="14">
        <v>0</v>
      </c>
      <c r="P1229" s="10">
        <v>-25.56</v>
      </c>
      <c r="Q1229" s="10">
        <v>41.6</v>
      </c>
      <c r="R1229" s="10">
        <v>41.2</v>
      </c>
      <c r="S1229" s="16">
        <f t="shared" si="67"/>
        <v>6.6144000000000007</v>
      </c>
      <c r="T1229" s="16">
        <f t="shared" si="69"/>
        <v>6.5508000000000006</v>
      </c>
    </row>
    <row r="1230" spans="1:20" x14ac:dyDescent="0.25">
      <c r="A1230" s="14">
        <v>2014</v>
      </c>
      <c r="B1230" s="14" t="s">
        <v>137</v>
      </c>
      <c r="C1230" s="14" t="s">
        <v>138</v>
      </c>
      <c r="D1230" s="14">
        <v>5</v>
      </c>
      <c r="E1230" s="14">
        <v>5</v>
      </c>
      <c r="F1230" s="14">
        <v>5</v>
      </c>
      <c r="G1230" s="14">
        <v>3</v>
      </c>
      <c r="H1230" s="14" t="s">
        <v>5</v>
      </c>
      <c r="I1230" s="15">
        <v>41834</v>
      </c>
      <c r="J1230" s="14" t="s">
        <v>125</v>
      </c>
      <c r="K1230" s="14">
        <v>167</v>
      </c>
      <c r="L1230" s="14">
        <v>58</v>
      </c>
      <c r="M1230" s="14">
        <v>109</v>
      </c>
      <c r="N1230" s="14"/>
      <c r="O1230" s="14">
        <v>0</v>
      </c>
      <c r="P1230" s="10">
        <v>-25.21</v>
      </c>
      <c r="Q1230" s="10">
        <v>49.7</v>
      </c>
      <c r="R1230" s="10">
        <v>47.1</v>
      </c>
      <c r="S1230" s="16">
        <f t="shared" si="67"/>
        <v>8.2998999999999992</v>
      </c>
      <c r="T1230" s="16">
        <f t="shared" si="69"/>
        <v>7.8656999999999995</v>
      </c>
    </row>
    <row r="1231" spans="1:20" x14ac:dyDescent="0.25">
      <c r="A1231" s="14">
        <v>2014</v>
      </c>
      <c r="B1231" s="14" t="s">
        <v>137</v>
      </c>
      <c r="C1231" s="14" t="s">
        <v>138</v>
      </c>
      <c r="D1231" s="14">
        <v>5</v>
      </c>
      <c r="E1231" s="14">
        <v>6</v>
      </c>
      <c r="F1231" s="14">
        <v>6</v>
      </c>
      <c r="G1231" s="14">
        <v>3</v>
      </c>
      <c r="H1231" s="14" t="s">
        <v>10</v>
      </c>
      <c r="I1231" s="15">
        <v>41834</v>
      </c>
      <c r="J1231" s="14" t="s">
        <v>125</v>
      </c>
      <c r="K1231" s="14">
        <v>137</v>
      </c>
      <c r="L1231" s="14">
        <v>46</v>
      </c>
      <c r="M1231" s="14">
        <v>91</v>
      </c>
      <c r="N1231" s="14"/>
      <c r="O1231" s="14">
        <v>0</v>
      </c>
      <c r="P1231" s="10">
        <v>-24.51</v>
      </c>
      <c r="Q1231" s="10">
        <v>43.1</v>
      </c>
      <c r="R1231" s="10">
        <v>45.3</v>
      </c>
      <c r="S1231" s="16">
        <f t="shared" si="67"/>
        <v>5.9047000000000001</v>
      </c>
      <c r="T1231" s="16">
        <f t="shared" si="69"/>
        <v>6.2060999999999993</v>
      </c>
    </row>
    <row r="1232" spans="1:20" x14ac:dyDescent="0.25">
      <c r="A1232" s="14">
        <v>2014</v>
      </c>
      <c r="B1232" s="14" t="s">
        <v>137</v>
      </c>
      <c r="C1232" s="14" t="s">
        <v>138</v>
      </c>
      <c r="D1232" s="14">
        <v>6</v>
      </c>
      <c r="E1232" s="14">
        <v>6</v>
      </c>
      <c r="F1232" s="14">
        <v>7</v>
      </c>
      <c r="G1232" s="14">
        <v>3</v>
      </c>
      <c r="H1232" s="14" t="s">
        <v>8</v>
      </c>
      <c r="I1232" s="15">
        <v>41834</v>
      </c>
      <c r="J1232" s="14" t="s">
        <v>125</v>
      </c>
      <c r="K1232" s="14">
        <v>141</v>
      </c>
      <c r="L1232" s="14">
        <v>53</v>
      </c>
      <c r="M1232" s="14">
        <v>88</v>
      </c>
      <c r="N1232" s="14"/>
      <c r="O1232" s="14">
        <v>0</v>
      </c>
      <c r="P1232" s="10">
        <v>-24.89</v>
      </c>
      <c r="Q1232" s="10">
        <v>43.3</v>
      </c>
      <c r="R1232" s="10">
        <v>65.099999999999994</v>
      </c>
      <c r="S1232" s="16">
        <f t="shared" si="67"/>
        <v>6.1052999999999988</v>
      </c>
      <c r="T1232" s="16">
        <f t="shared" si="69"/>
        <v>9.1790999999999983</v>
      </c>
    </row>
    <row r="1233" spans="1:20" x14ac:dyDescent="0.25">
      <c r="A1233" s="14">
        <v>2014</v>
      </c>
      <c r="B1233" s="14" t="s">
        <v>137</v>
      </c>
      <c r="C1233" s="14" t="s">
        <v>138</v>
      </c>
      <c r="D1233" s="14">
        <v>6</v>
      </c>
      <c r="E1233" s="14">
        <v>5</v>
      </c>
      <c r="F1233" s="14">
        <v>8</v>
      </c>
      <c r="G1233" s="14">
        <v>3</v>
      </c>
      <c r="H1233" s="14" t="s">
        <v>2</v>
      </c>
      <c r="I1233" s="15">
        <v>41834</v>
      </c>
      <c r="J1233" s="14" t="s">
        <v>125</v>
      </c>
      <c r="K1233" s="14">
        <v>178</v>
      </c>
      <c r="L1233" s="14">
        <v>65</v>
      </c>
      <c r="M1233" s="14">
        <v>112</v>
      </c>
      <c r="N1233" s="14"/>
      <c r="O1233" s="14">
        <v>0</v>
      </c>
      <c r="P1233" s="10">
        <v>-25.29</v>
      </c>
      <c r="Q1233" s="10">
        <v>42.6</v>
      </c>
      <c r="R1233" s="10">
        <v>63.4</v>
      </c>
      <c r="S1233" s="16">
        <f t="shared" si="67"/>
        <v>7.5827999999999998</v>
      </c>
      <c r="T1233" s="16">
        <f t="shared" si="69"/>
        <v>11.2852</v>
      </c>
    </row>
    <row r="1234" spans="1:20" x14ac:dyDescent="0.25">
      <c r="A1234" s="14">
        <v>2014</v>
      </c>
      <c r="B1234" s="14" t="s">
        <v>137</v>
      </c>
      <c r="C1234" s="14" t="s">
        <v>138</v>
      </c>
      <c r="D1234" s="14">
        <v>6</v>
      </c>
      <c r="E1234" s="14">
        <v>4</v>
      </c>
      <c r="F1234" s="14">
        <v>9</v>
      </c>
      <c r="G1234" s="14">
        <v>3</v>
      </c>
      <c r="H1234" s="14" t="s">
        <v>9</v>
      </c>
      <c r="I1234" s="15">
        <v>41834</v>
      </c>
      <c r="J1234" s="14" t="s">
        <v>125</v>
      </c>
      <c r="K1234" s="14">
        <v>169</v>
      </c>
      <c r="L1234" s="14">
        <v>61</v>
      </c>
      <c r="M1234" s="14">
        <v>108</v>
      </c>
      <c r="N1234" s="14"/>
      <c r="O1234" s="14">
        <v>0</v>
      </c>
      <c r="P1234" s="10">
        <v>-25.36</v>
      </c>
      <c r="Q1234" s="10">
        <v>42.9</v>
      </c>
      <c r="R1234" s="10">
        <v>40.1</v>
      </c>
      <c r="S1234" s="16">
        <f t="shared" si="67"/>
        <v>7.2500999999999998</v>
      </c>
      <c r="T1234" s="16">
        <f t="shared" si="69"/>
        <v>6.7769000000000004</v>
      </c>
    </row>
    <row r="1235" spans="1:20" x14ac:dyDescent="0.25">
      <c r="A1235" s="14">
        <v>2014</v>
      </c>
      <c r="B1235" s="14" t="s">
        <v>137</v>
      </c>
      <c r="C1235" s="14" t="s">
        <v>138</v>
      </c>
      <c r="D1235" s="14">
        <v>6</v>
      </c>
      <c r="E1235" s="14">
        <v>3</v>
      </c>
      <c r="F1235" s="14">
        <v>10</v>
      </c>
      <c r="G1235" s="14">
        <v>3</v>
      </c>
      <c r="H1235" s="14" t="s">
        <v>4</v>
      </c>
      <c r="I1235" s="15">
        <v>41834</v>
      </c>
      <c r="J1235" s="14" t="s">
        <v>125</v>
      </c>
      <c r="K1235" s="14">
        <v>97</v>
      </c>
      <c r="L1235" s="14">
        <v>36</v>
      </c>
      <c r="M1235" s="14">
        <v>62</v>
      </c>
      <c r="N1235" s="14"/>
      <c r="O1235" s="14">
        <v>0</v>
      </c>
      <c r="P1235" s="10">
        <v>-25.38</v>
      </c>
      <c r="Q1235" s="10">
        <v>38.9</v>
      </c>
      <c r="R1235" s="10">
        <v>54.9</v>
      </c>
      <c r="S1235" s="16">
        <f t="shared" si="67"/>
        <v>3.7732999999999999</v>
      </c>
      <c r="T1235" s="16">
        <f t="shared" si="69"/>
        <v>5.3253000000000004</v>
      </c>
    </row>
    <row r="1236" spans="1:20" x14ac:dyDescent="0.25">
      <c r="A1236" s="14">
        <v>2014</v>
      </c>
      <c r="B1236" s="14" t="s">
        <v>137</v>
      </c>
      <c r="C1236" s="14" t="s">
        <v>138</v>
      </c>
      <c r="D1236" s="14">
        <v>6</v>
      </c>
      <c r="E1236" s="14">
        <v>2</v>
      </c>
      <c r="F1236" s="14">
        <v>11</v>
      </c>
      <c r="G1236" s="14">
        <v>3</v>
      </c>
      <c r="H1236" s="14" t="s">
        <v>3</v>
      </c>
      <c r="I1236" s="15">
        <v>41834</v>
      </c>
      <c r="J1236" s="14" t="s">
        <v>125</v>
      </c>
      <c r="K1236" s="14">
        <v>163</v>
      </c>
      <c r="L1236" s="14">
        <v>51</v>
      </c>
      <c r="M1236" s="14">
        <v>111</v>
      </c>
      <c r="N1236" s="14"/>
      <c r="O1236" s="14">
        <v>0</v>
      </c>
      <c r="P1236" s="10">
        <v>-25.03</v>
      </c>
      <c r="Q1236" s="10">
        <v>42.3</v>
      </c>
      <c r="R1236" s="10">
        <v>48.4</v>
      </c>
      <c r="S1236" s="16">
        <f t="shared" si="67"/>
        <v>6.8948999999999998</v>
      </c>
      <c r="T1236" s="16">
        <f t="shared" si="69"/>
        <v>7.8891999999999998</v>
      </c>
    </row>
    <row r="1237" spans="1:20" x14ac:dyDescent="0.25">
      <c r="A1237" s="14">
        <v>2014</v>
      </c>
      <c r="B1237" s="14" t="s">
        <v>137</v>
      </c>
      <c r="C1237" s="14" t="s">
        <v>138</v>
      </c>
      <c r="D1237" s="14">
        <v>6</v>
      </c>
      <c r="E1237" s="14">
        <v>1</v>
      </c>
      <c r="F1237" s="14">
        <v>12</v>
      </c>
      <c r="G1237" s="14">
        <v>3</v>
      </c>
      <c r="H1237" s="14" t="s">
        <v>12</v>
      </c>
      <c r="I1237" s="15">
        <v>41834</v>
      </c>
      <c r="J1237" s="14" t="s">
        <v>125</v>
      </c>
      <c r="K1237" s="14">
        <v>121</v>
      </c>
      <c r="L1237" s="14">
        <v>48</v>
      </c>
      <c r="M1237" s="14">
        <v>74</v>
      </c>
      <c r="N1237" s="14"/>
      <c r="O1237" s="14">
        <v>0</v>
      </c>
      <c r="P1237" s="10">
        <v>-25.63</v>
      </c>
      <c r="Q1237" s="10">
        <v>44.9</v>
      </c>
      <c r="R1237" s="10">
        <v>41</v>
      </c>
      <c r="S1237" s="16">
        <f t="shared" si="67"/>
        <v>5.4329000000000001</v>
      </c>
      <c r="T1237" s="16">
        <f t="shared" si="69"/>
        <v>4.9610000000000003</v>
      </c>
    </row>
    <row r="1238" spans="1:20" x14ac:dyDescent="0.25">
      <c r="A1238" s="14">
        <v>2014</v>
      </c>
      <c r="B1238" s="14" t="s">
        <v>137</v>
      </c>
      <c r="C1238" s="14" t="s">
        <v>138</v>
      </c>
      <c r="D1238" s="14">
        <v>7</v>
      </c>
      <c r="E1238" s="14">
        <v>1</v>
      </c>
      <c r="F1238" s="14">
        <v>1</v>
      </c>
      <c r="G1238" s="14">
        <v>4</v>
      </c>
      <c r="H1238" s="14" t="s">
        <v>4</v>
      </c>
      <c r="I1238" s="15">
        <v>41834</v>
      </c>
      <c r="J1238" s="14" t="s">
        <v>125</v>
      </c>
      <c r="K1238" s="14">
        <v>115</v>
      </c>
      <c r="L1238" s="14">
        <v>41</v>
      </c>
      <c r="M1238" s="14">
        <v>74</v>
      </c>
      <c r="N1238" s="14"/>
      <c r="O1238" s="14">
        <v>0</v>
      </c>
      <c r="P1238" s="10">
        <v>-25.22</v>
      </c>
      <c r="Q1238" s="10">
        <v>42</v>
      </c>
      <c r="R1238" s="10">
        <v>55.5</v>
      </c>
      <c r="S1238" s="16">
        <f t="shared" si="67"/>
        <v>4.83</v>
      </c>
      <c r="T1238" s="16">
        <f t="shared" si="69"/>
        <v>6.3825000000000003</v>
      </c>
    </row>
    <row r="1239" spans="1:20" x14ac:dyDescent="0.25">
      <c r="A1239" s="14">
        <v>2014</v>
      </c>
      <c r="B1239" s="14" t="s">
        <v>137</v>
      </c>
      <c r="C1239" s="14" t="s">
        <v>138</v>
      </c>
      <c r="D1239" s="14">
        <v>7</v>
      </c>
      <c r="E1239" s="14">
        <v>2</v>
      </c>
      <c r="F1239" s="14">
        <v>2</v>
      </c>
      <c r="G1239" s="14">
        <v>4</v>
      </c>
      <c r="H1239" s="14" t="s">
        <v>5</v>
      </c>
      <c r="I1239" s="15">
        <v>41834</v>
      </c>
      <c r="J1239" s="14" t="s">
        <v>125</v>
      </c>
      <c r="K1239" s="14">
        <v>166</v>
      </c>
      <c r="L1239" s="14">
        <v>59</v>
      </c>
      <c r="M1239" s="14">
        <v>106</v>
      </c>
      <c r="N1239" s="14"/>
      <c r="O1239" s="14">
        <v>0</v>
      </c>
      <c r="P1239" s="10">
        <v>-25.37</v>
      </c>
      <c r="Q1239" s="10">
        <v>40.6</v>
      </c>
      <c r="R1239" s="10">
        <v>60.1</v>
      </c>
      <c r="S1239" s="16">
        <f t="shared" si="67"/>
        <v>6.7396000000000003</v>
      </c>
      <c r="T1239" s="16">
        <f t="shared" si="69"/>
        <v>9.9766000000000012</v>
      </c>
    </row>
    <row r="1240" spans="1:20" x14ac:dyDescent="0.25">
      <c r="A1240" s="14">
        <v>2014</v>
      </c>
      <c r="B1240" s="14" t="s">
        <v>137</v>
      </c>
      <c r="C1240" s="14" t="s">
        <v>138</v>
      </c>
      <c r="D1240" s="14">
        <v>7</v>
      </c>
      <c r="E1240" s="14">
        <v>3</v>
      </c>
      <c r="F1240" s="14">
        <v>3</v>
      </c>
      <c r="G1240" s="14">
        <v>4</v>
      </c>
      <c r="H1240" s="14" t="s">
        <v>3</v>
      </c>
      <c r="I1240" s="15">
        <v>41834</v>
      </c>
      <c r="J1240" s="14" t="s">
        <v>125</v>
      </c>
      <c r="K1240" s="14">
        <v>159</v>
      </c>
      <c r="L1240" s="14">
        <v>51</v>
      </c>
      <c r="M1240" s="14">
        <v>108</v>
      </c>
      <c r="N1240" s="14"/>
      <c r="O1240" s="14">
        <v>0</v>
      </c>
      <c r="P1240" s="10">
        <v>-25.01</v>
      </c>
      <c r="Q1240" s="10">
        <v>44.2</v>
      </c>
      <c r="R1240" s="10">
        <v>54.2</v>
      </c>
      <c r="S1240" s="16">
        <f t="shared" si="67"/>
        <v>7.0278</v>
      </c>
      <c r="T1240" s="16">
        <f t="shared" si="69"/>
        <v>8.6178000000000008</v>
      </c>
    </row>
    <row r="1241" spans="1:20" x14ac:dyDescent="0.25">
      <c r="A1241" s="14">
        <v>2014</v>
      </c>
      <c r="B1241" s="14" t="s">
        <v>137</v>
      </c>
      <c r="C1241" s="14" t="s">
        <v>138</v>
      </c>
      <c r="D1241" s="14">
        <v>7</v>
      </c>
      <c r="E1241" s="14">
        <v>4</v>
      </c>
      <c r="F1241" s="14">
        <v>4</v>
      </c>
      <c r="G1241" s="14">
        <v>4</v>
      </c>
      <c r="H1241" s="14" t="s">
        <v>8</v>
      </c>
      <c r="I1241" s="15">
        <v>41834</v>
      </c>
      <c r="J1241" s="14" t="s">
        <v>125</v>
      </c>
      <c r="K1241" s="14">
        <v>176</v>
      </c>
      <c r="L1241" s="14">
        <v>69</v>
      </c>
      <c r="M1241" s="14">
        <v>107</v>
      </c>
      <c r="N1241" s="14"/>
      <c r="O1241" s="14">
        <v>0</v>
      </c>
      <c r="P1241" s="10">
        <v>-25.18</v>
      </c>
      <c r="Q1241" s="10">
        <v>39.799999999999997</v>
      </c>
      <c r="R1241" s="10">
        <v>69.5</v>
      </c>
      <c r="S1241" s="16">
        <f t="shared" si="67"/>
        <v>7.0047999999999995</v>
      </c>
      <c r="T1241" s="16">
        <f t="shared" si="69"/>
        <v>12.231999999999999</v>
      </c>
    </row>
    <row r="1242" spans="1:20" x14ac:dyDescent="0.25">
      <c r="A1242" s="14">
        <v>2014</v>
      </c>
      <c r="B1242" s="14" t="s">
        <v>137</v>
      </c>
      <c r="C1242" s="14" t="s">
        <v>138</v>
      </c>
      <c r="D1242" s="14">
        <v>7</v>
      </c>
      <c r="E1242" s="14">
        <v>5</v>
      </c>
      <c r="F1242" s="14">
        <v>5</v>
      </c>
      <c r="G1242" s="14">
        <v>4</v>
      </c>
      <c r="H1242" s="14" t="s">
        <v>12</v>
      </c>
      <c r="I1242" s="15">
        <v>41834</v>
      </c>
      <c r="J1242" s="14" t="s">
        <v>125</v>
      </c>
      <c r="K1242" s="14">
        <v>163</v>
      </c>
      <c r="L1242" s="14">
        <v>61</v>
      </c>
      <c r="M1242" s="14">
        <v>102</v>
      </c>
      <c r="N1242" s="14"/>
      <c r="O1242" s="14">
        <v>0</v>
      </c>
      <c r="P1242" s="10">
        <v>-25.49</v>
      </c>
      <c r="Q1242" s="10">
        <v>42.6</v>
      </c>
      <c r="R1242" s="10">
        <v>50</v>
      </c>
      <c r="S1242" s="16">
        <f t="shared" si="67"/>
        <v>6.9438000000000004</v>
      </c>
      <c r="T1242" s="16">
        <f t="shared" si="69"/>
        <v>8.15</v>
      </c>
    </row>
    <row r="1243" spans="1:20" x14ac:dyDescent="0.25">
      <c r="A1243" s="14">
        <v>2014</v>
      </c>
      <c r="B1243" s="14" t="s">
        <v>137</v>
      </c>
      <c r="C1243" s="14" t="s">
        <v>138</v>
      </c>
      <c r="D1243" s="14">
        <v>7</v>
      </c>
      <c r="E1243" s="14">
        <v>6</v>
      </c>
      <c r="F1243" s="14">
        <v>6</v>
      </c>
      <c r="G1243" s="14">
        <v>4</v>
      </c>
      <c r="H1243" s="14" t="s">
        <v>14</v>
      </c>
      <c r="I1243" s="15">
        <v>41834</v>
      </c>
      <c r="J1243" s="14" t="s">
        <v>125</v>
      </c>
      <c r="K1243" s="14">
        <v>128</v>
      </c>
      <c r="L1243" s="14">
        <v>44</v>
      </c>
      <c r="M1243" s="14">
        <v>84</v>
      </c>
      <c r="N1243" s="14"/>
      <c r="O1243" s="14">
        <v>0</v>
      </c>
      <c r="P1243" s="10">
        <v>-25.37</v>
      </c>
      <c r="Q1243" s="10">
        <v>46.7</v>
      </c>
      <c r="R1243" s="10">
        <v>43.3</v>
      </c>
      <c r="S1243" s="16">
        <f t="shared" si="67"/>
        <v>5.9776000000000007</v>
      </c>
      <c r="T1243" s="16">
        <f t="shared" si="69"/>
        <v>5.5423999999999998</v>
      </c>
    </row>
    <row r="1244" spans="1:20" x14ac:dyDescent="0.25">
      <c r="A1244" s="14">
        <v>2014</v>
      </c>
      <c r="B1244" s="14" t="s">
        <v>137</v>
      </c>
      <c r="C1244" s="14" t="s">
        <v>138</v>
      </c>
      <c r="D1244" s="14">
        <v>8</v>
      </c>
      <c r="E1244" s="14">
        <v>6</v>
      </c>
      <c r="F1244" s="14">
        <v>7</v>
      </c>
      <c r="G1244" s="14">
        <v>4</v>
      </c>
      <c r="H1244" s="14" t="s">
        <v>2</v>
      </c>
      <c r="I1244" s="15">
        <v>41834</v>
      </c>
      <c r="J1244" s="14" t="s">
        <v>125</v>
      </c>
      <c r="K1244" s="14">
        <v>209</v>
      </c>
      <c r="L1244" s="14">
        <v>75</v>
      </c>
      <c r="M1244" s="14">
        <v>133</v>
      </c>
      <c r="N1244" s="14"/>
      <c r="O1244" s="14">
        <v>0</v>
      </c>
      <c r="P1244" s="10">
        <v>-25.07</v>
      </c>
      <c r="Q1244" s="10">
        <v>36.1</v>
      </c>
      <c r="R1244" s="10">
        <v>82</v>
      </c>
      <c r="S1244" s="16">
        <f t="shared" si="67"/>
        <v>7.5449000000000002</v>
      </c>
      <c r="T1244" s="16">
        <f t="shared" si="69"/>
        <v>17.138000000000002</v>
      </c>
    </row>
    <row r="1245" spans="1:20" x14ac:dyDescent="0.25">
      <c r="A1245" s="14">
        <v>2014</v>
      </c>
      <c r="B1245" s="14" t="s">
        <v>137</v>
      </c>
      <c r="C1245" s="14" t="s">
        <v>138</v>
      </c>
      <c r="D1245" s="14">
        <v>8</v>
      </c>
      <c r="E1245" s="14">
        <v>5</v>
      </c>
      <c r="F1245" s="14">
        <v>8</v>
      </c>
      <c r="G1245" s="14">
        <v>4</v>
      </c>
      <c r="H1245" s="14" t="s">
        <v>13</v>
      </c>
      <c r="I1245" s="15">
        <v>41834</v>
      </c>
      <c r="J1245" s="14" t="s">
        <v>125</v>
      </c>
      <c r="K1245" s="14">
        <v>153</v>
      </c>
      <c r="L1245" s="14">
        <v>67</v>
      </c>
      <c r="M1245" s="14">
        <v>86</v>
      </c>
      <c r="N1245" s="14"/>
      <c r="O1245" s="14">
        <v>0</v>
      </c>
      <c r="P1245" s="10">
        <v>-25.73</v>
      </c>
      <c r="Q1245" s="10">
        <v>37.700000000000003</v>
      </c>
      <c r="R1245" s="10">
        <v>64.599999999999994</v>
      </c>
      <c r="S1245" s="16">
        <f t="shared" si="67"/>
        <v>5.7681000000000004</v>
      </c>
      <c r="T1245" s="16">
        <f t="shared" si="69"/>
        <v>9.883799999999999</v>
      </c>
    </row>
    <row r="1246" spans="1:20" x14ac:dyDescent="0.25">
      <c r="A1246" s="14">
        <v>2014</v>
      </c>
      <c r="B1246" s="14" t="s">
        <v>137</v>
      </c>
      <c r="C1246" s="14" t="s">
        <v>138</v>
      </c>
      <c r="D1246" s="14">
        <v>8</v>
      </c>
      <c r="E1246" s="14">
        <v>4</v>
      </c>
      <c r="F1246" s="14">
        <v>9</v>
      </c>
      <c r="G1246" s="14">
        <v>4</v>
      </c>
      <c r="H1246" s="14" t="s">
        <v>10</v>
      </c>
      <c r="I1246" s="15">
        <v>41834</v>
      </c>
      <c r="J1246" s="14" t="s">
        <v>125</v>
      </c>
      <c r="K1246" s="14">
        <v>162</v>
      </c>
      <c r="L1246" s="14">
        <v>55</v>
      </c>
      <c r="M1246" s="14">
        <v>107</v>
      </c>
      <c r="N1246" s="14"/>
      <c r="O1246" s="14">
        <v>0</v>
      </c>
      <c r="P1246" s="10">
        <v>-25.26</v>
      </c>
      <c r="Q1246" s="10">
        <v>46</v>
      </c>
      <c r="R1246" s="10">
        <v>55.6</v>
      </c>
      <c r="S1246" s="16">
        <f t="shared" si="67"/>
        <v>7.452</v>
      </c>
      <c r="T1246" s="16">
        <f t="shared" si="69"/>
        <v>9.007200000000001</v>
      </c>
    </row>
    <row r="1247" spans="1:20" x14ac:dyDescent="0.25">
      <c r="A1247" s="14">
        <v>2014</v>
      </c>
      <c r="B1247" s="14" t="s">
        <v>137</v>
      </c>
      <c r="C1247" s="14" t="s">
        <v>138</v>
      </c>
      <c r="D1247" s="14">
        <v>8</v>
      </c>
      <c r="E1247" s="14">
        <v>3</v>
      </c>
      <c r="F1247" s="14">
        <v>10</v>
      </c>
      <c r="G1247" s="14">
        <v>4</v>
      </c>
      <c r="H1247" s="14" t="s">
        <v>9</v>
      </c>
      <c r="I1247" s="15">
        <v>41834</v>
      </c>
      <c r="J1247" s="14" t="s">
        <v>125</v>
      </c>
      <c r="K1247" s="14">
        <v>168</v>
      </c>
      <c r="L1247" s="14">
        <v>58</v>
      </c>
      <c r="M1247" s="14">
        <v>110</v>
      </c>
      <c r="N1247" s="14"/>
      <c r="O1247" s="14">
        <v>0</v>
      </c>
      <c r="P1247" s="10">
        <v>-25.39</v>
      </c>
      <c r="Q1247" s="10">
        <v>45.1</v>
      </c>
      <c r="R1247" s="10">
        <v>54.8</v>
      </c>
      <c r="S1247" s="16">
        <f t="shared" si="67"/>
        <v>7.5768000000000004</v>
      </c>
      <c r="T1247" s="16">
        <f t="shared" si="69"/>
        <v>9.2064000000000004</v>
      </c>
    </row>
    <row r="1248" spans="1:20" x14ac:dyDescent="0.25">
      <c r="A1248" s="14">
        <v>2014</v>
      </c>
      <c r="B1248" s="14" t="s">
        <v>137</v>
      </c>
      <c r="C1248" s="14" t="s">
        <v>138</v>
      </c>
      <c r="D1248" s="14">
        <v>8</v>
      </c>
      <c r="E1248" s="14">
        <v>2</v>
      </c>
      <c r="F1248" s="14">
        <v>11</v>
      </c>
      <c r="G1248" s="14">
        <v>4</v>
      </c>
      <c r="H1248" s="14" t="s">
        <v>7</v>
      </c>
      <c r="I1248" s="15">
        <v>41834</v>
      </c>
      <c r="J1248" s="14" t="s">
        <v>125</v>
      </c>
      <c r="K1248" s="14">
        <v>161</v>
      </c>
      <c r="L1248" s="14">
        <v>62</v>
      </c>
      <c r="M1248" s="14">
        <v>99</v>
      </c>
      <c r="N1248" s="14"/>
      <c r="O1248" s="14">
        <v>0</v>
      </c>
      <c r="P1248" s="10">
        <v>-25.25</v>
      </c>
      <c r="Q1248" s="10">
        <v>38.6</v>
      </c>
      <c r="R1248" s="10">
        <v>70.7</v>
      </c>
      <c r="S1248" s="16">
        <f t="shared" si="67"/>
        <v>6.2146000000000008</v>
      </c>
      <c r="T1248" s="16">
        <f t="shared" si="69"/>
        <v>11.382700000000002</v>
      </c>
    </row>
    <row r="1249" spans="1:20" x14ac:dyDescent="0.25">
      <c r="A1249" s="14">
        <v>2014</v>
      </c>
      <c r="B1249" s="14" t="s">
        <v>137</v>
      </c>
      <c r="C1249" s="14" t="s">
        <v>138</v>
      </c>
      <c r="D1249" s="14">
        <v>8</v>
      </c>
      <c r="E1249" s="14">
        <v>1</v>
      </c>
      <c r="F1249" s="14">
        <v>12</v>
      </c>
      <c r="G1249" s="14">
        <v>4</v>
      </c>
      <c r="H1249" s="14" t="s">
        <v>6</v>
      </c>
      <c r="I1249" s="15">
        <v>41834</v>
      </c>
      <c r="J1249" s="14" t="s">
        <v>125</v>
      </c>
      <c r="K1249" s="14">
        <v>123</v>
      </c>
      <c r="L1249" s="14">
        <v>46</v>
      </c>
      <c r="M1249" s="14">
        <v>77</v>
      </c>
      <c r="N1249" s="14"/>
      <c r="O1249" s="14">
        <v>0</v>
      </c>
      <c r="P1249" s="10">
        <v>-25.71</v>
      </c>
      <c r="Q1249" s="10">
        <v>45.7</v>
      </c>
      <c r="R1249" s="10">
        <v>62.7</v>
      </c>
      <c r="S1249" s="16">
        <f t="shared" si="67"/>
        <v>5.6211000000000002</v>
      </c>
      <c r="T1249" s="16">
        <f t="shared" si="69"/>
        <v>7.7121000000000004</v>
      </c>
    </row>
    <row r="1250" spans="1:20" x14ac:dyDescent="0.25">
      <c r="A1250" s="14">
        <v>2014</v>
      </c>
      <c r="B1250" s="14" t="s">
        <v>137</v>
      </c>
      <c r="C1250" s="14" t="s">
        <v>138</v>
      </c>
      <c r="D1250" s="14">
        <v>1</v>
      </c>
      <c r="E1250" s="14">
        <v>1</v>
      </c>
      <c r="F1250" s="14">
        <v>1</v>
      </c>
      <c r="G1250" s="14">
        <v>1</v>
      </c>
      <c r="H1250" s="14" t="s">
        <v>14</v>
      </c>
      <c r="I1250" s="15">
        <v>41863</v>
      </c>
      <c r="J1250" s="14" t="s">
        <v>126</v>
      </c>
      <c r="K1250" s="14">
        <v>402</v>
      </c>
      <c r="L1250" s="14">
        <v>161</v>
      </c>
      <c r="M1250" s="14">
        <v>203</v>
      </c>
      <c r="N1250" s="14"/>
      <c r="O1250" s="14">
        <v>39</v>
      </c>
      <c r="P1250" s="10"/>
      <c r="Q1250" s="10"/>
      <c r="R1250" s="10"/>
      <c r="S1250" s="16"/>
      <c r="T1250" s="16"/>
    </row>
    <row r="1251" spans="1:20" x14ac:dyDescent="0.25">
      <c r="A1251" s="14">
        <v>2014</v>
      </c>
      <c r="B1251" s="14" t="s">
        <v>137</v>
      </c>
      <c r="C1251" s="14" t="s">
        <v>138</v>
      </c>
      <c r="D1251" s="14">
        <v>1</v>
      </c>
      <c r="E1251" s="14">
        <v>2</v>
      </c>
      <c r="F1251" s="14">
        <v>2</v>
      </c>
      <c r="G1251" s="14">
        <v>1</v>
      </c>
      <c r="H1251" s="14" t="s">
        <v>9</v>
      </c>
      <c r="I1251" s="15">
        <v>41856</v>
      </c>
      <c r="J1251" s="14" t="s">
        <v>126</v>
      </c>
      <c r="K1251" s="14">
        <v>514</v>
      </c>
      <c r="L1251" s="14">
        <v>221</v>
      </c>
      <c r="M1251" s="14">
        <v>265</v>
      </c>
      <c r="N1251" s="14"/>
      <c r="O1251" s="14">
        <v>27</v>
      </c>
      <c r="P1251" s="10"/>
      <c r="Q1251" s="10"/>
      <c r="R1251" s="10"/>
      <c r="S1251" s="16"/>
      <c r="T1251" s="16"/>
    </row>
    <row r="1252" spans="1:20" x14ac:dyDescent="0.25">
      <c r="A1252" s="14">
        <v>2014</v>
      </c>
      <c r="B1252" s="14" t="s">
        <v>137</v>
      </c>
      <c r="C1252" s="14" t="s">
        <v>138</v>
      </c>
      <c r="D1252" s="14">
        <v>1</v>
      </c>
      <c r="E1252" s="14">
        <v>3</v>
      </c>
      <c r="F1252" s="14">
        <v>3</v>
      </c>
      <c r="G1252" s="14">
        <v>1</v>
      </c>
      <c r="H1252" s="14" t="s">
        <v>5</v>
      </c>
      <c r="I1252" s="15">
        <v>41856</v>
      </c>
      <c r="J1252" s="14" t="s">
        <v>126</v>
      </c>
      <c r="K1252" s="14">
        <v>419</v>
      </c>
      <c r="L1252" s="14">
        <v>164</v>
      </c>
      <c r="M1252" s="14">
        <v>225</v>
      </c>
      <c r="N1252" s="14"/>
      <c r="O1252" s="14">
        <v>30</v>
      </c>
      <c r="P1252" s="10"/>
      <c r="Q1252" s="10"/>
      <c r="R1252" s="10"/>
      <c r="S1252" s="16"/>
      <c r="T1252" s="16"/>
    </row>
    <row r="1253" spans="1:20" x14ac:dyDescent="0.25">
      <c r="A1253" s="14">
        <v>2014</v>
      </c>
      <c r="B1253" s="14" t="s">
        <v>137</v>
      </c>
      <c r="C1253" s="14" t="s">
        <v>138</v>
      </c>
      <c r="D1253" s="14">
        <v>1</v>
      </c>
      <c r="E1253" s="14">
        <v>4</v>
      </c>
      <c r="F1253" s="14">
        <v>4</v>
      </c>
      <c r="G1253" s="14">
        <v>1</v>
      </c>
      <c r="H1253" s="14" t="s">
        <v>12</v>
      </c>
      <c r="I1253" s="15">
        <v>41842</v>
      </c>
      <c r="J1253" s="14" t="s">
        <v>126</v>
      </c>
      <c r="K1253" s="14">
        <v>193</v>
      </c>
      <c r="L1253" s="14">
        <v>67</v>
      </c>
      <c r="M1253" s="14">
        <v>124</v>
      </c>
      <c r="N1253" s="14"/>
      <c r="O1253" s="14">
        <v>2</v>
      </c>
      <c r="P1253" s="10"/>
      <c r="Q1253" s="10"/>
      <c r="R1253" s="10"/>
      <c r="S1253" s="16"/>
      <c r="T1253" s="16"/>
    </row>
    <row r="1254" spans="1:20" x14ac:dyDescent="0.25">
      <c r="A1254" s="14">
        <v>2014</v>
      </c>
      <c r="B1254" s="14" t="s">
        <v>137</v>
      </c>
      <c r="C1254" s="14" t="s">
        <v>138</v>
      </c>
      <c r="D1254" s="14">
        <v>1</v>
      </c>
      <c r="E1254" s="14">
        <v>5</v>
      </c>
      <c r="F1254" s="14">
        <v>5</v>
      </c>
      <c r="G1254" s="14">
        <v>1</v>
      </c>
      <c r="H1254" s="14" t="s">
        <v>10</v>
      </c>
      <c r="I1254" s="15">
        <v>41856</v>
      </c>
      <c r="J1254" s="14" t="s">
        <v>126</v>
      </c>
      <c r="K1254" s="14">
        <v>468</v>
      </c>
      <c r="L1254" s="14">
        <v>221</v>
      </c>
      <c r="M1254" s="14">
        <v>226</v>
      </c>
      <c r="N1254" s="14"/>
      <c r="O1254" s="14">
        <v>21</v>
      </c>
      <c r="P1254" s="10"/>
      <c r="Q1254" s="10"/>
      <c r="R1254" s="10"/>
      <c r="S1254" s="16"/>
      <c r="T1254" s="16"/>
    </row>
    <row r="1255" spans="1:20" x14ac:dyDescent="0.25">
      <c r="A1255" s="14">
        <v>2014</v>
      </c>
      <c r="B1255" s="14" t="s">
        <v>137</v>
      </c>
      <c r="C1255" s="14" t="s">
        <v>138</v>
      </c>
      <c r="D1255" s="14">
        <v>1</v>
      </c>
      <c r="E1255" s="14">
        <v>6</v>
      </c>
      <c r="F1255" s="14">
        <v>6</v>
      </c>
      <c r="G1255" s="14">
        <v>1</v>
      </c>
      <c r="H1255" s="14" t="s">
        <v>4</v>
      </c>
      <c r="I1255" s="15">
        <v>41856</v>
      </c>
      <c r="J1255" s="14" t="s">
        <v>126</v>
      </c>
      <c r="K1255" s="14">
        <v>298</v>
      </c>
      <c r="L1255" s="14">
        <v>108</v>
      </c>
      <c r="M1255" s="14">
        <v>184</v>
      </c>
      <c r="N1255" s="14"/>
      <c r="O1255" s="14">
        <v>7</v>
      </c>
      <c r="P1255" s="10"/>
      <c r="Q1255" s="10"/>
      <c r="R1255" s="10"/>
      <c r="S1255" s="16"/>
      <c r="T1255" s="16"/>
    </row>
    <row r="1256" spans="1:20" x14ac:dyDescent="0.25">
      <c r="A1256" s="14">
        <v>2014</v>
      </c>
      <c r="B1256" s="14" t="s">
        <v>137</v>
      </c>
      <c r="C1256" s="14" t="s">
        <v>138</v>
      </c>
      <c r="D1256" s="14">
        <v>2</v>
      </c>
      <c r="E1256" s="14">
        <v>6</v>
      </c>
      <c r="F1256" s="14">
        <v>7</v>
      </c>
      <c r="G1256" s="14">
        <v>1</v>
      </c>
      <c r="H1256" s="14" t="s">
        <v>7</v>
      </c>
      <c r="I1256" s="15">
        <v>41856</v>
      </c>
      <c r="J1256" s="14" t="s">
        <v>126</v>
      </c>
      <c r="K1256" s="14">
        <v>402</v>
      </c>
      <c r="L1256" s="14">
        <v>171</v>
      </c>
      <c r="M1256" s="14">
        <v>196</v>
      </c>
      <c r="N1256" s="14"/>
      <c r="O1256" s="14">
        <v>35</v>
      </c>
      <c r="P1256" s="10"/>
      <c r="Q1256" s="10"/>
      <c r="R1256" s="10"/>
      <c r="S1256" s="16"/>
      <c r="T1256" s="16"/>
    </row>
    <row r="1257" spans="1:20" x14ac:dyDescent="0.25">
      <c r="A1257" s="14">
        <v>2014</v>
      </c>
      <c r="B1257" s="14" t="s">
        <v>137</v>
      </c>
      <c r="C1257" s="14" t="s">
        <v>138</v>
      </c>
      <c r="D1257" s="14">
        <v>2</v>
      </c>
      <c r="E1257" s="14">
        <v>5</v>
      </c>
      <c r="F1257" s="14">
        <v>8</v>
      </c>
      <c r="G1257" s="14">
        <v>1</v>
      </c>
      <c r="H1257" s="14" t="s">
        <v>3</v>
      </c>
      <c r="I1257" s="15">
        <v>41863</v>
      </c>
      <c r="J1257" s="14" t="s">
        <v>126</v>
      </c>
      <c r="K1257" s="14">
        <v>468</v>
      </c>
      <c r="L1257" s="14">
        <v>159</v>
      </c>
      <c r="M1257" s="14">
        <v>268</v>
      </c>
      <c r="N1257" s="14"/>
      <c r="O1257" s="14">
        <v>41</v>
      </c>
      <c r="P1257" s="10"/>
      <c r="Q1257" s="10"/>
      <c r="R1257" s="10"/>
      <c r="S1257" s="16"/>
      <c r="T1257" s="16"/>
    </row>
    <row r="1258" spans="1:20" x14ac:dyDescent="0.25">
      <c r="A1258" s="14">
        <v>2014</v>
      </c>
      <c r="B1258" s="14" t="s">
        <v>137</v>
      </c>
      <c r="C1258" s="14" t="s">
        <v>138</v>
      </c>
      <c r="D1258" s="14">
        <v>2</v>
      </c>
      <c r="E1258" s="14">
        <v>4</v>
      </c>
      <c r="F1258" s="14">
        <v>9</v>
      </c>
      <c r="G1258" s="14">
        <v>1</v>
      </c>
      <c r="H1258" s="14" t="s">
        <v>6</v>
      </c>
      <c r="I1258" s="15">
        <v>41856</v>
      </c>
      <c r="J1258" s="14" t="s">
        <v>126</v>
      </c>
      <c r="K1258" s="14">
        <v>435</v>
      </c>
      <c r="L1258" s="14">
        <v>191</v>
      </c>
      <c r="M1258" s="14">
        <v>214</v>
      </c>
      <c r="N1258" s="14"/>
      <c r="O1258" s="14">
        <v>30</v>
      </c>
      <c r="P1258" s="10"/>
      <c r="Q1258" s="10"/>
      <c r="R1258" s="10"/>
      <c r="S1258" s="16"/>
      <c r="T1258" s="16"/>
    </row>
    <row r="1259" spans="1:20" x14ac:dyDescent="0.25">
      <c r="A1259" s="14">
        <v>2014</v>
      </c>
      <c r="B1259" s="14" t="s">
        <v>137</v>
      </c>
      <c r="C1259" s="14" t="s">
        <v>138</v>
      </c>
      <c r="D1259" s="14">
        <v>2</v>
      </c>
      <c r="E1259" s="14">
        <v>3</v>
      </c>
      <c r="F1259" s="14">
        <v>10</v>
      </c>
      <c r="G1259" s="14">
        <v>1</v>
      </c>
      <c r="H1259" s="14" t="s">
        <v>2</v>
      </c>
      <c r="I1259" s="15">
        <v>41856</v>
      </c>
      <c r="J1259" s="14" t="s">
        <v>126</v>
      </c>
      <c r="K1259" s="14">
        <v>485</v>
      </c>
      <c r="L1259" s="14">
        <v>200</v>
      </c>
      <c r="M1259" s="14">
        <v>259</v>
      </c>
      <c r="N1259" s="14"/>
      <c r="O1259" s="14">
        <v>26</v>
      </c>
      <c r="P1259" s="10"/>
      <c r="Q1259" s="10"/>
      <c r="R1259" s="10"/>
      <c r="S1259" s="16"/>
      <c r="T1259" s="16"/>
    </row>
    <row r="1260" spans="1:20" x14ac:dyDescent="0.25">
      <c r="A1260" s="14">
        <v>2014</v>
      </c>
      <c r="B1260" s="14" t="s">
        <v>137</v>
      </c>
      <c r="C1260" s="14" t="s">
        <v>138</v>
      </c>
      <c r="D1260" s="14">
        <v>2</v>
      </c>
      <c r="E1260" s="14">
        <v>2</v>
      </c>
      <c r="F1260" s="14">
        <v>11</v>
      </c>
      <c r="G1260" s="14">
        <v>1</v>
      </c>
      <c r="H1260" s="14" t="s">
        <v>13</v>
      </c>
      <c r="I1260" s="15">
        <v>41842</v>
      </c>
      <c r="J1260" s="14" t="s">
        <v>126</v>
      </c>
      <c r="K1260" s="14">
        <v>239</v>
      </c>
      <c r="L1260" s="14">
        <v>98</v>
      </c>
      <c r="M1260" s="14">
        <v>136</v>
      </c>
      <c r="N1260" s="14"/>
      <c r="O1260" s="14">
        <v>4</v>
      </c>
      <c r="P1260" s="10"/>
      <c r="Q1260" s="10"/>
      <c r="R1260" s="10"/>
      <c r="S1260" s="16"/>
      <c r="T1260" s="16"/>
    </row>
    <row r="1261" spans="1:20" x14ac:dyDescent="0.25">
      <c r="A1261" s="14">
        <v>2014</v>
      </c>
      <c r="B1261" s="14" t="s">
        <v>137</v>
      </c>
      <c r="C1261" s="14" t="s">
        <v>138</v>
      </c>
      <c r="D1261" s="14">
        <v>2</v>
      </c>
      <c r="E1261" s="14">
        <v>1</v>
      </c>
      <c r="F1261" s="14">
        <v>12</v>
      </c>
      <c r="G1261" s="14">
        <v>1</v>
      </c>
      <c r="H1261" s="14" t="s">
        <v>8</v>
      </c>
      <c r="I1261" s="15">
        <v>41856</v>
      </c>
      <c r="J1261" s="14" t="s">
        <v>126</v>
      </c>
      <c r="K1261" s="14">
        <v>453</v>
      </c>
      <c r="L1261" s="14">
        <v>206</v>
      </c>
      <c r="M1261" s="14">
        <v>234</v>
      </c>
      <c r="N1261" s="14"/>
      <c r="O1261" s="14">
        <v>13</v>
      </c>
      <c r="P1261" s="10"/>
      <c r="Q1261" s="10"/>
      <c r="R1261" s="10"/>
      <c r="S1261" s="16"/>
      <c r="T1261" s="16"/>
    </row>
    <row r="1262" spans="1:20" x14ac:dyDescent="0.25">
      <c r="A1262" s="14">
        <v>2014</v>
      </c>
      <c r="B1262" s="14" t="s">
        <v>137</v>
      </c>
      <c r="C1262" s="14" t="s">
        <v>138</v>
      </c>
      <c r="D1262" s="14">
        <v>3</v>
      </c>
      <c r="E1262" s="14">
        <v>1</v>
      </c>
      <c r="F1262" s="14">
        <v>1</v>
      </c>
      <c r="G1262" s="14">
        <v>2</v>
      </c>
      <c r="H1262" s="14" t="s">
        <v>13</v>
      </c>
      <c r="I1262" s="15">
        <v>41842</v>
      </c>
      <c r="J1262" s="14" t="s">
        <v>126</v>
      </c>
      <c r="K1262" s="14">
        <v>194</v>
      </c>
      <c r="L1262" s="14">
        <v>79</v>
      </c>
      <c r="M1262" s="14">
        <v>111</v>
      </c>
      <c r="N1262" s="14"/>
      <c r="O1262" s="14">
        <v>4</v>
      </c>
      <c r="P1262" s="10"/>
      <c r="Q1262" s="10"/>
      <c r="R1262" s="10"/>
      <c r="S1262" s="16"/>
      <c r="T1262" s="16"/>
    </row>
    <row r="1263" spans="1:20" x14ac:dyDescent="0.25">
      <c r="A1263" s="14">
        <v>2014</v>
      </c>
      <c r="B1263" s="14" t="s">
        <v>137</v>
      </c>
      <c r="C1263" s="14" t="s">
        <v>138</v>
      </c>
      <c r="D1263" s="14">
        <v>3</v>
      </c>
      <c r="E1263" s="14">
        <v>2</v>
      </c>
      <c r="F1263" s="14">
        <v>2</v>
      </c>
      <c r="G1263" s="14">
        <v>2</v>
      </c>
      <c r="H1263" s="14" t="s">
        <v>4</v>
      </c>
      <c r="I1263" s="15">
        <v>41856</v>
      </c>
      <c r="J1263" s="14" t="s">
        <v>126</v>
      </c>
      <c r="K1263" s="14">
        <v>344</v>
      </c>
      <c r="L1263" s="14">
        <v>138</v>
      </c>
      <c r="M1263" s="14">
        <v>195</v>
      </c>
      <c r="N1263" s="14"/>
      <c r="O1263" s="14">
        <v>11</v>
      </c>
      <c r="P1263" s="10"/>
      <c r="Q1263" s="10"/>
      <c r="R1263" s="10"/>
      <c r="S1263" s="16"/>
      <c r="T1263" s="16"/>
    </row>
    <row r="1264" spans="1:20" x14ac:dyDescent="0.25">
      <c r="A1264" s="14">
        <v>2014</v>
      </c>
      <c r="B1264" s="14" t="s">
        <v>137</v>
      </c>
      <c r="C1264" s="14" t="s">
        <v>138</v>
      </c>
      <c r="D1264" s="14">
        <v>3</v>
      </c>
      <c r="E1264" s="14">
        <v>3</v>
      </c>
      <c r="F1264" s="14">
        <v>3</v>
      </c>
      <c r="G1264" s="14">
        <v>2</v>
      </c>
      <c r="H1264" s="14" t="s">
        <v>8</v>
      </c>
      <c r="I1264" s="15">
        <v>41856</v>
      </c>
      <c r="J1264" s="14" t="s">
        <v>126</v>
      </c>
      <c r="K1264" s="14">
        <v>512</v>
      </c>
      <c r="L1264" s="14">
        <v>218</v>
      </c>
      <c r="M1264" s="14">
        <v>275</v>
      </c>
      <c r="N1264" s="14"/>
      <c r="O1264" s="14">
        <v>19</v>
      </c>
      <c r="P1264" s="10"/>
      <c r="Q1264" s="10"/>
      <c r="R1264" s="10"/>
      <c r="S1264" s="16"/>
      <c r="T1264" s="16"/>
    </row>
    <row r="1265" spans="1:20" x14ac:dyDescent="0.25">
      <c r="A1265" s="14">
        <v>2014</v>
      </c>
      <c r="B1265" s="14" t="s">
        <v>137</v>
      </c>
      <c r="C1265" s="14" t="s">
        <v>138</v>
      </c>
      <c r="D1265" s="14">
        <v>3</v>
      </c>
      <c r="E1265" s="14">
        <v>4</v>
      </c>
      <c r="F1265" s="14">
        <v>4</v>
      </c>
      <c r="G1265" s="14">
        <v>2</v>
      </c>
      <c r="H1265" s="14" t="s">
        <v>5</v>
      </c>
      <c r="I1265" s="15">
        <v>41856</v>
      </c>
      <c r="J1265" s="14" t="s">
        <v>126</v>
      </c>
      <c r="K1265" s="14">
        <v>388</v>
      </c>
      <c r="L1265" s="14">
        <v>157</v>
      </c>
      <c r="M1265" s="14">
        <v>202</v>
      </c>
      <c r="N1265" s="14"/>
      <c r="O1265" s="14">
        <v>29</v>
      </c>
      <c r="P1265" s="10"/>
      <c r="Q1265" s="10"/>
      <c r="R1265" s="10"/>
      <c r="S1265" s="16"/>
      <c r="T1265" s="16"/>
    </row>
    <row r="1266" spans="1:20" x14ac:dyDescent="0.25">
      <c r="A1266" s="14">
        <v>2014</v>
      </c>
      <c r="B1266" s="14" t="s">
        <v>137</v>
      </c>
      <c r="C1266" s="14" t="s">
        <v>138</v>
      </c>
      <c r="D1266" s="14">
        <v>3</v>
      </c>
      <c r="E1266" s="14">
        <v>5</v>
      </c>
      <c r="F1266" s="14">
        <v>5</v>
      </c>
      <c r="G1266" s="14">
        <v>2</v>
      </c>
      <c r="H1266" s="14" t="s">
        <v>6</v>
      </c>
      <c r="I1266" s="15">
        <v>41856</v>
      </c>
      <c r="J1266" s="14" t="s">
        <v>126</v>
      </c>
      <c r="K1266" s="14">
        <v>475</v>
      </c>
      <c r="L1266" s="14">
        <v>190</v>
      </c>
      <c r="M1266" s="14">
        <v>251</v>
      </c>
      <c r="N1266" s="14"/>
      <c r="O1266" s="14">
        <v>34</v>
      </c>
      <c r="P1266" s="10"/>
      <c r="Q1266" s="10"/>
      <c r="R1266" s="10"/>
      <c r="S1266" s="16"/>
      <c r="T1266" s="16"/>
    </row>
    <row r="1267" spans="1:20" x14ac:dyDescent="0.25">
      <c r="A1267" s="14">
        <v>2014</v>
      </c>
      <c r="B1267" s="14" t="s">
        <v>137</v>
      </c>
      <c r="C1267" s="14" t="s">
        <v>138</v>
      </c>
      <c r="D1267" s="14">
        <v>3</v>
      </c>
      <c r="E1267" s="14">
        <v>6</v>
      </c>
      <c r="F1267" s="14">
        <v>6</v>
      </c>
      <c r="G1267" s="14">
        <v>2</v>
      </c>
      <c r="H1267" s="14" t="s">
        <v>3</v>
      </c>
      <c r="I1267" s="15">
        <v>41863</v>
      </c>
      <c r="J1267" s="14" t="s">
        <v>126</v>
      </c>
      <c r="K1267" s="14">
        <v>570</v>
      </c>
      <c r="L1267" s="14">
        <v>226</v>
      </c>
      <c r="M1267" s="14">
        <v>303</v>
      </c>
      <c r="N1267" s="14"/>
      <c r="O1267" s="14">
        <v>42</v>
      </c>
      <c r="P1267" s="10"/>
      <c r="Q1267" s="10"/>
      <c r="R1267" s="10"/>
      <c r="S1267" s="16"/>
      <c r="T1267" s="16"/>
    </row>
    <row r="1268" spans="1:20" x14ac:dyDescent="0.25">
      <c r="A1268" s="14">
        <v>2014</v>
      </c>
      <c r="B1268" s="14" t="s">
        <v>137</v>
      </c>
      <c r="C1268" s="14" t="s">
        <v>138</v>
      </c>
      <c r="D1268" s="14">
        <v>4</v>
      </c>
      <c r="E1268" s="14">
        <v>6</v>
      </c>
      <c r="F1268" s="14">
        <v>7</v>
      </c>
      <c r="G1268" s="14">
        <v>2</v>
      </c>
      <c r="H1268" s="14" t="s">
        <v>12</v>
      </c>
      <c r="I1268" s="15">
        <v>41842</v>
      </c>
      <c r="J1268" s="14" t="s">
        <v>126</v>
      </c>
      <c r="K1268" s="14">
        <v>248</v>
      </c>
      <c r="L1268" s="14">
        <v>90</v>
      </c>
      <c r="M1268" s="14">
        <v>154</v>
      </c>
      <c r="N1268" s="14"/>
      <c r="O1268" s="14">
        <v>4</v>
      </c>
      <c r="P1268" s="10"/>
      <c r="Q1268" s="10"/>
      <c r="R1268" s="10"/>
      <c r="S1268" s="16"/>
      <c r="T1268" s="16"/>
    </row>
    <row r="1269" spans="1:20" x14ac:dyDescent="0.25">
      <c r="A1269" s="14">
        <v>2014</v>
      </c>
      <c r="B1269" s="14" t="s">
        <v>137</v>
      </c>
      <c r="C1269" s="14" t="s">
        <v>138</v>
      </c>
      <c r="D1269" s="14">
        <v>4</v>
      </c>
      <c r="E1269" s="14">
        <v>5</v>
      </c>
      <c r="F1269" s="14">
        <v>8</v>
      </c>
      <c r="G1269" s="14">
        <v>2</v>
      </c>
      <c r="H1269" s="14" t="s">
        <v>9</v>
      </c>
      <c r="I1269" s="15">
        <v>41856</v>
      </c>
      <c r="J1269" s="14" t="s">
        <v>126</v>
      </c>
      <c r="K1269" s="14">
        <v>421</v>
      </c>
      <c r="L1269" s="14">
        <v>181</v>
      </c>
      <c r="M1269" s="14">
        <v>215</v>
      </c>
      <c r="N1269" s="14"/>
      <c r="O1269" s="14">
        <v>25</v>
      </c>
      <c r="P1269" s="10"/>
      <c r="Q1269" s="10"/>
      <c r="R1269" s="10"/>
      <c r="S1269" s="16"/>
      <c r="T1269" s="16"/>
    </row>
    <row r="1270" spans="1:20" x14ac:dyDescent="0.25">
      <c r="A1270" s="14">
        <v>2014</v>
      </c>
      <c r="B1270" s="14" t="s">
        <v>137</v>
      </c>
      <c r="C1270" s="14" t="s">
        <v>138</v>
      </c>
      <c r="D1270" s="14">
        <v>4</v>
      </c>
      <c r="E1270" s="14">
        <v>4</v>
      </c>
      <c r="F1270" s="14">
        <v>9</v>
      </c>
      <c r="G1270" s="14">
        <v>2</v>
      </c>
      <c r="H1270" s="14" t="s">
        <v>14</v>
      </c>
      <c r="I1270" s="15">
        <v>41863</v>
      </c>
      <c r="J1270" s="14" t="s">
        <v>126</v>
      </c>
      <c r="K1270" s="14">
        <v>484</v>
      </c>
      <c r="L1270" s="14">
        <v>190</v>
      </c>
      <c r="M1270" s="14">
        <v>255</v>
      </c>
      <c r="N1270" s="14"/>
      <c r="O1270" s="14">
        <v>39</v>
      </c>
      <c r="P1270" s="10"/>
      <c r="Q1270" s="10"/>
      <c r="R1270" s="10"/>
      <c r="S1270" s="16"/>
      <c r="T1270" s="16"/>
    </row>
    <row r="1271" spans="1:20" x14ac:dyDescent="0.25">
      <c r="A1271" s="14">
        <v>2014</v>
      </c>
      <c r="B1271" s="14" t="s">
        <v>137</v>
      </c>
      <c r="C1271" s="14" t="s">
        <v>138</v>
      </c>
      <c r="D1271" s="14">
        <v>4</v>
      </c>
      <c r="E1271" s="14">
        <v>3</v>
      </c>
      <c r="F1271" s="14">
        <v>10</v>
      </c>
      <c r="G1271" s="14">
        <v>2</v>
      </c>
      <c r="H1271" s="14" t="s">
        <v>7</v>
      </c>
      <c r="I1271" s="15">
        <v>41856</v>
      </c>
      <c r="J1271" s="14" t="s">
        <v>126</v>
      </c>
      <c r="K1271" s="14">
        <v>441</v>
      </c>
      <c r="L1271" s="14">
        <v>190</v>
      </c>
      <c r="M1271" s="14">
        <v>220</v>
      </c>
      <c r="N1271" s="14"/>
      <c r="O1271" s="14">
        <v>31</v>
      </c>
      <c r="P1271" s="10"/>
      <c r="Q1271" s="10"/>
      <c r="R1271" s="10"/>
      <c r="S1271" s="16"/>
      <c r="T1271" s="16"/>
    </row>
    <row r="1272" spans="1:20" x14ac:dyDescent="0.25">
      <c r="A1272" s="14">
        <v>2014</v>
      </c>
      <c r="B1272" s="14" t="s">
        <v>137</v>
      </c>
      <c r="C1272" s="14" t="s">
        <v>138</v>
      </c>
      <c r="D1272" s="14">
        <v>4</v>
      </c>
      <c r="E1272" s="14">
        <v>2</v>
      </c>
      <c r="F1272" s="14">
        <v>11</v>
      </c>
      <c r="G1272" s="14">
        <v>2</v>
      </c>
      <c r="H1272" s="14" t="s">
        <v>2</v>
      </c>
      <c r="I1272" s="15">
        <v>41856</v>
      </c>
      <c r="J1272" s="14" t="s">
        <v>126</v>
      </c>
      <c r="K1272" s="14">
        <v>482</v>
      </c>
      <c r="L1272" s="14">
        <v>214</v>
      </c>
      <c r="M1272" s="14">
        <v>241</v>
      </c>
      <c r="N1272" s="14"/>
      <c r="O1272" s="14">
        <v>27</v>
      </c>
      <c r="P1272" s="10"/>
      <c r="Q1272" s="10"/>
      <c r="R1272" s="10"/>
      <c r="S1272" s="16"/>
      <c r="T1272" s="16"/>
    </row>
    <row r="1273" spans="1:20" x14ac:dyDescent="0.25">
      <c r="A1273" s="14">
        <v>2014</v>
      </c>
      <c r="B1273" s="14" t="s">
        <v>137</v>
      </c>
      <c r="C1273" s="14" t="s">
        <v>138</v>
      </c>
      <c r="D1273" s="14">
        <v>4</v>
      </c>
      <c r="E1273" s="14">
        <v>1</v>
      </c>
      <c r="F1273" s="14">
        <v>12</v>
      </c>
      <c r="G1273" s="14">
        <v>2</v>
      </c>
      <c r="H1273" s="14" t="s">
        <v>10</v>
      </c>
      <c r="I1273" s="15">
        <v>41856</v>
      </c>
      <c r="J1273" s="14" t="s">
        <v>126</v>
      </c>
      <c r="K1273" s="14">
        <v>421</v>
      </c>
      <c r="L1273" s="14">
        <v>176</v>
      </c>
      <c r="M1273" s="14">
        <v>222</v>
      </c>
      <c r="N1273" s="14"/>
      <c r="O1273" s="14">
        <v>23</v>
      </c>
      <c r="P1273" s="10"/>
      <c r="Q1273" s="10"/>
      <c r="R1273" s="10"/>
      <c r="S1273" s="16"/>
      <c r="T1273" s="16"/>
    </row>
    <row r="1274" spans="1:20" x14ac:dyDescent="0.25">
      <c r="A1274" s="14">
        <v>2014</v>
      </c>
      <c r="B1274" s="14" t="s">
        <v>137</v>
      </c>
      <c r="C1274" s="14" t="s">
        <v>138</v>
      </c>
      <c r="D1274" s="14">
        <v>5</v>
      </c>
      <c r="E1274" s="14">
        <v>1</v>
      </c>
      <c r="F1274" s="14">
        <v>1</v>
      </c>
      <c r="G1274" s="14">
        <v>3</v>
      </c>
      <c r="H1274" s="14" t="s">
        <v>7</v>
      </c>
      <c r="I1274" s="15">
        <v>41856</v>
      </c>
      <c r="J1274" s="14" t="s">
        <v>126</v>
      </c>
      <c r="K1274" s="14">
        <v>382</v>
      </c>
      <c r="L1274" s="14">
        <v>170</v>
      </c>
      <c r="M1274" s="14">
        <v>188</v>
      </c>
      <c r="N1274" s="14"/>
      <c r="O1274" s="14">
        <v>24</v>
      </c>
      <c r="P1274" s="10"/>
      <c r="Q1274" s="10"/>
      <c r="R1274" s="10"/>
      <c r="S1274" s="16"/>
      <c r="T1274" s="16"/>
    </row>
    <row r="1275" spans="1:20" x14ac:dyDescent="0.25">
      <c r="A1275" s="14">
        <v>2014</v>
      </c>
      <c r="B1275" s="14" t="s">
        <v>137</v>
      </c>
      <c r="C1275" s="14" t="s">
        <v>138</v>
      </c>
      <c r="D1275" s="14">
        <v>5</v>
      </c>
      <c r="E1275" s="14">
        <v>2</v>
      </c>
      <c r="F1275" s="14">
        <v>2</v>
      </c>
      <c r="G1275" s="14">
        <v>3</v>
      </c>
      <c r="H1275" s="14" t="s">
        <v>14</v>
      </c>
      <c r="I1275" s="15">
        <v>41863</v>
      </c>
      <c r="J1275" s="14" t="s">
        <v>126</v>
      </c>
      <c r="K1275" s="14">
        <v>399</v>
      </c>
      <c r="L1275" s="14">
        <v>166</v>
      </c>
      <c r="M1275" s="14">
        <v>197</v>
      </c>
      <c r="N1275" s="14"/>
      <c r="O1275" s="14">
        <v>36</v>
      </c>
      <c r="P1275" s="10"/>
      <c r="Q1275" s="10"/>
      <c r="R1275" s="10"/>
      <c r="S1275" s="16"/>
      <c r="T1275" s="16"/>
    </row>
    <row r="1276" spans="1:20" x14ac:dyDescent="0.25">
      <c r="A1276" s="14">
        <v>2014</v>
      </c>
      <c r="B1276" s="14" t="s">
        <v>137</v>
      </c>
      <c r="C1276" s="14" t="s">
        <v>138</v>
      </c>
      <c r="D1276" s="14">
        <v>5</v>
      </c>
      <c r="E1276" s="14">
        <v>3</v>
      </c>
      <c r="F1276" s="14">
        <v>3</v>
      </c>
      <c r="G1276" s="14">
        <v>3</v>
      </c>
      <c r="H1276" s="14" t="s">
        <v>6</v>
      </c>
      <c r="I1276" s="15">
        <v>41856</v>
      </c>
      <c r="J1276" s="14" t="s">
        <v>126</v>
      </c>
      <c r="K1276" s="14">
        <v>491</v>
      </c>
      <c r="L1276" s="14">
        <v>214</v>
      </c>
      <c r="M1276" s="14">
        <v>252</v>
      </c>
      <c r="N1276" s="14"/>
      <c r="O1276" s="14">
        <v>26</v>
      </c>
      <c r="P1276" s="10"/>
      <c r="Q1276" s="10"/>
      <c r="R1276" s="10"/>
      <c r="S1276" s="16"/>
      <c r="T1276" s="16"/>
    </row>
    <row r="1277" spans="1:20" x14ac:dyDescent="0.25">
      <c r="A1277" s="14">
        <v>2014</v>
      </c>
      <c r="B1277" s="14" t="s">
        <v>137</v>
      </c>
      <c r="C1277" s="14" t="s">
        <v>138</v>
      </c>
      <c r="D1277" s="14">
        <v>5</v>
      </c>
      <c r="E1277" s="14">
        <v>4</v>
      </c>
      <c r="F1277" s="14">
        <v>4</v>
      </c>
      <c r="G1277" s="14">
        <v>3</v>
      </c>
      <c r="H1277" s="14" t="s">
        <v>13</v>
      </c>
      <c r="I1277" s="15">
        <v>41842</v>
      </c>
      <c r="J1277" s="14" t="s">
        <v>126</v>
      </c>
      <c r="K1277" s="14">
        <v>220</v>
      </c>
      <c r="L1277" s="14">
        <v>94</v>
      </c>
      <c r="M1277" s="14">
        <v>124</v>
      </c>
      <c r="N1277" s="14"/>
      <c r="O1277" s="14">
        <v>2</v>
      </c>
      <c r="P1277" s="10"/>
      <c r="Q1277" s="10"/>
      <c r="R1277" s="10"/>
      <c r="S1277" s="16"/>
      <c r="T1277" s="16"/>
    </row>
    <row r="1278" spans="1:20" x14ac:dyDescent="0.25">
      <c r="A1278" s="14">
        <v>2014</v>
      </c>
      <c r="B1278" s="14" t="s">
        <v>137</v>
      </c>
      <c r="C1278" s="14" t="s">
        <v>138</v>
      </c>
      <c r="D1278" s="14">
        <v>5</v>
      </c>
      <c r="E1278" s="14">
        <v>5</v>
      </c>
      <c r="F1278" s="14">
        <v>5</v>
      </c>
      <c r="G1278" s="14">
        <v>3</v>
      </c>
      <c r="H1278" s="14" t="s">
        <v>5</v>
      </c>
      <c r="I1278" s="15">
        <v>41856</v>
      </c>
      <c r="J1278" s="14" t="s">
        <v>126</v>
      </c>
      <c r="K1278" s="14">
        <v>349</v>
      </c>
      <c r="L1278" s="14">
        <v>140</v>
      </c>
      <c r="M1278" s="14">
        <v>189</v>
      </c>
      <c r="N1278" s="14"/>
      <c r="O1278" s="14">
        <v>21</v>
      </c>
      <c r="P1278" s="10"/>
      <c r="Q1278" s="10"/>
      <c r="R1278" s="10"/>
      <c r="S1278" s="16"/>
      <c r="T1278" s="16"/>
    </row>
    <row r="1279" spans="1:20" x14ac:dyDescent="0.25">
      <c r="A1279" s="14">
        <v>2014</v>
      </c>
      <c r="B1279" s="14" t="s">
        <v>137</v>
      </c>
      <c r="C1279" s="14" t="s">
        <v>138</v>
      </c>
      <c r="D1279" s="14">
        <v>5</v>
      </c>
      <c r="E1279" s="14">
        <v>6</v>
      </c>
      <c r="F1279" s="14">
        <v>6</v>
      </c>
      <c r="G1279" s="14">
        <v>3</v>
      </c>
      <c r="H1279" s="14" t="s">
        <v>10</v>
      </c>
      <c r="I1279" s="15">
        <v>41856</v>
      </c>
      <c r="J1279" s="14" t="s">
        <v>126</v>
      </c>
      <c r="K1279" s="14">
        <v>397</v>
      </c>
      <c r="L1279" s="14">
        <v>175</v>
      </c>
      <c r="M1279" s="14">
        <v>206</v>
      </c>
      <c r="N1279" s="14"/>
      <c r="O1279" s="14">
        <v>16</v>
      </c>
      <c r="P1279" s="10"/>
      <c r="Q1279" s="10"/>
      <c r="R1279" s="10"/>
      <c r="S1279" s="16"/>
      <c r="T1279" s="16"/>
    </row>
    <row r="1280" spans="1:20" x14ac:dyDescent="0.25">
      <c r="A1280" s="14">
        <v>2014</v>
      </c>
      <c r="B1280" s="14" t="s">
        <v>137</v>
      </c>
      <c r="C1280" s="14" t="s">
        <v>138</v>
      </c>
      <c r="D1280" s="14">
        <v>6</v>
      </c>
      <c r="E1280" s="14">
        <v>6</v>
      </c>
      <c r="F1280" s="14">
        <v>7</v>
      </c>
      <c r="G1280" s="14">
        <v>3</v>
      </c>
      <c r="H1280" s="14" t="s">
        <v>8</v>
      </c>
      <c r="I1280" s="15">
        <v>41856</v>
      </c>
      <c r="J1280" s="14" t="s">
        <v>126</v>
      </c>
      <c r="K1280" s="14">
        <v>357</v>
      </c>
      <c r="L1280" s="14">
        <v>156</v>
      </c>
      <c r="M1280" s="14">
        <v>193</v>
      </c>
      <c r="N1280" s="14"/>
      <c r="O1280" s="14">
        <v>7</v>
      </c>
      <c r="P1280" s="10"/>
      <c r="Q1280" s="10"/>
      <c r="R1280" s="10"/>
      <c r="S1280" s="16"/>
      <c r="T1280" s="16"/>
    </row>
    <row r="1281" spans="1:20" x14ac:dyDescent="0.25">
      <c r="A1281" s="14">
        <v>2014</v>
      </c>
      <c r="B1281" s="14" t="s">
        <v>137</v>
      </c>
      <c r="C1281" s="14" t="s">
        <v>138</v>
      </c>
      <c r="D1281" s="14">
        <v>6</v>
      </c>
      <c r="E1281" s="14">
        <v>5</v>
      </c>
      <c r="F1281" s="14">
        <v>8</v>
      </c>
      <c r="G1281" s="14">
        <v>3</v>
      </c>
      <c r="H1281" s="14" t="s">
        <v>2</v>
      </c>
      <c r="I1281" s="15">
        <v>41856</v>
      </c>
      <c r="J1281" s="14" t="s">
        <v>126</v>
      </c>
      <c r="K1281" s="14">
        <v>452</v>
      </c>
      <c r="L1281" s="14">
        <v>196</v>
      </c>
      <c r="M1281" s="14">
        <v>232</v>
      </c>
      <c r="N1281" s="14"/>
      <c r="O1281" s="14">
        <v>24</v>
      </c>
      <c r="P1281" s="10"/>
      <c r="Q1281" s="10"/>
      <c r="R1281" s="10"/>
      <c r="S1281" s="16"/>
      <c r="T1281" s="16"/>
    </row>
    <row r="1282" spans="1:20" x14ac:dyDescent="0.25">
      <c r="A1282" s="14">
        <v>2014</v>
      </c>
      <c r="B1282" s="14" t="s">
        <v>137</v>
      </c>
      <c r="C1282" s="14" t="s">
        <v>138</v>
      </c>
      <c r="D1282" s="14">
        <v>6</v>
      </c>
      <c r="E1282" s="14">
        <v>4</v>
      </c>
      <c r="F1282" s="14">
        <v>9</v>
      </c>
      <c r="G1282" s="14">
        <v>3</v>
      </c>
      <c r="H1282" s="14" t="s">
        <v>9</v>
      </c>
      <c r="I1282" s="15">
        <v>41856</v>
      </c>
      <c r="J1282" s="14" t="s">
        <v>126</v>
      </c>
      <c r="K1282" s="14">
        <v>400</v>
      </c>
      <c r="L1282" s="14">
        <v>177</v>
      </c>
      <c r="M1282" s="14">
        <v>196</v>
      </c>
      <c r="N1282" s="14"/>
      <c r="O1282" s="14">
        <v>27</v>
      </c>
      <c r="P1282" s="10"/>
      <c r="Q1282" s="10"/>
      <c r="R1282" s="10"/>
      <c r="S1282" s="16"/>
      <c r="T1282" s="16"/>
    </row>
    <row r="1283" spans="1:20" x14ac:dyDescent="0.25">
      <c r="A1283" s="14">
        <v>2014</v>
      </c>
      <c r="B1283" s="14" t="s">
        <v>137</v>
      </c>
      <c r="C1283" s="14" t="s">
        <v>138</v>
      </c>
      <c r="D1283" s="14">
        <v>6</v>
      </c>
      <c r="E1283" s="14">
        <v>3</v>
      </c>
      <c r="F1283" s="14">
        <v>10</v>
      </c>
      <c r="G1283" s="14">
        <v>3</v>
      </c>
      <c r="H1283" s="14" t="s">
        <v>4</v>
      </c>
      <c r="I1283" s="15">
        <v>41856</v>
      </c>
      <c r="J1283" s="14" t="s">
        <v>126</v>
      </c>
      <c r="K1283" s="14">
        <v>316</v>
      </c>
      <c r="L1283" s="14">
        <v>122</v>
      </c>
      <c r="M1283" s="14">
        <v>186</v>
      </c>
      <c r="N1283" s="14"/>
      <c r="O1283" s="14">
        <v>8</v>
      </c>
      <c r="P1283" s="10"/>
      <c r="Q1283" s="10"/>
      <c r="R1283" s="10"/>
      <c r="S1283" s="16"/>
      <c r="T1283" s="16"/>
    </row>
    <row r="1284" spans="1:20" x14ac:dyDescent="0.25">
      <c r="A1284" s="14">
        <v>2014</v>
      </c>
      <c r="B1284" s="14" t="s">
        <v>137</v>
      </c>
      <c r="C1284" s="14" t="s">
        <v>138</v>
      </c>
      <c r="D1284" s="14">
        <v>6</v>
      </c>
      <c r="E1284" s="14">
        <v>2</v>
      </c>
      <c r="F1284" s="14">
        <v>11</v>
      </c>
      <c r="G1284" s="14">
        <v>3</v>
      </c>
      <c r="H1284" s="14" t="s">
        <v>3</v>
      </c>
      <c r="I1284" s="15">
        <v>41863</v>
      </c>
      <c r="J1284" s="14" t="s">
        <v>126</v>
      </c>
      <c r="K1284" s="14">
        <v>542</v>
      </c>
      <c r="L1284" s="14">
        <v>304</v>
      </c>
      <c r="M1284" s="14">
        <v>213</v>
      </c>
      <c r="N1284" s="14"/>
      <c r="O1284" s="14">
        <v>25</v>
      </c>
      <c r="P1284" s="10"/>
      <c r="Q1284" s="10"/>
      <c r="R1284" s="10"/>
      <c r="S1284" s="16"/>
      <c r="T1284" s="16"/>
    </row>
    <row r="1285" spans="1:20" x14ac:dyDescent="0.25">
      <c r="A1285" s="14">
        <v>2014</v>
      </c>
      <c r="B1285" s="14" t="s">
        <v>137</v>
      </c>
      <c r="C1285" s="14" t="s">
        <v>138</v>
      </c>
      <c r="D1285" s="14">
        <v>6</v>
      </c>
      <c r="E1285" s="14">
        <v>1</v>
      </c>
      <c r="F1285" s="14">
        <v>12</v>
      </c>
      <c r="G1285" s="14">
        <v>3</v>
      </c>
      <c r="H1285" s="14" t="s">
        <v>12</v>
      </c>
      <c r="I1285" s="15">
        <v>41842</v>
      </c>
      <c r="J1285" s="14" t="s">
        <v>126</v>
      </c>
      <c r="K1285" s="14">
        <v>215</v>
      </c>
      <c r="L1285" s="14">
        <v>77</v>
      </c>
      <c r="M1285" s="14">
        <v>134</v>
      </c>
      <c r="N1285" s="14"/>
      <c r="O1285" s="14">
        <v>3</v>
      </c>
      <c r="P1285" s="10"/>
      <c r="Q1285" s="10"/>
      <c r="R1285" s="10"/>
      <c r="S1285" s="16"/>
      <c r="T1285" s="16"/>
    </row>
    <row r="1286" spans="1:20" x14ac:dyDescent="0.25">
      <c r="A1286" s="14">
        <v>2014</v>
      </c>
      <c r="B1286" s="14" t="s">
        <v>137</v>
      </c>
      <c r="C1286" s="14" t="s">
        <v>138</v>
      </c>
      <c r="D1286" s="14">
        <v>7</v>
      </c>
      <c r="E1286" s="14">
        <v>1</v>
      </c>
      <c r="F1286" s="14">
        <v>1</v>
      </c>
      <c r="G1286" s="14">
        <v>4</v>
      </c>
      <c r="H1286" s="14" t="s">
        <v>4</v>
      </c>
      <c r="I1286" s="15">
        <v>41856</v>
      </c>
      <c r="J1286" s="14" t="s">
        <v>126</v>
      </c>
      <c r="K1286" s="14">
        <v>346</v>
      </c>
      <c r="L1286" s="14">
        <v>147</v>
      </c>
      <c r="M1286" s="14">
        <v>189</v>
      </c>
      <c r="N1286" s="14"/>
      <c r="O1286" s="14">
        <v>10</v>
      </c>
      <c r="P1286" s="10"/>
      <c r="Q1286" s="10"/>
      <c r="R1286" s="10"/>
      <c r="S1286" s="16"/>
      <c r="T1286" s="16"/>
    </row>
    <row r="1287" spans="1:20" x14ac:dyDescent="0.25">
      <c r="A1287" s="14">
        <v>2014</v>
      </c>
      <c r="B1287" s="14" t="s">
        <v>137</v>
      </c>
      <c r="C1287" s="14" t="s">
        <v>138</v>
      </c>
      <c r="D1287" s="14">
        <v>7</v>
      </c>
      <c r="E1287" s="14">
        <v>2</v>
      </c>
      <c r="F1287" s="14">
        <v>2</v>
      </c>
      <c r="G1287" s="14">
        <v>4</v>
      </c>
      <c r="H1287" s="14" t="s">
        <v>5</v>
      </c>
      <c r="I1287" s="15">
        <v>41856</v>
      </c>
      <c r="J1287" s="14" t="s">
        <v>126</v>
      </c>
      <c r="K1287" s="14">
        <v>408</v>
      </c>
      <c r="L1287" s="14">
        <v>187</v>
      </c>
      <c r="M1287" s="14">
        <v>197</v>
      </c>
      <c r="N1287" s="14"/>
      <c r="O1287" s="14">
        <v>24</v>
      </c>
      <c r="P1287" s="10"/>
      <c r="Q1287" s="10"/>
      <c r="R1287" s="10"/>
      <c r="S1287" s="16"/>
      <c r="T1287" s="16"/>
    </row>
    <row r="1288" spans="1:20" x14ac:dyDescent="0.25">
      <c r="A1288" s="14">
        <v>2014</v>
      </c>
      <c r="B1288" s="14" t="s">
        <v>137</v>
      </c>
      <c r="C1288" s="14" t="s">
        <v>138</v>
      </c>
      <c r="D1288" s="14">
        <v>7</v>
      </c>
      <c r="E1288" s="14">
        <v>3</v>
      </c>
      <c r="F1288" s="14">
        <v>3</v>
      </c>
      <c r="G1288" s="14">
        <v>4</v>
      </c>
      <c r="H1288" s="14" t="s">
        <v>3</v>
      </c>
      <c r="I1288" s="15">
        <v>41863</v>
      </c>
      <c r="J1288" s="14" t="s">
        <v>126</v>
      </c>
      <c r="K1288" s="14">
        <v>602</v>
      </c>
      <c r="L1288" s="14">
        <v>225</v>
      </c>
      <c r="M1288" s="14">
        <v>318</v>
      </c>
      <c r="N1288" s="14"/>
      <c r="O1288" s="14">
        <v>60</v>
      </c>
      <c r="P1288" s="10"/>
      <c r="Q1288" s="10"/>
      <c r="R1288" s="10"/>
      <c r="S1288" s="16"/>
      <c r="T1288" s="16"/>
    </row>
    <row r="1289" spans="1:20" x14ac:dyDescent="0.25">
      <c r="A1289" s="14">
        <v>2014</v>
      </c>
      <c r="B1289" s="14" t="s">
        <v>137</v>
      </c>
      <c r="C1289" s="14" t="s">
        <v>138</v>
      </c>
      <c r="D1289" s="14">
        <v>7</v>
      </c>
      <c r="E1289" s="14">
        <v>4</v>
      </c>
      <c r="F1289" s="14">
        <v>4</v>
      </c>
      <c r="G1289" s="14">
        <v>4</v>
      </c>
      <c r="H1289" s="14" t="s">
        <v>8</v>
      </c>
      <c r="I1289" s="15">
        <v>41856</v>
      </c>
      <c r="J1289" s="14" t="s">
        <v>126</v>
      </c>
      <c r="K1289" s="14">
        <v>488</v>
      </c>
      <c r="L1289" s="14">
        <v>216</v>
      </c>
      <c r="M1289" s="14">
        <v>250</v>
      </c>
      <c r="N1289" s="14"/>
      <c r="O1289" s="14">
        <v>22</v>
      </c>
      <c r="P1289" s="10"/>
      <c r="Q1289" s="10"/>
      <c r="R1289" s="10"/>
      <c r="S1289" s="16"/>
      <c r="T1289" s="16"/>
    </row>
    <row r="1290" spans="1:20" x14ac:dyDescent="0.25">
      <c r="A1290" s="14">
        <v>2014</v>
      </c>
      <c r="B1290" s="14" t="s">
        <v>137</v>
      </c>
      <c r="C1290" s="14" t="s">
        <v>138</v>
      </c>
      <c r="D1290" s="14">
        <v>7</v>
      </c>
      <c r="E1290" s="14">
        <v>5</v>
      </c>
      <c r="F1290" s="14">
        <v>5</v>
      </c>
      <c r="G1290" s="14">
        <v>4</v>
      </c>
      <c r="H1290" s="14" t="s">
        <v>12</v>
      </c>
      <c r="I1290" s="15">
        <v>41842</v>
      </c>
      <c r="J1290" s="14" t="s">
        <v>126</v>
      </c>
      <c r="K1290" s="14">
        <v>221</v>
      </c>
      <c r="L1290" s="14">
        <v>81</v>
      </c>
      <c r="M1290" s="14">
        <v>136</v>
      </c>
      <c r="N1290" s="14"/>
      <c r="O1290" s="14">
        <v>3</v>
      </c>
      <c r="P1290" s="10"/>
      <c r="Q1290" s="10"/>
      <c r="R1290" s="10"/>
      <c r="S1290" s="16"/>
      <c r="T1290" s="16"/>
    </row>
    <row r="1291" spans="1:20" x14ac:dyDescent="0.25">
      <c r="A1291" s="14">
        <v>2014</v>
      </c>
      <c r="B1291" s="14" t="s">
        <v>137</v>
      </c>
      <c r="C1291" s="14" t="s">
        <v>138</v>
      </c>
      <c r="D1291" s="14">
        <v>7</v>
      </c>
      <c r="E1291" s="14">
        <v>6</v>
      </c>
      <c r="F1291" s="14">
        <v>6</v>
      </c>
      <c r="G1291" s="14">
        <v>4</v>
      </c>
      <c r="H1291" s="14" t="s">
        <v>14</v>
      </c>
      <c r="I1291" s="15">
        <v>41863</v>
      </c>
      <c r="J1291" s="14" t="s">
        <v>126</v>
      </c>
      <c r="K1291" s="14">
        <v>452</v>
      </c>
      <c r="L1291" s="14">
        <v>184</v>
      </c>
      <c r="M1291" s="14">
        <v>228</v>
      </c>
      <c r="N1291" s="14"/>
      <c r="O1291" s="14">
        <v>40</v>
      </c>
      <c r="P1291" s="10"/>
      <c r="Q1291" s="10"/>
      <c r="R1291" s="10"/>
      <c r="S1291" s="16"/>
      <c r="T1291" s="16"/>
    </row>
    <row r="1292" spans="1:20" x14ac:dyDescent="0.25">
      <c r="A1292" s="14">
        <v>2014</v>
      </c>
      <c r="B1292" s="14" t="s">
        <v>137</v>
      </c>
      <c r="C1292" s="14" t="s">
        <v>138</v>
      </c>
      <c r="D1292" s="14">
        <v>8</v>
      </c>
      <c r="E1292" s="14">
        <v>6</v>
      </c>
      <c r="F1292" s="14">
        <v>7</v>
      </c>
      <c r="G1292" s="14">
        <v>4</v>
      </c>
      <c r="H1292" s="14" t="s">
        <v>2</v>
      </c>
      <c r="I1292" s="15">
        <v>41856</v>
      </c>
      <c r="J1292" s="14" t="s">
        <v>126</v>
      </c>
      <c r="K1292" s="14">
        <v>539</v>
      </c>
      <c r="L1292" s="14">
        <v>236</v>
      </c>
      <c r="M1292" s="14">
        <v>255</v>
      </c>
      <c r="N1292" s="14"/>
      <c r="O1292" s="14">
        <v>48</v>
      </c>
      <c r="P1292" s="10"/>
      <c r="Q1292" s="10"/>
      <c r="R1292" s="10"/>
      <c r="S1292" s="16"/>
      <c r="T1292" s="16"/>
    </row>
    <row r="1293" spans="1:20" x14ac:dyDescent="0.25">
      <c r="A1293" s="14">
        <v>2014</v>
      </c>
      <c r="B1293" s="14" t="s">
        <v>137</v>
      </c>
      <c r="C1293" s="14" t="s">
        <v>138</v>
      </c>
      <c r="D1293" s="14">
        <v>8</v>
      </c>
      <c r="E1293" s="14">
        <v>5</v>
      </c>
      <c r="F1293" s="14">
        <v>8</v>
      </c>
      <c r="G1293" s="14">
        <v>4</v>
      </c>
      <c r="H1293" s="14" t="s">
        <v>13</v>
      </c>
      <c r="I1293" s="15">
        <v>41842</v>
      </c>
      <c r="J1293" s="14" t="s">
        <v>126</v>
      </c>
      <c r="K1293" s="14">
        <v>243</v>
      </c>
      <c r="L1293" s="14">
        <v>107</v>
      </c>
      <c r="M1293" s="14">
        <v>132</v>
      </c>
      <c r="N1293" s="14"/>
      <c r="O1293" s="14">
        <v>4</v>
      </c>
      <c r="P1293" s="10"/>
      <c r="Q1293" s="10"/>
      <c r="R1293" s="10"/>
      <c r="S1293" s="16"/>
      <c r="T1293" s="16"/>
    </row>
    <row r="1294" spans="1:20" x14ac:dyDescent="0.25">
      <c r="A1294" s="14">
        <v>2014</v>
      </c>
      <c r="B1294" s="14" t="s">
        <v>137</v>
      </c>
      <c r="C1294" s="14" t="s">
        <v>138</v>
      </c>
      <c r="D1294" s="14">
        <v>8</v>
      </c>
      <c r="E1294" s="14">
        <v>4</v>
      </c>
      <c r="F1294" s="14">
        <v>9</v>
      </c>
      <c r="G1294" s="14">
        <v>4</v>
      </c>
      <c r="H1294" s="14" t="s">
        <v>10</v>
      </c>
      <c r="I1294" s="15">
        <v>41856</v>
      </c>
      <c r="J1294" s="14" t="s">
        <v>126</v>
      </c>
      <c r="K1294" s="14">
        <v>414</v>
      </c>
      <c r="L1294" s="14">
        <v>188</v>
      </c>
      <c r="M1294" s="14">
        <v>209</v>
      </c>
      <c r="N1294" s="14"/>
      <c r="O1294" s="14">
        <v>17</v>
      </c>
      <c r="P1294" s="10"/>
      <c r="Q1294" s="10"/>
      <c r="R1294" s="10"/>
      <c r="S1294" s="16"/>
      <c r="T1294" s="16"/>
    </row>
    <row r="1295" spans="1:20" x14ac:dyDescent="0.25">
      <c r="A1295" s="14">
        <v>2014</v>
      </c>
      <c r="B1295" s="14" t="s">
        <v>137</v>
      </c>
      <c r="C1295" s="14" t="s">
        <v>138</v>
      </c>
      <c r="D1295" s="14">
        <v>8</v>
      </c>
      <c r="E1295" s="14">
        <v>3</v>
      </c>
      <c r="F1295" s="14">
        <v>10</v>
      </c>
      <c r="G1295" s="14">
        <v>4</v>
      </c>
      <c r="H1295" s="14" t="s">
        <v>9</v>
      </c>
      <c r="I1295" s="15">
        <v>41856</v>
      </c>
      <c r="J1295" s="14" t="s">
        <v>126</v>
      </c>
      <c r="K1295" s="14">
        <v>487</v>
      </c>
      <c r="L1295" s="14">
        <v>208</v>
      </c>
      <c r="M1295" s="14">
        <v>234</v>
      </c>
      <c r="N1295" s="14"/>
      <c r="O1295" s="14">
        <v>45</v>
      </c>
      <c r="P1295" s="10"/>
      <c r="Q1295" s="10"/>
      <c r="R1295" s="10"/>
      <c r="S1295" s="16"/>
      <c r="T1295" s="16"/>
    </row>
    <row r="1296" spans="1:20" x14ac:dyDescent="0.25">
      <c r="A1296" s="14">
        <v>2014</v>
      </c>
      <c r="B1296" s="14" t="s">
        <v>137</v>
      </c>
      <c r="C1296" s="14" t="s">
        <v>138</v>
      </c>
      <c r="D1296" s="14">
        <v>8</v>
      </c>
      <c r="E1296" s="14">
        <v>2</v>
      </c>
      <c r="F1296" s="14">
        <v>11</v>
      </c>
      <c r="G1296" s="14">
        <v>4</v>
      </c>
      <c r="H1296" s="14" t="s">
        <v>7</v>
      </c>
      <c r="I1296" s="15">
        <v>41856</v>
      </c>
      <c r="J1296" s="14" t="s">
        <v>126</v>
      </c>
      <c r="K1296" s="14">
        <v>428</v>
      </c>
      <c r="L1296" s="14">
        <v>189</v>
      </c>
      <c r="M1296" s="14">
        <v>207</v>
      </c>
      <c r="N1296" s="14"/>
      <c r="O1296" s="14">
        <v>31</v>
      </c>
      <c r="P1296" s="10"/>
      <c r="Q1296" s="10"/>
      <c r="R1296" s="10"/>
      <c r="S1296" s="16"/>
      <c r="T1296" s="16"/>
    </row>
    <row r="1297" spans="1:20" x14ac:dyDescent="0.25">
      <c r="A1297" s="14">
        <v>2014</v>
      </c>
      <c r="B1297" s="14" t="s">
        <v>137</v>
      </c>
      <c r="C1297" s="14" t="s">
        <v>138</v>
      </c>
      <c r="D1297" s="14">
        <v>8</v>
      </c>
      <c r="E1297" s="14">
        <v>1</v>
      </c>
      <c r="F1297" s="14">
        <v>12</v>
      </c>
      <c r="G1297" s="14">
        <v>4</v>
      </c>
      <c r="H1297" s="14" t="s">
        <v>6</v>
      </c>
      <c r="I1297" s="15">
        <v>41856</v>
      </c>
      <c r="J1297" s="14" t="s">
        <v>126</v>
      </c>
      <c r="K1297" s="14">
        <v>468</v>
      </c>
      <c r="L1297" s="14">
        <v>220</v>
      </c>
      <c r="M1297" s="14">
        <v>225</v>
      </c>
      <c r="N1297" s="14"/>
      <c r="O1297" s="14">
        <v>24</v>
      </c>
      <c r="P1297" s="10"/>
      <c r="Q1297" s="10"/>
      <c r="R1297" s="10"/>
      <c r="S1297" s="16"/>
      <c r="T1297" s="16"/>
    </row>
    <row r="1298" spans="1:20" x14ac:dyDescent="0.25">
      <c r="A1298" s="14">
        <v>2014</v>
      </c>
      <c r="B1298" s="14" t="s">
        <v>137</v>
      </c>
      <c r="C1298" s="14" t="s">
        <v>138</v>
      </c>
      <c r="D1298" s="14">
        <v>1</v>
      </c>
      <c r="E1298" s="14">
        <v>1</v>
      </c>
      <c r="F1298" s="14">
        <v>1</v>
      </c>
      <c r="G1298" s="14">
        <v>1</v>
      </c>
      <c r="H1298" s="14" t="s">
        <v>14</v>
      </c>
      <c r="I1298" s="15">
        <v>41871</v>
      </c>
      <c r="J1298" s="14" t="s">
        <v>127</v>
      </c>
      <c r="K1298" s="14">
        <v>612</v>
      </c>
      <c r="L1298" s="14">
        <v>319</v>
      </c>
      <c r="M1298" s="14">
        <v>231</v>
      </c>
      <c r="N1298" s="14"/>
      <c r="O1298" s="14">
        <v>62</v>
      </c>
      <c r="P1298" s="10">
        <v>-25.46</v>
      </c>
      <c r="Q1298" s="10">
        <v>27</v>
      </c>
      <c r="R1298" s="10">
        <v>82.9</v>
      </c>
      <c r="S1298" s="16">
        <f t="shared" ref="S1298:S1321" si="70">K1298*Q1298/1000</f>
        <v>16.524000000000001</v>
      </c>
      <c r="T1298" s="16">
        <f t="shared" ref="T1298:T1346" si="71">K1298*R1298/1000</f>
        <v>50.7348</v>
      </c>
    </row>
    <row r="1299" spans="1:20" x14ac:dyDescent="0.25">
      <c r="A1299" s="14">
        <v>2014</v>
      </c>
      <c r="B1299" s="14" t="s">
        <v>137</v>
      </c>
      <c r="C1299" s="14" t="s">
        <v>138</v>
      </c>
      <c r="D1299" s="14">
        <v>1</v>
      </c>
      <c r="E1299" s="14">
        <v>2</v>
      </c>
      <c r="F1299" s="14">
        <v>2</v>
      </c>
      <c r="G1299" s="14">
        <v>1</v>
      </c>
      <c r="H1299" s="14" t="s">
        <v>9</v>
      </c>
      <c r="I1299" s="15">
        <v>41871</v>
      </c>
      <c r="J1299" s="14" t="s">
        <v>127</v>
      </c>
      <c r="K1299" s="14">
        <v>692</v>
      </c>
      <c r="L1299" s="14">
        <v>374</v>
      </c>
      <c r="M1299" s="14">
        <v>232</v>
      </c>
      <c r="N1299" s="14">
        <v>13</v>
      </c>
      <c r="O1299" s="14">
        <v>73</v>
      </c>
      <c r="P1299" s="10">
        <v>-25.37</v>
      </c>
      <c r="Q1299" s="10">
        <v>23.4</v>
      </c>
      <c r="R1299" s="10">
        <v>110.2</v>
      </c>
      <c r="S1299" s="16">
        <f t="shared" si="70"/>
        <v>16.192799999999998</v>
      </c>
      <c r="T1299" s="16">
        <f t="shared" si="71"/>
        <v>76.258400000000009</v>
      </c>
    </row>
    <row r="1300" spans="1:20" x14ac:dyDescent="0.25">
      <c r="A1300" s="14">
        <v>2014</v>
      </c>
      <c r="B1300" s="14" t="s">
        <v>137</v>
      </c>
      <c r="C1300" s="14" t="s">
        <v>138</v>
      </c>
      <c r="D1300" s="14">
        <v>1</v>
      </c>
      <c r="E1300" s="14">
        <v>3</v>
      </c>
      <c r="F1300" s="14">
        <v>3</v>
      </c>
      <c r="G1300" s="14">
        <v>1</v>
      </c>
      <c r="H1300" s="14" t="s">
        <v>5</v>
      </c>
      <c r="I1300" s="15">
        <v>41871</v>
      </c>
      <c r="J1300" s="14" t="s">
        <v>127</v>
      </c>
      <c r="K1300" s="14">
        <v>639</v>
      </c>
      <c r="L1300" s="14">
        <v>300</v>
      </c>
      <c r="M1300" s="14">
        <v>250</v>
      </c>
      <c r="N1300" s="14">
        <v>30</v>
      </c>
      <c r="O1300" s="14">
        <v>59</v>
      </c>
      <c r="P1300" s="10">
        <v>-25.21</v>
      </c>
      <c r="Q1300" s="10">
        <v>27.7</v>
      </c>
      <c r="R1300" s="10">
        <v>95.8</v>
      </c>
      <c r="S1300" s="16">
        <f t="shared" si="70"/>
        <v>17.700299999999999</v>
      </c>
      <c r="T1300" s="16">
        <f t="shared" si="71"/>
        <v>61.216200000000001</v>
      </c>
    </row>
    <row r="1301" spans="1:20" x14ac:dyDescent="0.25">
      <c r="A1301" s="14">
        <v>2014</v>
      </c>
      <c r="B1301" s="14" t="s">
        <v>137</v>
      </c>
      <c r="C1301" s="14" t="s">
        <v>138</v>
      </c>
      <c r="D1301" s="14">
        <v>1</v>
      </c>
      <c r="E1301" s="14">
        <v>4</v>
      </c>
      <c r="F1301" s="14">
        <v>4</v>
      </c>
      <c r="G1301" s="14">
        <v>1</v>
      </c>
      <c r="H1301" s="14" t="s">
        <v>12</v>
      </c>
      <c r="I1301" s="15">
        <v>41863</v>
      </c>
      <c r="J1301" s="14" t="s">
        <v>127</v>
      </c>
      <c r="K1301" s="14">
        <v>456</v>
      </c>
      <c r="L1301" s="14">
        <v>217</v>
      </c>
      <c r="M1301" s="14">
        <v>213</v>
      </c>
      <c r="N1301" s="14"/>
      <c r="O1301" s="14">
        <v>26</v>
      </c>
      <c r="P1301" s="10"/>
      <c r="Q1301" s="10"/>
      <c r="R1301" s="10"/>
      <c r="S1301" s="16"/>
      <c r="T1301" s="16"/>
    </row>
    <row r="1302" spans="1:20" x14ac:dyDescent="0.25">
      <c r="A1302" s="14">
        <v>2014</v>
      </c>
      <c r="B1302" s="14" t="s">
        <v>137</v>
      </c>
      <c r="C1302" s="14" t="s">
        <v>138</v>
      </c>
      <c r="D1302" s="14">
        <v>1</v>
      </c>
      <c r="E1302" s="14">
        <v>5</v>
      </c>
      <c r="F1302" s="14">
        <v>5</v>
      </c>
      <c r="G1302" s="14">
        <v>1</v>
      </c>
      <c r="H1302" s="14" t="s">
        <v>10</v>
      </c>
      <c r="I1302" s="15">
        <v>41871</v>
      </c>
      <c r="J1302" s="14" t="s">
        <v>127</v>
      </c>
      <c r="K1302" s="14">
        <v>708</v>
      </c>
      <c r="L1302" s="14">
        <v>387</v>
      </c>
      <c r="M1302" s="14">
        <v>209</v>
      </c>
      <c r="N1302" s="14">
        <v>72</v>
      </c>
      <c r="O1302" s="14">
        <v>39</v>
      </c>
      <c r="P1302" s="10">
        <v>-25.15</v>
      </c>
      <c r="Q1302" s="10">
        <v>22.3</v>
      </c>
      <c r="R1302" s="10">
        <v>96.2</v>
      </c>
      <c r="S1302" s="16">
        <f t="shared" si="70"/>
        <v>15.788399999999999</v>
      </c>
      <c r="T1302" s="16">
        <f t="shared" si="71"/>
        <v>68.1096</v>
      </c>
    </row>
    <row r="1303" spans="1:20" x14ac:dyDescent="0.25">
      <c r="A1303" s="14">
        <v>2014</v>
      </c>
      <c r="B1303" s="14" t="s">
        <v>137</v>
      </c>
      <c r="C1303" s="14" t="s">
        <v>138</v>
      </c>
      <c r="D1303" s="14">
        <v>1</v>
      </c>
      <c r="E1303" s="14">
        <v>6</v>
      </c>
      <c r="F1303" s="14">
        <v>6</v>
      </c>
      <c r="G1303" s="14">
        <v>1</v>
      </c>
      <c r="H1303" s="14" t="s">
        <v>4</v>
      </c>
      <c r="I1303" s="15">
        <v>41871</v>
      </c>
      <c r="J1303" s="14" t="s">
        <v>127</v>
      </c>
      <c r="K1303" s="14">
        <v>497</v>
      </c>
      <c r="L1303" s="14">
        <v>261</v>
      </c>
      <c r="M1303" s="14">
        <v>224</v>
      </c>
      <c r="N1303" s="14"/>
      <c r="O1303" s="14">
        <v>13</v>
      </c>
      <c r="P1303" s="10">
        <v>-25.04</v>
      </c>
      <c r="Q1303" s="10">
        <v>29.2</v>
      </c>
      <c r="R1303" s="10">
        <v>107.1</v>
      </c>
      <c r="S1303" s="16">
        <f t="shared" si="70"/>
        <v>14.5124</v>
      </c>
      <c r="T1303" s="16">
        <f t="shared" si="71"/>
        <v>53.228699999999996</v>
      </c>
    </row>
    <row r="1304" spans="1:20" x14ac:dyDescent="0.25">
      <c r="A1304" s="14">
        <v>2014</v>
      </c>
      <c r="B1304" s="14" t="s">
        <v>137</v>
      </c>
      <c r="C1304" s="14" t="s">
        <v>138</v>
      </c>
      <c r="D1304" s="14">
        <v>2</v>
      </c>
      <c r="E1304" s="14">
        <v>6</v>
      </c>
      <c r="F1304" s="14">
        <v>7</v>
      </c>
      <c r="G1304" s="14">
        <v>1</v>
      </c>
      <c r="H1304" s="14" t="s">
        <v>7</v>
      </c>
      <c r="I1304" s="15">
        <v>41871</v>
      </c>
      <c r="J1304" s="14" t="s">
        <v>127</v>
      </c>
      <c r="K1304" s="14">
        <v>647</v>
      </c>
      <c r="L1304" s="14">
        <v>344</v>
      </c>
      <c r="M1304" s="14">
        <v>215</v>
      </c>
      <c r="N1304" s="14">
        <v>13</v>
      </c>
      <c r="O1304" s="14">
        <v>74</v>
      </c>
      <c r="P1304" s="10">
        <v>-25.28</v>
      </c>
      <c r="Q1304" s="10">
        <v>22.7</v>
      </c>
      <c r="R1304" s="10">
        <v>88.4</v>
      </c>
      <c r="S1304" s="16">
        <f t="shared" si="70"/>
        <v>14.6869</v>
      </c>
      <c r="T1304" s="16">
        <f t="shared" si="71"/>
        <v>57.194800000000001</v>
      </c>
    </row>
    <row r="1305" spans="1:20" x14ac:dyDescent="0.25">
      <c r="A1305" s="14">
        <v>2014</v>
      </c>
      <c r="B1305" s="14" t="s">
        <v>137</v>
      </c>
      <c r="C1305" s="14" t="s">
        <v>138</v>
      </c>
      <c r="D1305" s="14">
        <v>2</v>
      </c>
      <c r="E1305" s="14">
        <v>5</v>
      </c>
      <c r="F1305" s="14">
        <v>8</v>
      </c>
      <c r="G1305" s="14">
        <v>1</v>
      </c>
      <c r="H1305" s="14" t="s">
        <v>3</v>
      </c>
      <c r="I1305" s="15">
        <v>41871</v>
      </c>
      <c r="J1305" s="14" t="s">
        <v>127</v>
      </c>
      <c r="K1305" s="14">
        <v>658</v>
      </c>
      <c r="L1305" s="14">
        <v>312</v>
      </c>
      <c r="M1305" s="14">
        <v>277</v>
      </c>
      <c r="N1305" s="14"/>
      <c r="O1305" s="14">
        <v>69</v>
      </c>
      <c r="P1305" s="10">
        <v>-25.01</v>
      </c>
      <c r="Q1305" s="10">
        <v>29.1</v>
      </c>
      <c r="R1305" s="10">
        <v>90.4</v>
      </c>
      <c r="S1305" s="16">
        <f t="shared" si="70"/>
        <v>19.1478</v>
      </c>
      <c r="T1305" s="16">
        <f t="shared" si="71"/>
        <v>59.483200000000004</v>
      </c>
    </row>
    <row r="1306" spans="1:20" x14ac:dyDescent="0.25">
      <c r="A1306" s="14">
        <v>2014</v>
      </c>
      <c r="B1306" s="14" t="s">
        <v>137</v>
      </c>
      <c r="C1306" s="14" t="s">
        <v>138</v>
      </c>
      <c r="D1306" s="14">
        <v>2</v>
      </c>
      <c r="E1306" s="14">
        <v>4</v>
      </c>
      <c r="F1306" s="14">
        <v>9</v>
      </c>
      <c r="G1306" s="14">
        <v>1</v>
      </c>
      <c r="H1306" s="14" t="s">
        <v>6</v>
      </c>
      <c r="I1306" s="15">
        <v>41871</v>
      </c>
      <c r="J1306" s="14" t="s">
        <v>127</v>
      </c>
      <c r="K1306" s="14">
        <v>596</v>
      </c>
      <c r="L1306" s="14">
        <v>345</v>
      </c>
      <c r="M1306" s="14">
        <v>221</v>
      </c>
      <c r="N1306" s="14">
        <v>7</v>
      </c>
      <c r="O1306" s="14">
        <v>23</v>
      </c>
      <c r="P1306" s="10">
        <v>-25.4</v>
      </c>
      <c r="Q1306" s="10">
        <v>27.2</v>
      </c>
      <c r="R1306" s="10">
        <v>112.2</v>
      </c>
      <c r="S1306" s="16">
        <f t="shared" si="70"/>
        <v>16.211199999999998</v>
      </c>
      <c r="T1306" s="16">
        <f t="shared" si="71"/>
        <v>66.871200000000002</v>
      </c>
    </row>
    <row r="1307" spans="1:20" x14ac:dyDescent="0.25">
      <c r="A1307" s="14">
        <v>2014</v>
      </c>
      <c r="B1307" s="14" t="s">
        <v>137</v>
      </c>
      <c r="C1307" s="14" t="s">
        <v>138</v>
      </c>
      <c r="D1307" s="14">
        <v>2</v>
      </c>
      <c r="E1307" s="14">
        <v>3</v>
      </c>
      <c r="F1307" s="14">
        <v>10</v>
      </c>
      <c r="G1307" s="14">
        <v>1</v>
      </c>
      <c r="H1307" s="14" t="s">
        <v>2</v>
      </c>
      <c r="I1307" s="15">
        <v>41871</v>
      </c>
      <c r="J1307" s="14" t="s">
        <v>127</v>
      </c>
      <c r="K1307" s="14">
        <v>769</v>
      </c>
      <c r="L1307" s="14">
        <v>402</v>
      </c>
      <c r="M1307" s="14">
        <v>269</v>
      </c>
      <c r="N1307" s="14"/>
      <c r="O1307" s="14">
        <v>98</v>
      </c>
      <c r="P1307" s="10">
        <v>-25.36</v>
      </c>
      <c r="Q1307" s="10">
        <v>22.4</v>
      </c>
      <c r="R1307" s="10">
        <v>93</v>
      </c>
      <c r="S1307" s="16">
        <f t="shared" si="70"/>
        <v>17.2256</v>
      </c>
      <c r="T1307" s="16">
        <f t="shared" si="71"/>
        <v>71.516999999999996</v>
      </c>
    </row>
    <row r="1308" spans="1:20" x14ac:dyDescent="0.25">
      <c r="A1308" s="14">
        <v>2014</v>
      </c>
      <c r="B1308" s="14" t="s">
        <v>137</v>
      </c>
      <c r="C1308" s="14" t="s">
        <v>138</v>
      </c>
      <c r="D1308" s="14">
        <v>2</v>
      </c>
      <c r="E1308" s="14">
        <v>2</v>
      </c>
      <c r="F1308" s="14">
        <v>11</v>
      </c>
      <c r="G1308" s="14">
        <v>1</v>
      </c>
      <c r="H1308" s="14" t="s">
        <v>13</v>
      </c>
      <c r="I1308" s="15">
        <v>41863</v>
      </c>
      <c r="J1308" s="14" t="s">
        <v>127</v>
      </c>
      <c r="K1308" s="14">
        <v>580</v>
      </c>
      <c r="L1308" s="14">
        <v>329</v>
      </c>
      <c r="M1308" s="14">
        <v>228</v>
      </c>
      <c r="N1308" s="14"/>
      <c r="O1308" s="14">
        <v>23</v>
      </c>
      <c r="P1308" s="10"/>
      <c r="Q1308" s="10"/>
      <c r="R1308" s="10"/>
      <c r="S1308" s="16"/>
      <c r="T1308" s="16"/>
    </row>
    <row r="1309" spans="1:20" x14ac:dyDescent="0.25">
      <c r="A1309" s="14">
        <v>2014</v>
      </c>
      <c r="B1309" s="14" t="s">
        <v>137</v>
      </c>
      <c r="C1309" s="14" t="s">
        <v>138</v>
      </c>
      <c r="D1309" s="14">
        <v>2</v>
      </c>
      <c r="E1309" s="14">
        <v>1</v>
      </c>
      <c r="F1309" s="14">
        <v>12</v>
      </c>
      <c r="G1309" s="14">
        <v>1</v>
      </c>
      <c r="H1309" s="14" t="s">
        <v>8</v>
      </c>
      <c r="I1309" s="15">
        <v>41871</v>
      </c>
      <c r="J1309" s="14" t="s">
        <v>127</v>
      </c>
      <c r="K1309" s="14">
        <v>699</v>
      </c>
      <c r="L1309" s="14">
        <v>397</v>
      </c>
      <c r="M1309" s="14">
        <v>221</v>
      </c>
      <c r="N1309" s="14">
        <v>45</v>
      </c>
      <c r="O1309" s="14">
        <v>35</v>
      </c>
      <c r="P1309" s="10">
        <v>-25.25</v>
      </c>
      <c r="Q1309" s="10">
        <v>19.100000000000001</v>
      </c>
      <c r="R1309" s="10">
        <v>91</v>
      </c>
      <c r="S1309" s="16">
        <f t="shared" si="70"/>
        <v>13.350900000000001</v>
      </c>
      <c r="T1309" s="16">
        <f t="shared" si="71"/>
        <v>63.609000000000002</v>
      </c>
    </row>
    <row r="1310" spans="1:20" x14ac:dyDescent="0.25">
      <c r="A1310" s="14">
        <v>2014</v>
      </c>
      <c r="B1310" s="14" t="s">
        <v>137</v>
      </c>
      <c r="C1310" s="14" t="s">
        <v>138</v>
      </c>
      <c r="D1310" s="14">
        <v>3</v>
      </c>
      <c r="E1310" s="14">
        <v>1</v>
      </c>
      <c r="F1310" s="14">
        <v>1</v>
      </c>
      <c r="G1310" s="14">
        <v>2</v>
      </c>
      <c r="H1310" s="14" t="s">
        <v>13</v>
      </c>
      <c r="I1310" s="15">
        <v>41863</v>
      </c>
      <c r="J1310" s="14" t="s">
        <v>127</v>
      </c>
      <c r="K1310" s="14">
        <v>544</v>
      </c>
      <c r="L1310" s="14">
        <v>313</v>
      </c>
      <c r="M1310" s="14">
        <v>203</v>
      </c>
      <c r="N1310" s="14"/>
      <c r="O1310" s="14">
        <v>28</v>
      </c>
      <c r="P1310" s="10"/>
      <c r="Q1310" s="10"/>
      <c r="R1310" s="10"/>
      <c r="S1310" s="16"/>
      <c r="T1310" s="16"/>
    </row>
    <row r="1311" spans="1:20" x14ac:dyDescent="0.25">
      <c r="A1311" s="14">
        <v>2014</v>
      </c>
      <c r="B1311" s="14" t="s">
        <v>137</v>
      </c>
      <c r="C1311" s="14" t="s">
        <v>138</v>
      </c>
      <c r="D1311" s="14">
        <v>3</v>
      </c>
      <c r="E1311" s="14">
        <v>2</v>
      </c>
      <c r="F1311" s="14">
        <v>2</v>
      </c>
      <c r="G1311" s="14">
        <v>2</v>
      </c>
      <c r="H1311" s="14" t="s">
        <v>4</v>
      </c>
      <c r="I1311" s="15">
        <v>41871</v>
      </c>
      <c r="J1311" s="14" t="s">
        <v>127</v>
      </c>
      <c r="K1311" s="14">
        <v>499</v>
      </c>
      <c r="L1311" s="14">
        <v>246</v>
      </c>
      <c r="M1311" s="14">
        <v>221</v>
      </c>
      <c r="N1311" s="14"/>
      <c r="O1311" s="14">
        <v>32</v>
      </c>
      <c r="P1311" s="10">
        <v>-25.14</v>
      </c>
      <c r="Q1311" s="10">
        <v>24.8</v>
      </c>
      <c r="R1311" s="10">
        <v>109.1</v>
      </c>
      <c r="S1311" s="16">
        <f t="shared" si="70"/>
        <v>12.375200000000001</v>
      </c>
      <c r="T1311" s="16">
        <f t="shared" si="71"/>
        <v>54.440899999999992</v>
      </c>
    </row>
    <row r="1312" spans="1:20" x14ac:dyDescent="0.25">
      <c r="A1312" s="14">
        <v>2014</v>
      </c>
      <c r="B1312" s="14" t="s">
        <v>137</v>
      </c>
      <c r="C1312" s="14" t="s">
        <v>138</v>
      </c>
      <c r="D1312" s="14">
        <v>3</v>
      </c>
      <c r="E1312" s="14">
        <v>3</v>
      </c>
      <c r="F1312" s="14">
        <v>3</v>
      </c>
      <c r="G1312" s="14">
        <v>2</v>
      </c>
      <c r="H1312" s="14" t="s">
        <v>8</v>
      </c>
      <c r="I1312" s="15">
        <v>41871</v>
      </c>
      <c r="J1312" s="14" t="s">
        <v>127</v>
      </c>
      <c r="K1312" s="14">
        <v>730</v>
      </c>
      <c r="L1312" s="14">
        <v>390</v>
      </c>
      <c r="M1312" s="14">
        <v>241</v>
      </c>
      <c r="N1312" s="14">
        <v>44</v>
      </c>
      <c r="O1312" s="14">
        <v>55</v>
      </c>
      <c r="P1312" s="10">
        <v>-25.66</v>
      </c>
      <c r="Q1312" s="10">
        <v>23.7</v>
      </c>
      <c r="R1312" s="10">
        <v>87.3</v>
      </c>
      <c r="S1312" s="16">
        <f t="shared" si="70"/>
        <v>17.300999999999998</v>
      </c>
      <c r="T1312" s="16">
        <f t="shared" si="71"/>
        <v>63.728999999999999</v>
      </c>
    </row>
    <row r="1313" spans="1:20" x14ac:dyDescent="0.25">
      <c r="A1313" s="14">
        <v>2014</v>
      </c>
      <c r="B1313" s="14" t="s">
        <v>137</v>
      </c>
      <c r="C1313" s="14" t="s">
        <v>138</v>
      </c>
      <c r="D1313" s="14">
        <v>3</v>
      </c>
      <c r="E1313" s="14">
        <v>4</v>
      </c>
      <c r="F1313" s="14">
        <v>4</v>
      </c>
      <c r="G1313" s="14">
        <v>2</v>
      </c>
      <c r="H1313" s="14" t="s">
        <v>5</v>
      </c>
      <c r="I1313" s="15">
        <v>41871</v>
      </c>
      <c r="J1313" s="14" t="s">
        <v>127</v>
      </c>
      <c r="K1313" s="14">
        <v>647</v>
      </c>
      <c r="L1313" s="14">
        <v>315</v>
      </c>
      <c r="M1313" s="14">
        <v>203</v>
      </c>
      <c r="N1313" s="14">
        <v>71</v>
      </c>
      <c r="O1313" s="14">
        <v>59</v>
      </c>
      <c r="P1313" s="10">
        <v>-25.14</v>
      </c>
      <c r="Q1313" s="10">
        <v>22.6</v>
      </c>
      <c r="R1313" s="10">
        <v>91.2</v>
      </c>
      <c r="S1313" s="16">
        <f t="shared" si="70"/>
        <v>14.622200000000001</v>
      </c>
      <c r="T1313" s="16">
        <f t="shared" si="71"/>
        <v>59.006399999999999</v>
      </c>
    </row>
    <row r="1314" spans="1:20" x14ac:dyDescent="0.25">
      <c r="A1314" s="14">
        <v>2014</v>
      </c>
      <c r="B1314" s="14" t="s">
        <v>137</v>
      </c>
      <c r="C1314" s="14" t="s">
        <v>138</v>
      </c>
      <c r="D1314" s="14">
        <v>3</v>
      </c>
      <c r="E1314" s="14">
        <v>5</v>
      </c>
      <c r="F1314" s="14">
        <v>5</v>
      </c>
      <c r="G1314" s="14">
        <v>2</v>
      </c>
      <c r="H1314" s="14" t="s">
        <v>6</v>
      </c>
      <c r="I1314" s="15">
        <v>41871</v>
      </c>
      <c r="J1314" s="14" t="s">
        <v>127</v>
      </c>
      <c r="K1314" s="14">
        <v>742</v>
      </c>
      <c r="L1314" s="14">
        <v>425</v>
      </c>
      <c r="M1314" s="14">
        <v>236</v>
      </c>
      <c r="N1314" s="14">
        <v>21</v>
      </c>
      <c r="O1314" s="14">
        <v>60</v>
      </c>
      <c r="P1314" s="10">
        <v>-25.22</v>
      </c>
      <c r="Q1314" s="10">
        <v>24.1</v>
      </c>
      <c r="R1314" s="10">
        <v>95.3</v>
      </c>
      <c r="S1314" s="16">
        <f t="shared" si="70"/>
        <v>17.882200000000001</v>
      </c>
      <c r="T1314" s="16">
        <f t="shared" si="71"/>
        <v>70.712599999999995</v>
      </c>
    </row>
    <row r="1315" spans="1:20" x14ac:dyDescent="0.25">
      <c r="A1315" s="14">
        <v>2014</v>
      </c>
      <c r="B1315" s="14" t="s">
        <v>137</v>
      </c>
      <c r="C1315" s="14" t="s">
        <v>138</v>
      </c>
      <c r="D1315" s="14">
        <v>3</v>
      </c>
      <c r="E1315" s="14">
        <v>6</v>
      </c>
      <c r="F1315" s="14">
        <v>6</v>
      </c>
      <c r="G1315" s="14">
        <v>2</v>
      </c>
      <c r="H1315" s="14" t="s">
        <v>3</v>
      </c>
      <c r="I1315" s="15">
        <v>41871</v>
      </c>
      <c r="J1315" s="14" t="s">
        <v>127</v>
      </c>
      <c r="K1315" s="14">
        <v>648</v>
      </c>
      <c r="L1315" s="14">
        <v>315</v>
      </c>
      <c r="M1315" s="14">
        <v>275</v>
      </c>
      <c r="N1315" s="14"/>
      <c r="O1315" s="14">
        <v>57</v>
      </c>
      <c r="P1315" s="10">
        <v>-25.49</v>
      </c>
      <c r="Q1315" s="10">
        <v>25.7</v>
      </c>
      <c r="R1315" s="10">
        <v>75.900000000000006</v>
      </c>
      <c r="S1315" s="16">
        <f t="shared" si="70"/>
        <v>16.653599999999997</v>
      </c>
      <c r="T1315" s="16">
        <f t="shared" si="71"/>
        <v>49.183200000000006</v>
      </c>
    </row>
    <row r="1316" spans="1:20" x14ac:dyDescent="0.25">
      <c r="A1316" s="14">
        <v>2014</v>
      </c>
      <c r="B1316" s="14" t="s">
        <v>137</v>
      </c>
      <c r="C1316" s="14" t="s">
        <v>138</v>
      </c>
      <c r="D1316" s="14">
        <v>4</v>
      </c>
      <c r="E1316" s="14">
        <v>6</v>
      </c>
      <c r="F1316" s="14">
        <v>7</v>
      </c>
      <c r="G1316" s="14">
        <v>2</v>
      </c>
      <c r="H1316" s="14" t="s">
        <v>12</v>
      </c>
      <c r="I1316" s="15">
        <v>41863</v>
      </c>
      <c r="J1316" s="14" t="s">
        <v>127</v>
      </c>
      <c r="K1316" s="14">
        <v>562</v>
      </c>
      <c r="L1316" s="14">
        <v>292</v>
      </c>
      <c r="M1316" s="14">
        <v>237</v>
      </c>
      <c r="N1316" s="14"/>
      <c r="O1316" s="14">
        <v>33</v>
      </c>
      <c r="P1316" s="10"/>
      <c r="Q1316" s="10"/>
      <c r="R1316" s="10"/>
      <c r="S1316" s="16"/>
      <c r="T1316" s="16"/>
    </row>
    <row r="1317" spans="1:20" x14ac:dyDescent="0.25">
      <c r="A1317" s="14">
        <v>2014</v>
      </c>
      <c r="B1317" s="14" t="s">
        <v>137</v>
      </c>
      <c r="C1317" s="14" t="s">
        <v>138</v>
      </c>
      <c r="D1317" s="14">
        <v>4</v>
      </c>
      <c r="E1317" s="14">
        <v>5</v>
      </c>
      <c r="F1317" s="14">
        <v>8</v>
      </c>
      <c r="G1317" s="14">
        <v>2</v>
      </c>
      <c r="H1317" s="14" t="s">
        <v>9</v>
      </c>
      <c r="I1317" s="15">
        <v>41871</v>
      </c>
      <c r="J1317" s="14" t="s">
        <v>127</v>
      </c>
      <c r="K1317" s="14">
        <v>702</v>
      </c>
      <c r="L1317" s="14">
        <v>415</v>
      </c>
      <c r="M1317" s="14">
        <v>228</v>
      </c>
      <c r="N1317" s="14">
        <v>10</v>
      </c>
      <c r="O1317" s="14">
        <v>49</v>
      </c>
      <c r="P1317" s="10">
        <v>-25.7</v>
      </c>
      <c r="Q1317" s="10">
        <v>22.8</v>
      </c>
      <c r="R1317" s="10">
        <v>99.1</v>
      </c>
      <c r="S1317" s="16">
        <f t="shared" si="70"/>
        <v>16.005600000000001</v>
      </c>
      <c r="T1317" s="16">
        <f t="shared" si="71"/>
        <v>69.56819999999999</v>
      </c>
    </row>
    <row r="1318" spans="1:20" x14ac:dyDescent="0.25">
      <c r="A1318" s="14">
        <v>2014</v>
      </c>
      <c r="B1318" s="14" t="s">
        <v>137</v>
      </c>
      <c r="C1318" s="14" t="s">
        <v>138</v>
      </c>
      <c r="D1318" s="14">
        <v>4</v>
      </c>
      <c r="E1318" s="14">
        <v>4</v>
      </c>
      <c r="F1318" s="14">
        <v>9</v>
      </c>
      <c r="G1318" s="14">
        <v>2</v>
      </c>
      <c r="H1318" s="14" t="s">
        <v>14</v>
      </c>
      <c r="I1318" s="15">
        <v>41871</v>
      </c>
      <c r="J1318" s="14" t="s">
        <v>127</v>
      </c>
      <c r="K1318" s="14">
        <v>645</v>
      </c>
      <c r="L1318" s="14">
        <v>330</v>
      </c>
      <c r="M1318" s="14">
        <v>260</v>
      </c>
      <c r="N1318" s="14"/>
      <c r="O1318" s="14">
        <v>55</v>
      </c>
      <c r="P1318" s="10">
        <v>-25.48</v>
      </c>
      <c r="Q1318" s="10">
        <v>25.9</v>
      </c>
      <c r="R1318" s="10">
        <v>91.6</v>
      </c>
      <c r="S1318" s="16">
        <f t="shared" si="70"/>
        <v>16.705500000000001</v>
      </c>
      <c r="T1318" s="16">
        <f t="shared" si="71"/>
        <v>59.081999999999994</v>
      </c>
    </row>
    <row r="1319" spans="1:20" x14ac:dyDescent="0.25">
      <c r="A1319" s="14">
        <v>2014</v>
      </c>
      <c r="B1319" s="14" t="s">
        <v>137</v>
      </c>
      <c r="C1319" s="14" t="s">
        <v>138</v>
      </c>
      <c r="D1319" s="14">
        <v>4</v>
      </c>
      <c r="E1319" s="14">
        <v>3</v>
      </c>
      <c r="F1319" s="14">
        <v>10</v>
      </c>
      <c r="G1319" s="14">
        <v>2</v>
      </c>
      <c r="H1319" s="14" t="s">
        <v>7</v>
      </c>
      <c r="I1319" s="15">
        <v>41871</v>
      </c>
      <c r="J1319" s="14" t="s">
        <v>127</v>
      </c>
      <c r="K1319" s="14">
        <v>706</v>
      </c>
      <c r="L1319" s="14">
        <v>383</v>
      </c>
      <c r="M1319" s="14">
        <v>262</v>
      </c>
      <c r="N1319" s="14"/>
      <c r="O1319" s="14">
        <v>61</v>
      </c>
      <c r="P1319" s="10">
        <v>-25.02</v>
      </c>
      <c r="Q1319" s="10">
        <v>24.3</v>
      </c>
      <c r="R1319" s="10">
        <v>115</v>
      </c>
      <c r="S1319" s="16">
        <f t="shared" si="70"/>
        <v>17.155799999999999</v>
      </c>
      <c r="T1319" s="16">
        <f t="shared" si="71"/>
        <v>81.19</v>
      </c>
    </row>
    <row r="1320" spans="1:20" x14ac:dyDescent="0.25">
      <c r="A1320" s="14">
        <v>2014</v>
      </c>
      <c r="B1320" s="14" t="s">
        <v>137</v>
      </c>
      <c r="C1320" s="14" t="s">
        <v>138</v>
      </c>
      <c r="D1320" s="14">
        <v>4</v>
      </c>
      <c r="E1320" s="14">
        <v>2</v>
      </c>
      <c r="F1320" s="14">
        <v>11</v>
      </c>
      <c r="G1320" s="14">
        <v>2</v>
      </c>
      <c r="H1320" s="14" t="s">
        <v>2</v>
      </c>
      <c r="I1320" s="15">
        <v>41871</v>
      </c>
      <c r="J1320" s="14" t="s">
        <v>127</v>
      </c>
      <c r="K1320" s="14">
        <v>675</v>
      </c>
      <c r="L1320" s="14">
        <v>369</v>
      </c>
      <c r="M1320" s="14">
        <v>220</v>
      </c>
      <c r="N1320" s="14">
        <v>6</v>
      </c>
      <c r="O1320" s="14">
        <v>79</v>
      </c>
      <c r="P1320" s="10">
        <v>-25.34</v>
      </c>
      <c r="Q1320" s="10">
        <v>25.3</v>
      </c>
      <c r="R1320" s="10">
        <v>87.4</v>
      </c>
      <c r="S1320" s="16">
        <f t="shared" si="70"/>
        <v>17.077500000000001</v>
      </c>
      <c r="T1320" s="16">
        <f t="shared" si="71"/>
        <v>58.995000000000005</v>
      </c>
    </row>
    <row r="1321" spans="1:20" x14ac:dyDescent="0.25">
      <c r="A1321" s="14">
        <v>2014</v>
      </c>
      <c r="B1321" s="14" t="s">
        <v>137</v>
      </c>
      <c r="C1321" s="14" t="s">
        <v>138</v>
      </c>
      <c r="D1321" s="14">
        <v>4</v>
      </c>
      <c r="E1321" s="14">
        <v>1</v>
      </c>
      <c r="F1321" s="14">
        <v>12</v>
      </c>
      <c r="G1321" s="14">
        <v>2</v>
      </c>
      <c r="H1321" s="14" t="s">
        <v>10</v>
      </c>
      <c r="I1321" s="15">
        <v>41871</v>
      </c>
      <c r="J1321" s="14" t="s">
        <v>127</v>
      </c>
      <c r="K1321" s="14">
        <v>637</v>
      </c>
      <c r="L1321" s="14">
        <v>310</v>
      </c>
      <c r="M1321" s="14">
        <v>196</v>
      </c>
      <c r="N1321" s="14">
        <v>58</v>
      </c>
      <c r="O1321" s="14">
        <v>72</v>
      </c>
      <c r="P1321" s="10">
        <v>-25.19</v>
      </c>
      <c r="Q1321" s="10">
        <v>23.9</v>
      </c>
      <c r="R1321" s="10">
        <v>98.7</v>
      </c>
      <c r="S1321" s="16">
        <f t="shared" si="70"/>
        <v>15.224299999999999</v>
      </c>
      <c r="T1321" s="16">
        <f t="shared" si="71"/>
        <v>62.871900000000004</v>
      </c>
    </row>
    <row r="1322" spans="1:20" x14ac:dyDescent="0.25">
      <c r="A1322" s="14">
        <v>2014</v>
      </c>
      <c r="B1322" s="14" t="s">
        <v>137</v>
      </c>
      <c r="C1322" s="14" t="s">
        <v>138</v>
      </c>
      <c r="D1322" s="14">
        <v>5</v>
      </c>
      <c r="E1322" s="14">
        <v>1</v>
      </c>
      <c r="F1322" s="14">
        <v>1</v>
      </c>
      <c r="G1322" s="14">
        <v>3</v>
      </c>
      <c r="H1322" s="14" t="s">
        <v>7</v>
      </c>
      <c r="I1322" s="15">
        <v>41871</v>
      </c>
      <c r="J1322" s="14" t="s">
        <v>127</v>
      </c>
      <c r="K1322" s="14">
        <v>673</v>
      </c>
      <c r="L1322" s="14">
        <v>371</v>
      </c>
      <c r="M1322" s="14">
        <v>208</v>
      </c>
      <c r="N1322" s="14">
        <v>29</v>
      </c>
      <c r="O1322" s="14">
        <v>64</v>
      </c>
      <c r="P1322" s="10">
        <v>-25.36</v>
      </c>
      <c r="Q1322" s="10">
        <v>21.1</v>
      </c>
      <c r="R1322" s="10">
        <v>90.8</v>
      </c>
      <c r="S1322" s="16">
        <f t="shared" ref="S1322:S1385" si="72">K1322*Q1322/1000</f>
        <v>14.2003</v>
      </c>
      <c r="T1322" s="16">
        <f t="shared" si="71"/>
        <v>61.108400000000003</v>
      </c>
    </row>
    <row r="1323" spans="1:20" x14ac:dyDescent="0.25">
      <c r="A1323" s="14">
        <v>2014</v>
      </c>
      <c r="B1323" s="14" t="s">
        <v>137</v>
      </c>
      <c r="C1323" s="14" t="s">
        <v>138</v>
      </c>
      <c r="D1323" s="14">
        <v>5</v>
      </c>
      <c r="E1323" s="14">
        <v>2</v>
      </c>
      <c r="F1323" s="14">
        <v>2</v>
      </c>
      <c r="G1323" s="14">
        <v>3</v>
      </c>
      <c r="H1323" s="14" t="s">
        <v>14</v>
      </c>
      <c r="I1323" s="15">
        <v>41871</v>
      </c>
      <c r="J1323" s="14" t="s">
        <v>127</v>
      </c>
      <c r="K1323" s="14">
        <v>587</v>
      </c>
      <c r="L1323" s="14">
        <v>302</v>
      </c>
      <c r="M1323" s="14">
        <v>222</v>
      </c>
      <c r="N1323" s="14"/>
      <c r="O1323" s="14">
        <v>62</v>
      </c>
      <c r="P1323" s="10">
        <v>-25.5</v>
      </c>
      <c r="Q1323" s="10">
        <v>24.5</v>
      </c>
      <c r="R1323" s="10">
        <v>95.4</v>
      </c>
      <c r="S1323" s="16">
        <f t="shared" si="72"/>
        <v>14.381500000000001</v>
      </c>
      <c r="T1323" s="16">
        <f t="shared" si="71"/>
        <v>55.9998</v>
      </c>
    </row>
    <row r="1324" spans="1:20" x14ac:dyDescent="0.25">
      <c r="A1324" s="14">
        <v>2014</v>
      </c>
      <c r="B1324" s="14" t="s">
        <v>137</v>
      </c>
      <c r="C1324" s="14" t="s">
        <v>138</v>
      </c>
      <c r="D1324" s="14">
        <v>5</v>
      </c>
      <c r="E1324" s="14">
        <v>3</v>
      </c>
      <c r="F1324" s="14">
        <v>3</v>
      </c>
      <c r="G1324" s="14">
        <v>3</v>
      </c>
      <c r="H1324" s="14" t="s">
        <v>6</v>
      </c>
      <c r="I1324" s="15">
        <v>41871</v>
      </c>
      <c r="J1324" s="14" t="s">
        <v>127</v>
      </c>
      <c r="K1324" s="14">
        <v>638</v>
      </c>
      <c r="L1324" s="14">
        <v>362</v>
      </c>
      <c r="M1324" s="14">
        <v>212</v>
      </c>
      <c r="N1324" s="14">
        <v>21</v>
      </c>
      <c r="O1324" s="14">
        <v>43</v>
      </c>
      <c r="P1324" s="10">
        <v>-25.47</v>
      </c>
      <c r="Q1324" s="10">
        <v>25</v>
      </c>
      <c r="R1324" s="10">
        <v>96.5</v>
      </c>
      <c r="S1324" s="16">
        <f t="shared" si="72"/>
        <v>15.95</v>
      </c>
      <c r="T1324" s="16">
        <f t="shared" si="71"/>
        <v>61.567</v>
      </c>
    </row>
    <row r="1325" spans="1:20" x14ac:dyDescent="0.25">
      <c r="A1325" s="14">
        <v>2014</v>
      </c>
      <c r="B1325" s="14" t="s">
        <v>137</v>
      </c>
      <c r="C1325" s="14" t="s">
        <v>138</v>
      </c>
      <c r="D1325" s="14">
        <v>5</v>
      </c>
      <c r="E1325" s="14">
        <v>4</v>
      </c>
      <c r="F1325" s="14">
        <v>4</v>
      </c>
      <c r="G1325" s="14">
        <v>3</v>
      </c>
      <c r="H1325" s="14" t="s">
        <v>13</v>
      </c>
      <c r="I1325" s="15">
        <v>41863</v>
      </c>
      <c r="J1325" s="14" t="s">
        <v>127</v>
      </c>
      <c r="K1325" s="14">
        <v>438</v>
      </c>
      <c r="L1325" s="14">
        <v>185</v>
      </c>
      <c r="M1325" s="14">
        <v>233</v>
      </c>
      <c r="N1325" s="14"/>
      <c r="O1325" s="14">
        <v>20</v>
      </c>
      <c r="P1325" s="10"/>
      <c r="Q1325" s="10"/>
      <c r="R1325" s="10"/>
      <c r="S1325" s="16"/>
      <c r="T1325" s="16"/>
    </row>
    <row r="1326" spans="1:20" x14ac:dyDescent="0.25">
      <c r="A1326" s="14">
        <v>2014</v>
      </c>
      <c r="B1326" s="14" t="s">
        <v>137</v>
      </c>
      <c r="C1326" s="14" t="s">
        <v>138</v>
      </c>
      <c r="D1326" s="14">
        <v>5</v>
      </c>
      <c r="E1326" s="14">
        <v>5</v>
      </c>
      <c r="F1326" s="14">
        <v>5</v>
      </c>
      <c r="G1326" s="14">
        <v>3</v>
      </c>
      <c r="H1326" s="14" t="s">
        <v>5</v>
      </c>
      <c r="I1326" s="15">
        <v>41871</v>
      </c>
      <c r="J1326" s="14" t="s">
        <v>127</v>
      </c>
      <c r="K1326" s="14">
        <v>601</v>
      </c>
      <c r="L1326" s="14">
        <v>344</v>
      </c>
      <c r="M1326" s="14">
        <v>174</v>
      </c>
      <c r="N1326" s="14">
        <v>28</v>
      </c>
      <c r="O1326" s="14">
        <v>55</v>
      </c>
      <c r="P1326" s="10">
        <v>-25.5</v>
      </c>
      <c r="Q1326" s="10">
        <v>23.9</v>
      </c>
      <c r="R1326" s="10">
        <v>75.400000000000006</v>
      </c>
      <c r="S1326" s="16">
        <f t="shared" si="72"/>
        <v>14.363899999999999</v>
      </c>
      <c r="T1326" s="16">
        <f t="shared" si="71"/>
        <v>45.315400000000004</v>
      </c>
    </row>
    <row r="1327" spans="1:20" x14ac:dyDescent="0.25">
      <c r="A1327" s="14">
        <v>2014</v>
      </c>
      <c r="B1327" s="14" t="s">
        <v>137</v>
      </c>
      <c r="C1327" s="14" t="s">
        <v>138</v>
      </c>
      <c r="D1327" s="14">
        <v>5</v>
      </c>
      <c r="E1327" s="14">
        <v>6</v>
      </c>
      <c r="F1327" s="14">
        <v>6</v>
      </c>
      <c r="G1327" s="14">
        <v>3</v>
      </c>
      <c r="H1327" s="14" t="s">
        <v>10</v>
      </c>
      <c r="I1327" s="15">
        <v>41871</v>
      </c>
      <c r="J1327" s="14" t="s">
        <v>127</v>
      </c>
      <c r="K1327" s="14">
        <v>632</v>
      </c>
      <c r="L1327" s="14">
        <v>294</v>
      </c>
      <c r="M1327" s="14">
        <v>179</v>
      </c>
      <c r="N1327" s="14">
        <v>116</v>
      </c>
      <c r="O1327" s="14">
        <v>43</v>
      </c>
      <c r="P1327" s="10">
        <v>-25.66</v>
      </c>
      <c r="Q1327" s="10">
        <v>24.5</v>
      </c>
      <c r="R1327" s="10">
        <v>82.6</v>
      </c>
      <c r="S1327" s="16">
        <f t="shared" si="72"/>
        <v>15.484</v>
      </c>
      <c r="T1327" s="16">
        <f t="shared" si="71"/>
        <v>52.203199999999995</v>
      </c>
    </row>
    <row r="1328" spans="1:20" x14ac:dyDescent="0.25">
      <c r="A1328" s="14">
        <v>2014</v>
      </c>
      <c r="B1328" s="14" t="s">
        <v>137</v>
      </c>
      <c r="C1328" s="14" t="s">
        <v>138</v>
      </c>
      <c r="D1328" s="14">
        <v>6</v>
      </c>
      <c r="E1328" s="14">
        <v>6</v>
      </c>
      <c r="F1328" s="14">
        <v>7</v>
      </c>
      <c r="G1328" s="14">
        <v>3</v>
      </c>
      <c r="H1328" s="14" t="s">
        <v>8</v>
      </c>
      <c r="I1328" s="15">
        <v>41871</v>
      </c>
      <c r="J1328" s="14" t="s">
        <v>127</v>
      </c>
      <c r="K1328" s="14">
        <v>642</v>
      </c>
      <c r="L1328" s="14">
        <v>369</v>
      </c>
      <c r="M1328" s="14">
        <v>193</v>
      </c>
      <c r="N1328" s="14">
        <v>30</v>
      </c>
      <c r="O1328" s="14">
        <v>50</v>
      </c>
      <c r="P1328" s="10">
        <v>-25.84</v>
      </c>
      <c r="Q1328" s="10">
        <v>19.2</v>
      </c>
      <c r="R1328" s="10">
        <v>100.4</v>
      </c>
      <c r="S1328" s="16">
        <f t="shared" si="72"/>
        <v>12.3264</v>
      </c>
      <c r="T1328" s="16">
        <f t="shared" si="71"/>
        <v>64.456800000000001</v>
      </c>
    </row>
    <row r="1329" spans="1:20" x14ac:dyDescent="0.25">
      <c r="A1329" s="14">
        <v>2014</v>
      </c>
      <c r="B1329" s="14" t="s">
        <v>137</v>
      </c>
      <c r="C1329" s="14" t="s">
        <v>138</v>
      </c>
      <c r="D1329" s="14">
        <v>6</v>
      </c>
      <c r="E1329" s="14">
        <v>5</v>
      </c>
      <c r="F1329" s="14">
        <v>8</v>
      </c>
      <c r="G1329" s="14">
        <v>3</v>
      </c>
      <c r="H1329" s="14" t="s">
        <v>2</v>
      </c>
      <c r="I1329" s="15">
        <v>41871</v>
      </c>
      <c r="J1329" s="14" t="s">
        <v>127</v>
      </c>
      <c r="K1329" s="14">
        <v>661</v>
      </c>
      <c r="L1329" s="14">
        <v>373</v>
      </c>
      <c r="M1329" s="14">
        <v>228</v>
      </c>
      <c r="N1329" s="14"/>
      <c r="O1329" s="14">
        <v>60</v>
      </c>
      <c r="P1329" s="10">
        <v>-25.35</v>
      </c>
      <c r="Q1329" s="10">
        <v>20.6</v>
      </c>
      <c r="R1329" s="10">
        <v>94.9</v>
      </c>
      <c r="S1329" s="16">
        <f t="shared" si="72"/>
        <v>13.6166</v>
      </c>
      <c r="T1329" s="16">
        <f t="shared" si="71"/>
        <v>62.728900000000003</v>
      </c>
    </row>
    <row r="1330" spans="1:20" x14ac:dyDescent="0.25">
      <c r="A1330" s="14">
        <v>2014</v>
      </c>
      <c r="B1330" s="14" t="s">
        <v>137</v>
      </c>
      <c r="C1330" s="14" t="s">
        <v>138</v>
      </c>
      <c r="D1330" s="14">
        <v>6</v>
      </c>
      <c r="E1330" s="14">
        <v>4</v>
      </c>
      <c r="F1330" s="14">
        <v>9</v>
      </c>
      <c r="G1330" s="14">
        <v>3</v>
      </c>
      <c r="H1330" s="14" t="s">
        <v>9</v>
      </c>
      <c r="I1330" s="15">
        <v>41871</v>
      </c>
      <c r="J1330" s="14" t="s">
        <v>127</v>
      </c>
      <c r="K1330" s="14">
        <v>657</v>
      </c>
      <c r="L1330" s="14">
        <v>388</v>
      </c>
      <c r="M1330" s="14">
        <v>211</v>
      </c>
      <c r="N1330" s="14">
        <v>5</v>
      </c>
      <c r="O1330" s="14">
        <v>54</v>
      </c>
      <c r="P1330" s="10">
        <v>-25.46</v>
      </c>
      <c r="Q1330" s="10">
        <v>18.100000000000001</v>
      </c>
      <c r="R1330" s="10">
        <v>108.3</v>
      </c>
      <c r="S1330" s="16">
        <f t="shared" si="72"/>
        <v>11.8917</v>
      </c>
      <c r="T1330" s="16">
        <f t="shared" si="71"/>
        <v>71.153099999999995</v>
      </c>
    </row>
    <row r="1331" spans="1:20" x14ac:dyDescent="0.25">
      <c r="A1331" s="14">
        <v>2014</v>
      </c>
      <c r="B1331" s="14" t="s">
        <v>137</v>
      </c>
      <c r="C1331" s="14" t="s">
        <v>138</v>
      </c>
      <c r="D1331" s="14">
        <v>6</v>
      </c>
      <c r="E1331" s="14">
        <v>3</v>
      </c>
      <c r="F1331" s="14">
        <v>10</v>
      </c>
      <c r="G1331" s="14">
        <v>3</v>
      </c>
      <c r="H1331" s="14" t="s">
        <v>4</v>
      </c>
      <c r="I1331" s="15">
        <v>41871</v>
      </c>
      <c r="J1331" s="14" t="s">
        <v>127</v>
      </c>
      <c r="K1331" s="14">
        <v>535</v>
      </c>
      <c r="L1331" s="14">
        <v>274</v>
      </c>
      <c r="M1331" s="14">
        <v>233</v>
      </c>
      <c r="N1331" s="14"/>
      <c r="O1331" s="14">
        <v>29</v>
      </c>
      <c r="P1331" s="10">
        <v>-25.26</v>
      </c>
      <c r="Q1331" s="10">
        <v>25.7</v>
      </c>
      <c r="R1331" s="10">
        <v>100.5</v>
      </c>
      <c r="S1331" s="16">
        <f t="shared" si="72"/>
        <v>13.749499999999999</v>
      </c>
      <c r="T1331" s="16">
        <f t="shared" si="71"/>
        <v>53.767499999999998</v>
      </c>
    </row>
    <row r="1332" spans="1:20" x14ac:dyDescent="0.25">
      <c r="A1332" s="14">
        <v>2014</v>
      </c>
      <c r="B1332" s="14" t="s">
        <v>137</v>
      </c>
      <c r="C1332" s="14" t="s">
        <v>138</v>
      </c>
      <c r="D1332" s="14">
        <v>6</v>
      </c>
      <c r="E1332" s="14">
        <v>2</v>
      </c>
      <c r="F1332" s="14">
        <v>11</v>
      </c>
      <c r="G1332" s="14">
        <v>3</v>
      </c>
      <c r="H1332" s="14" t="s">
        <v>3</v>
      </c>
      <c r="I1332" s="15">
        <v>41871</v>
      </c>
      <c r="J1332" s="14" t="s">
        <v>127</v>
      </c>
      <c r="K1332" s="14">
        <v>647</v>
      </c>
      <c r="L1332" s="14">
        <v>348</v>
      </c>
      <c r="M1332" s="14">
        <v>249</v>
      </c>
      <c r="N1332" s="14"/>
      <c r="O1332" s="14">
        <v>51</v>
      </c>
      <c r="P1332" s="10">
        <v>-24.99</v>
      </c>
      <c r="Q1332" s="10">
        <v>24.4</v>
      </c>
      <c r="R1332" s="10">
        <v>116.4</v>
      </c>
      <c r="S1332" s="16">
        <f t="shared" si="72"/>
        <v>15.786799999999999</v>
      </c>
      <c r="T1332" s="16">
        <f t="shared" si="71"/>
        <v>75.3108</v>
      </c>
    </row>
    <row r="1333" spans="1:20" x14ac:dyDescent="0.25">
      <c r="A1333" s="14">
        <v>2014</v>
      </c>
      <c r="B1333" s="14" t="s">
        <v>137</v>
      </c>
      <c r="C1333" s="14" t="s">
        <v>138</v>
      </c>
      <c r="D1333" s="14">
        <v>6</v>
      </c>
      <c r="E1333" s="14">
        <v>1</v>
      </c>
      <c r="F1333" s="14">
        <v>12</v>
      </c>
      <c r="G1333" s="14">
        <v>3</v>
      </c>
      <c r="H1333" s="14" t="s">
        <v>12</v>
      </c>
      <c r="I1333" s="15">
        <v>41863</v>
      </c>
      <c r="J1333" s="14" t="s">
        <v>127</v>
      </c>
      <c r="K1333" s="14">
        <v>443</v>
      </c>
      <c r="L1333" s="14">
        <v>212</v>
      </c>
      <c r="M1333" s="14">
        <v>208</v>
      </c>
      <c r="N1333" s="14"/>
      <c r="O1333" s="14">
        <v>22</v>
      </c>
      <c r="P1333" s="10">
        <v>-25.58</v>
      </c>
      <c r="Q1333" s="10">
        <v>30.1</v>
      </c>
      <c r="R1333" s="10">
        <v>102.6</v>
      </c>
      <c r="S1333" s="16">
        <f t="shared" si="72"/>
        <v>13.334300000000001</v>
      </c>
      <c r="T1333" s="16">
        <f t="shared" si="71"/>
        <v>45.451799999999999</v>
      </c>
    </row>
    <row r="1334" spans="1:20" x14ac:dyDescent="0.25">
      <c r="A1334" s="14">
        <v>2014</v>
      </c>
      <c r="B1334" s="14" t="s">
        <v>137</v>
      </c>
      <c r="C1334" s="14" t="s">
        <v>138</v>
      </c>
      <c r="D1334" s="14">
        <v>7</v>
      </c>
      <c r="E1334" s="14">
        <v>1</v>
      </c>
      <c r="F1334" s="14">
        <v>1</v>
      </c>
      <c r="G1334" s="14">
        <v>4</v>
      </c>
      <c r="H1334" s="14" t="s">
        <v>4</v>
      </c>
      <c r="I1334" s="15">
        <v>41871</v>
      </c>
      <c r="J1334" s="14" t="s">
        <v>127</v>
      </c>
      <c r="K1334" s="14">
        <v>585</v>
      </c>
      <c r="L1334" s="14">
        <v>309</v>
      </c>
      <c r="M1334" s="14">
        <v>242</v>
      </c>
      <c r="N1334" s="14">
        <v>5</v>
      </c>
      <c r="O1334" s="14">
        <v>28</v>
      </c>
      <c r="P1334" s="10">
        <v>-25.11</v>
      </c>
      <c r="Q1334" s="10">
        <v>27.1</v>
      </c>
      <c r="R1334" s="10">
        <v>102.2</v>
      </c>
      <c r="S1334" s="16">
        <f t="shared" si="72"/>
        <v>15.8535</v>
      </c>
      <c r="T1334" s="16">
        <f t="shared" si="71"/>
        <v>59.786999999999999</v>
      </c>
    </row>
    <row r="1335" spans="1:20" x14ac:dyDescent="0.25">
      <c r="A1335" s="14">
        <v>2014</v>
      </c>
      <c r="B1335" s="14" t="s">
        <v>137</v>
      </c>
      <c r="C1335" s="14" t="s">
        <v>138</v>
      </c>
      <c r="D1335" s="14">
        <v>7</v>
      </c>
      <c r="E1335" s="14">
        <v>2</v>
      </c>
      <c r="F1335" s="14">
        <v>2</v>
      </c>
      <c r="G1335" s="14">
        <v>4</v>
      </c>
      <c r="H1335" s="14" t="s">
        <v>5</v>
      </c>
      <c r="I1335" s="15">
        <v>41871</v>
      </c>
      <c r="J1335" s="14" t="s">
        <v>127</v>
      </c>
      <c r="K1335" s="14">
        <v>646</v>
      </c>
      <c r="L1335" s="14">
        <v>334</v>
      </c>
      <c r="M1335" s="14">
        <v>204</v>
      </c>
      <c r="N1335" s="14">
        <v>64</v>
      </c>
      <c r="O1335" s="14">
        <v>44</v>
      </c>
      <c r="P1335" s="10">
        <v>-25.34</v>
      </c>
      <c r="Q1335" s="10">
        <v>22.4</v>
      </c>
      <c r="R1335" s="10">
        <v>111.2</v>
      </c>
      <c r="S1335" s="16">
        <f t="shared" si="72"/>
        <v>14.4704</v>
      </c>
      <c r="T1335" s="16">
        <f t="shared" si="71"/>
        <v>71.8352</v>
      </c>
    </row>
    <row r="1336" spans="1:20" x14ac:dyDescent="0.25">
      <c r="A1336" s="14">
        <v>2014</v>
      </c>
      <c r="B1336" s="14" t="s">
        <v>137</v>
      </c>
      <c r="C1336" s="14" t="s">
        <v>138</v>
      </c>
      <c r="D1336" s="14">
        <v>7</v>
      </c>
      <c r="E1336" s="14">
        <v>3</v>
      </c>
      <c r="F1336" s="14">
        <v>3</v>
      </c>
      <c r="G1336" s="14">
        <v>4</v>
      </c>
      <c r="H1336" s="14" t="s">
        <v>3</v>
      </c>
      <c r="I1336" s="15">
        <v>41871</v>
      </c>
      <c r="J1336" s="14" t="s">
        <v>127</v>
      </c>
      <c r="K1336" s="14">
        <v>661</v>
      </c>
      <c r="L1336" s="14">
        <v>366</v>
      </c>
      <c r="M1336" s="14">
        <v>249</v>
      </c>
      <c r="N1336" s="14"/>
      <c r="O1336" s="14">
        <v>45</v>
      </c>
      <c r="P1336" s="10">
        <v>-25.27</v>
      </c>
      <c r="Q1336" s="10">
        <v>24</v>
      </c>
      <c r="R1336" s="10">
        <v>113.2</v>
      </c>
      <c r="S1336" s="16">
        <f t="shared" si="72"/>
        <v>15.864000000000001</v>
      </c>
      <c r="T1336" s="16">
        <f t="shared" si="71"/>
        <v>74.825199999999995</v>
      </c>
    </row>
    <row r="1337" spans="1:20" x14ac:dyDescent="0.25">
      <c r="A1337" s="14">
        <v>2014</v>
      </c>
      <c r="B1337" s="14" t="s">
        <v>137</v>
      </c>
      <c r="C1337" s="14" t="s">
        <v>138</v>
      </c>
      <c r="D1337" s="14">
        <v>7</v>
      </c>
      <c r="E1337" s="14">
        <v>4</v>
      </c>
      <c r="F1337" s="14">
        <v>4</v>
      </c>
      <c r="G1337" s="14">
        <v>4</v>
      </c>
      <c r="H1337" s="14" t="s">
        <v>8</v>
      </c>
      <c r="I1337" s="15">
        <v>41871</v>
      </c>
      <c r="J1337" s="14" t="s">
        <v>127</v>
      </c>
      <c r="K1337" s="14">
        <v>688</v>
      </c>
      <c r="L1337" s="14">
        <v>425</v>
      </c>
      <c r="M1337" s="14">
        <v>218</v>
      </c>
      <c r="N1337" s="14">
        <v>19</v>
      </c>
      <c r="O1337" s="14">
        <v>26</v>
      </c>
      <c r="P1337" s="10">
        <v>-25.34</v>
      </c>
      <c r="Q1337" s="10">
        <v>17.600000000000001</v>
      </c>
      <c r="R1337" s="10">
        <v>106.6</v>
      </c>
      <c r="S1337" s="16">
        <f t="shared" si="72"/>
        <v>12.1088</v>
      </c>
      <c r="T1337" s="16">
        <f t="shared" si="71"/>
        <v>73.340800000000002</v>
      </c>
    </row>
    <row r="1338" spans="1:20" x14ac:dyDescent="0.25">
      <c r="A1338" s="14">
        <v>2014</v>
      </c>
      <c r="B1338" s="14" t="s">
        <v>137</v>
      </c>
      <c r="C1338" s="14" t="s">
        <v>138</v>
      </c>
      <c r="D1338" s="14">
        <v>7</v>
      </c>
      <c r="E1338" s="14">
        <v>5</v>
      </c>
      <c r="F1338" s="14">
        <v>5</v>
      </c>
      <c r="G1338" s="14">
        <v>4</v>
      </c>
      <c r="H1338" s="14" t="s">
        <v>12</v>
      </c>
      <c r="I1338" s="15">
        <v>41863</v>
      </c>
      <c r="J1338" s="14" t="s">
        <v>127</v>
      </c>
      <c r="K1338" s="14">
        <v>465</v>
      </c>
      <c r="L1338" s="14">
        <v>238</v>
      </c>
      <c r="M1338" s="14">
        <v>208</v>
      </c>
      <c r="N1338" s="14"/>
      <c r="O1338" s="14">
        <v>19</v>
      </c>
      <c r="P1338" s="10">
        <v>-25.56</v>
      </c>
      <c r="Q1338" s="10">
        <v>27.1</v>
      </c>
      <c r="R1338" s="10">
        <v>108.6</v>
      </c>
      <c r="S1338" s="16">
        <f t="shared" si="72"/>
        <v>12.6015</v>
      </c>
      <c r="T1338" s="16">
        <f t="shared" si="71"/>
        <v>50.499000000000002</v>
      </c>
    </row>
    <row r="1339" spans="1:20" x14ac:dyDescent="0.25">
      <c r="A1339" s="14">
        <v>2014</v>
      </c>
      <c r="B1339" s="14" t="s">
        <v>137</v>
      </c>
      <c r="C1339" s="14" t="s">
        <v>138</v>
      </c>
      <c r="D1339" s="14">
        <v>7</v>
      </c>
      <c r="E1339" s="14">
        <v>6</v>
      </c>
      <c r="F1339" s="14">
        <v>6</v>
      </c>
      <c r="G1339" s="14">
        <v>4</v>
      </c>
      <c r="H1339" s="14" t="s">
        <v>14</v>
      </c>
      <c r="I1339" s="15">
        <v>41871</v>
      </c>
      <c r="J1339" s="14" t="s">
        <v>127</v>
      </c>
      <c r="K1339" s="14">
        <v>536</v>
      </c>
      <c r="L1339" s="14">
        <v>324</v>
      </c>
      <c r="M1339" s="14">
        <v>177</v>
      </c>
      <c r="N1339" s="14">
        <v>3</v>
      </c>
      <c r="O1339" s="14">
        <v>31</v>
      </c>
      <c r="P1339" s="10">
        <v>-25.17</v>
      </c>
      <c r="Q1339" s="10">
        <v>24.5</v>
      </c>
      <c r="R1339" s="10">
        <v>108.3</v>
      </c>
      <c r="S1339" s="16">
        <f t="shared" si="72"/>
        <v>13.132</v>
      </c>
      <c r="T1339" s="16">
        <f t="shared" si="71"/>
        <v>58.048799999999993</v>
      </c>
    </row>
    <row r="1340" spans="1:20" x14ac:dyDescent="0.25">
      <c r="A1340" s="14">
        <v>2014</v>
      </c>
      <c r="B1340" s="14" t="s">
        <v>137</v>
      </c>
      <c r="C1340" s="14" t="s">
        <v>138</v>
      </c>
      <c r="D1340" s="14">
        <v>8</v>
      </c>
      <c r="E1340" s="14">
        <v>6</v>
      </c>
      <c r="F1340" s="14">
        <v>7</v>
      </c>
      <c r="G1340" s="14">
        <v>4</v>
      </c>
      <c r="H1340" s="14" t="s">
        <v>2</v>
      </c>
      <c r="I1340" s="15">
        <v>41871</v>
      </c>
      <c r="J1340" s="14" t="s">
        <v>127</v>
      </c>
      <c r="K1340" s="14">
        <v>667</v>
      </c>
      <c r="L1340" s="14">
        <v>374</v>
      </c>
      <c r="M1340" s="14">
        <v>213</v>
      </c>
      <c r="N1340" s="14">
        <v>34</v>
      </c>
      <c r="O1340" s="14">
        <v>46</v>
      </c>
      <c r="P1340" s="10">
        <v>-25.87</v>
      </c>
      <c r="Q1340" s="10">
        <v>17.7</v>
      </c>
      <c r="R1340" s="10">
        <v>115.2</v>
      </c>
      <c r="S1340" s="16">
        <f t="shared" si="72"/>
        <v>11.805899999999999</v>
      </c>
      <c r="T1340" s="16">
        <f t="shared" si="71"/>
        <v>76.838400000000007</v>
      </c>
    </row>
    <row r="1341" spans="1:20" x14ac:dyDescent="0.25">
      <c r="A1341" s="14">
        <v>2014</v>
      </c>
      <c r="B1341" s="14" t="s">
        <v>137</v>
      </c>
      <c r="C1341" s="14" t="s">
        <v>138</v>
      </c>
      <c r="D1341" s="14">
        <v>8</v>
      </c>
      <c r="E1341" s="14">
        <v>5</v>
      </c>
      <c r="F1341" s="14">
        <v>8</v>
      </c>
      <c r="G1341" s="14">
        <v>4</v>
      </c>
      <c r="H1341" s="14" t="s">
        <v>13</v>
      </c>
      <c r="I1341" s="15">
        <v>41863</v>
      </c>
      <c r="J1341" s="14" t="s">
        <v>127</v>
      </c>
      <c r="K1341" s="14">
        <v>582</v>
      </c>
      <c r="L1341" s="14">
        <v>363</v>
      </c>
      <c r="M1341" s="14">
        <v>201</v>
      </c>
      <c r="N1341" s="14"/>
      <c r="O1341" s="14">
        <v>18</v>
      </c>
      <c r="P1341" s="10">
        <v>-25.44</v>
      </c>
      <c r="Q1341" s="10">
        <v>21.8</v>
      </c>
      <c r="R1341" s="10">
        <v>130.5</v>
      </c>
      <c r="S1341" s="16">
        <f t="shared" si="72"/>
        <v>12.6876</v>
      </c>
      <c r="T1341" s="16">
        <f t="shared" si="71"/>
        <v>75.950999999999993</v>
      </c>
    </row>
    <row r="1342" spans="1:20" x14ac:dyDescent="0.25">
      <c r="A1342" s="14">
        <v>2014</v>
      </c>
      <c r="B1342" s="14" t="s">
        <v>137</v>
      </c>
      <c r="C1342" s="14" t="s">
        <v>138</v>
      </c>
      <c r="D1342" s="14">
        <v>8</v>
      </c>
      <c r="E1342" s="14">
        <v>4</v>
      </c>
      <c r="F1342" s="14">
        <v>9</v>
      </c>
      <c r="G1342" s="14">
        <v>4</v>
      </c>
      <c r="H1342" s="14" t="s">
        <v>10</v>
      </c>
      <c r="I1342" s="15">
        <v>41871</v>
      </c>
      <c r="J1342" s="14" t="s">
        <v>127</v>
      </c>
      <c r="K1342" s="14">
        <v>682</v>
      </c>
      <c r="L1342" s="14">
        <v>255</v>
      </c>
      <c r="M1342" s="14">
        <v>159</v>
      </c>
      <c r="N1342" s="14">
        <v>191</v>
      </c>
      <c r="O1342" s="14">
        <v>77</v>
      </c>
      <c r="P1342" s="10">
        <v>-25.57</v>
      </c>
      <c r="Q1342" s="10">
        <v>17.100000000000001</v>
      </c>
      <c r="R1342" s="10">
        <v>132.30000000000001</v>
      </c>
      <c r="S1342" s="16">
        <f t="shared" si="72"/>
        <v>11.6622</v>
      </c>
      <c r="T1342" s="16">
        <f t="shared" si="71"/>
        <v>90.2286</v>
      </c>
    </row>
    <row r="1343" spans="1:20" x14ac:dyDescent="0.25">
      <c r="A1343" s="14">
        <v>2014</v>
      </c>
      <c r="B1343" s="14" t="s">
        <v>137</v>
      </c>
      <c r="C1343" s="14" t="s">
        <v>138</v>
      </c>
      <c r="D1343" s="14">
        <v>8</v>
      </c>
      <c r="E1343" s="14">
        <v>3</v>
      </c>
      <c r="F1343" s="14">
        <v>10</v>
      </c>
      <c r="G1343" s="14">
        <v>4</v>
      </c>
      <c r="H1343" s="14" t="s">
        <v>9</v>
      </c>
      <c r="I1343" s="15">
        <v>41871</v>
      </c>
      <c r="J1343" s="14" t="s">
        <v>127</v>
      </c>
      <c r="K1343" s="14">
        <v>754</v>
      </c>
      <c r="L1343" s="14">
        <v>470</v>
      </c>
      <c r="M1343" s="14">
        <v>215</v>
      </c>
      <c r="N1343" s="14">
        <v>12</v>
      </c>
      <c r="O1343" s="14">
        <v>57</v>
      </c>
      <c r="P1343" s="10">
        <v>-25.79</v>
      </c>
      <c r="Q1343" s="10">
        <v>18.2</v>
      </c>
      <c r="R1343" s="10">
        <v>106.5</v>
      </c>
      <c r="S1343" s="16">
        <f t="shared" si="72"/>
        <v>13.722799999999999</v>
      </c>
      <c r="T1343" s="16">
        <f t="shared" si="71"/>
        <v>80.301000000000002</v>
      </c>
    </row>
    <row r="1344" spans="1:20" x14ac:dyDescent="0.25">
      <c r="A1344" s="14">
        <v>2014</v>
      </c>
      <c r="B1344" s="14" t="s">
        <v>137</v>
      </c>
      <c r="C1344" s="14" t="s">
        <v>138</v>
      </c>
      <c r="D1344" s="14">
        <v>8</v>
      </c>
      <c r="E1344" s="14">
        <v>2</v>
      </c>
      <c r="F1344" s="14">
        <v>11</v>
      </c>
      <c r="G1344" s="14">
        <v>4</v>
      </c>
      <c r="H1344" s="14" t="s">
        <v>7</v>
      </c>
      <c r="I1344" s="15">
        <v>41871</v>
      </c>
      <c r="J1344" s="14" t="s">
        <v>127</v>
      </c>
      <c r="K1344" s="14">
        <v>584</v>
      </c>
      <c r="L1344" s="14">
        <v>355</v>
      </c>
      <c r="M1344" s="14">
        <v>197</v>
      </c>
      <c r="N1344" s="14"/>
      <c r="O1344" s="14">
        <v>31</v>
      </c>
      <c r="P1344" s="10">
        <v>-25.18</v>
      </c>
      <c r="Q1344" s="10">
        <v>21.9</v>
      </c>
      <c r="R1344" s="10">
        <v>115.9</v>
      </c>
      <c r="S1344" s="16">
        <f t="shared" si="72"/>
        <v>12.789599999999998</v>
      </c>
      <c r="T1344" s="16">
        <f t="shared" si="71"/>
        <v>67.685600000000008</v>
      </c>
    </row>
    <row r="1345" spans="1:20" x14ac:dyDescent="0.25">
      <c r="A1345" s="14">
        <v>2014</v>
      </c>
      <c r="B1345" s="14" t="s">
        <v>137</v>
      </c>
      <c r="C1345" s="14" t="s">
        <v>138</v>
      </c>
      <c r="D1345" s="14">
        <v>8</v>
      </c>
      <c r="E1345" s="14">
        <v>1</v>
      </c>
      <c r="F1345" s="14">
        <v>12</v>
      </c>
      <c r="G1345" s="14">
        <v>4</v>
      </c>
      <c r="H1345" s="14" t="s">
        <v>6</v>
      </c>
      <c r="I1345" s="15">
        <v>41871</v>
      </c>
      <c r="J1345" s="14" t="s">
        <v>127</v>
      </c>
      <c r="K1345" s="14">
        <v>588</v>
      </c>
      <c r="L1345" s="14">
        <v>305</v>
      </c>
      <c r="M1345" s="14">
        <v>188</v>
      </c>
      <c r="N1345" s="14">
        <v>59</v>
      </c>
      <c r="O1345" s="14">
        <v>36</v>
      </c>
      <c r="P1345" s="10">
        <v>-25.36</v>
      </c>
      <c r="Q1345" s="10">
        <v>22.7</v>
      </c>
      <c r="R1345" s="10">
        <v>117</v>
      </c>
      <c r="S1345" s="16">
        <f t="shared" si="72"/>
        <v>13.3476</v>
      </c>
      <c r="T1345" s="16">
        <f t="shared" si="71"/>
        <v>68.796000000000006</v>
      </c>
    </row>
    <row r="1346" spans="1:20" x14ac:dyDescent="0.25">
      <c r="A1346" s="14">
        <v>2014</v>
      </c>
      <c r="B1346" s="14" t="s">
        <v>137</v>
      </c>
      <c r="C1346" s="14" t="s">
        <v>138</v>
      </c>
      <c r="D1346" s="14">
        <v>1</v>
      </c>
      <c r="E1346" s="14">
        <v>1</v>
      </c>
      <c r="F1346" s="14">
        <v>1</v>
      </c>
      <c r="G1346" s="14">
        <v>1</v>
      </c>
      <c r="H1346" s="14" t="s">
        <v>14</v>
      </c>
      <c r="I1346" s="15">
        <v>41891</v>
      </c>
      <c r="J1346" s="14" t="s">
        <v>128</v>
      </c>
      <c r="K1346" s="14">
        <v>929</v>
      </c>
      <c r="L1346" s="14">
        <v>464</v>
      </c>
      <c r="M1346" s="14">
        <v>156</v>
      </c>
      <c r="N1346" s="14">
        <v>221</v>
      </c>
      <c r="O1346" s="14">
        <v>87</v>
      </c>
      <c r="P1346" s="10">
        <v>-25.51</v>
      </c>
      <c r="Q1346" s="10">
        <v>16</v>
      </c>
      <c r="R1346" s="10">
        <v>113.9</v>
      </c>
      <c r="S1346" s="16">
        <f t="shared" si="72"/>
        <v>14.864000000000001</v>
      </c>
      <c r="T1346" s="16">
        <f t="shared" si="71"/>
        <v>105.81310000000001</v>
      </c>
    </row>
    <row r="1347" spans="1:20" x14ac:dyDescent="0.25">
      <c r="A1347" s="14">
        <v>2014</v>
      </c>
      <c r="B1347" s="14" t="s">
        <v>137</v>
      </c>
      <c r="C1347" s="14" t="s">
        <v>138</v>
      </c>
      <c r="D1347" s="14">
        <v>1</v>
      </c>
      <c r="E1347" s="14">
        <v>2</v>
      </c>
      <c r="F1347" s="14">
        <v>2</v>
      </c>
      <c r="G1347" s="14">
        <v>1</v>
      </c>
      <c r="H1347" s="14" t="s">
        <v>9</v>
      </c>
      <c r="I1347" s="15">
        <v>41883</v>
      </c>
      <c r="J1347" s="14" t="s">
        <v>128</v>
      </c>
      <c r="K1347" s="14">
        <v>942</v>
      </c>
      <c r="L1347" s="14">
        <v>452</v>
      </c>
      <c r="M1347" s="14">
        <v>240</v>
      </c>
      <c r="N1347" s="14">
        <v>159</v>
      </c>
      <c r="O1347" s="14">
        <v>90</v>
      </c>
      <c r="P1347" s="10">
        <v>-25.56</v>
      </c>
      <c r="Q1347" s="10">
        <v>17.600000000000001</v>
      </c>
      <c r="R1347" s="10">
        <v>81</v>
      </c>
      <c r="S1347" s="16">
        <f t="shared" si="72"/>
        <v>16.5792</v>
      </c>
      <c r="T1347" s="16">
        <f t="shared" ref="T1347:T1392" si="73">K1347*R1347/1000</f>
        <v>76.302000000000007</v>
      </c>
    </row>
    <row r="1348" spans="1:20" x14ac:dyDescent="0.25">
      <c r="A1348" s="14">
        <v>2014</v>
      </c>
      <c r="B1348" s="14" t="s">
        <v>137</v>
      </c>
      <c r="C1348" s="14" t="s">
        <v>138</v>
      </c>
      <c r="D1348" s="14">
        <v>1</v>
      </c>
      <c r="E1348" s="14">
        <v>3</v>
      </c>
      <c r="F1348" s="14">
        <v>3</v>
      </c>
      <c r="G1348" s="14">
        <v>1</v>
      </c>
      <c r="H1348" s="14" t="s">
        <v>5</v>
      </c>
      <c r="I1348" s="15">
        <v>41883</v>
      </c>
      <c r="J1348" s="14" t="s">
        <v>128</v>
      </c>
      <c r="K1348" s="14">
        <v>852</v>
      </c>
      <c r="L1348" s="14">
        <v>387</v>
      </c>
      <c r="M1348" s="14">
        <v>195</v>
      </c>
      <c r="N1348" s="14">
        <v>195</v>
      </c>
      <c r="O1348" s="14">
        <v>75</v>
      </c>
      <c r="P1348" s="10">
        <v>-25.6</v>
      </c>
      <c r="Q1348" s="10">
        <v>20.5</v>
      </c>
      <c r="R1348" s="10">
        <v>100</v>
      </c>
      <c r="S1348" s="16">
        <f t="shared" si="72"/>
        <v>17.466000000000001</v>
      </c>
      <c r="T1348" s="16">
        <f t="shared" si="73"/>
        <v>85.2</v>
      </c>
    </row>
    <row r="1349" spans="1:20" x14ac:dyDescent="0.25">
      <c r="A1349" s="14">
        <v>2014</v>
      </c>
      <c r="B1349" s="14" t="s">
        <v>137</v>
      </c>
      <c r="C1349" s="14" t="s">
        <v>138</v>
      </c>
      <c r="D1349" s="14">
        <v>1</v>
      </c>
      <c r="E1349" s="14">
        <v>4</v>
      </c>
      <c r="F1349" s="14">
        <v>4</v>
      </c>
      <c r="G1349" s="14">
        <v>1</v>
      </c>
      <c r="H1349" s="14" t="s">
        <v>12</v>
      </c>
      <c r="I1349" s="15">
        <v>41883</v>
      </c>
      <c r="J1349" s="14" t="s">
        <v>128</v>
      </c>
      <c r="K1349" s="14">
        <v>776</v>
      </c>
      <c r="L1349" s="14">
        <v>412</v>
      </c>
      <c r="M1349" s="14">
        <v>204</v>
      </c>
      <c r="N1349" s="14">
        <v>127</v>
      </c>
      <c r="O1349" s="14">
        <v>33</v>
      </c>
      <c r="P1349" s="10">
        <v>-25.86</v>
      </c>
      <c r="Q1349" s="10">
        <v>19</v>
      </c>
      <c r="R1349" s="10">
        <v>73.2</v>
      </c>
      <c r="S1349" s="16">
        <f t="shared" si="72"/>
        <v>14.744</v>
      </c>
      <c r="T1349" s="16">
        <f t="shared" si="73"/>
        <v>56.803200000000004</v>
      </c>
    </row>
    <row r="1350" spans="1:20" x14ac:dyDescent="0.25">
      <c r="A1350" s="14">
        <v>2014</v>
      </c>
      <c r="B1350" s="14" t="s">
        <v>137</v>
      </c>
      <c r="C1350" s="14" t="s">
        <v>138</v>
      </c>
      <c r="D1350" s="14">
        <v>1</v>
      </c>
      <c r="E1350" s="14">
        <v>5</v>
      </c>
      <c r="F1350" s="14">
        <v>5</v>
      </c>
      <c r="G1350" s="14">
        <v>1</v>
      </c>
      <c r="H1350" s="14" t="s">
        <v>10</v>
      </c>
      <c r="I1350" s="15">
        <v>41883</v>
      </c>
      <c r="J1350" s="14" t="s">
        <v>128</v>
      </c>
      <c r="K1350" s="14">
        <v>873</v>
      </c>
      <c r="L1350" s="14">
        <v>454</v>
      </c>
      <c r="M1350" s="14">
        <v>177</v>
      </c>
      <c r="N1350" s="14">
        <v>207</v>
      </c>
      <c r="O1350" s="14">
        <v>35</v>
      </c>
      <c r="P1350" s="10">
        <v>-25.56</v>
      </c>
      <c r="Q1350" s="10">
        <v>16.899999999999999</v>
      </c>
      <c r="R1350" s="10">
        <v>113</v>
      </c>
      <c r="S1350" s="16">
        <f t="shared" si="72"/>
        <v>14.753699999999998</v>
      </c>
      <c r="T1350" s="16">
        <f t="shared" si="73"/>
        <v>98.649000000000001</v>
      </c>
    </row>
    <row r="1351" spans="1:20" x14ac:dyDescent="0.25">
      <c r="A1351" s="14">
        <v>2014</v>
      </c>
      <c r="B1351" s="14" t="s">
        <v>137</v>
      </c>
      <c r="C1351" s="14" t="s">
        <v>138</v>
      </c>
      <c r="D1351" s="14">
        <v>1</v>
      </c>
      <c r="E1351" s="14">
        <v>6</v>
      </c>
      <c r="F1351" s="14">
        <v>6</v>
      </c>
      <c r="G1351" s="14">
        <v>1</v>
      </c>
      <c r="H1351" s="14" t="s">
        <v>4</v>
      </c>
      <c r="I1351" s="15">
        <v>41891</v>
      </c>
      <c r="J1351" s="14" t="s">
        <v>128</v>
      </c>
      <c r="K1351" s="14">
        <v>855</v>
      </c>
      <c r="L1351" s="14">
        <v>420</v>
      </c>
      <c r="M1351" s="14">
        <v>187</v>
      </c>
      <c r="N1351" s="14">
        <v>196</v>
      </c>
      <c r="O1351" s="14">
        <v>53</v>
      </c>
      <c r="P1351" s="10">
        <v>-25.48</v>
      </c>
      <c r="Q1351" s="10">
        <v>18.100000000000001</v>
      </c>
      <c r="R1351" s="10">
        <v>126.3</v>
      </c>
      <c r="S1351" s="16">
        <f t="shared" si="72"/>
        <v>15.475500000000002</v>
      </c>
      <c r="T1351" s="16">
        <f t="shared" si="73"/>
        <v>107.98650000000001</v>
      </c>
    </row>
    <row r="1352" spans="1:20" x14ac:dyDescent="0.25">
      <c r="A1352" s="14">
        <v>2014</v>
      </c>
      <c r="B1352" s="14" t="s">
        <v>137</v>
      </c>
      <c r="C1352" s="14" t="s">
        <v>138</v>
      </c>
      <c r="D1352" s="14">
        <v>2</v>
      </c>
      <c r="E1352" s="14">
        <v>6</v>
      </c>
      <c r="F1352" s="14">
        <v>7</v>
      </c>
      <c r="G1352" s="14">
        <v>1</v>
      </c>
      <c r="H1352" s="14" t="s">
        <v>7</v>
      </c>
      <c r="I1352" s="15">
        <v>41883</v>
      </c>
      <c r="J1352" s="14" t="s">
        <v>128</v>
      </c>
      <c r="K1352" s="14">
        <v>988</v>
      </c>
      <c r="L1352" s="14">
        <v>459</v>
      </c>
      <c r="M1352" s="14">
        <v>228</v>
      </c>
      <c r="N1352" s="14">
        <v>205</v>
      </c>
      <c r="O1352" s="14">
        <v>96</v>
      </c>
      <c r="P1352" s="10">
        <v>-25.88</v>
      </c>
      <c r="Q1352" s="10">
        <v>17.5</v>
      </c>
      <c r="R1352" s="10">
        <v>81.400000000000006</v>
      </c>
      <c r="S1352" s="16">
        <f t="shared" si="72"/>
        <v>17.29</v>
      </c>
      <c r="T1352" s="16">
        <f t="shared" si="73"/>
        <v>80.423200000000008</v>
      </c>
    </row>
    <row r="1353" spans="1:20" x14ac:dyDescent="0.25">
      <c r="A1353" s="14">
        <v>2014</v>
      </c>
      <c r="B1353" s="14" t="s">
        <v>137</v>
      </c>
      <c r="C1353" s="14" t="s">
        <v>138</v>
      </c>
      <c r="D1353" s="14">
        <v>2</v>
      </c>
      <c r="E1353" s="14">
        <v>5</v>
      </c>
      <c r="F1353" s="14">
        <v>8</v>
      </c>
      <c r="G1353" s="14">
        <v>1</v>
      </c>
      <c r="H1353" s="14" t="s">
        <v>3</v>
      </c>
      <c r="I1353" s="15">
        <v>41891</v>
      </c>
      <c r="J1353" s="14" t="s">
        <v>128</v>
      </c>
      <c r="K1353" s="14">
        <v>1114</v>
      </c>
      <c r="L1353" s="14">
        <v>501</v>
      </c>
      <c r="M1353" s="14">
        <v>209</v>
      </c>
      <c r="N1353" s="14">
        <v>263</v>
      </c>
      <c r="O1353" s="14">
        <v>140</v>
      </c>
      <c r="P1353" s="10">
        <v>-25.41</v>
      </c>
      <c r="Q1353" s="10">
        <v>17.3</v>
      </c>
      <c r="R1353" s="10">
        <v>110</v>
      </c>
      <c r="S1353" s="16">
        <f t="shared" si="72"/>
        <v>19.272200000000002</v>
      </c>
      <c r="T1353" s="16">
        <f t="shared" si="73"/>
        <v>122.54</v>
      </c>
    </row>
    <row r="1354" spans="1:20" x14ac:dyDescent="0.25">
      <c r="A1354" s="14">
        <v>2014</v>
      </c>
      <c r="B1354" s="14" t="s">
        <v>137</v>
      </c>
      <c r="C1354" s="14" t="s">
        <v>138</v>
      </c>
      <c r="D1354" s="14">
        <v>2</v>
      </c>
      <c r="E1354" s="14">
        <v>4</v>
      </c>
      <c r="F1354" s="14">
        <v>9</v>
      </c>
      <c r="G1354" s="14">
        <v>1</v>
      </c>
      <c r="H1354" s="14" t="s">
        <v>6</v>
      </c>
      <c r="I1354" s="15">
        <v>41883</v>
      </c>
      <c r="J1354" s="14" t="s">
        <v>128</v>
      </c>
      <c r="K1354" s="14">
        <v>874</v>
      </c>
      <c r="L1354" s="14">
        <v>429</v>
      </c>
      <c r="M1354" s="14">
        <v>199</v>
      </c>
      <c r="N1354" s="14">
        <v>193</v>
      </c>
      <c r="O1354" s="14">
        <v>53</v>
      </c>
      <c r="P1354" s="10">
        <v>-25.54</v>
      </c>
      <c r="Q1354" s="10">
        <v>18.100000000000001</v>
      </c>
      <c r="R1354" s="10">
        <v>118</v>
      </c>
      <c r="S1354" s="16">
        <f t="shared" si="72"/>
        <v>15.819400000000002</v>
      </c>
      <c r="T1354" s="16">
        <f t="shared" si="73"/>
        <v>103.13200000000001</v>
      </c>
    </row>
    <row r="1355" spans="1:20" x14ac:dyDescent="0.25">
      <c r="A1355" s="14">
        <v>2014</v>
      </c>
      <c r="B1355" s="14" t="s">
        <v>137</v>
      </c>
      <c r="C1355" s="14" t="s">
        <v>138</v>
      </c>
      <c r="D1355" s="14">
        <v>2</v>
      </c>
      <c r="E1355" s="14">
        <v>3</v>
      </c>
      <c r="F1355" s="14">
        <v>10</v>
      </c>
      <c r="G1355" s="14">
        <v>1</v>
      </c>
      <c r="H1355" s="14" t="s">
        <v>2</v>
      </c>
      <c r="I1355" s="15">
        <v>41891</v>
      </c>
      <c r="J1355" s="14" t="s">
        <v>128</v>
      </c>
      <c r="K1355" s="14">
        <v>991</v>
      </c>
      <c r="L1355" s="14">
        <v>465</v>
      </c>
      <c r="M1355" s="14">
        <v>166</v>
      </c>
      <c r="N1355" s="14">
        <v>236</v>
      </c>
      <c r="O1355" s="14">
        <v>124</v>
      </c>
      <c r="P1355" s="10">
        <v>-25.66</v>
      </c>
      <c r="Q1355" s="10">
        <v>13.3</v>
      </c>
      <c r="R1355" s="10">
        <v>131.69999999999999</v>
      </c>
      <c r="S1355" s="16">
        <f t="shared" si="72"/>
        <v>13.180300000000001</v>
      </c>
      <c r="T1355" s="16">
        <f t="shared" si="73"/>
        <v>130.51469999999998</v>
      </c>
    </row>
    <row r="1356" spans="1:20" x14ac:dyDescent="0.25">
      <c r="A1356" s="14">
        <v>2014</v>
      </c>
      <c r="B1356" s="14" t="s">
        <v>137</v>
      </c>
      <c r="C1356" s="14" t="s">
        <v>138</v>
      </c>
      <c r="D1356" s="14">
        <v>2</v>
      </c>
      <c r="E1356" s="14">
        <v>2</v>
      </c>
      <c r="F1356" s="14">
        <v>11</v>
      </c>
      <c r="G1356" s="14">
        <v>1</v>
      </c>
      <c r="H1356" s="14" t="s">
        <v>13</v>
      </c>
      <c r="I1356" s="15">
        <v>41883</v>
      </c>
      <c r="J1356" s="14" t="s">
        <v>128</v>
      </c>
      <c r="K1356" s="14">
        <v>797</v>
      </c>
      <c r="L1356" s="14">
        <v>423</v>
      </c>
      <c r="M1356" s="14">
        <v>143</v>
      </c>
      <c r="N1356" s="14">
        <v>200</v>
      </c>
      <c r="O1356" s="14">
        <v>31</v>
      </c>
      <c r="P1356" s="10"/>
      <c r="Q1356" s="10"/>
      <c r="R1356" s="10"/>
      <c r="S1356" s="16"/>
      <c r="T1356" s="16"/>
    </row>
    <row r="1357" spans="1:20" x14ac:dyDescent="0.25">
      <c r="A1357" s="14">
        <v>2014</v>
      </c>
      <c r="B1357" s="14" t="s">
        <v>137</v>
      </c>
      <c r="C1357" s="14" t="s">
        <v>138</v>
      </c>
      <c r="D1357" s="14">
        <v>2</v>
      </c>
      <c r="E1357" s="14">
        <v>1</v>
      </c>
      <c r="F1357" s="14">
        <v>12</v>
      </c>
      <c r="G1357" s="14">
        <v>1</v>
      </c>
      <c r="H1357" s="14" t="s">
        <v>8</v>
      </c>
      <c r="I1357" s="15">
        <v>41883</v>
      </c>
      <c r="J1357" s="14" t="s">
        <v>128</v>
      </c>
      <c r="K1357" s="14">
        <v>931</v>
      </c>
      <c r="L1357" s="14">
        <v>495</v>
      </c>
      <c r="M1357" s="14">
        <v>209</v>
      </c>
      <c r="N1357" s="14">
        <v>189</v>
      </c>
      <c r="O1357" s="14">
        <v>37</v>
      </c>
      <c r="P1357" s="10">
        <v>-25.85</v>
      </c>
      <c r="Q1357" s="10">
        <v>14.6</v>
      </c>
      <c r="R1357" s="10">
        <v>95.8</v>
      </c>
      <c r="S1357" s="16">
        <f t="shared" si="72"/>
        <v>13.592600000000001</v>
      </c>
      <c r="T1357" s="16">
        <f t="shared" si="73"/>
        <v>89.189800000000005</v>
      </c>
    </row>
    <row r="1358" spans="1:20" x14ac:dyDescent="0.25">
      <c r="A1358" s="14">
        <v>2014</v>
      </c>
      <c r="B1358" s="14" t="s">
        <v>137</v>
      </c>
      <c r="C1358" s="14" t="s">
        <v>138</v>
      </c>
      <c r="D1358" s="14">
        <v>3</v>
      </c>
      <c r="E1358" s="14">
        <v>1</v>
      </c>
      <c r="F1358" s="14">
        <v>1</v>
      </c>
      <c r="G1358" s="14">
        <v>2</v>
      </c>
      <c r="H1358" s="14" t="s">
        <v>13</v>
      </c>
      <c r="I1358" s="15">
        <v>41883</v>
      </c>
      <c r="J1358" s="14" t="s">
        <v>128</v>
      </c>
      <c r="K1358" s="14">
        <v>800</v>
      </c>
      <c r="L1358" s="14">
        <v>411</v>
      </c>
      <c r="M1358" s="14">
        <v>157</v>
      </c>
      <c r="N1358" s="14">
        <v>189</v>
      </c>
      <c r="O1358" s="14">
        <v>43</v>
      </c>
      <c r="P1358" s="10">
        <v>-25.8</v>
      </c>
      <c r="Q1358" s="10">
        <v>16</v>
      </c>
      <c r="R1358" s="10">
        <v>108.6</v>
      </c>
      <c r="S1358" s="16">
        <f t="shared" si="72"/>
        <v>12.8</v>
      </c>
      <c r="T1358" s="16">
        <f t="shared" si="73"/>
        <v>86.88</v>
      </c>
    </row>
    <row r="1359" spans="1:20" x14ac:dyDescent="0.25">
      <c r="A1359" s="14">
        <v>2014</v>
      </c>
      <c r="B1359" s="14" t="s">
        <v>137</v>
      </c>
      <c r="C1359" s="14" t="s">
        <v>138</v>
      </c>
      <c r="D1359" s="14">
        <v>3</v>
      </c>
      <c r="E1359" s="14">
        <v>2</v>
      </c>
      <c r="F1359" s="14">
        <v>2</v>
      </c>
      <c r="G1359" s="14">
        <v>2</v>
      </c>
      <c r="H1359" s="14" t="s">
        <v>4</v>
      </c>
      <c r="I1359" s="15">
        <v>41891</v>
      </c>
      <c r="J1359" s="14" t="s">
        <v>128</v>
      </c>
      <c r="K1359" s="14">
        <v>958</v>
      </c>
      <c r="L1359" s="14">
        <v>438</v>
      </c>
      <c r="M1359" s="14">
        <v>201</v>
      </c>
      <c r="N1359" s="14">
        <v>201</v>
      </c>
      <c r="O1359" s="14">
        <v>117</v>
      </c>
      <c r="P1359" s="10">
        <v>-25.53</v>
      </c>
      <c r="Q1359" s="10">
        <v>18.7</v>
      </c>
      <c r="R1359" s="10">
        <v>110.7</v>
      </c>
      <c r="S1359" s="16">
        <f t="shared" si="72"/>
        <v>17.9146</v>
      </c>
      <c r="T1359" s="16">
        <f t="shared" si="73"/>
        <v>106.0506</v>
      </c>
    </row>
    <row r="1360" spans="1:20" x14ac:dyDescent="0.25">
      <c r="A1360" s="14">
        <v>2014</v>
      </c>
      <c r="B1360" s="14" t="s">
        <v>137</v>
      </c>
      <c r="C1360" s="14" t="s">
        <v>138</v>
      </c>
      <c r="D1360" s="14">
        <v>3</v>
      </c>
      <c r="E1360" s="14">
        <v>3</v>
      </c>
      <c r="F1360" s="14">
        <v>3</v>
      </c>
      <c r="G1360" s="14">
        <v>2</v>
      </c>
      <c r="H1360" s="14" t="s">
        <v>8</v>
      </c>
      <c r="I1360" s="15">
        <v>41883</v>
      </c>
      <c r="J1360" s="14" t="s">
        <v>128</v>
      </c>
      <c r="K1360" s="14">
        <v>911</v>
      </c>
      <c r="L1360" s="14">
        <v>469</v>
      </c>
      <c r="M1360" s="14">
        <v>210</v>
      </c>
      <c r="N1360" s="14">
        <v>191</v>
      </c>
      <c r="O1360" s="14">
        <v>42</v>
      </c>
      <c r="P1360" s="10">
        <v>-25.95</v>
      </c>
      <c r="Q1360" s="10">
        <v>17.2</v>
      </c>
      <c r="R1360" s="10">
        <v>121.1</v>
      </c>
      <c r="S1360" s="16">
        <f t="shared" si="72"/>
        <v>15.669199999999998</v>
      </c>
      <c r="T1360" s="16">
        <f t="shared" si="73"/>
        <v>110.32209999999999</v>
      </c>
    </row>
    <row r="1361" spans="1:20" x14ac:dyDescent="0.25">
      <c r="A1361" s="14">
        <v>2014</v>
      </c>
      <c r="B1361" s="14" t="s">
        <v>137</v>
      </c>
      <c r="C1361" s="14" t="s">
        <v>138</v>
      </c>
      <c r="D1361" s="14">
        <v>3</v>
      </c>
      <c r="E1361" s="14">
        <v>4</v>
      </c>
      <c r="F1361" s="14">
        <v>4</v>
      </c>
      <c r="G1361" s="14">
        <v>2</v>
      </c>
      <c r="H1361" s="14" t="s">
        <v>5</v>
      </c>
      <c r="I1361" s="15">
        <v>41883</v>
      </c>
      <c r="J1361" s="14" t="s">
        <v>128</v>
      </c>
      <c r="K1361" s="14">
        <v>926</v>
      </c>
      <c r="L1361" s="14">
        <v>409</v>
      </c>
      <c r="M1361" s="14">
        <v>231</v>
      </c>
      <c r="N1361" s="14">
        <v>224</v>
      </c>
      <c r="O1361" s="14">
        <v>63</v>
      </c>
      <c r="P1361" s="10">
        <v>-25.71</v>
      </c>
      <c r="Q1361" s="10">
        <v>17.5</v>
      </c>
      <c r="R1361" s="10">
        <v>98.9</v>
      </c>
      <c r="S1361" s="16">
        <f t="shared" si="72"/>
        <v>16.204999999999998</v>
      </c>
      <c r="T1361" s="16">
        <f t="shared" si="73"/>
        <v>91.581400000000002</v>
      </c>
    </row>
    <row r="1362" spans="1:20" x14ac:dyDescent="0.25">
      <c r="A1362" s="14">
        <v>2014</v>
      </c>
      <c r="B1362" s="14" t="s">
        <v>137</v>
      </c>
      <c r="C1362" s="14" t="s">
        <v>138</v>
      </c>
      <c r="D1362" s="14">
        <v>3</v>
      </c>
      <c r="E1362" s="14">
        <v>5</v>
      </c>
      <c r="F1362" s="14">
        <v>5</v>
      </c>
      <c r="G1362" s="14">
        <v>2</v>
      </c>
      <c r="H1362" s="14" t="s">
        <v>6</v>
      </c>
      <c r="I1362" s="15">
        <v>41883</v>
      </c>
      <c r="J1362" s="14" t="s">
        <v>128</v>
      </c>
      <c r="K1362" s="14">
        <v>862</v>
      </c>
      <c r="L1362" s="14">
        <v>415</v>
      </c>
      <c r="M1362" s="14">
        <v>197</v>
      </c>
      <c r="N1362" s="14">
        <v>182</v>
      </c>
      <c r="O1362" s="14">
        <v>68</v>
      </c>
      <c r="P1362" s="10">
        <v>-25.6</v>
      </c>
      <c r="Q1362" s="10">
        <v>20.5</v>
      </c>
      <c r="R1362" s="10">
        <v>101.5</v>
      </c>
      <c r="S1362" s="16">
        <f t="shared" si="72"/>
        <v>17.670999999999999</v>
      </c>
      <c r="T1362" s="16">
        <f t="shared" si="73"/>
        <v>87.492999999999995</v>
      </c>
    </row>
    <row r="1363" spans="1:20" x14ac:dyDescent="0.25">
      <c r="A1363" s="14">
        <v>2014</v>
      </c>
      <c r="B1363" s="14" t="s">
        <v>137</v>
      </c>
      <c r="C1363" s="14" t="s">
        <v>138</v>
      </c>
      <c r="D1363" s="14">
        <v>3</v>
      </c>
      <c r="E1363" s="14">
        <v>6</v>
      </c>
      <c r="F1363" s="14">
        <v>6</v>
      </c>
      <c r="G1363" s="14">
        <v>2</v>
      </c>
      <c r="H1363" s="14" t="s">
        <v>3</v>
      </c>
      <c r="I1363" s="15">
        <v>41891</v>
      </c>
      <c r="J1363" s="14" t="s">
        <v>128</v>
      </c>
      <c r="K1363" s="14">
        <v>1179</v>
      </c>
      <c r="L1363" s="14">
        <v>532</v>
      </c>
      <c r="M1363" s="14">
        <v>197</v>
      </c>
      <c r="N1363" s="14">
        <v>258</v>
      </c>
      <c r="O1363" s="14">
        <v>192</v>
      </c>
      <c r="P1363" s="10">
        <v>-25.7</v>
      </c>
      <c r="Q1363" s="10">
        <v>15.5</v>
      </c>
      <c r="R1363" s="10">
        <v>120.2</v>
      </c>
      <c r="S1363" s="16">
        <f t="shared" si="72"/>
        <v>18.2745</v>
      </c>
      <c r="T1363" s="16">
        <f t="shared" si="73"/>
        <v>141.71580000000003</v>
      </c>
    </row>
    <row r="1364" spans="1:20" x14ac:dyDescent="0.25">
      <c r="A1364" s="14">
        <v>2014</v>
      </c>
      <c r="B1364" s="14" t="s">
        <v>137</v>
      </c>
      <c r="C1364" s="14" t="s">
        <v>138</v>
      </c>
      <c r="D1364" s="14">
        <v>4</v>
      </c>
      <c r="E1364" s="14">
        <v>6</v>
      </c>
      <c r="F1364" s="14">
        <v>7</v>
      </c>
      <c r="G1364" s="14">
        <v>2</v>
      </c>
      <c r="H1364" s="14" t="s">
        <v>12</v>
      </c>
      <c r="I1364" s="15">
        <v>41883</v>
      </c>
      <c r="J1364" s="14" t="s">
        <v>128</v>
      </c>
      <c r="K1364" s="14">
        <v>769</v>
      </c>
      <c r="L1364" s="14">
        <v>415</v>
      </c>
      <c r="M1364" s="14">
        <v>198</v>
      </c>
      <c r="N1364" s="14">
        <v>113</v>
      </c>
      <c r="O1364" s="14">
        <v>43</v>
      </c>
      <c r="P1364" s="10">
        <v>-25.73</v>
      </c>
      <c r="Q1364" s="10">
        <v>21.6</v>
      </c>
      <c r="R1364" s="10">
        <v>95.1</v>
      </c>
      <c r="S1364" s="16">
        <f t="shared" si="72"/>
        <v>16.610400000000002</v>
      </c>
      <c r="T1364" s="16">
        <f t="shared" si="73"/>
        <v>73.131899999999987</v>
      </c>
    </row>
    <row r="1365" spans="1:20" x14ac:dyDescent="0.25">
      <c r="A1365" s="14">
        <v>2014</v>
      </c>
      <c r="B1365" s="14" t="s">
        <v>137</v>
      </c>
      <c r="C1365" s="14" t="s">
        <v>138</v>
      </c>
      <c r="D1365" s="14">
        <v>4</v>
      </c>
      <c r="E1365" s="14">
        <v>5</v>
      </c>
      <c r="F1365" s="14">
        <v>8</v>
      </c>
      <c r="G1365" s="14">
        <v>2</v>
      </c>
      <c r="H1365" s="14" t="s">
        <v>9</v>
      </c>
      <c r="I1365" s="15">
        <v>41883</v>
      </c>
      <c r="J1365" s="14" t="s">
        <v>128</v>
      </c>
      <c r="K1365" s="14">
        <v>848</v>
      </c>
      <c r="L1365" s="14">
        <v>377</v>
      </c>
      <c r="M1365" s="14">
        <v>197</v>
      </c>
      <c r="N1365" s="14">
        <v>163</v>
      </c>
      <c r="O1365" s="14">
        <v>111</v>
      </c>
      <c r="P1365" s="10">
        <v>-25.53</v>
      </c>
      <c r="Q1365" s="10">
        <v>20.100000000000001</v>
      </c>
      <c r="R1365" s="10">
        <v>107.2</v>
      </c>
      <c r="S1365" s="16">
        <f t="shared" si="72"/>
        <v>17.044800000000002</v>
      </c>
      <c r="T1365" s="16">
        <f t="shared" si="73"/>
        <v>90.905600000000007</v>
      </c>
    </row>
    <row r="1366" spans="1:20" x14ac:dyDescent="0.25">
      <c r="A1366" s="14">
        <v>2014</v>
      </c>
      <c r="B1366" s="14" t="s">
        <v>137</v>
      </c>
      <c r="C1366" s="14" t="s">
        <v>138</v>
      </c>
      <c r="D1366" s="14">
        <v>4</v>
      </c>
      <c r="E1366" s="14">
        <v>4</v>
      </c>
      <c r="F1366" s="14">
        <v>9</v>
      </c>
      <c r="G1366" s="14">
        <v>2</v>
      </c>
      <c r="H1366" s="14" t="s">
        <v>14</v>
      </c>
      <c r="I1366" s="15">
        <v>41891</v>
      </c>
      <c r="J1366" s="14" t="s">
        <v>128</v>
      </c>
      <c r="K1366" s="14">
        <v>1010</v>
      </c>
      <c r="L1366" s="14">
        <v>464</v>
      </c>
      <c r="M1366" s="14">
        <v>205</v>
      </c>
      <c r="N1366" s="14">
        <v>183</v>
      </c>
      <c r="O1366" s="14">
        <v>158</v>
      </c>
      <c r="P1366" s="10">
        <v>-25.95</v>
      </c>
      <c r="Q1366" s="10">
        <v>18.899999999999999</v>
      </c>
      <c r="R1366" s="10">
        <v>108.2</v>
      </c>
      <c r="S1366" s="16">
        <f t="shared" si="72"/>
        <v>19.088999999999999</v>
      </c>
      <c r="T1366" s="16">
        <f t="shared" si="73"/>
        <v>109.282</v>
      </c>
    </row>
    <row r="1367" spans="1:20" x14ac:dyDescent="0.25">
      <c r="A1367" s="14">
        <v>2014</v>
      </c>
      <c r="B1367" s="14" t="s">
        <v>137</v>
      </c>
      <c r="C1367" s="14" t="s">
        <v>138</v>
      </c>
      <c r="D1367" s="14">
        <v>4</v>
      </c>
      <c r="E1367" s="14">
        <v>3</v>
      </c>
      <c r="F1367" s="14">
        <v>10</v>
      </c>
      <c r="G1367" s="14">
        <v>2</v>
      </c>
      <c r="H1367" s="14" t="s">
        <v>7</v>
      </c>
      <c r="I1367" s="15">
        <v>41883</v>
      </c>
      <c r="J1367" s="14" t="s">
        <v>128</v>
      </c>
      <c r="K1367" s="14">
        <v>946</v>
      </c>
      <c r="L1367" s="14">
        <v>470</v>
      </c>
      <c r="M1367" s="14">
        <v>230</v>
      </c>
      <c r="N1367" s="14">
        <v>174</v>
      </c>
      <c r="O1367" s="14">
        <v>73</v>
      </c>
      <c r="P1367" s="10">
        <v>-26.07</v>
      </c>
      <c r="Q1367" s="10">
        <v>18.600000000000001</v>
      </c>
      <c r="R1367" s="10">
        <v>99.6</v>
      </c>
      <c r="S1367" s="16">
        <f t="shared" si="72"/>
        <v>17.595600000000001</v>
      </c>
      <c r="T1367" s="16">
        <f t="shared" si="73"/>
        <v>94.221599999999995</v>
      </c>
    </row>
    <row r="1368" spans="1:20" x14ac:dyDescent="0.25">
      <c r="A1368" s="14">
        <v>2014</v>
      </c>
      <c r="B1368" s="14" t="s">
        <v>137</v>
      </c>
      <c r="C1368" s="14" t="s">
        <v>138</v>
      </c>
      <c r="D1368" s="14">
        <v>4</v>
      </c>
      <c r="E1368" s="14">
        <v>2</v>
      </c>
      <c r="F1368" s="14">
        <v>11</v>
      </c>
      <c r="G1368" s="14">
        <v>2</v>
      </c>
      <c r="H1368" s="14" t="s">
        <v>2</v>
      </c>
      <c r="I1368" s="15">
        <v>41891</v>
      </c>
      <c r="J1368" s="14" t="s">
        <v>128</v>
      </c>
      <c r="K1368" s="14">
        <v>1102</v>
      </c>
      <c r="L1368" s="14">
        <v>521</v>
      </c>
      <c r="M1368" s="14">
        <v>182</v>
      </c>
      <c r="N1368" s="14">
        <v>271</v>
      </c>
      <c r="O1368" s="14">
        <v>127</v>
      </c>
      <c r="P1368" s="10">
        <v>-25.73</v>
      </c>
      <c r="Q1368" s="10">
        <v>14</v>
      </c>
      <c r="R1368" s="10">
        <v>138.6</v>
      </c>
      <c r="S1368" s="16">
        <f t="shared" si="72"/>
        <v>15.428000000000001</v>
      </c>
      <c r="T1368" s="16">
        <f t="shared" si="73"/>
        <v>152.73719999999997</v>
      </c>
    </row>
    <row r="1369" spans="1:20" x14ac:dyDescent="0.25">
      <c r="A1369" s="14">
        <v>2014</v>
      </c>
      <c r="B1369" s="14" t="s">
        <v>137</v>
      </c>
      <c r="C1369" s="14" t="s">
        <v>138</v>
      </c>
      <c r="D1369" s="14">
        <v>4</v>
      </c>
      <c r="E1369" s="14">
        <v>1</v>
      </c>
      <c r="F1369" s="14">
        <v>12</v>
      </c>
      <c r="G1369" s="14">
        <v>2</v>
      </c>
      <c r="H1369" s="14" t="s">
        <v>10</v>
      </c>
      <c r="I1369" s="15">
        <v>41883</v>
      </c>
      <c r="J1369" s="14" t="s">
        <v>128</v>
      </c>
      <c r="K1369" s="14">
        <v>859</v>
      </c>
      <c r="L1369" s="14">
        <v>381</v>
      </c>
      <c r="M1369" s="14">
        <v>195</v>
      </c>
      <c r="N1369" s="14">
        <v>227</v>
      </c>
      <c r="O1369" s="14">
        <v>56</v>
      </c>
      <c r="P1369" s="10">
        <v>-25.71</v>
      </c>
      <c r="Q1369" s="10">
        <v>18</v>
      </c>
      <c r="R1369" s="10">
        <v>104.8</v>
      </c>
      <c r="S1369" s="16">
        <f t="shared" si="72"/>
        <v>15.462</v>
      </c>
      <c r="T1369" s="16">
        <f t="shared" si="73"/>
        <v>90.023200000000003</v>
      </c>
    </row>
    <row r="1370" spans="1:20" x14ac:dyDescent="0.25">
      <c r="A1370" s="14">
        <v>2014</v>
      </c>
      <c r="B1370" s="14" t="s">
        <v>137</v>
      </c>
      <c r="C1370" s="14" t="s">
        <v>138</v>
      </c>
      <c r="D1370" s="14">
        <v>5</v>
      </c>
      <c r="E1370" s="14">
        <v>1</v>
      </c>
      <c r="F1370" s="14">
        <v>1</v>
      </c>
      <c r="G1370" s="14">
        <v>3</v>
      </c>
      <c r="H1370" s="14" t="s">
        <v>7</v>
      </c>
      <c r="I1370" s="15">
        <v>41883</v>
      </c>
      <c r="J1370" s="14" t="s">
        <v>128</v>
      </c>
      <c r="K1370" s="14">
        <v>902</v>
      </c>
      <c r="L1370" s="14">
        <v>427</v>
      </c>
      <c r="M1370" s="14">
        <v>200</v>
      </c>
      <c r="N1370" s="14">
        <v>180</v>
      </c>
      <c r="O1370" s="14">
        <v>95</v>
      </c>
      <c r="P1370" s="10">
        <v>-25.7</v>
      </c>
      <c r="Q1370" s="10">
        <v>22</v>
      </c>
      <c r="R1370" s="10">
        <v>94.4</v>
      </c>
      <c r="S1370" s="16">
        <f t="shared" si="72"/>
        <v>19.844000000000001</v>
      </c>
      <c r="T1370" s="16">
        <f t="shared" si="73"/>
        <v>85.148800000000008</v>
      </c>
    </row>
    <row r="1371" spans="1:20" x14ac:dyDescent="0.25">
      <c r="A1371" s="14">
        <v>2014</v>
      </c>
      <c r="B1371" s="14" t="s">
        <v>137</v>
      </c>
      <c r="C1371" s="14" t="s">
        <v>138</v>
      </c>
      <c r="D1371" s="14">
        <v>5</v>
      </c>
      <c r="E1371" s="14">
        <v>2</v>
      </c>
      <c r="F1371" s="14">
        <v>2</v>
      </c>
      <c r="G1371" s="14">
        <v>3</v>
      </c>
      <c r="H1371" s="14" t="s">
        <v>14</v>
      </c>
      <c r="I1371" s="15">
        <v>41891</v>
      </c>
      <c r="J1371" s="14" t="s">
        <v>128</v>
      </c>
      <c r="K1371" s="14">
        <v>1059</v>
      </c>
      <c r="L1371" s="14">
        <v>521</v>
      </c>
      <c r="M1371" s="14">
        <v>239</v>
      </c>
      <c r="N1371" s="14">
        <v>180</v>
      </c>
      <c r="O1371" s="14">
        <v>120</v>
      </c>
      <c r="P1371" s="10"/>
      <c r="Q1371" s="10"/>
      <c r="R1371" s="10"/>
      <c r="S1371" s="16"/>
      <c r="T1371" s="16"/>
    </row>
    <row r="1372" spans="1:20" x14ac:dyDescent="0.25">
      <c r="A1372" s="14">
        <v>2014</v>
      </c>
      <c r="B1372" s="14" t="s">
        <v>137</v>
      </c>
      <c r="C1372" s="14" t="s">
        <v>138</v>
      </c>
      <c r="D1372" s="14">
        <v>5</v>
      </c>
      <c r="E1372" s="14">
        <v>3</v>
      </c>
      <c r="F1372" s="14">
        <v>3</v>
      </c>
      <c r="G1372" s="14">
        <v>3</v>
      </c>
      <c r="H1372" s="14" t="s">
        <v>6</v>
      </c>
      <c r="I1372" s="15">
        <v>41883</v>
      </c>
      <c r="J1372" s="14" t="s">
        <v>128</v>
      </c>
      <c r="K1372" s="14">
        <v>873</v>
      </c>
      <c r="L1372" s="14">
        <v>432</v>
      </c>
      <c r="M1372" s="14">
        <v>195</v>
      </c>
      <c r="N1372" s="14">
        <v>186</v>
      </c>
      <c r="O1372" s="14">
        <v>60</v>
      </c>
      <c r="P1372" s="10">
        <v>-25.55</v>
      </c>
      <c r="Q1372" s="10">
        <v>20.3</v>
      </c>
      <c r="R1372" s="10">
        <v>82.2</v>
      </c>
      <c r="S1372" s="16">
        <f t="shared" si="72"/>
        <v>17.721900000000002</v>
      </c>
      <c r="T1372" s="16">
        <f t="shared" si="73"/>
        <v>71.760600000000011</v>
      </c>
    </row>
    <row r="1373" spans="1:20" x14ac:dyDescent="0.25">
      <c r="A1373" s="14">
        <v>2014</v>
      </c>
      <c r="B1373" s="14" t="s">
        <v>137</v>
      </c>
      <c r="C1373" s="14" t="s">
        <v>138</v>
      </c>
      <c r="D1373" s="14">
        <v>5</v>
      </c>
      <c r="E1373" s="14">
        <v>4</v>
      </c>
      <c r="F1373" s="14">
        <v>4</v>
      </c>
      <c r="G1373" s="14">
        <v>3</v>
      </c>
      <c r="H1373" s="14" t="s">
        <v>13</v>
      </c>
      <c r="I1373" s="15">
        <v>41883</v>
      </c>
      <c r="J1373" s="14" t="s">
        <v>128</v>
      </c>
      <c r="K1373" s="14">
        <v>827</v>
      </c>
      <c r="L1373" s="14">
        <v>432</v>
      </c>
      <c r="M1373" s="14">
        <v>165</v>
      </c>
      <c r="N1373" s="14">
        <v>201</v>
      </c>
      <c r="O1373" s="14">
        <v>29</v>
      </c>
      <c r="P1373" s="10">
        <v>-25.96</v>
      </c>
      <c r="Q1373" s="10">
        <v>15.5</v>
      </c>
      <c r="R1373" s="10">
        <v>102.4</v>
      </c>
      <c r="S1373" s="16">
        <f t="shared" si="72"/>
        <v>12.8185</v>
      </c>
      <c r="T1373" s="16">
        <f t="shared" si="73"/>
        <v>84.68480000000001</v>
      </c>
    </row>
    <row r="1374" spans="1:20" x14ac:dyDescent="0.25">
      <c r="A1374" s="14">
        <v>2014</v>
      </c>
      <c r="B1374" s="14" t="s">
        <v>137</v>
      </c>
      <c r="C1374" s="14" t="s">
        <v>138</v>
      </c>
      <c r="D1374" s="14">
        <v>5</v>
      </c>
      <c r="E1374" s="14">
        <v>5</v>
      </c>
      <c r="F1374" s="14">
        <v>5</v>
      </c>
      <c r="G1374" s="14">
        <v>3</v>
      </c>
      <c r="H1374" s="14" t="s">
        <v>5</v>
      </c>
      <c r="I1374" s="15">
        <v>41883</v>
      </c>
      <c r="J1374" s="14" t="s">
        <v>128</v>
      </c>
      <c r="K1374" s="14">
        <v>829</v>
      </c>
      <c r="L1374" s="14">
        <v>404</v>
      </c>
      <c r="M1374" s="14">
        <v>225</v>
      </c>
      <c r="N1374" s="14">
        <v>145</v>
      </c>
      <c r="O1374" s="14">
        <v>54</v>
      </c>
      <c r="P1374" s="10">
        <v>-25.46</v>
      </c>
      <c r="Q1374" s="10">
        <v>23.1</v>
      </c>
      <c r="R1374" s="10">
        <v>94.4</v>
      </c>
      <c r="S1374" s="16">
        <f t="shared" si="72"/>
        <v>19.149900000000002</v>
      </c>
      <c r="T1374" s="16">
        <f t="shared" si="73"/>
        <v>78.257600000000011</v>
      </c>
    </row>
    <row r="1375" spans="1:20" x14ac:dyDescent="0.25">
      <c r="A1375" s="14">
        <v>2014</v>
      </c>
      <c r="B1375" s="14" t="s">
        <v>137</v>
      </c>
      <c r="C1375" s="14" t="s">
        <v>138</v>
      </c>
      <c r="D1375" s="14">
        <v>5</v>
      </c>
      <c r="E1375" s="14">
        <v>6</v>
      </c>
      <c r="F1375" s="14">
        <v>6</v>
      </c>
      <c r="G1375" s="14">
        <v>3</v>
      </c>
      <c r="H1375" s="14" t="s">
        <v>10</v>
      </c>
      <c r="I1375" s="15">
        <v>41883</v>
      </c>
      <c r="J1375" s="14" t="s">
        <v>128</v>
      </c>
      <c r="K1375" s="14">
        <v>922</v>
      </c>
      <c r="L1375" s="14">
        <v>416</v>
      </c>
      <c r="M1375" s="14">
        <v>183</v>
      </c>
      <c r="N1375" s="14">
        <v>260</v>
      </c>
      <c r="O1375" s="14">
        <v>63</v>
      </c>
      <c r="P1375" s="10">
        <v>-25.63</v>
      </c>
      <c r="Q1375" s="10">
        <v>14.7</v>
      </c>
      <c r="R1375" s="10">
        <v>120.6</v>
      </c>
      <c r="S1375" s="16">
        <f t="shared" si="72"/>
        <v>13.5534</v>
      </c>
      <c r="T1375" s="16">
        <f t="shared" si="73"/>
        <v>111.19319999999999</v>
      </c>
    </row>
    <row r="1376" spans="1:20" x14ac:dyDescent="0.25">
      <c r="A1376" s="14">
        <v>2014</v>
      </c>
      <c r="B1376" s="14" t="s">
        <v>137</v>
      </c>
      <c r="C1376" s="14" t="s">
        <v>138</v>
      </c>
      <c r="D1376" s="14">
        <v>6</v>
      </c>
      <c r="E1376" s="14">
        <v>6</v>
      </c>
      <c r="F1376" s="14">
        <v>7</v>
      </c>
      <c r="G1376" s="14">
        <v>3</v>
      </c>
      <c r="H1376" s="14" t="s">
        <v>8</v>
      </c>
      <c r="I1376" s="15">
        <v>41883</v>
      </c>
      <c r="J1376" s="14" t="s">
        <v>128</v>
      </c>
      <c r="K1376" s="14">
        <v>950</v>
      </c>
      <c r="L1376" s="14">
        <v>449</v>
      </c>
      <c r="M1376" s="14">
        <v>233</v>
      </c>
      <c r="N1376" s="14">
        <v>200</v>
      </c>
      <c r="O1376" s="14">
        <v>68</v>
      </c>
      <c r="P1376" s="10">
        <v>-25.42</v>
      </c>
      <c r="Q1376" s="10">
        <v>15.1</v>
      </c>
      <c r="R1376" s="10">
        <v>120.2</v>
      </c>
      <c r="S1376" s="16">
        <f t="shared" si="72"/>
        <v>14.345000000000001</v>
      </c>
      <c r="T1376" s="16">
        <f t="shared" si="73"/>
        <v>114.19</v>
      </c>
    </row>
    <row r="1377" spans="1:20" x14ac:dyDescent="0.25">
      <c r="A1377" s="14">
        <v>2014</v>
      </c>
      <c r="B1377" s="14" t="s">
        <v>137</v>
      </c>
      <c r="C1377" s="14" t="s">
        <v>138</v>
      </c>
      <c r="D1377" s="14">
        <v>6</v>
      </c>
      <c r="E1377" s="14">
        <v>5</v>
      </c>
      <c r="F1377" s="14">
        <v>8</v>
      </c>
      <c r="G1377" s="14">
        <v>3</v>
      </c>
      <c r="H1377" s="14" t="s">
        <v>2</v>
      </c>
      <c r="I1377" s="15">
        <v>41891</v>
      </c>
      <c r="J1377" s="14" t="s">
        <v>128</v>
      </c>
      <c r="K1377" s="14">
        <v>1069</v>
      </c>
      <c r="L1377" s="14">
        <v>513</v>
      </c>
      <c r="M1377" s="14">
        <v>152</v>
      </c>
      <c r="N1377" s="14">
        <v>286</v>
      </c>
      <c r="O1377" s="14">
        <v>117</v>
      </c>
      <c r="P1377" s="10">
        <v>-25.3</v>
      </c>
      <c r="Q1377" s="10">
        <v>13.8</v>
      </c>
      <c r="R1377" s="10">
        <v>143.69999999999999</v>
      </c>
      <c r="S1377" s="16">
        <f t="shared" si="72"/>
        <v>14.7522</v>
      </c>
      <c r="T1377" s="16">
        <f t="shared" si="73"/>
        <v>153.61529999999999</v>
      </c>
    </row>
    <row r="1378" spans="1:20" x14ac:dyDescent="0.25">
      <c r="A1378" s="14">
        <v>2014</v>
      </c>
      <c r="B1378" s="14" t="s">
        <v>137</v>
      </c>
      <c r="C1378" s="14" t="s">
        <v>138</v>
      </c>
      <c r="D1378" s="14">
        <v>6</v>
      </c>
      <c r="E1378" s="14">
        <v>4</v>
      </c>
      <c r="F1378" s="14">
        <v>9</v>
      </c>
      <c r="G1378" s="14">
        <v>3</v>
      </c>
      <c r="H1378" s="14" t="s">
        <v>9</v>
      </c>
      <c r="I1378" s="15">
        <v>41883</v>
      </c>
      <c r="J1378" s="14" t="s">
        <v>128</v>
      </c>
      <c r="K1378" s="14">
        <v>944</v>
      </c>
      <c r="L1378" s="14">
        <v>433</v>
      </c>
      <c r="M1378" s="14">
        <v>223</v>
      </c>
      <c r="N1378" s="14">
        <v>184</v>
      </c>
      <c r="O1378" s="14">
        <v>103</v>
      </c>
      <c r="P1378" s="10">
        <v>-25.58</v>
      </c>
      <c r="Q1378" s="10">
        <v>16.100000000000001</v>
      </c>
      <c r="R1378" s="10">
        <v>102</v>
      </c>
      <c r="S1378" s="16">
        <f t="shared" si="72"/>
        <v>15.198400000000001</v>
      </c>
      <c r="T1378" s="16">
        <f t="shared" si="73"/>
        <v>96.287999999999997</v>
      </c>
    </row>
    <row r="1379" spans="1:20" x14ac:dyDescent="0.25">
      <c r="A1379" s="14">
        <v>2014</v>
      </c>
      <c r="B1379" s="14" t="s">
        <v>137</v>
      </c>
      <c r="C1379" s="14" t="s">
        <v>138</v>
      </c>
      <c r="D1379" s="14">
        <v>6</v>
      </c>
      <c r="E1379" s="14">
        <v>3</v>
      </c>
      <c r="F1379" s="14">
        <v>10</v>
      </c>
      <c r="G1379" s="14">
        <v>3</v>
      </c>
      <c r="H1379" s="14" t="s">
        <v>4</v>
      </c>
      <c r="I1379" s="15">
        <v>41891</v>
      </c>
      <c r="J1379" s="14" t="s">
        <v>128</v>
      </c>
      <c r="K1379" s="14">
        <v>1034</v>
      </c>
      <c r="L1379" s="14">
        <v>493</v>
      </c>
      <c r="M1379" s="14">
        <v>230</v>
      </c>
      <c r="N1379" s="14">
        <v>243</v>
      </c>
      <c r="O1379" s="14">
        <v>69</v>
      </c>
      <c r="P1379" s="10">
        <v>-25.27</v>
      </c>
      <c r="Q1379" s="10">
        <v>16.600000000000001</v>
      </c>
      <c r="R1379" s="10">
        <v>110.8</v>
      </c>
      <c r="S1379" s="16">
        <f t="shared" si="72"/>
        <v>17.164400000000001</v>
      </c>
      <c r="T1379" s="16">
        <f t="shared" si="73"/>
        <v>114.5672</v>
      </c>
    </row>
    <row r="1380" spans="1:20" x14ac:dyDescent="0.25">
      <c r="A1380" s="14">
        <v>2014</v>
      </c>
      <c r="B1380" s="14" t="s">
        <v>137</v>
      </c>
      <c r="C1380" s="14" t="s">
        <v>138</v>
      </c>
      <c r="D1380" s="14">
        <v>6</v>
      </c>
      <c r="E1380" s="14">
        <v>2</v>
      </c>
      <c r="F1380" s="14">
        <v>11</v>
      </c>
      <c r="G1380" s="14">
        <v>3</v>
      </c>
      <c r="H1380" s="14" t="s">
        <v>3</v>
      </c>
      <c r="I1380" s="15">
        <v>41891</v>
      </c>
      <c r="J1380" s="14" t="s">
        <v>128</v>
      </c>
      <c r="K1380" s="14">
        <v>1047</v>
      </c>
      <c r="L1380" s="14">
        <v>516</v>
      </c>
      <c r="M1380" s="14">
        <v>174</v>
      </c>
      <c r="N1380" s="14">
        <v>245</v>
      </c>
      <c r="O1380" s="14">
        <v>112</v>
      </c>
      <c r="P1380" s="10">
        <v>-24.92</v>
      </c>
      <c r="Q1380" s="10">
        <v>15.3</v>
      </c>
      <c r="R1380" s="10">
        <v>131.5</v>
      </c>
      <c r="S1380" s="16">
        <f t="shared" si="72"/>
        <v>16.019100000000002</v>
      </c>
      <c r="T1380" s="16">
        <f t="shared" si="73"/>
        <v>137.68049999999999</v>
      </c>
    </row>
    <row r="1381" spans="1:20" x14ac:dyDescent="0.25">
      <c r="A1381" s="14">
        <v>2014</v>
      </c>
      <c r="B1381" s="14" t="s">
        <v>137</v>
      </c>
      <c r="C1381" s="14" t="s">
        <v>138</v>
      </c>
      <c r="D1381" s="14">
        <v>6</v>
      </c>
      <c r="E1381" s="14">
        <v>1</v>
      </c>
      <c r="F1381" s="14">
        <v>12</v>
      </c>
      <c r="G1381" s="14">
        <v>3</v>
      </c>
      <c r="H1381" s="14" t="s">
        <v>12</v>
      </c>
      <c r="I1381" s="15">
        <v>41883</v>
      </c>
      <c r="J1381" s="14" t="s">
        <v>128</v>
      </c>
      <c r="K1381" s="14">
        <v>892</v>
      </c>
      <c r="L1381" s="14">
        <v>447</v>
      </c>
      <c r="M1381" s="14">
        <v>217</v>
      </c>
      <c r="N1381" s="14">
        <v>179</v>
      </c>
      <c r="O1381" s="14">
        <v>49</v>
      </c>
      <c r="P1381" s="10">
        <v>-25.42</v>
      </c>
      <c r="Q1381" s="10">
        <v>17.399999999999999</v>
      </c>
      <c r="R1381" s="10">
        <v>105.1</v>
      </c>
      <c r="S1381" s="16">
        <f t="shared" si="72"/>
        <v>15.520799999999999</v>
      </c>
      <c r="T1381" s="16">
        <f t="shared" si="73"/>
        <v>93.749200000000002</v>
      </c>
    </row>
    <row r="1382" spans="1:20" x14ac:dyDescent="0.25">
      <c r="A1382" s="14">
        <v>2014</v>
      </c>
      <c r="B1382" s="14" t="s">
        <v>137</v>
      </c>
      <c r="C1382" s="14" t="s">
        <v>138</v>
      </c>
      <c r="D1382" s="14">
        <v>7</v>
      </c>
      <c r="E1382" s="14">
        <v>1</v>
      </c>
      <c r="F1382" s="14">
        <v>1</v>
      </c>
      <c r="G1382" s="14">
        <v>4</v>
      </c>
      <c r="H1382" s="14" t="s">
        <v>4</v>
      </c>
      <c r="I1382" s="15">
        <v>41891</v>
      </c>
      <c r="J1382" s="14" t="s">
        <v>128</v>
      </c>
      <c r="K1382" s="14">
        <v>969</v>
      </c>
      <c r="L1382" s="14">
        <v>470</v>
      </c>
      <c r="M1382" s="14">
        <v>203</v>
      </c>
      <c r="N1382" s="14">
        <v>236</v>
      </c>
      <c r="O1382" s="14">
        <v>61</v>
      </c>
      <c r="P1382" s="10">
        <v>-25.31</v>
      </c>
      <c r="Q1382" s="10">
        <v>15.1</v>
      </c>
      <c r="R1382" s="10">
        <v>128.4</v>
      </c>
      <c r="S1382" s="16">
        <f t="shared" si="72"/>
        <v>14.6319</v>
      </c>
      <c r="T1382" s="16">
        <f t="shared" si="73"/>
        <v>124.4196</v>
      </c>
    </row>
    <row r="1383" spans="1:20" x14ac:dyDescent="0.25">
      <c r="A1383" s="14">
        <v>2014</v>
      </c>
      <c r="B1383" s="14" t="s">
        <v>137</v>
      </c>
      <c r="C1383" s="14" t="s">
        <v>138</v>
      </c>
      <c r="D1383" s="14">
        <v>7</v>
      </c>
      <c r="E1383" s="14">
        <v>2</v>
      </c>
      <c r="F1383" s="14">
        <v>2</v>
      </c>
      <c r="G1383" s="14">
        <v>4</v>
      </c>
      <c r="H1383" s="14" t="s">
        <v>5</v>
      </c>
      <c r="I1383" s="15">
        <v>41883</v>
      </c>
      <c r="J1383" s="14" t="s">
        <v>128</v>
      </c>
      <c r="K1383" s="14">
        <v>931</v>
      </c>
      <c r="L1383" s="14">
        <v>414</v>
      </c>
      <c r="M1383" s="14">
        <v>214</v>
      </c>
      <c r="N1383" s="14">
        <v>235</v>
      </c>
      <c r="O1383" s="14">
        <v>67</v>
      </c>
      <c r="P1383" s="10">
        <v>-25.53</v>
      </c>
      <c r="Q1383" s="10">
        <v>16</v>
      </c>
      <c r="R1383" s="10">
        <v>121.7</v>
      </c>
      <c r="S1383" s="16">
        <f t="shared" si="72"/>
        <v>14.896000000000001</v>
      </c>
      <c r="T1383" s="16">
        <f t="shared" si="73"/>
        <v>113.3027</v>
      </c>
    </row>
    <row r="1384" spans="1:20" x14ac:dyDescent="0.25">
      <c r="A1384" s="14">
        <v>2014</v>
      </c>
      <c r="B1384" s="14" t="s">
        <v>137</v>
      </c>
      <c r="C1384" s="14" t="s">
        <v>138</v>
      </c>
      <c r="D1384" s="14">
        <v>7</v>
      </c>
      <c r="E1384" s="14">
        <v>3</v>
      </c>
      <c r="F1384" s="14">
        <v>3</v>
      </c>
      <c r="G1384" s="14">
        <v>4</v>
      </c>
      <c r="H1384" s="14" t="s">
        <v>3</v>
      </c>
      <c r="I1384" s="15">
        <v>41891</v>
      </c>
      <c r="J1384" s="14" t="s">
        <v>128</v>
      </c>
      <c r="K1384" s="14">
        <v>1110</v>
      </c>
      <c r="L1384" s="14">
        <v>499</v>
      </c>
      <c r="M1384" s="14">
        <v>219</v>
      </c>
      <c r="N1384" s="14">
        <v>233</v>
      </c>
      <c r="O1384" s="14">
        <v>160</v>
      </c>
      <c r="P1384" s="10">
        <v>-25.55</v>
      </c>
      <c r="Q1384" s="10">
        <v>16.5</v>
      </c>
      <c r="R1384" s="10">
        <v>109.7</v>
      </c>
      <c r="S1384" s="16">
        <f t="shared" si="72"/>
        <v>18.315000000000001</v>
      </c>
      <c r="T1384" s="16">
        <f t="shared" si="73"/>
        <v>121.767</v>
      </c>
    </row>
    <row r="1385" spans="1:20" x14ac:dyDescent="0.25">
      <c r="A1385" s="14">
        <v>2014</v>
      </c>
      <c r="B1385" s="14" t="s">
        <v>137</v>
      </c>
      <c r="C1385" s="14" t="s">
        <v>138</v>
      </c>
      <c r="D1385" s="14">
        <v>7</v>
      </c>
      <c r="E1385" s="14">
        <v>4</v>
      </c>
      <c r="F1385" s="14">
        <v>4</v>
      </c>
      <c r="G1385" s="14">
        <v>4</v>
      </c>
      <c r="H1385" s="14" t="s">
        <v>8</v>
      </c>
      <c r="I1385" s="15">
        <v>41883</v>
      </c>
      <c r="J1385" s="14" t="s">
        <v>128</v>
      </c>
      <c r="K1385" s="14">
        <v>913</v>
      </c>
      <c r="L1385" s="14">
        <v>426</v>
      </c>
      <c r="M1385" s="14">
        <v>238</v>
      </c>
      <c r="N1385" s="14">
        <v>196</v>
      </c>
      <c r="O1385" s="14">
        <v>53</v>
      </c>
      <c r="P1385" s="10">
        <v>-25.67</v>
      </c>
      <c r="Q1385" s="10">
        <v>16.899999999999999</v>
      </c>
      <c r="R1385" s="10">
        <v>75</v>
      </c>
      <c r="S1385" s="16">
        <f t="shared" si="72"/>
        <v>15.429699999999999</v>
      </c>
      <c r="T1385" s="16">
        <f t="shared" si="73"/>
        <v>68.474999999999994</v>
      </c>
    </row>
    <row r="1386" spans="1:20" x14ac:dyDescent="0.25">
      <c r="A1386" s="14">
        <v>2014</v>
      </c>
      <c r="B1386" s="14" t="s">
        <v>137</v>
      </c>
      <c r="C1386" s="14" t="s">
        <v>138</v>
      </c>
      <c r="D1386" s="14">
        <v>7</v>
      </c>
      <c r="E1386" s="14">
        <v>5</v>
      </c>
      <c r="F1386" s="14">
        <v>5</v>
      </c>
      <c r="G1386" s="14">
        <v>4</v>
      </c>
      <c r="H1386" s="14" t="s">
        <v>12</v>
      </c>
      <c r="I1386" s="15">
        <v>41883</v>
      </c>
      <c r="J1386" s="14" t="s">
        <v>128</v>
      </c>
      <c r="K1386" s="14">
        <v>851</v>
      </c>
      <c r="L1386" s="14">
        <v>437</v>
      </c>
      <c r="M1386" s="14">
        <v>193</v>
      </c>
      <c r="N1386" s="14">
        <v>193</v>
      </c>
      <c r="O1386" s="14">
        <v>28</v>
      </c>
      <c r="P1386" s="10">
        <v>-25.92</v>
      </c>
      <c r="Q1386" s="10">
        <v>17.600000000000001</v>
      </c>
      <c r="R1386" s="10">
        <v>92.6</v>
      </c>
      <c r="S1386" s="16">
        <f t="shared" ref="S1386:S1392" si="74">K1386*Q1386/1000</f>
        <v>14.977600000000001</v>
      </c>
      <c r="T1386" s="16">
        <f t="shared" si="73"/>
        <v>78.802599999999998</v>
      </c>
    </row>
    <row r="1387" spans="1:20" x14ac:dyDescent="0.25">
      <c r="A1387" s="14">
        <v>2014</v>
      </c>
      <c r="B1387" s="14" t="s">
        <v>137</v>
      </c>
      <c r="C1387" s="14" t="s">
        <v>138</v>
      </c>
      <c r="D1387" s="14">
        <v>7</v>
      </c>
      <c r="E1387" s="14">
        <v>6</v>
      </c>
      <c r="F1387" s="14">
        <v>6</v>
      </c>
      <c r="G1387" s="14">
        <v>4</v>
      </c>
      <c r="H1387" s="14" t="s">
        <v>14</v>
      </c>
      <c r="I1387" s="15">
        <v>41891</v>
      </c>
      <c r="J1387" s="14" t="s">
        <v>128</v>
      </c>
      <c r="K1387" s="14">
        <v>908</v>
      </c>
      <c r="L1387" s="14">
        <v>434</v>
      </c>
      <c r="M1387" s="14">
        <v>140</v>
      </c>
      <c r="N1387" s="14">
        <v>237</v>
      </c>
      <c r="O1387" s="14">
        <v>97</v>
      </c>
      <c r="P1387" s="10">
        <v>-25.45</v>
      </c>
      <c r="Q1387" s="10">
        <v>12.9</v>
      </c>
      <c r="R1387" s="10">
        <v>148.80000000000001</v>
      </c>
      <c r="S1387" s="16">
        <f t="shared" si="74"/>
        <v>11.713200000000001</v>
      </c>
      <c r="T1387" s="16">
        <f t="shared" si="73"/>
        <v>135.11040000000003</v>
      </c>
    </row>
    <row r="1388" spans="1:20" x14ac:dyDescent="0.25">
      <c r="A1388" s="14">
        <v>2014</v>
      </c>
      <c r="B1388" s="14" t="s">
        <v>137</v>
      </c>
      <c r="C1388" s="14" t="s">
        <v>138</v>
      </c>
      <c r="D1388" s="14">
        <v>8</v>
      </c>
      <c r="E1388" s="14">
        <v>6</v>
      </c>
      <c r="F1388" s="14">
        <v>7</v>
      </c>
      <c r="G1388" s="14">
        <v>4</v>
      </c>
      <c r="H1388" s="14" t="s">
        <v>2</v>
      </c>
      <c r="I1388" s="15">
        <v>41891</v>
      </c>
      <c r="J1388" s="14" t="s">
        <v>128</v>
      </c>
      <c r="K1388" s="14">
        <v>1156</v>
      </c>
      <c r="L1388" s="14">
        <v>525</v>
      </c>
      <c r="M1388" s="14">
        <v>171</v>
      </c>
      <c r="N1388" s="14">
        <v>313</v>
      </c>
      <c r="O1388" s="14">
        <v>147</v>
      </c>
      <c r="P1388" s="10">
        <v>-25.35</v>
      </c>
      <c r="Q1388" s="10">
        <v>13.1</v>
      </c>
      <c r="R1388" s="10">
        <v>124.9</v>
      </c>
      <c r="S1388" s="16">
        <f t="shared" si="74"/>
        <v>15.143600000000001</v>
      </c>
      <c r="T1388" s="16">
        <f t="shared" si="73"/>
        <v>144.3844</v>
      </c>
    </row>
    <row r="1389" spans="1:20" x14ac:dyDescent="0.25">
      <c r="A1389" s="14">
        <v>2014</v>
      </c>
      <c r="B1389" s="14" t="s">
        <v>137</v>
      </c>
      <c r="C1389" s="14" t="s">
        <v>138</v>
      </c>
      <c r="D1389" s="14">
        <v>8</v>
      </c>
      <c r="E1389" s="14">
        <v>5</v>
      </c>
      <c r="F1389" s="14">
        <v>8</v>
      </c>
      <c r="G1389" s="14">
        <v>4</v>
      </c>
      <c r="H1389" s="14" t="s">
        <v>13</v>
      </c>
      <c r="I1389" s="15">
        <v>41883</v>
      </c>
      <c r="J1389" s="14" t="s">
        <v>128</v>
      </c>
      <c r="K1389" s="14">
        <v>824</v>
      </c>
      <c r="L1389" s="14">
        <v>455</v>
      </c>
      <c r="M1389" s="14">
        <v>150</v>
      </c>
      <c r="N1389" s="14">
        <v>209</v>
      </c>
      <c r="O1389" s="14">
        <v>10</v>
      </c>
      <c r="P1389" s="10">
        <v>-25.38</v>
      </c>
      <c r="Q1389" s="10">
        <v>15.2</v>
      </c>
      <c r="R1389" s="10">
        <v>150</v>
      </c>
      <c r="S1389" s="16">
        <f t="shared" si="74"/>
        <v>12.524799999999999</v>
      </c>
      <c r="T1389" s="16">
        <f t="shared" si="73"/>
        <v>123.6</v>
      </c>
    </row>
    <row r="1390" spans="1:20" x14ac:dyDescent="0.25">
      <c r="A1390" s="14">
        <v>2014</v>
      </c>
      <c r="B1390" s="14" t="s">
        <v>137</v>
      </c>
      <c r="C1390" s="14" t="s">
        <v>138</v>
      </c>
      <c r="D1390" s="14">
        <v>8</v>
      </c>
      <c r="E1390" s="14">
        <v>4</v>
      </c>
      <c r="F1390" s="14">
        <v>9</v>
      </c>
      <c r="G1390" s="14">
        <v>4</v>
      </c>
      <c r="H1390" s="14" t="s">
        <v>10</v>
      </c>
      <c r="I1390" s="15">
        <v>41883</v>
      </c>
      <c r="J1390" s="14" t="s">
        <v>128</v>
      </c>
      <c r="K1390" s="14">
        <v>890</v>
      </c>
      <c r="L1390" s="14">
        <v>403</v>
      </c>
      <c r="M1390" s="14">
        <v>197</v>
      </c>
      <c r="N1390" s="14">
        <v>231</v>
      </c>
      <c r="O1390" s="14">
        <v>59</v>
      </c>
      <c r="P1390" s="10">
        <v>-25.28</v>
      </c>
      <c r="Q1390" s="10">
        <v>15.5</v>
      </c>
      <c r="R1390" s="10">
        <v>131.5</v>
      </c>
      <c r="S1390" s="16">
        <f t="shared" si="74"/>
        <v>13.795</v>
      </c>
      <c r="T1390" s="16">
        <f t="shared" si="73"/>
        <v>117.035</v>
      </c>
    </row>
    <row r="1391" spans="1:20" x14ac:dyDescent="0.25">
      <c r="A1391" s="14">
        <v>2014</v>
      </c>
      <c r="B1391" s="14" t="s">
        <v>137</v>
      </c>
      <c r="C1391" s="14" t="s">
        <v>138</v>
      </c>
      <c r="D1391" s="14">
        <v>8</v>
      </c>
      <c r="E1391" s="14">
        <v>3</v>
      </c>
      <c r="F1391" s="14">
        <v>10</v>
      </c>
      <c r="G1391" s="14">
        <v>4</v>
      </c>
      <c r="H1391" s="14" t="s">
        <v>9</v>
      </c>
      <c r="I1391" s="15">
        <v>41883</v>
      </c>
      <c r="J1391" s="14" t="s">
        <v>128</v>
      </c>
      <c r="K1391" s="14">
        <v>1053</v>
      </c>
      <c r="L1391" s="14">
        <v>542</v>
      </c>
      <c r="M1391" s="14">
        <v>233</v>
      </c>
      <c r="N1391" s="14">
        <v>218</v>
      </c>
      <c r="O1391" s="14">
        <v>60</v>
      </c>
      <c r="P1391" s="10">
        <v>-25.7</v>
      </c>
      <c r="Q1391" s="10">
        <v>16.8</v>
      </c>
      <c r="R1391" s="10">
        <v>98.1</v>
      </c>
      <c r="S1391" s="16">
        <f t="shared" si="74"/>
        <v>17.6904</v>
      </c>
      <c r="T1391" s="16">
        <f t="shared" si="73"/>
        <v>103.29929999999999</v>
      </c>
    </row>
    <row r="1392" spans="1:20" x14ac:dyDescent="0.25">
      <c r="A1392" s="14">
        <v>2014</v>
      </c>
      <c r="B1392" s="14" t="s">
        <v>137</v>
      </c>
      <c r="C1392" s="14" t="s">
        <v>138</v>
      </c>
      <c r="D1392" s="14">
        <v>8</v>
      </c>
      <c r="E1392" s="14">
        <v>2</v>
      </c>
      <c r="F1392" s="14">
        <v>11</v>
      </c>
      <c r="G1392" s="14">
        <v>4</v>
      </c>
      <c r="H1392" s="14" t="s">
        <v>7</v>
      </c>
      <c r="I1392" s="15">
        <v>41883</v>
      </c>
      <c r="J1392" s="14" t="s">
        <v>128</v>
      </c>
      <c r="K1392" s="14">
        <v>748</v>
      </c>
      <c r="L1392" s="14">
        <v>381</v>
      </c>
      <c r="M1392" s="14">
        <v>160</v>
      </c>
      <c r="N1392" s="14">
        <v>173</v>
      </c>
      <c r="O1392" s="14">
        <v>35</v>
      </c>
      <c r="P1392" s="10">
        <v>-25.34</v>
      </c>
      <c r="Q1392" s="10">
        <v>17.7</v>
      </c>
      <c r="R1392" s="10">
        <v>141.30000000000001</v>
      </c>
      <c r="S1392" s="16">
        <f t="shared" si="74"/>
        <v>13.239600000000001</v>
      </c>
      <c r="T1392" s="16">
        <f t="shared" si="73"/>
        <v>105.69240000000001</v>
      </c>
    </row>
    <row r="1393" spans="1:20" x14ac:dyDescent="0.25">
      <c r="A1393" s="14">
        <v>2014</v>
      </c>
      <c r="B1393" s="14" t="s">
        <v>137</v>
      </c>
      <c r="C1393" s="14" t="s">
        <v>138</v>
      </c>
      <c r="D1393" s="14">
        <v>8</v>
      </c>
      <c r="E1393" s="14">
        <v>1</v>
      </c>
      <c r="F1393" s="14">
        <v>12</v>
      </c>
      <c r="G1393" s="14">
        <v>4</v>
      </c>
      <c r="H1393" s="14" t="s">
        <v>6</v>
      </c>
      <c r="I1393" s="15">
        <v>41883</v>
      </c>
      <c r="J1393" s="14" t="s">
        <v>128</v>
      </c>
      <c r="K1393" s="14">
        <v>862</v>
      </c>
      <c r="L1393" s="14">
        <v>422</v>
      </c>
      <c r="M1393" s="14">
        <v>191</v>
      </c>
      <c r="N1393" s="14">
        <v>191</v>
      </c>
      <c r="O1393" s="14">
        <v>58</v>
      </c>
      <c r="P1393" s="10"/>
      <c r="Q1393" s="11"/>
      <c r="R1393" s="11"/>
      <c r="S1393" s="16"/>
      <c r="T1393" s="16"/>
    </row>
    <row r="1394" spans="1:20" x14ac:dyDescent="0.25">
      <c r="A1394" s="14">
        <v>2014</v>
      </c>
      <c r="B1394" s="14" t="s">
        <v>137</v>
      </c>
      <c r="C1394" s="14" t="s">
        <v>138</v>
      </c>
      <c r="D1394" s="14">
        <v>1</v>
      </c>
      <c r="E1394" s="14">
        <v>1</v>
      </c>
      <c r="F1394" s="14">
        <v>1</v>
      </c>
      <c r="G1394" s="14">
        <v>1</v>
      </c>
      <c r="H1394" s="14" t="s">
        <v>14</v>
      </c>
      <c r="I1394" s="15">
        <v>41940</v>
      </c>
      <c r="J1394" s="14" t="s">
        <v>129</v>
      </c>
      <c r="K1394" s="14">
        <v>1470</v>
      </c>
      <c r="L1394" s="14">
        <v>442</v>
      </c>
      <c r="M1394" s="14">
        <v>0</v>
      </c>
      <c r="N1394" s="14">
        <v>802</v>
      </c>
      <c r="O1394" s="14">
        <v>227</v>
      </c>
      <c r="P1394" s="13"/>
      <c r="Q1394" s="12"/>
      <c r="R1394" s="12"/>
      <c r="S1394" s="16"/>
      <c r="T1394" s="16"/>
    </row>
    <row r="1395" spans="1:20" x14ac:dyDescent="0.25">
      <c r="A1395" s="14">
        <v>2014</v>
      </c>
      <c r="B1395" s="14" t="s">
        <v>137</v>
      </c>
      <c r="C1395" s="14" t="s">
        <v>138</v>
      </c>
      <c r="D1395" s="14">
        <v>1</v>
      </c>
      <c r="E1395" s="14">
        <v>2</v>
      </c>
      <c r="F1395" s="14">
        <v>2</v>
      </c>
      <c r="G1395" s="14">
        <v>1</v>
      </c>
      <c r="H1395" s="14" t="s">
        <v>9</v>
      </c>
      <c r="I1395" s="15">
        <v>41940</v>
      </c>
      <c r="J1395" s="14" t="s">
        <v>129</v>
      </c>
      <c r="K1395" s="14">
        <v>1469</v>
      </c>
      <c r="L1395" s="14">
        <v>668</v>
      </c>
      <c r="M1395" s="14">
        <v>0</v>
      </c>
      <c r="N1395" s="14">
        <v>728</v>
      </c>
      <c r="O1395" s="14">
        <v>73</v>
      </c>
      <c r="P1395" s="13"/>
      <c r="Q1395" s="13"/>
      <c r="R1395" s="13"/>
      <c r="S1395" s="16"/>
      <c r="T1395" s="16"/>
    </row>
    <row r="1396" spans="1:20" x14ac:dyDescent="0.25">
      <c r="A1396" s="14">
        <v>2014</v>
      </c>
      <c r="B1396" s="14" t="s">
        <v>137</v>
      </c>
      <c r="C1396" s="14" t="s">
        <v>138</v>
      </c>
      <c r="D1396" s="14">
        <v>1</v>
      </c>
      <c r="E1396" s="14">
        <v>3</v>
      </c>
      <c r="F1396" s="14">
        <v>3</v>
      </c>
      <c r="G1396" s="14">
        <v>1</v>
      </c>
      <c r="H1396" s="14" t="s">
        <v>5</v>
      </c>
      <c r="I1396" s="15">
        <v>41940</v>
      </c>
      <c r="J1396" s="14" t="s">
        <v>129</v>
      </c>
      <c r="K1396" s="14">
        <v>1356</v>
      </c>
      <c r="L1396" s="14">
        <v>358</v>
      </c>
      <c r="M1396" s="14">
        <v>0</v>
      </c>
      <c r="N1396" s="14">
        <v>833</v>
      </c>
      <c r="O1396" s="14">
        <v>165</v>
      </c>
      <c r="P1396" s="13"/>
      <c r="Q1396" s="13"/>
      <c r="R1396" s="13"/>
      <c r="S1396" s="16"/>
      <c r="T1396" s="16"/>
    </row>
    <row r="1397" spans="1:20" x14ac:dyDescent="0.25">
      <c r="A1397" s="14">
        <v>2014</v>
      </c>
      <c r="B1397" s="14" t="s">
        <v>137</v>
      </c>
      <c r="C1397" s="14" t="s">
        <v>138</v>
      </c>
      <c r="D1397" s="14">
        <v>1</v>
      </c>
      <c r="E1397" s="14">
        <v>4</v>
      </c>
      <c r="F1397" s="14">
        <v>4</v>
      </c>
      <c r="G1397" s="14">
        <v>1</v>
      </c>
      <c r="H1397" s="14" t="s">
        <v>12</v>
      </c>
      <c r="I1397" s="15">
        <v>41940</v>
      </c>
      <c r="J1397" s="14" t="s">
        <v>129</v>
      </c>
      <c r="K1397" s="14">
        <v>1476</v>
      </c>
      <c r="L1397" s="14">
        <v>327</v>
      </c>
      <c r="M1397" s="14">
        <v>0</v>
      </c>
      <c r="N1397" s="14">
        <v>623</v>
      </c>
      <c r="O1397" s="14">
        <v>526</v>
      </c>
      <c r="P1397" s="13"/>
      <c r="Q1397" s="13"/>
      <c r="R1397" s="13"/>
      <c r="S1397" s="16"/>
      <c r="T1397" s="16"/>
    </row>
    <row r="1398" spans="1:20" x14ac:dyDescent="0.25">
      <c r="A1398" s="14">
        <v>2014</v>
      </c>
      <c r="B1398" s="14" t="s">
        <v>137</v>
      </c>
      <c r="C1398" s="14" t="s">
        <v>138</v>
      </c>
      <c r="D1398" s="14">
        <v>1</v>
      </c>
      <c r="E1398" s="14">
        <v>5</v>
      </c>
      <c r="F1398" s="14">
        <v>5</v>
      </c>
      <c r="G1398" s="14">
        <v>1</v>
      </c>
      <c r="H1398" s="14" t="s">
        <v>10</v>
      </c>
      <c r="I1398" s="15">
        <v>41940</v>
      </c>
      <c r="J1398" s="14" t="s">
        <v>129</v>
      </c>
      <c r="K1398" s="14">
        <v>1549</v>
      </c>
      <c r="L1398" s="14">
        <v>467</v>
      </c>
      <c r="M1398" s="14">
        <v>0</v>
      </c>
      <c r="N1398" s="14">
        <v>807</v>
      </c>
      <c r="O1398" s="14">
        <v>275</v>
      </c>
      <c r="P1398" s="13"/>
      <c r="Q1398" s="13"/>
      <c r="R1398" s="13"/>
      <c r="S1398" s="16"/>
      <c r="T1398" s="16"/>
    </row>
    <row r="1399" spans="1:20" x14ac:dyDescent="0.25">
      <c r="A1399" s="14">
        <v>2014</v>
      </c>
      <c r="B1399" s="14" t="s">
        <v>137</v>
      </c>
      <c r="C1399" s="14" t="s">
        <v>138</v>
      </c>
      <c r="D1399" s="14">
        <v>1</v>
      </c>
      <c r="E1399" s="14">
        <v>6</v>
      </c>
      <c r="F1399" s="14">
        <v>6</v>
      </c>
      <c r="G1399" s="14">
        <v>1</v>
      </c>
      <c r="H1399" s="14" t="s">
        <v>4</v>
      </c>
      <c r="I1399" s="15">
        <v>41940</v>
      </c>
      <c r="J1399" s="14" t="s">
        <v>129</v>
      </c>
      <c r="K1399" s="14">
        <v>1403</v>
      </c>
      <c r="L1399" s="14">
        <v>419</v>
      </c>
      <c r="M1399" s="14">
        <v>0</v>
      </c>
      <c r="N1399" s="14">
        <v>427</v>
      </c>
      <c r="O1399" s="14">
        <v>557</v>
      </c>
      <c r="P1399" s="13"/>
      <c r="Q1399" s="13"/>
      <c r="R1399" s="13"/>
      <c r="S1399" s="16"/>
      <c r="T1399" s="16"/>
    </row>
    <row r="1400" spans="1:20" x14ac:dyDescent="0.25">
      <c r="A1400" s="14">
        <v>2014</v>
      </c>
      <c r="B1400" s="14" t="s">
        <v>137</v>
      </c>
      <c r="C1400" s="14" t="s">
        <v>138</v>
      </c>
      <c r="D1400" s="14">
        <v>2</v>
      </c>
      <c r="E1400" s="14">
        <v>6</v>
      </c>
      <c r="F1400" s="14">
        <v>7</v>
      </c>
      <c r="G1400" s="14">
        <v>1</v>
      </c>
      <c r="H1400" s="14" t="s">
        <v>7</v>
      </c>
      <c r="I1400" s="15">
        <v>41940</v>
      </c>
      <c r="J1400" s="14" t="s">
        <v>129</v>
      </c>
      <c r="K1400" s="14">
        <v>1223</v>
      </c>
      <c r="L1400" s="14">
        <v>261</v>
      </c>
      <c r="M1400" s="14">
        <v>0</v>
      </c>
      <c r="N1400" s="14">
        <v>633</v>
      </c>
      <c r="O1400" s="14">
        <v>328</v>
      </c>
      <c r="P1400" s="13"/>
      <c r="Q1400" s="13"/>
      <c r="R1400" s="13"/>
      <c r="S1400" s="16"/>
      <c r="T1400" s="16"/>
    </row>
    <row r="1401" spans="1:20" x14ac:dyDescent="0.25">
      <c r="A1401" s="14">
        <v>2014</v>
      </c>
      <c r="B1401" s="14" t="s">
        <v>137</v>
      </c>
      <c r="C1401" s="14" t="s">
        <v>138</v>
      </c>
      <c r="D1401" s="14">
        <v>2</v>
      </c>
      <c r="E1401" s="14">
        <v>5</v>
      </c>
      <c r="F1401" s="14">
        <v>8</v>
      </c>
      <c r="G1401" s="14">
        <v>1</v>
      </c>
      <c r="H1401" s="14" t="s">
        <v>3</v>
      </c>
      <c r="I1401" s="15">
        <v>41940</v>
      </c>
      <c r="J1401" s="14" t="s">
        <v>129</v>
      </c>
      <c r="K1401" s="14">
        <v>1533</v>
      </c>
      <c r="L1401" s="14">
        <v>475</v>
      </c>
      <c r="M1401" s="14">
        <v>0</v>
      </c>
      <c r="N1401" s="14">
        <v>734</v>
      </c>
      <c r="O1401" s="14">
        <v>324</v>
      </c>
      <c r="P1401" s="13"/>
      <c r="Q1401" s="13"/>
      <c r="R1401" s="13"/>
      <c r="S1401" s="16"/>
      <c r="T1401" s="16"/>
    </row>
    <row r="1402" spans="1:20" x14ac:dyDescent="0.25">
      <c r="A1402" s="14">
        <v>2014</v>
      </c>
      <c r="B1402" s="14" t="s">
        <v>137</v>
      </c>
      <c r="C1402" s="14" t="s">
        <v>138</v>
      </c>
      <c r="D1402" s="14">
        <v>2</v>
      </c>
      <c r="E1402" s="14">
        <v>4</v>
      </c>
      <c r="F1402" s="14">
        <v>9</v>
      </c>
      <c r="G1402" s="14">
        <v>1</v>
      </c>
      <c r="H1402" s="14" t="s">
        <v>6</v>
      </c>
      <c r="I1402" s="15">
        <v>41940</v>
      </c>
      <c r="J1402" s="14" t="s">
        <v>129</v>
      </c>
      <c r="K1402" s="14">
        <v>1475</v>
      </c>
      <c r="L1402" s="14">
        <v>419</v>
      </c>
      <c r="M1402" s="14">
        <v>0</v>
      </c>
      <c r="N1402" s="14">
        <v>921</v>
      </c>
      <c r="O1402" s="14">
        <v>134</v>
      </c>
      <c r="P1402" s="13"/>
      <c r="Q1402" s="13"/>
      <c r="R1402" s="13"/>
      <c r="S1402" s="16"/>
      <c r="T1402" s="16"/>
    </row>
    <row r="1403" spans="1:20" x14ac:dyDescent="0.25">
      <c r="A1403" s="14">
        <v>2014</v>
      </c>
      <c r="B1403" s="14" t="s">
        <v>137</v>
      </c>
      <c r="C1403" s="14" t="s">
        <v>138</v>
      </c>
      <c r="D1403" s="14">
        <v>2</v>
      </c>
      <c r="E1403" s="14">
        <v>3</v>
      </c>
      <c r="F1403" s="14">
        <v>10</v>
      </c>
      <c r="G1403" s="14">
        <v>1</v>
      </c>
      <c r="H1403" s="14" t="s">
        <v>2</v>
      </c>
      <c r="I1403" s="15">
        <v>41940</v>
      </c>
      <c r="J1403" s="14" t="s">
        <v>129</v>
      </c>
      <c r="K1403" s="14">
        <v>1440</v>
      </c>
      <c r="L1403" s="14">
        <v>382</v>
      </c>
      <c r="M1403" s="14">
        <v>0</v>
      </c>
      <c r="N1403" s="14">
        <v>921</v>
      </c>
      <c r="O1403" s="14">
        <v>138</v>
      </c>
      <c r="P1403" s="13"/>
      <c r="Q1403" s="13"/>
      <c r="R1403" s="13"/>
      <c r="S1403" s="16"/>
      <c r="T1403" s="16"/>
    </row>
    <row r="1404" spans="1:20" x14ac:dyDescent="0.25">
      <c r="A1404" s="14">
        <v>2014</v>
      </c>
      <c r="B1404" s="14" t="s">
        <v>137</v>
      </c>
      <c r="C1404" s="14" t="s">
        <v>138</v>
      </c>
      <c r="D1404" s="14">
        <v>2</v>
      </c>
      <c r="E1404" s="14">
        <v>2</v>
      </c>
      <c r="F1404" s="14">
        <v>11</v>
      </c>
      <c r="G1404" s="14">
        <v>1</v>
      </c>
      <c r="H1404" s="14" t="s">
        <v>13</v>
      </c>
      <c r="I1404" s="15">
        <v>41940</v>
      </c>
      <c r="J1404" s="14" t="s">
        <v>129</v>
      </c>
      <c r="K1404" s="14">
        <v>1361</v>
      </c>
      <c r="L1404" s="14">
        <v>333</v>
      </c>
      <c r="M1404" s="14">
        <v>0</v>
      </c>
      <c r="N1404" s="14">
        <v>969</v>
      </c>
      <c r="O1404" s="14">
        <v>59</v>
      </c>
      <c r="P1404" s="13"/>
      <c r="Q1404" s="13"/>
      <c r="R1404" s="13"/>
      <c r="S1404" s="16"/>
      <c r="T1404" s="16"/>
    </row>
    <row r="1405" spans="1:20" x14ac:dyDescent="0.25">
      <c r="A1405" s="14">
        <v>2014</v>
      </c>
      <c r="B1405" s="14" t="s">
        <v>137</v>
      </c>
      <c r="C1405" s="14" t="s">
        <v>138</v>
      </c>
      <c r="D1405" s="14">
        <v>2</v>
      </c>
      <c r="E1405" s="14">
        <v>1</v>
      </c>
      <c r="F1405" s="14">
        <v>12</v>
      </c>
      <c r="G1405" s="14">
        <v>1</v>
      </c>
      <c r="H1405" s="14" t="s">
        <v>8</v>
      </c>
      <c r="I1405" s="15">
        <v>41940</v>
      </c>
      <c r="J1405" s="14" t="s">
        <v>129</v>
      </c>
      <c r="K1405" s="14">
        <v>1659</v>
      </c>
      <c r="L1405" s="14">
        <v>367</v>
      </c>
      <c r="M1405" s="14">
        <v>0</v>
      </c>
      <c r="N1405" s="14">
        <v>1175</v>
      </c>
      <c r="O1405" s="14">
        <v>117</v>
      </c>
      <c r="P1405" s="13"/>
      <c r="Q1405" s="13"/>
      <c r="R1405" s="13"/>
      <c r="S1405" s="16"/>
      <c r="T1405" s="16"/>
    </row>
    <row r="1406" spans="1:20" x14ac:dyDescent="0.25">
      <c r="A1406" s="14">
        <v>2014</v>
      </c>
      <c r="B1406" s="14" t="s">
        <v>137</v>
      </c>
      <c r="C1406" s="14" t="s">
        <v>138</v>
      </c>
      <c r="D1406" s="14">
        <v>3</v>
      </c>
      <c r="E1406" s="14">
        <v>1</v>
      </c>
      <c r="F1406" s="14">
        <v>1</v>
      </c>
      <c r="G1406" s="14">
        <v>2</v>
      </c>
      <c r="H1406" s="14" t="s">
        <v>13</v>
      </c>
      <c r="I1406" s="15">
        <v>41940</v>
      </c>
      <c r="J1406" s="14" t="s">
        <v>129</v>
      </c>
      <c r="K1406" s="14">
        <v>1498</v>
      </c>
      <c r="L1406" s="14">
        <v>419</v>
      </c>
      <c r="M1406" s="14">
        <v>0</v>
      </c>
      <c r="N1406" s="14">
        <v>609</v>
      </c>
      <c r="O1406" s="14">
        <v>470</v>
      </c>
      <c r="P1406" s="13"/>
      <c r="Q1406" s="13"/>
      <c r="R1406" s="13"/>
      <c r="S1406" s="16"/>
      <c r="T1406" s="16"/>
    </row>
    <row r="1407" spans="1:20" x14ac:dyDescent="0.25">
      <c r="A1407" s="14">
        <v>2014</v>
      </c>
      <c r="B1407" s="14" t="s">
        <v>137</v>
      </c>
      <c r="C1407" s="14" t="s">
        <v>138</v>
      </c>
      <c r="D1407" s="14">
        <v>3</v>
      </c>
      <c r="E1407" s="14">
        <v>2</v>
      </c>
      <c r="F1407" s="14">
        <v>2</v>
      </c>
      <c r="G1407" s="14">
        <v>2</v>
      </c>
      <c r="H1407" s="14" t="s">
        <v>4</v>
      </c>
      <c r="I1407" s="15">
        <v>41940</v>
      </c>
      <c r="J1407" s="14" t="s">
        <v>129</v>
      </c>
      <c r="K1407" s="14">
        <v>1329</v>
      </c>
      <c r="L1407" s="14">
        <v>347</v>
      </c>
      <c r="M1407" s="14">
        <v>0</v>
      </c>
      <c r="N1407" s="14">
        <v>861</v>
      </c>
      <c r="O1407" s="14">
        <v>121</v>
      </c>
      <c r="P1407" s="13"/>
      <c r="Q1407" s="13"/>
      <c r="R1407" s="13"/>
      <c r="S1407" s="16"/>
      <c r="T1407" s="16"/>
    </row>
    <row r="1408" spans="1:20" x14ac:dyDescent="0.25">
      <c r="A1408" s="14">
        <v>2014</v>
      </c>
      <c r="B1408" s="14" t="s">
        <v>137</v>
      </c>
      <c r="C1408" s="14" t="s">
        <v>138</v>
      </c>
      <c r="D1408" s="14">
        <v>3</v>
      </c>
      <c r="E1408" s="14">
        <v>3</v>
      </c>
      <c r="F1408" s="14">
        <v>3</v>
      </c>
      <c r="G1408" s="14">
        <v>2</v>
      </c>
      <c r="H1408" s="14" t="s">
        <v>8</v>
      </c>
      <c r="I1408" s="15">
        <v>41940</v>
      </c>
      <c r="J1408" s="14" t="s">
        <v>129</v>
      </c>
      <c r="K1408" s="14">
        <v>1769</v>
      </c>
      <c r="L1408" s="14">
        <v>518</v>
      </c>
      <c r="M1408" s="14">
        <v>0</v>
      </c>
      <c r="N1408" s="14">
        <v>1160</v>
      </c>
      <c r="O1408" s="14">
        <v>92</v>
      </c>
      <c r="P1408" s="13"/>
      <c r="Q1408" s="13"/>
      <c r="R1408" s="13"/>
      <c r="S1408" s="16"/>
      <c r="T1408" s="16"/>
    </row>
    <row r="1409" spans="1:20" x14ac:dyDescent="0.25">
      <c r="A1409" s="14">
        <v>2014</v>
      </c>
      <c r="B1409" s="14" t="s">
        <v>137</v>
      </c>
      <c r="C1409" s="14" t="s">
        <v>138</v>
      </c>
      <c r="D1409" s="14">
        <v>3</v>
      </c>
      <c r="E1409" s="14">
        <v>4</v>
      </c>
      <c r="F1409" s="14">
        <v>4</v>
      </c>
      <c r="G1409" s="14">
        <v>2</v>
      </c>
      <c r="H1409" s="14" t="s">
        <v>5</v>
      </c>
      <c r="I1409" s="15">
        <v>41940</v>
      </c>
      <c r="J1409" s="14" t="s">
        <v>129</v>
      </c>
      <c r="K1409" s="14">
        <v>1630</v>
      </c>
      <c r="L1409" s="14">
        <v>411</v>
      </c>
      <c r="M1409" s="14">
        <v>0</v>
      </c>
      <c r="N1409" s="14">
        <v>721</v>
      </c>
      <c r="O1409" s="14">
        <v>497</v>
      </c>
      <c r="P1409" s="13"/>
      <c r="Q1409" s="13"/>
      <c r="R1409" s="13"/>
      <c r="S1409" s="16"/>
      <c r="T1409" s="16"/>
    </row>
    <row r="1410" spans="1:20" x14ac:dyDescent="0.25">
      <c r="A1410" s="14">
        <v>2014</v>
      </c>
      <c r="B1410" s="14" t="s">
        <v>137</v>
      </c>
      <c r="C1410" s="14" t="s">
        <v>138</v>
      </c>
      <c r="D1410" s="14">
        <v>3</v>
      </c>
      <c r="E1410" s="14">
        <v>5</v>
      </c>
      <c r="F1410" s="14">
        <v>5</v>
      </c>
      <c r="G1410" s="14">
        <v>2</v>
      </c>
      <c r="H1410" s="14" t="s">
        <v>6</v>
      </c>
      <c r="I1410" s="15">
        <v>41940</v>
      </c>
      <c r="J1410" s="14" t="s">
        <v>129</v>
      </c>
      <c r="K1410" s="14">
        <v>1472</v>
      </c>
      <c r="L1410" s="14">
        <v>552</v>
      </c>
      <c r="M1410" s="14">
        <v>0</v>
      </c>
      <c r="N1410" s="14">
        <v>872</v>
      </c>
      <c r="O1410" s="14">
        <v>48</v>
      </c>
      <c r="P1410" s="13"/>
      <c r="Q1410" s="13"/>
      <c r="R1410" s="13"/>
      <c r="S1410" s="16"/>
      <c r="T1410" s="16"/>
    </row>
    <row r="1411" spans="1:20" x14ac:dyDescent="0.25">
      <c r="A1411" s="14">
        <v>2014</v>
      </c>
      <c r="B1411" s="14" t="s">
        <v>137</v>
      </c>
      <c r="C1411" s="14" t="s">
        <v>138</v>
      </c>
      <c r="D1411" s="14">
        <v>3</v>
      </c>
      <c r="E1411" s="14">
        <v>6</v>
      </c>
      <c r="F1411" s="14">
        <v>6</v>
      </c>
      <c r="G1411" s="14">
        <v>2</v>
      </c>
      <c r="H1411" s="14" t="s">
        <v>3</v>
      </c>
      <c r="I1411" s="15">
        <v>41940</v>
      </c>
      <c r="J1411" s="14" t="s">
        <v>129</v>
      </c>
      <c r="K1411" s="14">
        <v>1310</v>
      </c>
      <c r="L1411" s="14">
        <v>359</v>
      </c>
      <c r="M1411" s="14">
        <v>0</v>
      </c>
      <c r="N1411" s="14">
        <v>761</v>
      </c>
      <c r="O1411" s="14">
        <v>190</v>
      </c>
      <c r="P1411" s="13"/>
      <c r="Q1411" s="13"/>
      <c r="R1411" s="13"/>
      <c r="S1411" s="16"/>
      <c r="T1411" s="16"/>
    </row>
    <row r="1412" spans="1:20" x14ac:dyDescent="0.25">
      <c r="A1412" s="14">
        <v>2014</v>
      </c>
      <c r="B1412" s="14" t="s">
        <v>137</v>
      </c>
      <c r="C1412" s="14" t="s">
        <v>138</v>
      </c>
      <c r="D1412" s="14">
        <v>4</v>
      </c>
      <c r="E1412" s="14">
        <v>6</v>
      </c>
      <c r="F1412" s="14">
        <v>7</v>
      </c>
      <c r="G1412" s="14">
        <v>2</v>
      </c>
      <c r="H1412" s="14" t="s">
        <v>12</v>
      </c>
      <c r="I1412" s="15">
        <v>41940</v>
      </c>
      <c r="J1412" s="14" t="s">
        <v>129</v>
      </c>
      <c r="K1412" s="14">
        <v>1299</v>
      </c>
      <c r="L1412" s="14">
        <v>432</v>
      </c>
      <c r="M1412" s="14">
        <v>0</v>
      </c>
      <c r="N1412" s="14">
        <v>800</v>
      </c>
      <c r="O1412" s="14">
        <v>67</v>
      </c>
      <c r="P1412" s="13"/>
      <c r="Q1412" s="13"/>
      <c r="R1412" s="13"/>
      <c r="S1412" s="16"/>
      <c r="T1412" s="16"/>
    </row>
    <row r="1413" spans="1:20" x14ac:dyDescent="0.25">
      <c r="A1413" s="14">
        <v>2014</v>
      </c>
      <c r="B1413" s="14" t="s">
        <v>137</v>
      </c>
      <c r="C1413" s="14" t="s">
        <v>138</v>
      </c>
      <c r="D1413" s="14">
        <v>4</v>
      </c>
      <c r="E1413" s="14">
        <v>5</v>
      </c>
      <c r="F1413" s="14">
        <v>8</v>
      </c>
      <c r="G1413" s="14">
        <v>2</v>
      </c>
      <c r="H1413" s="14" t="s">
        <v>9</v>
      </c>
      <c r="I1413" s="15">
        <v>41940</v>
      </c>
      <c r="J1413" s="14" t="s">
        <v>129</v>
      </c>
      <c r="K1413" s="14">
        <v>1464</v>
      </c>
      <c r="L1413" s="14">
        <v>550</v>
      </c>
      <c r="M1413" s="14">
        <v>0</v>
      </c>
      <c r="N1413" s="14">
        <v>849</v>
      </c>
      <c r="O1413" s="14">
        <v>65</v>
      </c>
      <c r="P1413" s="13"/>
      <c r="Q1413" s="13"/>
      <c r="R1413" s="13"/>
      <c r="S1413" s="16"/>
      <c r="T1413" s="16"/>
    </row>
    <row r="1414" spans="1:20" x14ac:dyDescent="0.25">
      <c r="A1414" s="14">
        <v>2014</v>
      </c>
      <c r="B1414" s="14" t="s">
        <v>137</v>
      </c>
      <c r="C1414" s="14" t="s">
        <v>138</v>
      </c>
      <c r="D1414" s="14">
        <v>4</v>
      </c>
      <c r="E1414" s="14">
        <v>4</v>
      </c>
      <c r="F1414" s="14">
        <v>9</v>
      </c>
      <c r="G1414" s="14">
        <v>2</v>
      </c>
      <c r="H1414" s="14" t="s">
        <v>14</v>
      </c>
      <c r="I1414" s="15">
        <v>41940</v>
      </c>
      <c r="J1414" s="14" t="s">
        <v>129</v>
      </c>
      <c r="K1414" s="14">
        <v>1516</v>
      </c>
      <c r="L1414" s="14">
        <v>322</v>
      </c>
      <c r="M1414" s="14">
        <v>0</v>
      </c>
      <c r="N1414" s="14">
        <v>1063</v>
      </c>
      <c r="O1414" s="14">
        <v>131</v>
      </c>
      <c r="P1414" s="13"/>
      <c r="Q1414" s="13"/>
      <c r="R1414" s="13"/>
      <c r="S1414" s="16"/>
      <c r="T1414" s="16"/>
    </row>
    <row r="1415" spans="1:20" x14ac:dyDescent="0.25">
      <c r="A1415" s="14">
        <v>2014</v>
      </c>
      <c r="B1415" s="14" t="s">
        <v>137</v>
      </c>
      <c r="C1415" s="14" t="s">
        <v>138</v>
      </c>
      <c r="D1415" s="14">
        <v>4</v>
      </c>
      <c r="E1415" s="14">
        <v>3</v>
      </c>
      <c r="F1415" s="14">
        <v>10</v>
      </c>
      <c r="G1415" s="14">
        <v>2</v>
      </c>
      <c r="H1415" s="14" t="s">
        <v>7</v>
      </c>
      <c r="I1415" s="15">
        <v>41940</v>
      </c>
      <c r="J1415" s="14" t="s">
        <v>129</v>
      </c>
      <c r="K1415" s="14">
        <v>1392</v>
      </c>
      <c r="L1415" s="14">
        <v>608</v>
      </c>
      <c r="M1415" s="14">
        <v>0</v>
      </c>
      <c r="N1415" s="14">
        <v>688</v>
      </c>
      <c r="O1415" s="14">
        <v>95</v>
      </c>
      <c r="P1415" s="13"/>
      <c r="Q1415" s="13"/>
      <c r="R1415" s="13"/>
      <c r="S1415" s="16"/>
      <c r="T1415" s="16"/>
    </row>
    <row r="1416" spans="1:20" x14ac:dyDescent="0.25">
      <c r="A1416" s="14">
        <v>2014</v>
      </c>
      <c r="B1416" s="14" t="s">
        <v>137</v>
      </c>
      <c r="C1416" s="14" t="s">
        <v>138</v>
      </c>
      <c r="D1416" s="14">
        <v>4</v>
      </c>
      <c r="E1416" s="14">
        <v>2</v>
      </c>
      <c r="F1416" s="14">
        <v>11</v>
      </c>
      <c r="G1416" s="14">
        <v>2</v>
      </c>
      <c r="H1416" s="14" t="s">
        <v>2</v>
      </c>
      <c r="I1416" s="15">
        <v>41940</v>
      </c>
      <c r="J1416" s="14" t="s">
        <v>129</v>
      </c>
      <c r="K1416" s="14">
        <v>1419</v>
      </c>
      <c r="L1416" s="14">
        <v>408</v>
      </c>
      <c r="M1416" s="14">
        <v>0</v>
      </c>
      <c r="N1416" s="14">
        <v>937</v>
      </c>
      <c r="O1416" s="14">
        <v>74</v>
      </c>
      <c r="P1416" s="13"/>
      <c r="Q1416" s="13"/>
      <c r="R1416" s="13"/>
      <c r="S1416" s="16"/>
      <c r="T1416" s="16"/>
    </row>
    <row r="1417" spans="1:20" x14ac:dyDescent="0.25">
      <c r="A1417" s="14">
        <v>2014</v>
      </c>
      <c r="B1417" s="14" t="s">
        <v>137</v>
      </c>
      <c r="C1417" s="14" t="s">
        <v>138</v>
      </c>
      <c r="D1417" s="14">
        <v>4</v>
      </c>
      <c r="E1417" s="14">
        <v>1</v>
      </c>
      <c r="F1417" s="14">
        <v>12</v>
      </c>
      <c r="G1417" s="14">
        <v>2</v>
      </c>
      <c r="H1417" s="14" t="s">
        <v>10</v>
      </c>
      <c r="I1417" s="15">
        <v>41940</v>
      </c>
      <c r="J1417" s="14" t="s">
        <v>129</v>
      </c>
      <c r="K1417" s="14">
        <v>1547</v>
      </c>
      <c r="L1417" s="14">
        <v>381</v>
      </c>
      <c r="M1417" s="14">
        <v>0</v>
      </c>
      <c r="N1417" s="14">
        <v>1082</v>
      </c>
      <c r="O1417" s="14">
        <v>84</v>
      </c>
      <c r="P1417" s="13"/>
      <c r="Q1417" s="13"/>
      <c r="R1417" s="13"/>
      <c r="S1417" s="16"/>
      <c r="T1417" s="16"/>
    </row>
    <row r="1418" spans="1:20" x14ac:dyDescent="0.25">
      <c r="A1418" s="14">
        <v>2014</v>
      </c>
      <c r="B1418" s="14" t="s">
        <v>137</v>
      </c>
      <c r="C1418" s="14" t="s">
        <v>138</v>
      </c>
      <c r="D1418" s="14">
        <v>5</v>
      </c>
      <c r="E1418" s="14">
        <v>1</v>
      </c>
      <c r="F1418" s="14">
        <v>1</v>
      </c>
      <c r="G1418" s="14">
        <v>3</v>
      </c>
      <c r="H1418" s="14" t="s">
        <v>7</v>
      </c>
      <c r="I1418" s="15">
        <v>41940</v>
      </c>
      <c r="J1418" s="14" t="s">
        <v>129</v>
      </c>
      <c r="K1418" s="14">
        <v>1530</v>
      </c>
      <c r="L1418" s="14">
        <v>347</v>
      </c>
      <c r="M1418" s="14">
        <v>0</v>
      </c>
      <c r="N1418" s="14">
        <v>707</v>
      </c>
      <c r="O1418" s="14">
        <v>476</v>
      </c>
      <c r="P1418" s="13"/>
      <c r="Q1418" s="13"/>
      <c r="R1418" s="13"/>
      <c r="S1418" s="16"/>
      <c r="T1418" s="16"/>
    </row>
    <row r="1419" spans="1:20" x14ac:dyDescent="0.25">
      <c r="A1419" s="14">
        <v>2014</v>
      </c>
      <c r="B1419" s="14" t="s">
        <v>137</v>
      </c>
      <c r="C1419" s="14" t="s">
        <v>138</v>
      </c>
      <c r="D1419" s="14">
        <v>5</v>
      </c>
      <c r="E1419" s="14">
        <v>2</v>
      </c>
      <c r="F1419" s="14">
        <v>2</v>
      </c>
      <c r="G1419" s="14">
        <v>3</v>
      </c>
      <c r="H1419" s="14" t="s">
        <v>14</v>
      </c>
      <c r="I1419" s="15">
        <v>41940</v>
      </c>
      <c r="J1419" s="14" t="s">
        <v>129</v>
      </c>
      <c r="K1419" s="14">
        <v>1638</v>
      </c>
      <c r="L1419" s="14">
        <v>434</v>
      </c>
      <c r="M1419" s="14">
        <v>0</v>
      </c>
      <c r="N1419" s="14">
        <v>683</v>
      </c>
      <c r="O1419" s="14">
        <v>521</v>
      </c>
      <c r="P1419" s="13"/>
      <c r="Q1419" s="13"/>
      <c r="R1419" s="13"/>
      <c r="S1419" s="16"/>
      <c r="T1419" s="16"/>
    </row>
    <row r="1420" spans="1:20" x14ac:dyDescent="0.25">
      <c r="A1420" s="14">
        <v>2014</v>
      </c>
      <c r="B1420" s="14" t="s">
        <v>137</v>
      </c>
      <c r="C1420" s="14" t="s">
        <v>138</v>
      </c>
      <c r="D1420" s="14">
        <v>5</v>
      </c>
      <c r="E1420" s="14">
        <v>3</v>
      </c>
      <c r="F1420" s="14">
        <v>3</v>
      </c>
      <c r="G1420" s="14">
        <v>3</v>
      </c>
      <c r="H1420" s="14" t="s">
        <v>6</v>
      </c>
      <c r="I1420" s="15">
        <v>41940</v>
      </c>
      <c r="J1420" s="14" t="s">
        <v>129</v>
      </c>
      <c r="K1420" s="14">
        <v>1445</v>
      </c>
      <c r="L1420" s="14">
        <v>414</v>
      </c>
      <c r="M1420" s="14">
        <v>0</v>
      </c>
      <c r="N1420" s="14">
        <v>946</v>
      </c>
      <c r="O1420" s="14">
        <v>85</v>
      </c>
      <c r="P1420" s="13"/>
      <c r="Q1420" s="13"/>
      <c r="R1420" s="13"/>
      <c r="S1420" s="16"/>
      <c r="T1420" s="16"/>
    </row>
    <row r="1421" spans="1:20" x14ac:dyDescent="0.25">
      <c r="A1421" s="14">
        <v>2014</v>
      </c>
      <c r="B1421" s="14" t="s">
        <v>137</v>
      </c>
      <c r="C1421" s="14" t="s">
        <v>138</v>
      </c>
      <c r="D1421" s="14">
        <v>5</v>
      </c>
      <c r="E1421" s="14">
        <v>4</v>
      </c>
      <c r="F1421" s="14">
        <v>4</v>
      </c>
      <c r="G1421" s="14">
        <v>3</v>
      </c>
      <c r="H1421" s="14" t="s">
        <v>13</v>
      </c>
      <c r="I1421" s="15">
        <v>41940</v>
      </c>
      <c r="J1421" s="14" t="s">
        <v>129</v>
      </c>
      <c r="K1421" s="14">
        <v>1170</v>
      </c>
      <c r="L1421" s="14">
        <v>396</v>
      </c>
      <c r="M1421" s="14">
        <v>0</v>
      </c>
      <c r="N1421" s="14">
        <v>718</v>
      </c>
      <c r="O1421" s="14">
        <v>56</v>
      </c>
      <c r="P1421" s="13"/>
      <c r="Q1421" s="13"/>
      <c r="R1421" s="13"/>
      <c r="S1421" s="16"/>
      <c r="T1421" s="16"/>
    </row>
    <row r="1422" spans="1:20" x14ac:dyDescent="0.25">
      <c r="A1422" s="14">
        <v>2014</v>
      </c>
      <c r="B1422" s="14" t="s">
        <v>137</v>
      </c>
      <c r="C1422" s="14" t="s">
        <v>138</v>
      </c>
      <c r="D1422" s="14">
        <v>5</v>
      </c>
      <c r="E1422" s="14">
        <v>5</v>
      </c>
      <c r="F1422" s="14">
        <v>5</v>
      </c>
      <c r="G1422" s="14">
        <v>3</v>
      </c>
      <c r="H1422" s="14" t="s">
        <v>5</v>
      </c>
      <c r="I1422" s="15">
        <v>41940</v>
      </c>
      <c r="J1422" s="14" t="s">
        <v>129</v>
      </c>
      <c r="K1422" s="14">
        <v>1487</v>
      </c>
      <c r="L1422" s="14">
        <v>436</v>
      </c>
      <c r="M1422" s="14">
        <v>0</v>
      </c>
      <c r="N1422" s="14">
        <v>743</v>
      </c>
      <c r="O1422" s="14">
        <v>307</v>
      </c>
      <c r="P1422" s="13"/>
      <c r="Q1422" s="13"/>
      <c r="R1422" s="13"/>
      <c r="S1422" s="16"/>
      <c r="T1422" s="16"/>
    </row>
    <row r="1423" spans="1:20" x14ac:dyDescent="0.25">
      <c r="A1423" s="14">
        <v>2014</v>
      </c>
      <c r="B1423" s="14" t="s">
        <v>137</v>
      </c>
      <c r="C1423" s="14" t="s">
        <v>138</v>
      </c>
      <c r="D1423" s="14">
        <v>5</v>
      </c>
      <c r="E1423" s="14">
        <v>6</v>
      </c>
      <c r="F1423" s="14">
        <v>6</v>
      </c>
      <c r="G1423" s="14">
        <v>3</v>
      </c>
      <c r="H1423" s="14" t="s">
        <v>10</v>
      </c>
      <c r="I1423" s="15">
        <v>41940</v>
      </c>
      <c r="J1423" s="14" t="s">
        <v>129</v>
      </c>
      <c r="K1423" s="14">
        <v>1380</v>
      </c>
      <c r="L1423" s="14">
        <v>242</v>
      </c>
      <c r="M1423" s="14">
        <v>0</v>
      </c>
      <c r="N1423" s="14">
        <v>743</v>
      </c>
      <c r="O1423" s="14">
        <v>395</v>
      </c>
      <c r="P1423" s="13"/>
      <c r="Q1423" s="13"/>
      <c r="R1423" s="13"/>
      <c r="S1423" s="16"/>
      <c r="T1423" s="16"/>
    </row>
    <row r="1424" spans="1:20" x14ac:dyDescent="0.25">
      <c r="A1424" s="14">
        <v>2014</v>
      </c>
      <c r="B1424" s="14" t="s">
        <v>137</v>
      </c>
      <c r="C1424" s="14" t="s">
        <v>138</v>
      </c>
      <c r="D1424" s="14">
        <v>6</v>
      </c>
      <c r="E1424" s="14">
        <v>6</v>
      </c>
      <c r="F1424" s="14">
        <v>7</v>
      </c>
      <c r="G1424" s="14">
        <v>3</v>
      </c>
      <c r="H1424" s="14" t="s">
        <v>8</v>
      </c>
      <c r="I1424" s="15">
        <v>41940</v>
      </c>
      <c r="J1424" s="14" t="s">
        <v>129</v>
      </c>
      <c r="K1424" s="14">
        <v>1342</v>
      </c>
      <c r="L1424" s="14">
        <v>314</v>
      </c>
      <c r="M1424" s="14">
        <v>0</v>
      </c>
      <c r="N1424" s="14">
        <v>975</v>
      </c>
      <c r="O1424" s="14">
        <v>52</v>
      </c>
      <c r="P1424" s="13"/>
      <c r="Q1424" s="13"/>
      <c r="R1424" s="13"/>
      <c r="S1424" s="16"/>
      <c r="T1424" s="16"/>
    </row>
    <row r="1425" spans="1:20" x14ac:dyDescent="0.25">
      <c r="A1425" s="14">
        <v>2014</v>
      </c>
      <c r="B1425" s="14" t="s">
        <v>137</v>
      </c>
      <c r="C1425" s="14" t="s">
        <v>138</v>
      </c>
      <c r="D1425" s="14">
        <v>6</v>
      </c>
      <c r="E1425" s="14">
        <v>5</v>
      </c>
      <c r="F1425" s="14">
        <v>8</v>
      </c>
      <c r="G1425" s="14">
        <v>3</v>
      </c>
      <c r="H1425" s="14" t="s">
        <v>2</v>
      </c>
      <c r="I1425" s="15">
        <v>41940</v>
      </c>
      <c r="J1425" s="14" t="s">
        <v>129</v>
      </c>
      <c r="K1425" s="14">
        <v>1435</v>
      </c>
      <c r="L1425" s="14">
        <v>178</v>
      </c>
      <c r="M1425" s="14">
        <v>0</v>
      </c>
      <c r="N1425" s="14">
        <v>705</v>
      </c>
      <c r="O1425" s="14">
        <v>552</v>
      </c>
      <c r="P1425" s="13"/>
      <c r="Q1425" s="13"/>
      <c r="R1425" s="13"/>
      <c r="S1425" s="16"/>
      <c r="T1425" s="16"/>
    </row>
    <row r="1426" spans="1:20" x14ac:dyDescent="0.25">
      <c r="A1426" s="14">
        <v>2014</v>
      </c>
      <c r="B1426" s="14" t="s">
        <v>137</v>
      </c>
      <c r="C1426" s="14" t="s">
        <v>138</v>
      </c>
      <c r="D1426" s="14">
        <v>6</v>
      </c>
      <c r="E1426" s="14">
        <v>4</v>
      </c>
      <c r="F1426" s="14">
        <v>9</v>
      </c>
      <c r="G1426" s="14">
        <v>3</v>
      </c>
      <c r="H1426" s="14" t="s">
        <v>9</v>
      </c>
      <c r="I1426" s="15">
        <v>41940</v>
      </c>
      <c r="J1426" s="14" t="s">
        <v>129</v>
      </c>
      <c r="K1426" s="14">
        <v>1484</v>
      </c>
      <c r="L1426" s="14">
        <v>473</v>
      </c>
      <c r="M1426" s="14">
        <v>0</v>
      </c>
      <c r="N1426" s="14">
        <v>934</v>
      </c>
      <c r="O1426" s="14">
        <v>78</v>
      </c>
      <c r="P1426" s="13"/>
      <c r="Q1426" s="13"/>
      <c r="R1426" s="13"/>
      <c r="S1426" s="16"/>
      <c r="T1426" s="16"/>
    </row>
    <row r="1427" spans="1:20" x14ac:dyDescent="0.25">
      <c r="A1427" s="14">
        <v>2014</v>
      </c>
      <c r="B1427" s="14" t="s">
        <v>137</v>
      </c>
      <c r="C1427" s="14" t="s">
        <v>138</v>
      </c>
      <c r="D1427" s="14">
        <v>6</v>
      </c>
      <c r="E1427" s="14">
        <v>3</v>
      </c>
      <c r="F1427" s="14">
        <v>10</v>
      </c>
      <c r="G1427" s="14">
        <v>3</v>
      </c>
      <c r="H1427" s="14" t="s">
        <v>4</v>
      </c>
      <c r="I1427" s="15">
        <v>41940</v>
      </c>
      <c r="J1427" s="14" t="s">
        <v>129</v>
      </c>
      <c r="K1427" s="14">
        <v>1339</v>
      </c>
      <c r="L1427" s="14">
        <v>370</v>
      </c>
      <c r="M1427" s="14">
        <v>0</v>
      </c>
      <c r="N1427" s="14">
        <v>861</v>
      </c>
      <c r="O1427" s="14">
        <v>108</v>
      </c>
      <c r="P1427" s="13"/>
      <c r="Q1427" s="13"/>
      <c r="R1427" s="13"/>
      <c r="S1427" s="16"/>
      <c r="T1427" s="16"/>
    </row>
    <row r="1428" spans="1:20" x14ac:dyDescent="0.25">
      <c r="A1428" s="14">
        <v>2014</v>
      </c>
      <c r="B1428" s="14" t="s">
        <v>137</v>
      </c>
      <c r="C1428" s="14" t="s">
        <v>138</v>
      </c>
      <c r="D1428" s="14">
        <v>6</v>
      </c>
      <c r="E1428" s="14">
        <v>2</v>
      </c>
      <c r="F1428" s="14">
        <v>11</v>
      </c>
      <c r="G1428" s="14">
        <v>3</v>
      </c>
      <c r="H1428" s="14" t="s">
        <v>3</v>
      </c>
      <c r="I1428" s="15">
        <v>41940</v>
      </c>
      <c r="J1428" s="14" t="s">
        <v>129</v>
      </c>
      <c r="K1428" s="14">
        <v>1328</v>
      </c>
      <c r="L1428" s="14">
        <v>259</v>
      </c>
      <c r="M1428" s="14">
        <v>0</v>
      </c>
      <c r="N1428" s="14">
        <v>600</v>
      </c>
      <c r="O1428" s="14">
        <v>469</v>
      </c>
      <c r="P1428" s="13"/>
      <c r="Q1428" s="13"/>
      <c r="R1428" s="13"/>
      <c r="S1428" s="16"/>
      <c r="T1428" s="16"/>
    </row>
    <row r="1429" spans="1:20" x14ac:dyDescent="0.25">
      <c r="A1429" s="14">
        <v>2014</v>
      </c>
      <c r="B1429" s="14" t="s">
        <v>137</v>
      </c>
      <c r="C1429" s="14" t="s">
        <v>138</v>
      </c>
      <c r="D1429" s="14">
        <v>6</v>
      </c>
      <c r="E1429" s="14">
        <v>1</v>
      </c>
      <c r="F1429" s="14">
        <v>12</v>
      </c>
      <c r="G1429" s="14">
        <v>3</v>
      </c>
      <c r="H1429" s="14" t="s">
        <v>12</v>
      </c>
      <c r="I1429" s="15">
        <v>41940</v>
      </c>
      <c r="J1429" s="14" t="s">
        <v>129</v>
      </c>
      <c r="K1429" s="14">
        <v>1474</v>
      </c>
      <c r="L1429" s="14">
        <v>414</v>
      </c>
      <c r="M1429" s="14">
        <v>0</v>
      </c>
      <c r="N1429" s="14">
        <v>566</v>
      </c>
      <c r="O1429" s="14">
        <v>493</v>
      </c>
      <c r="P1429" s="13"/>
      <c r="Q1429" s="13"/>
      <c r="R1429" s="13"/>
      <c r="S1429" s="16"/>
      <c r="T1429" s="16"/>
    </row>
    <row r="1430" spans="1:20" x14ac:dyDescent="0.25">
      <c r="A1430" s="14">
        <v>2014</v>
      </c>
      <c r="B1430" s="14" t="s">
        <v>137</v>
      </c>
      <c r="C1430" s="14" t="s">
        <v>138</v>
      </c>
      <c r="D1430" s="14">
        <v>7</v>
      </c>
      <c r="E1430" s="14">
        <v>1</v>
      </c>
      <c r="F1430" s="14">
        <v>1</v>
      </c>
      <c r="G1430" s="14">
        <v>4</v>
      </c>
      <c r="H1430" s="14" t="s">
        <v>4</v>
      </c>
      <c r="I1430" s="15">
        <v>41940</v>
      </c>
      <c r="J1430" s="14" t="s">
        <v>129</v>
      </c>
      <c r="K1430" s="14">
        <v>1484</v>
      </c>
      <c r="L1430" s="14">
        <v>292</v>
      </c>
      <c r="M1430" s="14">
        <v>0</v>
      </c>
      <c r="N1430" s="14">
        <v>720</v>
      </c>
      <c r="O1430" s="14">
        <v>472</v>
      </c>
      <c r="P1430" s="13"/>
      <c r="Q1430" s="13"/>
      <c r="R1430" s="13"/>
      <c r="S1430" s="16"/>
      <c r="T1430" s="16"/>
    </row>
    <row r="1431" spans="1:20" x14ac:dyDescent="0.25">
      <c r="A1431" s="14">
        <v>2014</v>
      </c>
      <c r="B1431" s="14" t="s">
        <v>137</v>
      </c>
      <c r="C1431" s="14" t="s">
        <v>138</v>
      </c>
      <c r="D1431" s="14">
        <v>7</v>
      </c>
      <c r="E1431" s="14">
        <v>2</v>
      </c>
      <c r="F1431" s="14">
        <v>2</v>
      </c>
      <c r="G1431" s="14">
        <v>4</v>
      </c>
      <c r="H1431" s="14" t="s">
        <v>5</v>
      </c>
      <c r="I1431" s="15">
        <v>41940</v>
      </c>
      <c r="J1431" s="14" t="s">
        <v>129</v>
      </c>
      <c r="K1431" s="14">
        <v>1466</v>
      </c>
      <c r="L1431" s="14">
        <v>392</v>
      </c>
      <c r="M1431" s="14">
        <v>0</v>
      </c>
      <c r="N1431" s="14">
        <v>978</v>
      </c>
      <c r="O1431" s="14">
        <v>95</v>
      </c>
      <c r="P1431" s="13"/>
      <c r="Q1431" s="13"/>
      <c r="R1431" s="13"/>
      <c r="S1431" s="16"/>
      <c r="T1431" s="16"/>
    </row>
    <row r="1432" spans="1:20" x14ac:dyDescent="0.25">
      <c r="A1432" s="14">
        <v>2014</v>
      </c>
      <c r="B1432" s="14" t="s">
        <v>137</v>
      </c>
      <c r="C1432" s="14" t="s">
        <v>138</v>
      </c>
      <c r="D1432" s="14">
        <v>7</v>
      </c>
      <c r="E1432" s="14">
        <v>3</v>
      </c>
      <c r="F1432" s="14">
        <v>3</v>
      </c>
      <c r="G1432" s="14">
        <v>4</v>
      </c>
      <c r="H1432" s="14" t="s">
        <v>3</v>
      </c>
      <c r="I1432" s="15">
        <v>41940</v>
      </c>
      <c r="J1432" s="14" t="s">
        <v>129</v>
      </c>
      <c r="K1432" s="14">
        <v>1558</v>
      </c>
      <c r="L1432" s="14">
        <v>447</v>
      </c>
      <c r="M1432" s="14">
        <v>0</v>
      </c>
      <c r="N1432" s="14">
        <v>1021</v>
      </c>
      <c r="O1432" s="14">
        <v>90</v>
      </c>
      <c r="P1432" s="13"/>
      <c r="Q1432" s="13"/>
      <c r="R1432" s="13"/>
      <c r="S1432" s="16"/>
      <c r="T1432" s="16"/>
    </row>
    <row r="1433" spans="1:20" x14ac:dyDescent="0.25">
      <c r="A1433" s="14">
        <v>2014</v>
      </c>
      <c r="B1433" s="14" t="s">
        <v>137</v>
      </c>
      <c r="C1433" s="14" t="s">
        <v>138</v>
      </c>
      <c r="D1433" s="14">
        <v>7</v>
      </c>
      <c r="E1433" s="14">
        <v>4</v>
      </c>
      <c r="F1433" s="14">
        <v>4</v>
      </c>
      <c r="G1433" s="14">
        <v>4</v>
      </c>
      <c r="H1433" s="14" t="s">
        <v>8</v>
      </c>
      <c r="I1433" s="15">
        <v>41940</v>
      </c>
      <c r="J1433" s="14" t="s">
        <v>129</v>
      </c>
      <c r="K1433" s="14">
        <v>1634</v>
      </c>
      <c r="L1433" s="14">
        <v>506</v>
      </c>
      <c r="M1433" s="14">
        <v>0</v>
      </c>
      <c r="N1433" s="14">
        <v>499</v>
      </c>
      <c r="O1433" s="14">
        <v>629</v>
      </c>
      <c r="P1433" s="13"/>
      <c r="Q1433" s="13"/>
      <c r="R1433" s="13"/>
      <c r="S1433" s="16"/>
      <c r="T1433" s="16"/>
    </row>
    <row r="1434" spans="1:20" x14ac:dyDescent="0.25">
      <c r="A1434" s="14">
        <v>2014</v>
      </c>
      <c r="B1434" s="14" t="s">
        <v>137</v>
      </c>
      <c r="C1434" s="14" t="s">
        <v>138</v>
      </c>
      <c r="D1434" s="14">
        <v>7</v>
      </c>
      <c r="E1434" s="14">
        <v>5</v>
      </c>
      <c r="F1434" s="14">
        <v>5</v>
      </c>
      <c r="G1434" s="14">
        <v>4</v>
      </c>
      <c r="H1434" s="14" t="s">
        <v>12</v>
      </c>
      <c r="I1434" s="15">
        <v>41940</v>
      </c>
      <c r="J1434" s="14" t="s">
        <v>129</v>
      </c>
      <c r="K1434" s="14">
        <v>1376</v>
      </c>
      <c r="L1434" s="14">
        <v>330</v>
      </c>
      <c r="M1434" s="14">
        <v>0</v>
      </c>
      <c r="N1434" s="14">
        <v>958</v>
      </c>
      <c r="O1434" s="14">
        <v>89</v>
      </c>
      <c r="P1434" s="13"/>
      <c r="Q1434" s="13"/>
      <c r="R1434" s="13"/>
      <c r="S1434" s="16"/>
      <c r="T1434" s="16"/>
    </row>
    <row r="1435" spans="1:20" x14ac:dyDescent="0.25">
      <c r="A1435" s="14">
        <v>2014</v>
      </c>
      <c r="B1435" s="14" t="s">
        <v>137</v>
      </c>
      <c r="C1435" s="14" t="s">
        <v>138</v>
      </c>
      <c r="D1435" s="14">
        <v>7</v>
      </c>
      <c r="E1435" s="14">
        <v>6</v>
      </c>
      <c r="F1435" s="14">
        <v>6</v>
      </c>
      <c r="G1435" s="14">
        <v>4</v>
      </c>
      <c r="H1435" s="14" t="s">
        <v>14</v>
      </c>
      <c r="I1435" s="15">
        <v>41940</v>
      </c>
      <c r="J1435" s="14" t="s">
        <v>129</v>
      </c>
      <c r="K1435" s="14">
        <v>1108</v>
      </c>
      <c r="L1435" s="14">
        <v>324</v>
      </c>
      <c r="M1435" s="14">
        <v>0</v>
      </c>
      <c r="N1435" s="14">
        <v>711</v>
      </c>
      <c r="O1435" s="14">
        <v>73</v>
      </c>
      <c r="P1435" s="13"/>
      <c r="Q1435" s="13"/>
      <c r="R1435" s="13"/>
      <c r="S1435" s="16"/>
      <c r="T1435" s="16"/>
    </row>
    <row r="1436" spans="1:20" x14ac:dyDescent="0.25">
      <c r="A1436" s="14">
        <v>2014</v>
      </c>
      <c r="B1436" s="14" t="s">
        <v>137</v>
      </c>
      <c r="C1436" s="14" t="s">
        <v>138</v>
      </c>
      <c r="D1436" s="14">
        <v>8</v>
      </c>
      <c r="E1436" s="14">
        <v>6</v>
      </c>
      <c r="F1436" s="14">
        <v>7</v>
      </c>
      <c r="G1436" s="14">
        <v>4</v>
      </c>
      <c r="H1436" s="14" t="s">
        <v>2</v>
      </c>
      <c r="I1436" s="15">
        <v>41940</v>
      </c>
      <c r="J1436" s="14" t="s">
        <v>129</v>
      </c>
      <c r="K1436" s="14">
        <v>1299</v>
      </c>
      <c r="L1436" s="14">
        <v>268</v>
      </c>
      <c r="M1436" s="14">
        <v>0</v>
      </c>
      <c r="N1436" s="14">
        <v>989</v>
      </c>
      <c r="O1436" s="14">
        <v>42</v>
      </c>
      <c r="P1436" s="13"/>
      <c r="Q1436" s="13"/>
      <c r="R1436" s="13"/>
      <c r="S1436" s="16"/>
      <c r="T1436" s="16"/>
    </row>
    <row r="1437" spans="1:20" x14ac:dyDescent="0.25">
      <c r="A1437" s="14">
        <v>2014</v>
      </c>
      <c r="B1437" s="14" t="s">
        <v>137</v>
      </c>
      <c r="C1437" s="14" t="s">
        <v>138</v>
      </c>
      <c r="D1437" s="14">
        <v>8</v>
      </c>
      <c r="E1437" s="14">
        <v>5</v>
      </c>
      <c r="F1437" s="14">
        <v>8</v>
      </c>
      <c r="G1437" s="14">
        <v>4</v>
      </c>
      <c r="H1437" s="14" t="s">
        <v>13</v>
      </c>
      <c r="I1437" s="15">
        <v>41940</v>
      </c>
      <c r="J1437" s="14" t="s">
        <v>129</v>
      </c>
      <c r="K1437" s="14">
        <v>1074</v>
      </c>
      <c r="L1437" s="14">
        <v>407</v>
      </c>
      <c r="M1437" s="14">
        <v>0</v>
      </c>
      <c r="N1437" s="14">
        <v>559</v>
      </c>
      <c r="O1437" s="14">
        <v>108</v>
      </c>
      <c r="P1437" s="13"/>
      <c r="Q1437" s="13"/>
      <c r="R1437" s="13"/>
      <c r="S1437" s="16"/>
      <c r="T1437" s="16"/>
    </row>
    <row r="1438" spans="1:20" x14ac:dyDescent="0.25">
      <c r="A1438" s="14">
        <v>2014</v>
      </c>
      <c r="B1438" s="14" t="s">
        <v>137</v>
      </c>
      <c r="C1438" s="14" t="s">
        <v>138</v>
      </c>
      <c r="D1438" s="14">
        <v>8</v>
      </c>
      <c r="E1438" s="14">
        <v>4</v>
      </c>
      <c r="F1438" s="14">
        <v>9</v>
      </c>
      <c r="G1438" s="14">
        <v>4</v>
      </c>
      <c r="H1438" s="14" t="s">
        <v>10</v>
      </c>
      <c r="I1438" s="15">
        <v>41940</v>
      </c>
      <c r="J1438" s="14" t="s">
        <v>129</v>
      </c>
      <c r="K1438" s="14">
        <v>1336</v>
      </c>
      <c r="L1438" s="14">
        <v>350</v>
      </c>
      <c r="M1438" s="14">
        <v>0</v>
      </c>
      <c r="N1438" s="14">
        <v>929</v>
      </c>
      <c r="O1438" s="14">
        <v>57</v>
      </c>
      <c r="P1438" s="13"/>
      <c r="Q1438" s="13"/>
      <c r="R1438" s="13"/>
      <c r="S1438" s="16"/>
      <c r="T1438" s="16"/>
    </row>
    <row r="1439" spans="1:20" x14ac:dyDescent="0.25">
      <c r="A1439" s="14">
        <v>2014</v>
      </c>
      <c r="B1439" s="14" t="s">
        <v>137</v>
      </c>
      <c r="C1439" s="14" t="s">
        <v>138</v>
      </c>
      <c r="D1439" s="14">
        <v>8</v>
      </c>
      <c r="E1439" s="14">
        <v>3</v>
      </c>
      <c r="F1439" s="14">
        <v>10</v>
      </c>
      <c r="G1439" s="14">
        <v>4</v>
      </c>
      <c r="H1439" s="14" t="s">
        <v>9</v>
      </c>
      <c r="I1439" s="15">
        <v>41940</v>
      </c>
      <c r="J1439" s="14" t="s">
        <v>129</v>
      </c>
      <c r="K1439" s="14">
        <v>1223</v>
      </c>
      <c r="L1439" s="14">
        <v>373</v>
      </c>
      <c r="M1439" s="14">
        <v>0</v>
      </c>
      <c r="N1439" s="14">
        <v>744</v>
      </c>
      <c r="O1439" s="14">
        <v>106</v>
      </c>
      <c r="P1439" s="13"/>
      <c r="Q1439" s="13"/>
      <c r="R1439" s="13"/>
      <c r="S1439" s="16"/>
      <c r="T1439" s="16"/>
    </row>
    <row r="1440" spans="1:20" x14ac:dyDescent="0.25">
      <c r="A1440" s="14">
        <v>2014</v>
      </c>
      <c r="B1440" s="14" t="s">
        <v>137</v>
      </c>
      <c r="C1440" s="14" t="s">
        <v>138</v>
      </c>
      <c r="D1440" s="14">
        <v>8</v>
      </c>
      <c r="E1440" s="14">
        <v>2</v>
      </c>
      <c r="F1440" s="14">
        <v>11</v>
      </c>
      <c r="G1440" s="14">
        <v>4</v>
      </c>
      <c r="H1440" s="14" t="s">
        <v>7</v>
      </c>
      <c r="I1440" s="15">
        <v>41940</v>
      </c>
      <c r="J1440" s="14" t="s">
        <v>129</v>
      </c>
      <c r="K1440" s="14">
        <v>1469</v>
      </c>
      <c r="L1440" s="14">
        <v>525</v>
      </c>
      <c r="M1440" s="14">
        <v>0</v>
      </c>
      <c r="N1440" s="14">
        <v>597</v>
      </c>
      <c r="O1440" s="14">
        <v>346</v>
      </c>
      <c r="P1440" s="13"/>
      <c r="Q1440" s="13"/>
      <c r="R1440" s="13"/>
      <c r="S1440" s="16"/>
      <c r="T1440" s="16"/>
    </row>
    <row r="1441" spans="1:20" x14ac:dyDescent="0.25">
      <c r="A1441" s="14">
        <v>2014</v>
      </c>
      <c r="B1441" s="14" t="s">
        <v>137</v>
      </c>
      <c r="C1441" s="14" t="s">
        <v>138</v>
      </c>
      <c r="D1441" s="14">
        <v>8</v>
      </c>
      <c r="E1441" s="14">
        <v>1</v>
      </c>
      <c r="F1441" s="14">
        <v>12</v>
      </c>
      <c r="G1441" s="14">
        <v>4</v>
      </c>
      <c r="H1441" s="14" t="s">
        <v>6</v>
      </c>
      <c r="I1441" s="15">
        <v>41940</v>
      </c>
      <c r="J1441" s="14" t="s">
        <v>129</v>
      </c>
      <c r="K1441" s="14">
        <v>1352</v>
      </c>
      <c r="L1441" s="14">
        <v>406</v>
      </c>
      <c r="M1441" s="14">
        <v>0</v>
      </c>
      <c r="N1441" s="14">
        <v>837</v>
      </c>
      <c r="O1441" s="14">
        <v>109</v>
      </c>
      <c r="P1441" s="13"/>
      <c r="Q1441" s="13"/>
      <c r="R1441" s="13"/>
      <c r="S1441" s="16"/>
      <c r="T1441" s="16"/>
    </row>
    <row r="1442" spans="1:20" x14ac:dyDescent="0.25">
      <c r="A1442" s="14">
        <v>2015</v>
      </c>
      <c r="B1442" s="14" t="s">
        <v>137</v>
      </c>
      <c r="C1442" s="14" t="s">
        <v>139</v>
      </c>
      <c r="D1442" s="14">
        <v>1</v>
      </c>
      <c r="E1442" s="14">
        <v>4</v>
      </c>
      <c r="F1442" s="14">
        <v>1</v>
      </c>
      <c r="G1442" s="14">
        <v>1</v>
      </c>
      <c r="H1442" s="14" t="s">
        <v>6</v>
      </c>
      <c r="I1442" s="19">
        <v>42188</v>
      </c>
      <c r="J1442" s="14" t="s">
        <v>125</v>
      </c>
      <c r="K1442" s="22">
        <v>132</v>
      </c>
      <c r="L1442" s="22">
        <v>42</v>
      </c>
      <c r="M1442" s="22">
        <v>90</v>
      </c>
      <c r="N1442" s="22"/>
      <c r="O1442" s="22">
        <v>0</v>
      </c>
      <c r="P1442" s="10"/>
      <c r="Q1442" s="13"/>
      <c r="R1442" s="13"/>
      <c r="S1442" s="16"/>
      <c r="T1442" s="16"/>
    </row>
    <row r="1443" spans="1:20" x14ac:dyDescent="0.25">
      <c r="A1443" s="14">
        <v>2015</v>
      </c>
      <c r="B1443" s="14" t="s">
        <v>137</v>
      </c>
      <c r="C1443" s="14" t="s">
        <v>139</v>
      </c>
      <c r="D1443" s="14">
        <v>1</v>
      </c>
      <c r="E1443" s="14">
        <v>3</v>
      </c>
      <c r="F1443" s="14">
        <v>2</v>
      </c>
      <c r="G1443" s="14">
        <v>1</v>
      </c>
      <c r="H1443" s="14" t="s">
        <v>9</v>
      </c>
      <c r="I1443" s="19">
        <v>42188</v>
      </c>
      <c r="J1443" s="14" t="s">
        <v>125</v>
      </c>
      <c r="K1443" s="22">
        <v>120</v>
      </c>
      <c r="L1443" s="22">
        <v>39</v>
      </c>
      <c r="M1443" s="22">
        <v>80</v>
      </c>
      <c r="N1443" s="22"/>
      <c r="O1443" s="22">
        <v>1</v>
      </c>
      <c r="P1443" s="10"/>
      <c r="Q1443" s="13"/>
      <c r="R1443" s="13"/>
      <c r="S1443" s="16"/>
      <c r="T1443" s="16"/>
    </row>
    <row r="1444" spans="1:20" x14ac:dyDescent="0.25">
      <c r="A1444" s="14">
        <v>2015</v>
      </c>
      <c r="B1444" s="14" t="s">
        <v>137</v>
      </c>
      <c r="C1444" s="14" t="s">
        <v>139</v>
      </c>
      <c r="D1444" s="14">
        <v>1</v>
      </c>
      <c r="E1444" s="14">
        <v>2</v>
      </c>
      <c r="F1444" s="14">
        <v>3</v>
      </c>
      <c r="G1444" s="14">
        <v>1</v>
      </c>
      <c r="H1444" s="14" t="s">
        <v>3</v>
      </c>
      <c r="I1444" s="19">
        <v>42188</v>
      </c>
      <c r="J1444" s="14" t="s">
        <v>125</v>
      </c>
      <c r="K1444" s="22">
        <v>145</v>
      </c>
      <c r="L1444" s="22">
        <v>40</v>
      </c>
      <c r="M1444" s="22">
        <v>103</v>
      </c>
      <c r="N1444" s="22"/>
      <c r="O1444" s="22">
        <v>2</v>
      </c>
      <c r="P1444" s="10"/>
      <c r="Q1444" s="13"/>
      <c r="R1444" s="13"/>
      <c r="S1444" s="16"/>
      <c r="T1444" s="16"/>
    </row>
    <row r="1445" spans="1:20" x14ac:dyDescent="0.25">
      <c r="A1445" s="14">
        <v>2015</v>
      </c>
      <c r="B1445" s="14" t="s">
        <v>137</v>
      </c>
      <c r="C1445" s="14" t="s">
        <v>139</v>
      </c>
      <c r="D1445" s="14">
        <v>1</v>
      </c>
      <c r="E1445" s="14">
        <v>1</v>
      </c>
      <c r="F1445" s="14">
        <v>4</v>
      </c>
      <c r="G1445" s="14">
        <v>1</v>
      </c>
      <c r="H1445" s="14" t="s">
        <v>5</v>
      </c>
      <c r="I1445" s="19">
        <v>42188</v>
      </c>
      <c r="J1445" s="14" t="s">
        <v>125</v>
      </c>
      <c r="K1445" s="22">
        <v>124</v>
      </c>
      <c r="L1445" s="22">
        <v>38</v>
      </c>
      <c r="M1445" s="22">
        <v>85</v>
      </c>
      <c r="N1445" s="22"/>
      <c r="O1445" s="22">
        <v>1</v>
      </c>
      <c r="P1445" s="10"/>
      <c r="Q1445" s="13"/>
      <c r="R1445" s="13"/>
      <c r="S1445" s="16"/>
      <c r="T1445" s="16"/>
    </row>
    <row r="1446" spans="1:20" x14ac:dyDescent="0.25">
      <c r="A1446" s="14">
        <v>2015</v>
      </c>
      <c r="B1446" s="14" t="s">
        <v>137</v>
      </c>
      <c r="C1446" s="14" t="s">
        <v>139</v>
      </c>
      <c r="D1446" s="14">
        <v>2</v>
      </c>
      <c r="E1446" s="14">
        <v>4</v>
      </c>
      <c r="F1446" s="14">
        <v>5</v>
      </c>
      <c r="G1446" s="14">
        <v>1</v>
      </c>
      <c r="H1446" s="14" t="s">
        <v>13</v>
      </c>
      <c r="I1446" s="19">
        <v>42188</v>
      </c>
      <c r="J1446" s="14" t="s">
        <v>125</v>
      </c>
      <c r="K1446" s="22">
        <v>132</v>
      </c>
      <c r="L1446" s="22">
        <v>50</v>
      </c>
      <c r="M1446" s="22">
        <v>82</v>
      </c>
      <c r="N1446" s="22"/>
      <c r="O1446" s="22">
        <v>0</v>
      </c>
      <c r="P1446" s="10"/>
      <c r="Q1446" s="13"/>
      <c r="R1446" s="13"/>
      <c r="S1446" s="16"/>
      <c r="T1446" s="16"/>
    </row>
    <row r="1447" spans="1:20" x14ac:dyDescent="0.25">
      <c r="A1447" s="14">
        <v>2015</v>
      </c>
      <c r="B1447" s="14" t="s">
        <v>137</v>
      </c>
      <c r="C1447" s="14" t="s">
        <v>139</v>
      </c>
      <c r="D1447" s="14">
        <v>2</v>
      </c>
      <c r="E1447" s="14">
        <v>3</v>
      </c>
      <c r="F1447" s="14">
        <v>6</v>
      </c>
      <c r="G1447" s="14">
        <v>1</v>
      </c>
      <c r="H1447" s="14" t="s">
        <v>4</v>
      </c>
      <c r="I1447" s="19">
        <v>42188</v>
      </c>
      <c r="J1447" s="14" t="s">
        <v>125</v>
      </c>
      <c r="K1447" s="22">
        <v>99</v>
      </c>
      <c r="L1447" s="22">
        <v>33</v>
      </c>
      <c r="M1447" s="22">
        <v>63</v>
      </c>
      <c r="N1447" s="22"/>
      <c r="O1447" s="22">
        <v>2</v>
      </c>
      <c r="P1447" s="10"/>
      <c r="Q1447" s="13"/>
      <c r="R1447" s="13"/>
      <c r="S1447" s="16"/>
      <c r="T1447" s="16"/>
    </row>
    <row r="1448" spans="1:20" x14ac:dyDescent="0.25">
      <c r="A1448" s="14">
        <v>2015</v>
      </c>
      <c r="B1448" s="14" t="s">
        <v>137</v>
      </c>
      <c r="C1448" s="14" t="s">
        <v>139</v>
      </c>
      <c r="D1448" s="14">
        <v>2</v>
      </c>
      <c r="E1448" s="14">
        <v>2</v>
      </c>
      <c r="F1448" s="14">
        <v>7</v>
      </c>
      <c r="G1448" s="14">
        <v>1</v>
      </c>
      <c r="H1448" s="14" t="s">
        <v>12</v>
      </c>
      <c r="I1448" s="19">
        <v>42188</v>
      </c>
      <c r="J1448" s="14" t="s">
        <v>125</v>
      </c>
      <c r="K1448" s="22">
        <v>119</v>
      </c>
      <c r="L1448" s="22">
        <v>42</v>
      </c>
      <c r="M1448" s="22">
        <v>76</v>
      </c>
      <c r="N1448" s="22"/>
      <c r="O1448" s="22">
        <v>0</v>
      </c>
      <c r="P1448" s="10"/>
      <c r="Q1448" s="13"/>
      <c r="R1448" s="13"/>
      <c r="S1448" s="16"/>
      <c r="T1448" s="16"/>
    </row>
    <row r="1449" spans="1:20" x14ac:dyDescent="0.25">
      <c r="A1449" s="14">
        <v>2015</v>
      </c>
      <c r="B1449" s="14" t="s">
        <v>137</v>
      </c>
      <c r="C1449" s="14" t="s">
        <v>139</v>
      </c>
      <c r="D1449" s="14">
        <v>2</v>
      </c>
      <c r="E1449" s="14">
        <v>1</v>
      </c>
      <c r="F1449" s="14">
        <v>8</v>
      </c>
      <c r="G1449" s="14">
        <v>1</v>
      </c>
      <c r="H1449" s="14" t="s">
        <v>2</v>
      </c>
      <c r="I1449" s="19">
        <v>42188</v>
      </c>
      <c r="J1449" s="14" t="s">
        <v>125</v>
      </c>
      <c r="K1449" s="22">
        <v>148</v>
      </c>
      <c r="L1449" s="22">
        <v>47</v>
      </c>
      <c r="M1449" s="22">
        <v>101</v>
      </c>
      <c r="N1449" s="22"/>
      <c r="O1449" s="22">
        <v>0</v>
      </c>
      <c r="P1449" s="10"/>
      <c r="Q1449" s="13"/>
      <c r="R1449" s="13"/>
      <c r="S1449" s="16"/>
      <c r="T1449" s="16"/>
    </row>
    <row r="1450" spans="1:20" x14ac:dyDescent="0.25">
      <c r="A1450" s="14">
        <v>2015</v>
      </c>
      <c r="B1450" s="14" t="s">
        <v>137</v>
      </c>
      <c r="C1450" s="14" t="s">
        <v>139</v>
      </c>
      <c r="D1450" s="14">
        <v>3</v>
      </c>
      <c r="E1450" s="14">
        <v>4</v>
      </c>
      <c r="F1450" s="14">
        <v>9</v>
      </c>
      <c r="G1450" s="14">
        <v>1</v>
      </c>
      <c r="H1450" s="14" t="s">
        <v>10</v>
      </c>
      <c r="I1450" s="19">
        <v>42188</v>
      </c>
      <c r="J1450" s="14" t="s">
        <v>125</v>
      </c>
      <c r="K1450" s="22">
        <v>137</v>
      </c>
      <c r="L1450" s="22">
        <v>38</v>
      </c>
      <c r="M1450" s="22">
        <v>98</v>
      </c>
      <c r="N1450" s="22"/>
      <c r="O1450" s="22">
        <v>1</v>
      </c>
      <c r="P1450" s="10"/>
      <c r="Q1450" s="13"/>
      <c r="R1450" s="13"/>
      <c r="S1450" s="16"/>
      <c r="T1450" s="16"/>
    </row>
    <row r="1451" spans="1:20" x14ac:dyDescent="0.25">
      <c r="A1451" s="14">
        <v>2015</v>
      </c>
      <c r="B1451" s="14" t="s">
        <v>137</v>
      </c>
      <c r="C1451" s="14" t="s">
        <v>139</v>
      </c>
      <c r="D1451" s="14">
        <v>3</v>
      </c>
      <c r="E1451" s="14">
        <v>3</v>
      </c>
      <c r="F1451" s="14">
        <v>10</v>
      </c>
      <c r="G1451" s="14">
        <v>1</v>
      </c>
      <c r="H1451" s="14" t="s">
        <v>7</v>
      </c>
      <c r="I1451" s="19">
        <v>42188</v>
      </c>
      <c r="J1451" s="14" t="s">
        <v>125</v>
      </c>
      <c r="K1451" s="22">
        <v>151</v>
      </c>
      <c r="L1451" s="22">
        <v>49</v>
      </c>
      <c r="M1451" s="22">
        <v>99</v>
      </c>
      <c r="N1451" s="22"/>
      <c r="O1451" s="22">
        <v>2</v>
      </c>
      <c r="P1451" s="10"/>
      <c r="Q1451" s="13"/>
      <c r="R1451" s="13"/>
      <c r="S1451" s="16"/>
      <c r="T1451" s="16"/>
    </row>
    <row r="1452" spans="1:20" x14ac:dyDescent="0.25">
      <c r="A1452" s="14">
        <v>2015</v>
      </c>
      <c r="B1452" s="14" t="s">
        <v>137</v>
      </c>
      <c r="C1452" s="14" t="s">
        <v>139</v>
      </c>
      <c r="D1452" s="14">
        <v>3</v>
      </c>
      <c r="E1452" s="14">
        <v>2</v>
      </c>
      <c r="F1452" s="14">
        <v>11</v>
      </c>
      <c r="G1452" s="14">
        <v>1</v>
      </c>
      <c r="H1452" s="14" t="s">
        <v>14</v>
      </c>
      <c r="I1452" s="19">
        <v>42188</v>
      </c>
      <c r="J1452" s="14" t="s">
        <v>125</v>
      </c>
      <c r="K1452" s="22">
        <v>140</v>
      </c>
      <c r="L1452" s="22">
        <v>39</v>
      </c>
      <c r="M1452" s="22">
        <v>96</v>
      </c>
      <c r="N1452" s="22"/>
      <c r="O1452" s="22">
        <v>5</v>
      </c>
      <c r="P1452" s="10"/>
      <c r="Q1452" s="13"/>
      <c r="R1452" s="13"/>
      <c r="S1452" s="16"/>
      <c r="T1452" s="16"/>
    </row>
    <row r="1453" spans="1:20" x14ac:dyDescent="0.25">
      <c r="A1453" s="14">
        <v>2015</v>
      </c>
      <c r="B1453" s="14" t="s">
        <v>137</v>
      </c>
      <c r="C1453" s="14" t="s">
        <v>139</v>
      </c>
      <c r="D1453" s="14">
        <v>3</v>
      </c>
      <c r="E1453" s="14">
        <v>1</v>
      </c>
      <c r="F1453" s="14">
        <v>12</v>
      </c>
      <c r="G1453" s="14">
        <v>1</v>
      </c>
      <c r="H1453" s="14" t="s">
        <v>8</v>
      </c>
      <c r="I1453" s="19">
        <v>42188</v>
      </c>
      <c r="J1453" s="14" t="s">
        <v>125</v>
      </c>
      <c r="K1453" s="22">
        <v>186</v>
      </c>
      <c r="L1453" s="22">
        <v>62</v>
      </c>
      <c r="M1453" s="22">
        <v>121</v>
      </c>
      <c r="N1453" s="22"/>
      <c r="O1453" s="22">
        <v>2</v>
      </c>
      <c r="P1453" s="10"/>
      <c r="Q1453" s="13"/>
      <c r="R1453" s="13"/>
      <c r="S1453" s="16"/>
      <c r="T1453" s="16"/>
    </row>
    <row r="1454" spans="1:20" x14ac:dyDescent="0.25">
      <c r="A1454" s="14">
        <v>2015</v>
      </c>
      <c r="B1454" s="14" t="s">
        <v>137</v>
      </c>
      <c r="C1454" s="14" t="s">
        <v>139</v>
      </c>
      <c r="D1454" s="14">
        <v>4</v>
      </c>
      <c r="E1454" s="14">
        <v>4</v>
      </c>
      <c r="F1454" s="14">
        <v>13</v>
      </c>
      <c r="G1454" s="14">
        <v>2</v>
      </c>
      <c r="H1454" s="14" t="s">
        <v>3</v>
      </c>
      <c r="I1454" s="19">
        <v>42188</v>
      </c>
      <c r="J1454" s="14" t="s">
        <v>125</v>
      </c>
      <c r="K1454" s="22">
        <v>115</v>
      </c>
      <c r="L1454" s="22">
        <v>30</v>
      </c>
      <c r="M1454" s="22">
        <v>83</v>
      </c>
      <c r="N1454" s="22"/>
      <c r="O1454" s="22">
        <v>1</v>
      </c>
      <c r="P1454" s="10"/>
      <c r="Q1454" s="13"/>
      <c r="R1454" s="13"/>
      <c r="S1454" s="16"/>
      <c r="T1454" s="16"/>
    </row>
    <row r="1455" spans="1:20" x14ac:dyDescent="0.25">
      <c r="A1455" s="14">
        <v>2015</v>
      </c>
      <c r="B1455" s="14" t="s">
        <v>137</v>
      </c>
      <c r="C1455" s="14" t="s">
        <v>139</v>
      </c>
      <c r="D1455" s="14">
        <v>4</v>
      </c>
      <c r="E1455" s="14">
        <v>3</v>
      </c>
      <c r="F1455" s="14">
        <v>14</v>
      </c>
      <c r="G1455" s="14">
        <v>2</v>
      </c>
      <c r="H1455" s="14" t="s">
        <v>13</v>
      </c>
      <c r="I1455" s="19">
        <v>42188</v>
      </c>
      <c r="J1455" s="14" t="s">
        <v>125</v>
      </c>
      <c r="K1455" s="22">
        <v>117</v>
      </c>
      <c r="L1455" s="22">
        <v>45</v>
      </c>
      <c r="M1455" s="22">
        <v>71</v>
      </c>
      <c r="N1455" s="22"/>
      <c r="O1455" s="22">
        <v>1</v>
      </c>
      <c r="P1455" s="10"/>
      <c r="Q1455" s="13"/>
      <c r="R1455" s="13"/>
      <c r="S1455" s="16"/>
      <c r="T1455" s="16"/>
    </row>
    <row r="1456" spans="1:20" x14ac:dyDescent="0.25">
      <c r="A1456" s="14">
        <v>2015</v>
      </c>
      <c r="B1456" s="14" t="s">
        <v>137</v>
      </c>
      <c r="C1456" s="14" t="s">
        <v>139</v>
      </c>
      <c r="D1456" s="14">
        <v>4</v>
      </c>
      <c r="E1456" s="14">
        <v>2</v>
      </c>
      <c r="F1456" s="14">
        <v>15</v>
      </c>
      <c r="G1456" s="14">
        <v>2</v>
      </c>
      <c r="H1456" s="14" t="s">
        <v>2</v>
      </c>
      <c r="I1456" s="19">
        <v>42188</v>
      </c>
      <c r="J1456" s="14" t="s">
        <v>125</v>
      </c>
      <c r="K1456" s="22">
        <v>141</v>
      </c>
      <c r="L1456" s="22">
        <v>44</v>
      </c>
      <c r="M1456" s="22">
        <v>95</v>
      </c>
      <c r="N1456" s="22"/>
      <c r="O1456" s="22">
        <v>2</v>
      </c>
      <c r="P1456" s="10"/>
      <c r="Q1456" s="13"/>
      <c r="R1456" s="13"/>
      <c r="S1456" s="16"/>
      <c r="T1456" s="16"/>
    </row>
    <row r="1457" spans="1:20" x14ac:dyDescent="0.25">
      <c r="A1457" s="14">
        <v>2015</v>
      </c>
      <c r="B1457" s="14" t="s">
        <v>137</v>
      </c>
      <c r="C1457" s="14" t="s">
        <v>139</v>
      </c>
      <c r="D1457" s="14">
        <v>4</v>
      </c>
      <c r="E1457" s="14">
        <v>1</v>
      </c>
      <c r="F1457" s="14">
        <v>16</v>
      </c>
      <c r="G1457" s="14">
        <v>2</v>
      </c>
      <c r="H1457" s="14" t="s">
        <v>7</v>
      </c>
      <c r="I1457" s="19">
        <v>42188</v>
      </c>
      <c r="J1457" s="14" t="s">
        <v>125</v>
      </c>
      <c r="K1457" s="22">
        <v>153</v>
      </c>
      <c r="L1457" s="22">
        <v>52</v>
      </c>
      <c r="M1457" s="22">
        <v>100</v>
      </c>
      <c r="N1457" s="22"/>
      <c r="O1457" s="22">
        <v>1</v>
      </c>
      <c r="P1457" s="10"/>
      <c r="Q1457" s="13"/>
      <c r="R1457" s="13"/>
      <c r="S1457" s="16"/>
      <c r="T1457" s="16"/>
    </row>
    <row r="1458" spans="1:20" x14ac:dyDescent="0.25">
      <c r="A1458" s="14">
        <v>2015</v>
      </c>
      <c r="B1458" s="14" t="s">
        <v>137</v>
      </c>
      <c r="C1458" s="14" t="s">
        <v>139</v>
      </c>
      <c r="D1458" s="14">
        <v>5</v>
      </c>
      <c r="E1458" s="14">
        <v>4</v>
      </c>
      <c r="F1458" s="14">
        <v>17</v>
      </c>
      <c r="G1458" s="14">
        <v>2</v>
      </c>
      <c r="H1458" s="14" t="s">
        <v>8</v>
      </c>
      <c r="I1458" s="19">
        <v>42188</v>
      </c>
      <c r="J1458" s="14" t="s">
        <v>125</v>
      </c>
      <c r="K1458" s="22">
        <v>110</v>
      </c>
      <c r="L1458" s="22">
        <v>37</v>
      </c>
      <c r="M1458" s="22">
        <v>72</v>
      </c>
      <c r="N1458" s="22"/>
      <c r="O1458" s="22">
        <v>0</v>
      </c>
      <c r="P1458" s="10"/>
      <c r="Q1458" s="13"/>
      <c r="R1458" s="13"/>
      <c r="S1458" s="16"/>
      <c r="T1458" s="16"/>
    </row>
    <row r="1459" spans="1:20" x14ac:dyDescent="0.25">
      <c r="A1459" s="14">
        <v>2015</v>
      </c>
      <c r="B1459" s="14" t="s">
        <v>137</v>
      </c>
      <c r="C1459" s="14" t="s">
        <v>139</v>
      </c>
      <c r="D1459" s="14">
        <v>5</v>
      </c>
      <c r="E1459" s="14">
        <v>3</v>
      </c>
      <c r="F1459" s="14">
        <v>18</v>
      </c>
      <c r="G1459" s="14">
        <v>2</v>
      </c>
      <c r="H1459" s="14" t="s">
        <v>5</v>
      </c>
      <c r="I1459" s="19">
        <v>42188</v>
      </c>
      <c r="J1459" s="14" t="s">
        <v>125</v>
      </c>
      <c r="K1459" s="22">
        <v>151</v>
      </c>
      <c r="L1459" s="22">
        <v>48</v>
      </c>
      <c r="M1459" s="22">
        <v>101</v>
      </c>
      <c r="N1459" s="22"/>
      <c r="O1459" s="22">
        <v>2</v>
      </c>
      <c r="P1459" s="10"/>
      <c r="Q1459" s="13"/>
      <c r="R1459" s="13"/>
      <c r="S1459" s="16"/>
      <c r="T1459" s="16"/>
    </row>
    <row r="1460" spans="1:20" x14ac:dyDescent="0.25">
      <c r="A1460" s="14">
        <v>2015</v>
      </c>
      <c r="B1460" s="14" t="s">
        <v>137</v>
      </c>
      <c r="C1460" s="14" t="s">
        <v>139</v>
      </c>
      <c r="D1460" s="14">
        <v>5</v>
      </c>
      <c r="E1460" s="14">
        <v>2</v>
      </c>
      <c r="F1460" s="14">
        <v>19</v>
      </c>
      <c r="G1460" s="14">
        <v>2</v>
      </c>
      <c r="H1460" s="14" t="s">
        <v>4</v>
      </c>
      <c r="I1460" s="19">
        <v>42188</v>
      </c>
      <c r="J1460" s="14" t="s">
        <v>125</v>
      </c>
      <c r="K1460" s="22">
        <v>125</v>
      </c>
      <c r="L1460" s="22">
        <v>41</v>
      </c>
      <c r="M1460" s="22">
        <v>82</v>
      </c>
      <c r="N1460" s="22"/>
      <c r="O1460" s="22">
        <v>1</v>
      </c>
      <c r="P1460" s="10"/>
      <c r="Q1460" s="13"/>
      <c r="R1460" s="13"/>
      <c r="S1460" s="16"/>
      <c r="T1460" s="16"/>
    </row>
    <row r="1461" spans="1:20" x14ac:dyDescent="0.25">
      <c r="A1461" s="14">
        <v>2015</v>
      </c>
      <c r="B1461" s="14" t="s">
        <v>137</v>
      </c>
      <c r="C1461" s="14" t="s">
        <v>139</v>
      </c>
      <c r="D1461" s="14">
        <v>5</v>
      </c>
      <c r="E1461" s="14">
        <v>1</v>
      </c>
      <c r="F1461" s="14">
        <v>20</v>
      </c>
      <c r="G1461" s="14">
        <v>2</v>
      </c>
      <c r="H1461" s="14" t="s">
        <v>14</v>
      </c>
      <c r="I1461" s="19">
        <v>42188</v>
      </c>
      <c r="J1461" s="14" t="s">
        <v>125</v>
      </c>
      <c r="K1461" s="22">
        <v>138</v>
      </c>
      <c r="L1461" s="22">
        <v>44</v>
      </c>
      <c r="M1461" s="22">
        <v>91</v>
      </c>
      <c r="N1461" s="22"/>
      <c r="O1461" s="22">
        <v>3</v>
      </c>
      <c r="P1461" s="10"/>
      <c r="Q1461" s="13"/>
      <c r="R1461" s="13"/>
      <c r="S1461" s="16"/>
      <c r="T1461" s="16"/>
    </row>
    <row r="1462" spans="1:20" x14ac:dyDescent="0.25">
      <c r="A1462" s="14">
        <v>2015</v>
      </c>
      <c r="B1462" s="14" t="s">
        <v>137</v>
      </c>
      <c r="C1462" s="14" t="s">
        <v>139</v>
      </c>
      <c r="D1462" s="14">
        <v>6</v>
      </c>
      <c r="E1462" s="14">
        <v>4</v>
      </c>
      <c r="F1462" s="14">
        <v>21</v>
      </c>
      <c r="G1462" s="14">
        <v>2</v>
      </c>
      <c r="H1462" s="14" t="s">
        <v>9</v>
      </c>
      <c r="I1462" s="19">
        <v>42188</v>
      </c>
      <c r="J1462" s="14" t="s">
        <v>125</v>
      </c>
      <c r="K1462" s="22">
        <v>156</v>
      </c>
      <c r="L1462" s="22">
        <v>49</v>
      </c>
      <c r="M1462" s="22">
        <v>105</v>
      </c>
      <c r="N1462" s="22"/>
      <c r="O1462" s="22">
        <v>1</v>
      </c>
      <c r="P1462" s="10"/>
      <c r="Q1462" s="13"/>
      <c r="R1462" s="13"/>
      <c r="S1462" s="16"/>
      <c r="T1462" s="16"/>
    </row>
    <row r="1463" spans="1:20" x14ac:dyDescent="0.25">
      <c r="A1463" s="14">
        <v>2015</v>
      </c>
      <c r="B1463" s="14" t="s">
        <v>137</v>
      </c>
      <c r="C1463" s="14" t="s">
        <v>139</v>
      </c>
      <c r="D1463" s="14">
        <v>6</v>
      </c>
      <c r="E1463" s="14">
        <v>3</v>
      </c>
      <c r="F1463" s="14">
        <v>22</v>
      </c>
      <c r="G1463" s="14">
        <v>2</v>
      </c>
      <c r="H1463" s="14" t="s">
        <v>12</v>
      </c>
      <c r="I1463" s="19">
        <v>42188</v>
      </c>
      <c r="J1463" s="14" t="s">
        <v>125</v>
      </c>
      <c r="K1463" s="22">
        <v>134</v>
      </c>
      <c r="L1463" s="22">
        <v>49</v>
      </c>
      <c r="M1463" s="22">
        <v>83</v>
      </c>
      <c r="N1463" s="22"/>
      <c r="O1463" s="22">
        <v>1</v>
      </c>
      <c r="P1463" s="10"/>
      <c r="Q1463" s="13"/>
      <c r="R1463" s="13"/>
      <c r="S1463" s="16"/>
      <c r="T1463" s="16"/>
    </row>
    <row r="1464" spans="1:20" x14ac:dyDescent="0.25">
      <c r="A1464" s="14">
        <v>2015</v>
      </c>
      <c r="B1464" s="14" t="s">
        <v>137</v>
      </c>
      <c r="C1464" s="14" t="s">
        <v>139</v>
      </c>
      <c r="D1464" s="14">
        <v>6</v>
      </c>
      <c r="E1464" s="14">
        <v>2</v>
      </c>
      <c r="F1464" s="14">
        <v>23</v>
      </c>
      <c r="G1464" s="14">
        <v>2</v>
      </c>
      <c r="H1464" s="14" t="s">
        <v>6</v>
      </c>
      <c r="I1464" s="19">
        <v>42188</v>
      </c>
      <c r="J1464" s="14" t="s">
        <v>125</v>
      </c>
      <c r="K1464" s="22">
        <v>166</v>
      </c>
      <c r="L1464" s="22">
        <v>60</v>
      </c>
      <c r="M1464" s="22">
        <v>103</v>
      </c>
      <c r="N1464" s="22"/>
      <c r="O1464" s="22">
        <v>3</v>
      </c>
      <c r="P1464" s="10"/>
      <c r="Q1464" s="13"/>
      <c r="R1464" s="13"/>
      <c r="S1464" s="16"/>
      <c r="T1464" s="16"/>
    </row>
    <row r="1465" spans="1:20" x14ac:dyDescent="0.25">
      <c r="A1465" s="14">
        <v>2015</v>
      </c>
      <c r="B1465" s="14" t="s">
        <v>137</v>
      </c>
      <c r="C1465" s="14" t="s">
        <v>139</v>
      </c>
      <c r="D1465" s="14">
        <v>6</v>
      </c>
      <c r="E1465" s="14">
        <v>1</v>
      </c>
      <c r="F1465" s="14">
        <v>24</v>
      </c>
      <c r="G1465" s="14">
        <v>2</v>
      </c>
      <c r="H1465" s="14" t="s">
        <v>10</v>
      </c>
      <c r="I1465" s="19">
        <v>42188</v>
      </c>
      <c r="J1465" s="14" t="s">
        <v>125</v>
      </c>
      <c r="K1465" s="22">
        <v>141</v>
      </c>
      <c r="L1465" s="22">
        <v>44</v>
      </c>
      <c r="M1465" s="22">
        <v>96</v>
      </c>
      <c r="N1465" s="22"/>
      <c r="O1465" s="22">
        <v>1</v>
      </c>
      <c r="P1465" s="10"/>
      <c r="Q1465" s="13"/>
      <c r="R1465" s="13"/>
      <c r="S1465" s="16"/>
      <c r="T1465" s="16"/>
    </row>
    <row r="1466" spans="1:20" x14ac:dyDescent="0.25">
      <c r="A1466" s="14">
        <v>2015</v>
      </c>
      <c r="B1466" s="14" t="s">
        <v>137</v>
      </c>
      <c r="C1466" s="14" t="s">
        <v>139</v>
      </c>
      <c r="D1466" s="14">
        <v>7</v>
      </c>
      <c r="E1466" s="14">
        <v>4</v>
      </c>
      <c r="F1466" s="14">
        <v>25</v>
      </c>
      <c r="G1466" s="14">
        <v>3</v>
      </c>
      <c r="H1466" s="14" t="s">
        <v>12</v>
      </c>
      <c r="I1466" s="19">
        <v>42188</v>
      </c>
      <c r="J1466" s="14" t="s">
        <v>125</v>
      </c>
      <c r="K1466" s="22">
        <v>121</v>
      </c>
      <c r="L1466" s="22">
        <v>42</v>
      </c>
      <c r="M1466" s="22">
        <v>78</v>
      </c>
      <c r="N1466" s="22"/>
      <c r="O1466" s="22">
        <v>2</v>
      </c>
      <c r="P1466" s="10"/>
      <c r="Q1466" s="13"/>
      <c r="R1466" s="13"/>
      <c r="S1466" s="16"/>
      <c r="T1466" s="16"/>
    </row>
    <row r="1467" spans="1:20" x14ac:dyDescent="0.25">
      <c r="A1467" s="14">
        <v>2015</v>
      </c>
      <c r="B1467" s="14" t="s">
        <v>137</v>
      </c>
      <c r="C1467" s="14" t="s">
        <v>139</v>
      </c>
      <c r="D1467" s="14">
        <v>7</v>
      </c>
      <c r="E1467" s="14">
        <v>3</v>
      </c>
      <c r="F1467" s="14">
        <v>26</v>
      </c>
      <c r="G1467" s="14">
        <v>3</v>
      </c>
      <c r="H1467" s="14" t="s">
        <v>8</v>
      </c>
      <c r="I1467" s="19">
        <v>42188</v>
      </c>
      <c r="J1467" s="14" t="s">
        <v>125</v>
      </c>
      <c r="K1467" s="22">
        <v>157</v>
      </c>
      <c r="L1467" s="22">
        <v>53</v>
      </c>
      <c r="M1467" s="22">
        <v>103</v>
      </c>
      <c r="N1467" s="22"/>
      <c r="O1467" s="22">
        <v>1</v>
      </c>
      <c r="P1467" s="10"/>
      <c r="Q1467" s="13"/>
      <c r="R1467" s="13"/>
      <c r="S1467" s="16"/>
      <c r="T1467" s="16"/>
    </row>
    <row r="1468" spans="1:20" x14ac:dyDescent="0.25">
      <c r="A1468" s="14">
        <v>2015</v>
      </c>
      <c r="B1468" s="14" t="s">
        <v>137</v>
      </c>
      <c r="C1468" s="14" t="s">
        <v>139</v>
      </c>
      <c r="D1468" s="14">
        <v>7</v>
      </c>
      <c r="E1468" s="14">
        <v>2</v>
      </c>
      <c r="F1468" s="14">
        <v>27</v>
      </c>
      <c r="G1468" s="14">
        <v>3</v>
      </c>
      <c r="H1468" s="14" t="s">
        <v>10</v>
      </c>
      <c r="I1468" s="19">
        <v>42188</v>
      </c>
      <c r="J1468" s="14" t="s">
        <v>125</v>
      </c>
      <c r="K1468" s="22">
        <v>132</v>
      </c>
      <c r="L1468" s="22">
        <v>40</v>
      </c>
      <c r="M1468" s="22">
        <v>90</v>
      </c>
      <c r="N1468" s="22"/>
      <c r="O1468" s="22">
        <v>2</v>
      </c>
      <c r="P1468" s="10"/>
      <c r="Q1468" s="13"/>
      <c r="R1468" s="13"/>
      <c r="S1468" s="16"/>
      <c r="T1468" s="16"/>
    </row>
    <row r="1469" spans="1:20" x14ac:dyDescent="0.25">
      <c r="A1469" s="14">
        <v>2015</v>
      </c>
      <c r="B1469" s="14" t="s">
        <v>137</v>
      </c>
      <c r="C1469" s="14" t="s">
        <v>139</v>
      </c>
      <c r="D1469" s="14">
        <v>7</v>
      </c>
      <c r="E1469" s="14">
        <v>1</v>
      </c>
      <c r="F1469" s="14">
        <v>28</v>
      </c>
      <c r="G1469" s="14">
        <v>3</v>
      </c>
      <c r="H1469" s="14" t="s">
        <v>4</v>
      </c>
      <c r="I1469" s="19">
        <v>42188</v>
      </c>
      <c r="J1469" s="14" t="s">
        <v>125</v>
      </c>
      <c r="K1469" s="22">
        <v>81</v>
      </c>
      <c r="L1469" s="22">
        <v>27</v>
      </c>
      <c r="M1469" s="22">
        <v>53</v>
      </c>
      <c r="N1469" s="22"/>
      <c r="O1469" s="22">
        <v>1</v>
      </c>
      <c r="P1469" s="10"/>
      <c r="Q1469" s="13"/>
      <c r="R1469" s="13"/>
      <c r="S1469" s="16"/>
      <c r="T1469" s="16"/>
    </row>
    <row r="1470" spans="1:20" x14ac:dyDescent="0.25">
      <c r="A1470" s="14">
        <v>2015</v>
      </c>
      <c r="B1470" s="14" t="s">
        <v>137</v>
      </c>
      <c r="C1470" s="14" t="s">
        <v>139</v>
      </c>
      <c r="D1470" s="14">
        <v>8</v>
      </c>
      <c r="E1470" s="14">
        <v>4</v>
      </c>
      <c r="F1470" s="14">
        <v>29</v>
      </c>
      <c r="G1470" s="14">
        <v>3</v>
      </c>
      <c r="H1470" s="14" t="s">
        <v>7</v>
      </c>
      <c r="I1470" s="19">
        <v>42188</v>
      </c>
      <c r="J1470" s="14" t="s">
        <v>125</v>
      </c>
      <c r="K1470" s="22">
        <v>160</v>
      </c>
      <c r="L1470" s="22">
        <v>58</v>
      </c>
      <c r="M1470" s="22">
        <v>101</v>
      </c>
      <c r="N1470" s="22"/>
      <c r="O1470" s="22">
        <v>0</v>
      </c>
      <c r="P1470" s="10"/>
      <c r="Q1470" s="13"/>
      <c r="R1470" s="13"/>
      <c r="S1470" s="16"/>
      <c r="T1470" s="16"/>
    </row>
    <row r="1471" spans="1:20" x14ac:dyDescent="0.25">
      <c r="A1471" s="14">
        <v>2015</v>
      </c>
      <c r="B1471" s="14" t="s">
        <v>137</v>
      </c>
      <c r="C1471" s="14" t="s">
        <v>139</v>
      </c>
      <c r="D1471" s="14">
        <v>8</v>
      </c>
      <c r="E1471" s="14">
        <v>3</v>
      </c>
      <c r="F1471" s="14">
        <v>30</v>
      </c>
      <c r="G1471" s="14">
        <v>3</v>
      </c>
      <c r="H1471" s="14" t="s">
        <v>6</v>
      </c>
      <c r="I1471" s="19">
        <v>42188</v>
      </c>
      <c r="J1471" s="14" t="s">
        <v>125</v>
      </c>
      <c r="K1471" s="22">
        <v>130</v>
      </c>
      <c r="L1471" s="22">
        <v>46</v>
      </c>
      <c r="M1471" s="22">
        <v>84</v>
      </c>
      <c r="N1471" s="22"/>
      <c r="O1471" s="22">
        <v>1</v>
      </c>
      <c r="P1471" s="10"/>
      <c r="Q1471" s="13"/>
      <c r="R1471" s="13"/>
      <c r="S1471" s="16"/>
      <c r="T1471" s="16"/>
    </row>
    <row r="1472" spans="1:20" x14ac:dyDescent="0.25">
      <c r="A1472" s="14">
        <v>2015</v>
      </c>
      <c r="B1472" s="14" t="s">
        <v>137</v>
      </c>
      <c r="C1472" s="14" t="s">
        <v>139</v>
      </c>
      <c r="D1472" s="14">
        <v>8</v>
      </c>
      <c r="E1472" s="14">
        <v>2</v>
      </c>
      <c r="F1472" s="14">
        <v>31</v>
      </c>
      <c r="G1472" s="14">
        <v>3</v>
      </c>
      <c r="H1472" s="14" t="s">
        <v>5</v>
      </c>
      <c r="I1472" s="19">
        <v>42188</v>
      </c>
      <c r="J1472" s="14" t="s">
        <v>125</v>
      </c>
      <c r="K1472" s="22">
        <v>161</v>
      </c>
      <c r="L1472" s="22">
        <v>52</v>
      </c>
      <c r="M1472" s="22">
        <v>108</v>
      </c>
      <c r="N1472" s="22"/>
      <c r="O1472" s="22">
        <v>1</v>
      </c>
      <c r="P1472" s="10"/>
      <c r="Q1472" s="13"/>
      <c r="R1472" s="13"/>
      <c r="S1472" s="16"/>
      <c r="T1472" s="16"/>
    </row>
    <row r="1473" spans="1:20" x14ac:dyDescent="0.25">
      <c r="A1473" s="14">
        <v>2015</v>
      </c>
      <c r="B1473" s="14" t="s">
        <v>137</v>
      </c>
      <c r="C1473" s="14" t="s">
        <v>139</v>
      </c>
      <c r="D1473" s="14">
        <v>8</v>
      </c>
      <c r="E1473" s="14">
        <v>1</v>
      </c>
      <c r="F1473" s="14">
        <v>32</v>
      </c>
      <c r="G1473" s="14">
        <v>3</v>
      </c>
      <c r="H1473" s="14" t="s">
        <v>3</v>
      </c>
      <c r="I1473" s="19">
        <v>42188</v>
      </c>
      <c r="J1473" s="14" t="s">
        <v>125</v>
      </c>
      <c r="K1473" s="22">
        <v>126</v>
      </c>
      <c r="L1473" s="22">
        <v>36</v>
      </c>
      <c r="M1473" s="22">
        <v>89</v>
      </c>
      <c r="N1473" s="22"/>
      <c r="O1473" s="22">
        <v>1</v>
      </c>
      <c r="P1473" s="10"/>
      <c r="Q1473" s="13"/>
      <c r="R1473" s="13"/>
      <c r="S1473" s="16"/>
      <c r="T1473" s="16"/>
    </row>
    <row r="1474" spans="1:20" x14ac:dyDescent="0.25">
      <c r="A1474" s="14">
        <v>2015</v>
      </c>
      <c r="B1474" s="14" t="s">
        <v>137</v>
      </c>
      <c r="C1474" s="14" t="s">
        <v>139</v>
      </c>
      <c r="D1474" s="14">
        <v>9</v>
      </c>
      <c r="E1474" s="14">
        <v>4</v>
      </c>
      <c r="F1474" s="14">
        <v>33</v>
      </c>
      <c r="G1474" s="14">
        <v>3</v>
      </c>
      <c r="H1474" s="14" t="s">
        <v>2</v>
      </c>
      <c r="I1474" s="19">
        <v>42188</v>
      </c>
      <c r="J1474" s="14" t="s">
        <v>125</v>
      </c>
      <c r="K1474" s="22">
        <v>113</v>
      </c>
      <c r="L1474" s="22">
        <v>36</v>
      </c>
      <c r="M1474" s="22">
        <v>77</v>
      </c>
      <c r="N1474" s="22"/>
      <c r="O1474" s="22">
        <v>1</v>
      </c>
      <c r="P1474" s="10"/>
      <c r="Q1474" s="13"/>
      <c r="R1474" s="13"/>
      <c r="S1474" s="16"/>
      <c r="T1474" s="16"/>
    </row>
    <row r="1475" spans="1:20" x14ac:dyDescent="0.25">
      <c r="A1475" s="14">
        <v>2015</v>
      </c>
      <c r="B1475" s="14" t="s">
        <v>137</v>
      </c>
      <c r="C1475" s="14" t="s">
        <v>139</v>
      </c>
      <c r="D1475" s="14">
        <v>9</v>
      </c>
      <c r="E1475" s="14">
        <v>3</v>
      </c>
      <c r="F1475" s="14">
        <v>34</v>
      </c>
      <c r="G1475" s="14">
        <v>3</v>
      </c>
      <c r="H1475" s="14" t="s">
        <v>14</v>
      </c>
      <c r="I1475" s="19">
        <v>42188</v>
      </c>
      <c r="J1475" s="14" t="s">
        <v>125</v>
      </c>
      <c r="K1475" s="22">
        <v>133</v>
      </c>
      <c r="L1475" s="22">
        <v>42</v>
      </c>
      <c r="M1475" s="22">
        <v>89</v>
      </c>
      <c r="N1475" s="22"/>
      <c r="O1475" s="22">
        <v>2</v>
      </c>
      <c r="P1475" s="10"/>
      <c r="Q1475" s="13"/>
      <c r="R1475" s="13"/>
      <c r="S1475" s="16"/>
      <c r="T1475" s="16"/>
    </row>
    <row r="1476" spans="1:20" x14ac:dyDescent="0.25">
      <c r="A1476" s="14">
        <v>2015</v>
      </c>
      <c r="B1476" s="14" t="s">
        <v>137</v>
      </c>
      <c r="C1476" s="14" t="s">
        <v>139</v>
      </c>
      <c r="D1476" s="14">
        <v>9</v>
      </c>
      <c r="E1476" s="14">
        <v>2</v>
      </c>
      <c r="F1476" s="14">
        <v>35</v>
      </c>
      <c r="G1476" s="14">
        <v>3</v>
      </c>
      <c r="H1476" s="14" t="s">
        <v>9</v>
      </c>
      <c r="I1476" s="19">
        <v>42188</v>
      </c>
      <c r="J1476" s="14" t="s">
        <v>125</v>
      </c>
      <c r="K1476" s="22">
        <v>113</v>
      </c>
      <c r="L1476" s="22">
        <v>37</v>
      </c>
      <c r="M1476" s="22">
        <v>74</v>
      </c>
      <c r="N1476" s="22"/>
      <c r="O1476" s="22">
        <v>2</v>
      </c>
      <c r="P1476" s="10"/>
      <c r="Q1476" s="13"/>
      <c r="R1476" s="13"/>
      <c r="S1476" s="16"/>
      <c r="T1476" s="16"/>
    </row>
    <row r="1477" spans="1:20" x14ac:dyDescent="0.25">
      <c r="A1477" s="14">
        <v>2015</v>
      </c>
      <c r="B1477" s="14" t="s">
        <v>137</v>
      </c>
      <c r="C1477" s="14" t="s">
        <v>139</v>
      </c>
      <c r="D1477" s="14">
        <v>9</v>
      </c>
      <c r="E1477" s="14">
        <v>1</v>
      </c>
      <c r="F1477" s="14">
        <v>36</v>
      </c>
      <c r="G1477" s="14">
        <v>3</v>
      </c>
      <c r="H1477" s="14" t="s">
        <v>13</v>
      </c>
      <c r="I1477" s="19">
        <v>42188</v>
      </c>
      <c r="J1477" s="14" t="s">
        <v>125</v>
      </c>
      <c r="K1477" s="22">
        <v>137</v>
      </c>
      <c r="L1477" s="22">
        <v>56</v>
      </c>
      <c r="M1477" s="22">
        <v>77</v>
      </c>
      <c r="N1477" s="22"/>
      <c r="O1477" s="22">
        <v>3</v>
      </c>
      <c r="P1477" s="10"/>
      <c r="Q1477" s="13"/>
      <c r="R1477" s="13"/>
      <c r="S1477" s="16"/>
      <c r="T1477" s="16"/>
    </row>
    <row r="1478" spans="1:20" x14ac:dyDescent="0.25">
      <c r="A1478" s="14">
        <v>2015</v>
      </c>
      <c r="B1478" s="14" t="s">
        <v>137</v>
      </c>
      <c r="C1478" s="14" t="s">
        <v>139</v>
      </c>
      <c r="D1478" s="14">
        <v>10</v>
      </c>
      <c r="E1478" s="14">
        <v>4</v>
      </c>
      <c r="F1478" s="14">
        <v>37</v>
      </c>
      <c r="G1478" s="14">
        <v>4</v>
      </c>
      <c r="H1478" s="14" t="s">
        <v>14</v>
      </c>
      <c r="I1478" s="19">
        <v>42188</v>
      </c>
      <c r="J1478" s="14" t="s">
        <v>125</v>
      </c>
      <c r="K1478" s="22">
        <v>146</v>
      </c>
      <c r="L1478" s="22">
        <v>48</v>
      </c>
      <c r="M1478" s="22">
        <v>97</v>
      </c>
      <c r="N1478" s="22"/>
      <c r="O1478" s="22">
        <v>1</v>
      </c>
      <c r="P1478" s="10"/>
      <c r="Q1478" s="13"/>
      <c r="R1478" s="13"/>
      <c r="S1478" s="16"/>
      <c r="T1478" s="16"/>
    </row>
    <row r="1479" spans="1:20" x14ac:dyDescent="0.25">
      <c r="A1479" s="14">
        <v>2015</v>
      </c>
      <c r="B1479" s="14" t="s">
        <v>137</v>
      </c>
      <c r="C1479" s="14" t="s">
        <v>139</v>
      </c>
      <c r="D1479" s="14">
        <v>10</v>
      </c>
      <c r="E1479" s="14">
        <v>3</v>
      </c>
      <c r="F1479" s="14">
        <v>38</v>
      </c>
      <c r="G1479" s="14">
        <v>4</v>
      </c>
      <c r="H1479" s="14" t="s">
        <v>3</v>
      </c>
      <c r="I1479" s="19">
        <v>42188</v>
      </c>
      <c r="J1479" s="14" t="s">
        <v>125</v>
      </c>
      <c r="K1479" s="22">
        <v>63</v>
      </c>
      <c r="L1479" s="22">
        <v>19</v>
      </c>
      <c r="M1479" s="22">
        <v>43</v>
      </c>
      <c r="N1479" s="22"/>
      <c r="O1479" s="22">
        <v>0</v>
      </c>
      <c r="P1479" s="10"/>
      <c r="Q1479" s="13"/>
      <c r="R1479" s="13"/>
      <c r="S1479" s="16"/>
      <c r="T1479" s="16"/>
    </row>
    <row r="1480" spans="1:20" x14ac:dyDescent="0.25">
      <c r="A1480" s="14">
        <v>2015</v>
      </c>
      <c r="B1480" s="14" t="s">
        <v>137</v>
      </c>
      <c r="C1480" s="14" t="s">
        <v>139</v>
      </c>
      <c r="D1480" s="14">
        <v>10</v>
      </c>
      <c r="E1480" s="14">
        <v>2</v>
      </c>
      <c r="F1480" s="14">
        <v>39</v>
      </c>
      <c r="G1480" s="14">
        <v>4</v>
      </c>
      <c r="H1480" s="14" t="s">
        <v>7</v>
      </c>
      <c r="I1480" s="19">
        <v>42188</v>
      </c>
      <c r="J1480" s="14" t="s">
        <v>125</v>
      </c>
      <c r="K1480" s="22">
        <v>172</v>
      </c>
      <c r="L1480" s="22">
        <v>61</v>
      </c>
      <c r="M1480" s="22">
        <v>111</v>
      </c>
      <c r="N1480" s="22"/>
      <c r="O1480" s="22">
        <v>1</v>
      </c>
      <c r="P1480" s="10"/>
      <c r="Q1480" s="13"/>
      <c r="R1480" s="13"/>
      <c r="S1480" s="16"/>
      <c r="T1480" s="16"/>
    </row>
    <row r="1481" spans="1:20" x14ac:dyDescent="0.25">
      <c r="A1481" s="14">
        <v>2015</v>
      </c>
      <c r="B1481" s="14" t="s">
        <v>137</v>
      </c>
      <c r="C1481" s="14" t="s">
        <v>139</v>
      </c>
      <c r="D1481" s="14">
        <v>10</v>
      </c>
      <c r="E1481" s="14">
        <v>1</v>
      </c>
      <c r="F1481" s="14">
        <v>40</v>
      </c>
      <c r="G1481" s="14">
        <v>4</v>
      </c>
      <c r="H1481" s="14" t="s">
        <v>9</v>
      </c>
      <c r="I1481" s="19">
        <v>42188</v>
      </c>
      <c r="J1481" s="14" t="s">
        <v>125</v>
      </c>
      <c r="K1481" s="22">
        <v>122</v>
      </c>
      <c r="L1481" s="22">
        <v>39</v>
      </c>
      <c r="M1481" s="22">
        <v>82</v>
      </c>
      <c r="N1481" s="22"/>
      <c r="O1481" s="22">
        <v>1</v>
      </c>
      <c r="P1481" s="10"/>
      <c r="Q1481" s="13"/>
      <c r="R1481" s="13"/>
      <c r="S1481" s="16"/>
      <c r="T1481" s="16"/>
    </row>
    <row r="1482" spans="1:20" x14ac:dyDescent="0.25">
      <c r="A1482" s="14">
        <v>2015</v>
      </c>
      <c r="B1482" s="14" t="s">
        <v>137</v>
      </c>
      <c r="C1482" s="14" t="s">
        <v>139</v>
      </c>
      <c r="D1482" s="14">
        <v>11</v>
      </c>
      <c r="E1482" s="14">
        <v>4</v>
      </c>
      <c r="F1482" s="14">
        <v>41</v>
      </c>
      <c r="G1482" s="14">
        <v>4</v>
      </c>
      <c r="H1482" s="14" t="s">
        <v>5</v>
      </c>
      <c r="I1482" s="19">
        <v>42188</v>
      </c>
      <c r="J1482" s="14" t="s">
        <v>125</v>
      </c>
      <c r="K1482" s="22">
        <v>117</v>
      </c>
      <c r="L1482" s="22">
        <v>36</v>
      </c>
      <c r="M1482" s="22">
        <v>80</v>
      </c>
      <c r="N1482" s="22"/>
      <c r="O1482" s="22">
        <v>1</v>
      </c>
      <c r="P1482" s="10"/>
      <c r="Q1482" s="13"/>
      <c r="R1482" s="13"/>
      <c r="S1482" s="16"/>
      <c r="T1482" s="16"/>
    </row>
    <row r="1483" spans="1:20" x14ac:dyDescent="0.25">
      <c r="A1483" s="14">
        <v>2015</v>
      </c>
      <c r="B1483" s="14" t="s">
        <v>137</v>
      </c>
      <c r="C1483" s="14" t="s">
        <v>139</v>
      </c>
      <c r="D1483" s="14">
        <v>11</v>
      </c>
      <c r="E1483" s="14">
        <v>3</v>
      </c>
      <c r="F1483" s="14">
        <v>42</v>
      </c>
      <c r="G1483" s="14">
        <v>4</v>
      </c>
      <c r="H1483" s="14" t="s">
        <v>2</v>
      </c>
      <c r="I1483" s="19">
        <v>42188</v>
      </c>
      <c r="J1483" s="14" t="s">
        <v>125</v>
      </c>
      <c r="K1483" s="22">
        <v>42</v>
      </c>
      <c r="L1483" s="22">
        <v>14</v>
      </c>
      <c r="M1483" s="22">
        <v>29</v>
      </c>
      <c r="N1483" s="22"/>
      <c r="O1483" s="22">
        <v>0</v>
      </c>
      <c r="P1483" s="10"/>
      <c r="Q1483" s="13"/>
      <c r="R1483" s="13"/>
      <c r="S1483" s="16"/>
      <c r="T1483" s="16"/>
    </row>
    <row r="1484" spans="1:20" x14ac:dyDescent="0.25">
      <c r="A1484" s="14">
        <v>2015</v>
      </c>
      <c r="B1484" s="14" t="s">
        <v>137</v>
      </c>
      <c r="C1484" s="14" t="s">
        <v>139</v>
      </c>
      <c r="D1484" s="14">
        <v>11</v>
      </c>
      <c r="E1484" s="14">
        <v>2</v>
      </c>
      <c r="F1484" s="14">
        <v>43</v>
      </c>
      <c r="G1484" s="14">
        <v>4</v>
      </c>
      <c r="H1484" s="14" t="s">
        <v>8</v>
      </c>
      <c r="I1484" s="19">
        <v>42188</v>
      </c>
      <c r="J1484" s="14" t="s">
        <v>125</v>
      </c>
      <c r="K1484" s="22">
        <v>129</v>
      </c>
      <c r="L1484" s="22">
        <v>47</v>
      </c>
      <c r="M1484" s="22">
        <v>81</v>
      </c>
      <c r="N1484" s="22"/>
      <c r="O1484" s="22">
        <v>0</v>
      </c>
      <c r="P1484" s="10"/>
      <c r="Q1484" s="13"/>
      <c r="R1484" s="13"/>
      <c r="S1484" s="16"/>
      <c r="T1484" s="16"/>
    </row>
    <row r="1485" spans="1:20" x14ac:dyDescent="0.25">
      <c r="A1485" s="14">
        <v>2015</v>
      </c>
      <c r="B1485" s="14" t="s">
        <v>137</v>
      </c>
      <c r="C1485" s="14" t="s">
        <v>139</v>
      </c>
      <c r="D1485" s="14">
        <v>11</v>
      </c>
      <c r="E1485" s="14">
        <v>1</v>
      </c>
      <c r="F1485" s="14">
        <v>44</v>
      </c>
      <c r="G1485" s="14">
        <v>4</v>
      </c>
      <c r="H1485" s="14" t="s">
        <v>6</v>
      </c>
      <c r="I1485" s="19">
        <v>42188</v>
      </c>
      <c r="J1485" s="14" t="s">
        <v>125</v>
      </c>
      <c r="K1485" s="22">
        <v>91</v>
      </c>
      <c r="L1485" s="22">
        <v>33</v>
      </c>
      <c r="M1485" s="22">
        <v>57</v>
      </c>
      <c r="N1485" s="22"/>
      <c r="O1485" s="22">
        <v>1</v>
      </c>
      <c r="P1485" s="10"/>
      <c r="Q1485" s="13"/>
      <c r="R1485" s="13"/>
      <c r="S1485" s="16"/>
      <c r="T1485" s="16"/>
    </row>
    <row r="1486" spans="1:20" x14ac:dyDescent="0.25">
      <c r="A1486" s="14">
        <v>2015</v>
      </c>
      <c r="B1486" s="14" t="s">
        <v>137</v>
      </c>
      <c r="C1486" s="14" t="s">
        <v>139</v>
      </c>
      <c r="D1486" s="14">
        <v>12</v>
      </c>
      <c r="E1486" s="14">
        <v>4</v>
      </c>
      <c r="F1486" s="14">
        <v>45</v>
      </c>
      <c r="G1486" s="14">
        <v>4</v>
      </c>
      <c r="H1486" s="14" t="s">
        <v>4</v>
      </c>
      <c r="I1486" s="19">
        <v>42188</v>
      </c>
      <c r="J1486" s="14" t="s">
        <v>125</v>
      </c>
      <c r="K1486" s="22">
        <v>68</v>
      </c>
      <c r="L1486" s="22">
        <v>3</v>
      </c>
      <c r="M1486" s="22">
        <v>64</v>
      </c>
      <c r="N1486" s="22"/>
      <c r="O1486" s="22">
        <v>1</v>
      </c>
      <c r="P1486" s="10"/>
      <c r="Q1486" s="13"/>
      <c r="R1486" s="13"/>
      <c r="S1486" s="16"/>
      <c r="T1486" s="16"/>
    </row>
    <row r="1487" spans="1:20" x14ac:dyDescent="0.25">
      <c r="A1487" s="14">
        <v>2015</v>
      </c>
      <c r="B1487" s="14" t="s">
        <v>137</v>
      </c>
      <c r="C1487" s="14" t="s">
        <v>139</v>
      </c>
      <c r="D1487" s="14">
        <v>12</v>
      </c>
      <c r="E1487" s="14">
        <v>3</v>
      </c>
      <c r="F1487" s="14">
        <v>46</v>
      </c>
      <c r="G1487" s="14">
        <v>4</v>
      </c>
      <c r="H1487" s="14" t="s">
        <v>10</v>
      </c>
      <c r="I1487" s="19">
        <v>42188</v>
      </c>
      <c r="J1487" s="14" t="s">
        <v>125</v>
      </c>
      <c r="K1487" s="22">
        <v>75</v>
      </c>
      <c r="L1487" s="22">
        <v>22</v>
      </c>
      <c r="M1487" s="22">
        <v>52</v>
      </c>
      <c r="N1487" s="22"/>
      <c r="O1487" s="22">
        <v>1</v>
      </c>
      <c r="P1487" s="10"/>
      <c r="Q1487" s="13"/>
      <c r="R1487" s="13"/>
      <c r="S1487" s="16"/>
      <c r="T1487" s="16"/>
    </row>
    <row r="1488" spans="1:20" x14ac:dyDescent="0.25">
      <c r="A1488" s="14">
        <v>2015</v>
      </c>
      <c r="B1488" s="14" t="s">
        <v>137</v>
      </c>
      <c r="C1488" s="14" t="s">
        <v>139</v>
      </c>
      <c r="D1488" s="14">
        <v>12</v>
      </c>
      <c r="E1488" s="14">
        <v>2</v>
      </c>
      <c r="F1488" s="14">
        <v>47</v>
      </c>
      <c r="G1488" s="14">
        <v>4</v>
      </c>
      <c r="H1488" s="14" t="s">
        <v>13</v>
      </c>
      <c r="I1488" s="19">
        <v>42188</v>
      </c>
      <c r="J1488" s="14" t="s">
        <v>125</v>
      </c>
      <c r="K1488" s="22">
        <v>152</v>
      </c>
      <c r="L1488" s="22">
        <v>61</v>
      </c>
      <c r="M1488" s="22">
        <v>89</v>
      </c>
      <c r="N1488" s="22"/>
      <c r="O1488" s="22">
        <v>2</v>
      </c>
      <c r="P1488" s="10"/>
      <c r="Q1488" s="13"/>
      <c r="R1488" s="13"/>
      <c r="S1488" s="16"/>
      <c r="T1488" s="16"/>
    </row>
    <row r="1489" spans="1:20" x14ac:dyDescent="0.25">
      <c r="A1489" s="14">
        <v>2015</v>
      </c>
      <c r="B1489" s="14" t="s">
        <v>137</v>
      </c>
      <c r="C1489" s="14" t="s">
        <v>139</v>
      </c>
      <c r="D1489" s="14">
        <v>12</v>
      </c>
      <c r="E1489" s="14">
        <v>1</v>
      </c>
      <c r="F1489" s="14">
        <v>48</v>
      </c>
      <c r="G1489" s="14">
        <v>4</v>
      </c>
      <c r="H1489" s="14" t="s">
        <v>12</v>
      </c>
      <c r="I1489" s="19">
        <v>42188</v>
      </c>
      <c r="J1489" s="14" t="s">
        <v>125</v>
      </c>
      <c r="K1489" s="22">
        <v>76</v>
      </c>
      <c r="L1489" s="22">
        <v>26</v>
      </c>
      <c r="M1489" s="22">
        <v>49</v>
      </c>
      <c r="N1489" s="22"/>
      <c r="O1489" s="22">
        <v>1</v>
      </c>
      <c r="P1489" s="10"/>
      <c r="Q1489" s="13"/>
      <c r="R1489" s="13"/>
      <c r="S1489" s="16"/>
      <c r="T1489" s="16"/>
    </row>
    <row r="1490" spans="1:20" x14ac:dyDescent="0.25">
      <c r="A1490" s="14">
        <v>2015</v>
      </c>
      <c r="B1490" s="14" t="s">
        <v>137</v>
      </c>
      <c r="C1490" s="14" t="s">
        <v>139</v>
      </c>
      <c r="D1490" s="14">
        <v>1</v>
      </c>
      <c r="E1490" s="14">
        <v>4</v>
      </c>
      <c r="F1490" s="14">
        <v>1</v>
      </c>
      <c r="G1490" s="14">
        <v>1</v>
      </c>
      <c r="H1490" s="14" t="s">
        <v>6</v>
      </c>
      <c r="I1490" s="19">
        <v>42194</v>
      </c>
      <c r="J1490" s="14" t="s">
        <v>126</v>
      </c>
      <c r="K1490" s="22">
        <v>133</v>
      </c>
      <c r="L1490" s="22">
        <v>48</v>
      </c>
      <c r="M1490" s="22">
        <v>84</v>
      </c>
      <c r="N1490" s="22"/>
      <c r="O1490" s="22">
        <v>1</v>
      </c>
      <c r="P1490" s="10"/>
      <c r="Q1490" s="13"/>
      <c r="R1490" s="13"/>
      <c r="S1490" s="16"/>
      <c r="T1490" s="16"/>
    </row>
    <row r="1491" spans="1:20" x14ac:dyDescent="0.25">
      <c r="A1491" s="14">
        <v>2015</v>
      </c>
      <c r="B1491" s="14" t="s">
        <v>137</v>
      </c>
      <c r="C1491" s="14" t="s">
        <v>139</v>
      </c>
      <c r="D1491" s="14">
        <v>1</v>
      </c>
      <c r="E1491" s="14">
        <v>3</v>
      </c>
      <c r="F1491" s="14">
        <v>2</v>
      </c>
      <c r="G1491" s="14">
        <v>1</v>
      </c>
      <c r="H1491" s="14" t="s">
        <v>9</v>
      </c>
      <c r="I1491" s="19">
        <v>42194</v>
      </c>
      <c r="J1491" s="14" t="s">
        <v>126</v>
      </c>
      <c r="K1491" s="22">
        <v>146</v>
      </c>
      <c r="L1491" s="22">
        <v>52</v>
      </c>
      <c r="M1491" s="22">
        <v>92</v>
      </c>
      <c r="N1491" s="22"/>
      <c r="O1491" s="22">
        <v>2</v>
      </c>
      <c r="P1491" s="10"/>
      <c r="Q1491" s="13"/>
      <c r="R1491" s="13"/>
      <c r="S1491" s="16"/>
      <c r="T1491" s="16"/>
    </row>
    <row r="1492" spans="1:20" x14ac:dyDescent="0.25">
      <c r="A1492" s="14">
        <v>2015</v>
      </c>
      <c r="B1492" s="14" t="s">
        <v>137</v>
      </c>
      <c r="C1492" s="14" t="s">
        <v>139</v>
      </c>
      <c r="D1492" s="14">
        <v>1</v>
      </c>
      <c r="E1492" s="14">
        <v>2</v>
      </c>
      <c r="F1492" s="14">
        <v>3</v>
      </c>
      <c r="G1492" s="14">
        <v>1</v>
      </c>
      <c r="H1492" s="14" t="s">
        <v>3</v>
      </c>
      <c r="I1492" s="19">
        <v>42194</v>
      </c>
      <c r="J1492" s="14" t="s">
        <v>126</v>
      </c>
      <c r="K1492" s="22">
        <v>154</v>
      </c>
      <c r="L1492" s="22">
        <v>46</v>
      </c>
      <c r="M1492" s="22">
        <v>105</v>
      </c>
      <c r="N1492" s="22"/>
      <c r="O1492" s="22">
        <v>3</v>
      </c>
      <c r="P1492" s="10"/>
      <c r="Q1492" s="13"/>
      <c r="R1492" s="13"/>
      <c r="S1492" s="16"/>
      <c r="T1492" s="16"/>
    </row>
    <row r="1493" spans="1:20" x14ac:dyDescent="0.25">
      <c r="A1493" s="14">
        <v>2015</v>
      </c>
      <c r="B1493" s="14" t="s">
        <v>137</v>
      </c>
      <c r="C1493" s="14" t="s">
        <v>139</v>
      </c>
      <c r="D1493" s="14">
        <v>1</v>
      </c>
      <c r="E1493" s="14">
        <v>1</v>
      </c>
      <c r="F1493" s="14">
        <v>4</v>
      </c>
      <c r="G1493" s="14">
        <v>1</v>
      </c>
      <c r="H1493" s="14" t="s">
        <v>5</v>
      </c>
      <c r="I1493" s="19">
        <v>42194</v>
      </c>
      <c r="J1493" s="14" t="s">
        <v>126</v>
      </c>
      <c r="K1493" s="22">
        <v>182</v>
      </c>
      <c r="L1493" s="22">
        <v>63</v>
      </c>
      <c r="M1493" s="22">
        <v>118</v>
      </c>
      <c r="N1493" s="22"/>
      <c r="O1493" s="22">
        <v>2</v>
      </c>
      <c r="P1493" s="10"/>
      <c r="Q1493" s="13"/>
      <c r="R1493" s="13"/>
      <c r="S1493" s="16"/>
      <c r="T1493" s="16"/>
    </row>
    <row r="1494" spans="1:20" x14ac:dyDescent="0.25">
      <c r="A1494" s="14">
        <v>2015</v>
      </c>
      <c r="B1494" s="14" t="s">
        <v>137</v>
      </c>
      <c r="C1494" s="14" t="s">
        <v>139</v>
      </c>
      <c r="D1494" s="14">
        <v>2</v>
      </c>
      <c r="E1494" s="14">
        <v>4</v>
      </c>
      <c r="F1494" s="14">
        <v>5</v>
      </c>
      <c r="G1494" s="14">
        <v>1</v>
      </c>
      <c r="H1494" s="14" t="s">
        <v>13</v>
      </c>
      <c r="I1494" s="19">
        <v>42194</v>
      </c>
      <c r="J1494" s="14" t="s">
        <v>126</v>
      </c>
      <c r="K1494" s="22">
        <v>220</v>
      </c>
      <c r="L1494" s="22">
        <v>103</v>
      </c>
      <c r="M1494" s="22">
        <v>116</v>
      </c>
      <c r="N1494" s="22"/>
      <c r="O1494" s="22">
        <v>1</v>
      </c>
      <c r="P1494" s="10"/>
      <c r="Q1494" s="13"/>
      <c r="R1494" s="13"/>
      <c r="S1494" s="16"/>
      <c r="T1494" s="16"/>
    </row>
    <row r="1495" spans="1:20" x14ac:dyDescent="0.25">
      <c r="A1495" s="14">
        <v>2015</v>
      </c>
      <c r="B1495" s="14" t="s">
        <v>137</v>
      </c>
      <c r="C1495" s="14" t="s">
        <v>139</v>
      </c>
      <c r="D1495" s="14">
        <v>2</v>
      </c>
      <c r="E1495" s="14">
        <v>3</v>
      </c>
      <c r="F1495" s="14">
        <v>6</v>
      </c>
      <c r="G1495" s="14">
        <v>1</v>
      </c>
      <c r="H1495" s="14" t="s">
        <v>4</v>
      </c>
      <c r="I1495" s="19">
        <v>42194</v>
      </c>
      <c r="J1495" s="14" t="s">
        <v>126</v>
      </c>
      <c r="K1495" s="22">
        <v>135</v>
      </c>
      <c r="L1495" s="22">
        <v>45</v>
      </c>
      <c r="M1495" s="22">
        <v>89</v>
      </c>
      <c r="N1495" s="22"/>
      <c r="O1495" s="22">
        <v>1</v>
      </c>
      <c r="P1495" s="10"/>
      <c r="Q1495" s="13"/>
      <c r="R1495" s="13"/>
      <c r="S1495" s="16"/>
      <c r="T1495" s="16"/>
    </row>
    <row r="1496" spans="1:20" x14ac:dyDescent="0.25">
      <c r="A1496" s="14">
        <v>2015</v>
      </c>
      <c r="B1496" s="14" t="s">
        <v>137</v>
      </c>
      <c r="C1496" s="14" t="s">
        <v>139</v>
      </c>
      <c r="D1496" s="14">
        <v>2</v>
      </c>
      <c r="E1496" s="14">
        <v>2</v>
      </c>
      <c r="F1496" s="14">
        <v>7</v>
      </c>
      <c r="G1496" s="14">
        <v>1</v>
      </c>
      <c r="H1496" s="14" t="s">
        <v>12</v>
      </c>
      <c r="I1496" s="19">
        <v>42194</v>
      </c>
      <c r="J1496" s="14" t="s">
        <v>126</v>
      </c>
      <c r="K1496" s="22">
        <v>166</v>
      </c>
      <c r="L1496" s="22">
        <v>70</v>
      </c>
      <c r="M1496" s="22">
        <v>95</v>
      </c>
      <c r="N1496" s="22"/>
      <c r="O1496" s="22">
        <v>1</v>
      </c>
      <c r="P1496" s="10"/>
      <c r="Q1496" s="13"/>
      <c r="R1496" s="13"/>
      <c r="S1496" s="16"/>
      <c r="T1496" s="16"/>
    </row>
    <row r="1497" spans="1:20" x14ac:dyDescent="0.25">
      <c r="A1497" s="14">
        <v>2015</v>
      </c>
      <c r="B1497" s="14" t="s">
        <v>137</v>
      </c>
      <c r="C1497" s="14" t="s">
        <v>139</v>
      </c>
      <c r="D1497" s="14">
        <v>2</v>
      </c>
      <c r="E1497" s="14">
        <v>1</v>
      </c>
      <c r="F1497" s="14">
        <v>8</v>
      </c>
      <c r="G1497" s="14">
        <v>1</v>
      </c>
      <c r="H1497" s="14" t="s">
        <v>2</v>
      </c>
      <c r="I1497" s="19">
        <v>42194</v>
      </c>
      <c r="J1497" s="14" t="s">
        <v>126</v>
      </c>
      <c r="K1497" s="22">
        <v>167</v>
      </c>
      <c r="L1497" s="22">
        <v>61</v>
      </c>
      <c r="M1497" s="22">
        <v>103</v>
      </c>
      <c r="N1497" s="22"/>
      <c r="O1497" s="22">
        <v>2</v>
      </c>
      <c r="P1497" s="10"/>
      <c r="Q1497" s="13"/>
      <c r="R1497" s="13"/>
      <c r="S1497" s="16"/>
      <c r="T1497" s="16"/>
    </row>
    <row r="1498" spans="1:20" x14ac:dyDescent="0.25">
      <c r="A1498" s="14">
        <v>2015</v>
      </c>
      <c r="B1498" s="14" t="s">
        <v>137</v>
      </c>
      <c r="C1498" s="14" t="s">
        <v>139</v>
      </c>
      <c r="D1498" s="14">
        <v>3</v>
      </c>
      <c r="E1498" s="14">
        <v>4</v>
      </c>
      <c r="F1498" s="14">
        <v>9</v>
      </c>
      <c r="G1498" s="14">
        <v>1</v>
      </c>
      <c r="H1498" s="14" t="s">
        <v>10</v>
      </c>
      <c r="I1498" s="19">
        <v>42194</v>
      </c>
      <c r="J1498" s="14" t="s">
        <v>126</v>
      </c>
      <c r="K1498" s="22">
        <v>180</v>
      </c>
      <c r="L1498" s="22">
        <v>71</v>
      </c>
      <c r="M1498" s="22">
        <v>107</v>
      </c>
      <c r="N1498" s="22"/>
      <c r="O1498" s="22">
        <v>2</v>
      </c>
      <c r="P1498" s="10"/>
      <c r="Q1498" s="13"/>
      <c r="R1498" s="13"/>
      <c r="S1498" s="16"/>
      <c r="T1498" s="16"/>
    </row>
    <row r="1499" spans="1:20" x14ac:dyDescent="0.25">
      <c r="A1499" s="14">
        <v>2015</v>
      </c>
      <c r="B1499" s="14" t="s">
        <v>137</v>
      </c>
      <c r="C1499" s="14" t="s">
        <v>139</v>
      </c>
      <c r="D1499" s="14">
        <v>3</v>
      </c>
      <c r="E1499" s="14">
        <v>3</v>
      </c>
      <c r="F1499" s="14">
        <v>10</v>
      </c>
      <c r="G1499" s="14">
        <v>1</v>
      </c>
      <c r="H1499" s="14" t="s">
        <v>7</v>
      </c>
      <c r="I1499" s="19">
        <v>42194</v>
      </c>
      <c r="J1499" s="14" t="s">
        <v>126</v>
      </c>
      <c r="K1499" s="22">
        <v>145</v>
      </c>
      <c r="L1499" s="22"/>
      <c r="M1499" s="22"/>
      <c r="N1499" s="22"/>
      <c r="O1499" s="22"/>
      <c r="P1499" s="10"/>
      <c r="Q1499" s="13"/>
      <c r="R1499" s="13"/>
      <c r="S1499" s="16"/>
      <c r="T1499" s="16"/>
    </row>
    <row r="1500" spans="1:20" x14ac:dyDescent="0.25">
      <c r="A1500" s="14">
        <v>2015</v>
      </c>
      <c r="B1500" s="14" t="s">
        <v>137</v>
      </c>
      <c r="C1500" s="14" t="s">
        <v>139</v>
      </c>
      <c r="D1500" s="14">
        <v>3</v>
      </c>
      <c r="E1500" s="14">
        <v>2</v>
      </c>
      <c r="F1500" s="14">
        <v>11</v>
      </c>
      <c r="G1500" s="14">
        <v>1</v>
      </c>
      <c r="H1500" s="14" t="s">
        <v>14</v>
      </c>
      <c r="I1500" s="19">
        <v>42194</v>
      </c>
      <c r="J1500" s="14" t="s">
        <v>126</v>
      </c>
      <c r="K1500" s="22">
        <v>165</v>
      </c>
      <c r="L1500" s="22">
        <v>60</v>
      </c>
      <c r="M1500" s="22">
        <v>101</v>
      </c>
      <c r="N1500" s="22"/>
      <c r="O1500" s="22">
        <v>4</v>
      </c>
      <c r="P1500" s="10"/>
      <c r="Q1500" s="13"/>
      <c r="R1500" s="13"/>
      <c r="S1500" s="16"/>
      <c r="T1500" s="16"/>
    </row>
    <row r="1501" spans="1:20" x14ac:dyDescent="0.25">
      <c r="A1501" s="14">
        <v>2015</v>
      </c>
      <c r="B1501" s="14" t="s">
        <v>137</v>
      </c>
      <c r="C1501" s="14" t="s">
        <v>139</v>
      </c>
      <c r="D1501" s="14">
        <v>3</v>
      </c>
      <c r="E1501" s="14">
        <v>1</v>
      </c>
      <c r="F1501" s="14">
        <v>12</v>
      </c>
      <c r="G1501" s="14">
        <v>1</v>
      </c>
      <c r="H1501" s="14" t="s">
        <v>8</v>
      </c>
      <c r="I1501" s="19">
        <v>42194</v>
      </c>
      <c r="J1501" s="14" t="s">
        <v>126</v>
      </c>
      <c r="K1501" s="22">
        <v>209</v>
      </c>
      <c r="L1501" s="22">
        <v>81</v>
      </c>
      <c r="M1501" s="22">
        <v>126</v>
      </c>
      <c r="N1501" s="22"/>
      <c r="O1501" s="22">
        <v>2</v>
      </c>
      <c r="P1501" s="10"/>
      <c r="Q1501" s="13"/>
      <c r="R1501" s="13"/>
      <c r="S1501" s="16"/>
      <c r="T1501" s="16"/>
    </row>
    <row r="1502" spans="1:20" x14ac:dyDescent="0.25">
      <c r="A1502" s="14">
        <v>2015</v>
      </c>
      <c r="B1502" s="14" t="s">
        <v>137</v>
      </c>
      <c r="C1502" s="14" t="s">
        <v>139</v>
      </c>
      <c r="D1502" s="14">
        <v>4</v>
      </c>
      <c r="E1502" s="14">
        <v>4</v>
      </c>
      <c r="F1502" s="14">
        <v>13</v>
      </c>
      <c r="G1502" s="14">
        <v>2</v>
      </c>
      <c r="H1502" s="14" t="s">
        <v>3</v>
      </c>
      <c r="I1502" s="19">
        <v>42194</v>
      </c>
      <c r="J1502" s="14" t="s">
        <v>126</v>
      </c>
      <c r="K1502" s="22">
        <v>153</v>
      </c>
      <c r="L1502" s="22">
        <v>44</v>
      </c>
      <c r="M1502" s="22">
        <v>108</v>
      </c>
      <c r="N1502" s="22"/>
      <c r="O1502" s="22">
        <v>1</v>
      </c>
      <c r="P1502" s="10"/>
      <c r="Q1502" s="13"/>
      <c r="R1502" s="13"/>
      <c r="S1502" s="16"/>
      <c r="T1502" s="16"/>
    </row>
    <row r="1503" spans="1:20" x14ac:dyDescent="0.25">
      <c r="A1503" s="14">
        <v>2015</v>
      </c>
      <c r="B1503" s="14" t="s">
        <v>137</v>
      </c>
      <c r="C1503" s="14" t="s">
        <v>139</v>
      </c>
      <c r="D1503" s="14">
        <v>4</v>
      </c>
      <c r="E1503" s="14">
        <v>3</v>
      </c>
      <c r="F1503" s="14">
        <v>14</v>
      </c>
      <c r="G1503" s="14">
        <v>2</v>
      </c>
      <c r="H1503" s="14" t="s">
        <v>13</v>
      </c>
      <c r="I1503" s="19">
        <v>42194</v>
      </c>
      <c r="J1503" s="14" t="s">
        <v>126</v>
      </c>
      <c r="K1503" s="22">
        <v>157</v>
      </c>
      <c r="L1503" s="22">
        <v>68</v>
      </c>
      <c r="M1503" s="22">
        <v>88</v>
      </c>
      <c r="N1503" s="22"/>
      <c r="O1503" s="22">
        <v>1</v>
      </c>
      <c r="P1503" s="10"/>
      <c r="Q1503" s="13"/>
      <c r="R1503" s="13"/>
      <c r="S1503" s="16"/>
      <c r="T1503" s="16"/>
    </row>
    <row r="1504" spans="1:20" x14ac:dyDescent="0.25">
      <c r="A1504" s="14">
        <v>2015</v>
      </c>
      <c r="B1504" s="14" t="s">
        <v>137</v>
      </c>
      <c r="C1504" s="14" t="s">
        <v>139</v>
      </c>
      <c r="D1504" s="14">
        <v>4</v>
      </c>
      <c r="E1504" s="14">
        <v>2</v>
      </c>
      <c r="F1504" s="14">
        <v>15</v>
      </c>
      <c r="G1504" s="14">
        <v>2</v>
      </c>
      <c r="H1504" s="14" t="s">
        <v>2</v>
      </c>
      <c r="I1504" s="19">
        <v>42194</v>
      </c>
      <c r="J1504" s="14" t="s">
        <v>126</v>
      </c>
      <c r="K1504" s="22">
        <v>178</v>
      </c>
      <c r="L1504" s="22">
        <v>59</v>
      </c>
      <c r="M1504" s="22">
        <v>117</v>
      </c>
      <c r="N1504" s="22"/>
      <c r="O1504" s="22">
        <v>1</v>
      </c>
      <c r="P1504" s="10"/>
      <c r="Q1504" s="13"/>
      <c r="R1504" s="13"/>
      <c r="S1504" s="16"/>
      <c r="T1504" s="16"/>
    </row>
    <row r="1505" spans="1:20" x14ac:dyDescent="0.25">
      <c r="A1505" s="14">
        <v>2015</v>
      </c>
      <c r="B1505" s="14" t="s">
        <v>137</v>
      </c>
      <c r="C1505" s="14" t="s">
        <v>139</v>
      </c>
      <c r="D1505" s="14">
        <v>4</v>
      </c>
      <c r="E1505" s="14">
        <v>1</v>
      </c>
      <c r="F1505" s="14">
        <v>16</v>
      </c>
      <c r="G1505" s="14">
        <v>2</v>
      </c>
      <c r="H1505" s="14" t="s">
        <v>7</v>
      </c>
      <c r="I1505" s="19">
        <v>42194</v>
      </c>
      <c r="J1505" s="14" t="s">
        <v>126</v>
      </c>
      <c r="K1505" s="22">
        <v>175</v>
      </c>
      <c r="L1505" s="22">
        <v>66</v>
      </c>
      <c r="M1505" s="22">
        <v>107</v>
      </c>
      <c r="N1505" s="22"/>
      <c r="O1505" s="22">
        <v>2</v>
      </c>
      <c r="P1505" s="10"/>
      <c r="Q1505" s="13"/>
      <c r="R1505" s="13"/>
      <c r="S1505" s="16"/>
      <c r="T1505" s="16"/>
    </row>
    <row r="1506" spans="1:20" x14ac:dyDescent="0.25">
      <c r="A1506" s="14">
        <v>2015</v>
      </c>
      <c r="B1506" s="14" t="s">
        <v>137</v>
      </c>
      <c r="C1506" s="14" t="s">
        <v>139</v>
      </c>
      <c r="D1506" s="14">
        <v>5</v>
      </c>
      <c r="E1506" s="14">
        <v>4</v>
      </c>
      <c r="F1506" s="14">
        <v>17</v>
      </c>
      <c r="G1506" s="14">
        <v>2</v>
      </c>
      <c r="H1506" s="14" t="s">
        <v>8</v>
      </c>
      <c r="I1506" s="19">
        <v>42194</v>
      </c>
      <c r="J1506" s="14" t="s">
        <v>126</v>
      </c>
      <c r="K1506" s="22">
        <v>174</v>
      </c>
      <c r="L1506" s="22">
        <v>63</v>
      </c>
      <c r="M1506" s="22">
        <v>110</v>
      </c>
      <c r="N1506" s="22"/>
      <c r="O1506" s="22">
        <v>1</v>
      </c>
      <c r="P1506" s="10"/>
      <c r="Q1506" s="13"/>
      <c r="R1506" s="13"/>
      <c r="S1506" s="16"/>
      <c r="T1506" s="16"/>
    </row>
    <row r="1507" spans="1:20" x14ac:dyDescent="0.25">
      <c r="A1507" s="14">
        <v>2015</v>
      </c>
      <c r="B1507" s="14" t="s">
        <v>137</v>
      </c>
      <c r="C1507" s="14" t="s">
        <v>139</v>
      </c>
      <c r="D1507" s="14">
        <v>5</v>
      </c>
      <c r="E1507" s="14">
        <v>3</v>
      </c>
      <c r="F1507" s="14">
        <v>18</v>
      </c>
      <c r="G1507" s="14">
        <v>2</v>
      </c>
      <c r="H1507" s="14" t="s">
        <v>5</v>
      </c>
      <c r="I1507" s="19">
        <v>42194</v>
      </c>
      <c r="J1507" s="14" t="s">
        <v>126</v>
      </c>
      <c r="K1507" s="22">
        <v>178</v>
      </c>
      <c r="L1507" s="22">
        <v>64</v>
      </c>
      <c r="M1507" s="22">
        <v>112</v>
      </c>
      <c r="N1507" s="22"/>
      <c r="O1507" s="22">
        <v>2</v>
      </c>
      <c r="P1507" s="10"/>
      <c r="Q1507" s="13"/>
      <c r="R1507" s="13"/>
      <c r="S1507" s="16"/>
      <c r="T1507" s="16"/>
    </row>
    <row r="1508" spans="1:20" x14ac:dyDescent="0.25">
      <c r="A1508" s="14">
        <v>2015</v>
      </c>
      <c r="B1508" s="14" t="s">
        <v>137</v>
      </c>
      <c r="C1508" s="14" t="s">
        <v>139</v>
      </c>
      <c r="D1508" s="14">
        <v>5</v>
      </c>
      <c r="E1508" s="14">
        <v>2</v>
      </c>
      <c r="F1508" s="14">
        <v>19</v>
      </c>
      <c r="G1508" s="14">
        <v>2</v>
      </c>
      <c r="H1508" s="14" t="s">
        <v>4</v>
      </c>
      <c r="I1508" s="19">
        <v>42194</v>
      </c>
      <c r="J1508" s="14" t="s">
        <v>126</v>
      </c>
      <c r="K1508" s="22">
        <v>114</v>
      </c>
      <c r="L1508" s="22">
        <v>39</v>
      </c>
      <c r="M1508" s="22">
        <v>74</v>
      </c>
      <c r="N1508" s="22"/>
      <c r="O1508" s="22">
        <v>2</v>
      </c>
      <c r="P1508" s="10"/>
      <c r="Q1508" s="13"/>
      <c r="R1508" s="13"/>
      <c r="S1508" s="16"/>
      <c r="T1508" s="16"/>
    </row>
    <row r="1509" spans="1:20" x14ac:dyDescent="0.25">
      <c r="A1509" s="14">
        <v>2015</v>
      </c>
      <c r="B1509" s="14" t="s">
        <v>137</v>
      </c>
      <c r="C1509" s="14" t="s">
        <v>139</v>
      </c>
      <c r="D1509" s="14">
        <v>5</v>
      </c>
      <c r="E1509" s="14">
        <v>1</v>
      </c>
      <c r="F1509" s="14">
        <v>20</v>
      </c>
      <c r="G1509" s="14">
        <v>2</v>
      </c>
      <c r="H1509" s="14" t="s">
        <v>14</v>
      </c>
      <c r="I1509" s="19">
        <v>42194</v>
      </c>
      <c r="J1509" s="14" t="s">
        <v>126</v>
      </c>
      <c r="K1509" s="22">
        <v>152</v>
      </c>
      <c r="L1509" s="22">
        <v>50</v>
      </c>
      <c r="M1509" s="22">
        <v>98</v>
      </c>
      <c r="N1509" s="22"/>
      <c r="O1509" s="22">
        <v>4</v>
      </c>
      <c r="P1509" s="10"/>
      <c r="Q1509" s="13"/>
      <c r="R1509" s="13"/>
      <c r="S1509" s="16"/>
      <c r="T1509" s="16"/>
    </row>
    <row r="1510" spans="1:20" x14ac:dyDescent="0.25">
      <c r="A1510" s="14">
        <v>2015</v>
      </c>
      <c r="B1510" s="14" t="s">
        <v>137</v>
      </c>
      <c r="C1510" s="14" t="s">
        <v>139</v>
      </c>
      <c r="D1510" s="14">
        <v>6</v>
      </c>
      <c r="E1510" s="14">
        <v>4</v>
      </c>
      <c r="F1510" s="14">
        <v>21</v>
      </c>
      <c r="G1510" s="14">
        <v>2</v>
      </c>
      <c r="H1510" s="14" t="s">
        <v>9</v>
      </c>
      <c r="I1510" s="19">
        <v>42194</v>
      </c>
      <c r="J1510" s="14" t="s">
        <v>126</v>
      </c>
      <c r="K1510" s="22">
        <v>153</v>
      </c>
      <c r="L1510" s="22">
        <v>55</v>
      </c>
      <c r="M1510" s="22">
        <v>96</v>
      </c>
      <c r="N1510" s="22"/>
      <c r="O1510" s="22">
        <v>2</v>
      </c>
      <c r="P1510" s="10"/>
      <c r="Q1510" s="13"/>
      <c r="R1510" s="13"/>
      <c r="S1510" s="16"/>
      <c r="T1510" s="16"/>
    </row>
    <row r="1511" spans="1:20" x14ac:dyDescent="0.25">
      <c r="A1511" s="14">
        <v>2015</v>
      </c>
      <c r="B1511" s="14" t="s">
        <v>137</v>
      </c>
      <c r="C1511" s="14" t="s">
        <v>139</v>
      </c>
      <c r="D1511" s="14">
        <v>6</v>
      </c>
      <c r="E1511" s="14">
        <v>3</v>
      </c>
      <c r="F1511" s="14">
        <v>22</v>
      </c>
      <c r="G1511" s="14">
        <v>2</v>
      </c>
      <c r="H1511" s="14" t="s">
        <v>12</v>
      </c>
      <c r="I1511" s="19">
        <v>42194</v>
      </c>
      <c r="J1511" s="14" t="s">
        <v>126</v>
      </c>
      <c r="K1511" s="22">
        <v>116</v>
      </c>
      <c r="L1511" s="22">
        <v>45</v>
      </c>
      <c r="M1511" s="22">
        <v>70</v>
      </c>
      <c r="N1511" s="22"/>
      <c r="O1511" s="22">
        <v>1</v>
      </c>
      <c r="P1511" s="10"/>
      <c r="Q1511" s="13"/>
      <c r="R1511" s="13"/>
      <c r="S1511" s="16"/>
      <c r="T1511" s="16"/>
    </row>
    <row r="1512" spans="1:20" x14ac:dyDescent="0.25">
      <c r="A1512" s="14">
        <v>2015</v>
      </c>
      <c r="B1512" s="14" t="s">
        <v>137</v>
      </c>
      <c r="C1512" s="14" t="s">
        <v>139</v>
      </c>
      <c r="D1512" s="14">
        <v>6</v>
      </c>
      <c r="E1512" s="14">
        <v>2</v>
      </c>
      <c r="F1512" s="14">
        <v>23</v>
      </c>
      <c r="G1512" s="14">
        <v>2</v>
      </c>
      <c r="H1512" s="14" t="s">
        <v>6</v>
      </c>
      <c r="I1512" s="19">
        <v>42194</v>
      </c>
      <c r="J1512" s="14" t="s">
        <v>126</v>
      </c>
      <c r="K1512" s="22">
        <v>144</v>
      </c>
      <c r="L1512" s="22">
        <v>55</v>
      </c>
      <c r="M1512" s="22">
        <v>86</v>
      </c>
      <c r="N1512" s="22"/>
      <c r="O1512" s="22">
        <v>2</v>
      </c>
      <c r="P1512" s="10"/>
      <c r="Q1512" s="13"/>
      <c r="R1512" s="13"/>
      <c r="S1512" s="16"/>
      <c r="T1512" s="16"/>
    </row>
    <row r="1513" spans="1:20" x14ac:dyDescent="0.25">
      <c r="A1513" s="14">
        <v>2015</v>
      </c>
      <c r="B1513" s="14" t="s">
        <v>137</v>
      </c>
      <c r="C1513" s="14" t="s">
        <v>139</v>
      </c>
      <c r="D1513" s="14">
        <v>6</v>
      </c>
      <c r="E1513" s="14">
        <v>1</v>
      </c>
      <c r="F1513" s="14">
        <v>24</v>
      </c>
      <c r="G1513" s="14">
        <v>2</v>
      </c>
      <c r="H1513" s="14" t="s">
        <v>10</v>
      </c>
      <c r="I1513" s="19">
        <v>42194</v>
      </c>
      <c r="J1513" s="14" t="s">
        <v>126</v>
      </c>
      <c r="K1513" s="22">
        <v>136</v>
      </c>
      <c r="L1513" s="22">
        <v>49</v>
      </c>
      <c r="M1513" s="22">
        <v>85</v>
      </c>
      <c r="N1513" s="22"/>
      <c r="O1513" s="22">
        <v>1</v>
      </c>
      <c r="P1513" s="10"/>
      <c r="Q1513" s="13"/>
      <c r="R1513" s="13"/>
      <c r="S1513" s="16"/>
      <c r="T1513" s="16"/>
    </row>
    <row r="1514" spans="1:20" x14ac:dyDescent="0.25">
      <c r="A1514" s="14">
        <v>2015</v>
      </c>
      <c r="B1514" s="14" t="s">
        <v>137</v>
      </c>
      <c r="C1514" s="14" t="s">
        <v>139</v>
      </c>
      <c r="D1514" s="14">
        <v>7</v>
      </c>
      <c r="E1514" s="14">
        <v>4</v>
      </c>
      <c r="F1514" s="14">
        <v>25</v>
      </c>
      <c r="G1514" s="14">
        <v>3</v>
      </c>
      <c r="H1514" s="14" t="s">
        <v>12</v>
      </c>
      <c r="I1514" s="19">
        <v>42194</v>
      </c>
      <c r="J1514" s="14" t="s">
        <v>126</v>
      </c>
      <c r="K1514" s="22">
        <v>144</v>
      </c>
      <c r="L1514" s="22">
        <v>59</v>
      </c>
      <c r="M1514" s="22">
        <v>84</v>
      </c>
      <c r="N1514" s="22"/>
      <c r="O1514" s="22">
        <v>1</v>
      </c>
      <c r="P1514" s="10"/>
      <c r="Q1514" s="13"/>
      <c r="R1514" s="13"/>
      <c r="S1514" s="16"/>
      <c r="T1514" s="16"/>
    </row>
    <row r="1515" spans="1:20" x14ac:dyDescent="0.25">
      <c r="A1515" s="14">
        <v>2015</v>
      </c>
      <c r="B1515" s="14" t="s">
        <v>137</v>
      </c>
      <c r="C1515" s="14" t="s">
        <v>139</v>
      </c>
      <c r="D1515" s="14">
        <v>7</v>
      </c>
      <c r="E1515" s="14">
        <v>3</v>
      </c>
      <c r="F1515" s="14">
        <v>26</v>
      </c>
      <c r="G1515" s="14">
        <v>3</v>
      </c>
      <c r="H1515" s="14" t="s">
        <v>8</v>
      </c>
      <c r="I1515" s="19">
        <v>42194</v>
      </c>
      <c r="J1515" s="14" t="s">
        <v>126</v>
      </c>
      <c r="K1515" s="22">
        <v>220</v>
      </c>
      <c r="L1515" s="22">
        <v>82</v>
      </c>
      <c r="M1515" s="22">
        <v>136</v>
      </c>
      <c r="N1515" s="22"/>
      <c r="O1515" s="22">
        <v>1</v>
      </c>
      <c r="P1515" s="10"/>
      <c r="Q1515" s="13"/>
      <c r="R1515" s="13"/>
      <c r="S1515" s="16"/>
      <c r="T1515" s="16"/>
    </row>
    <row r="1516" spans="1:20" x14ac:dyDescent="0.25">
      <c r="A1516" s="14">
        <v>2015</v>
      </c>
      <c r="B1516" s="14" t="s">
        <v>137</v>
      </c>
      <c r="C1516" s="14" t="s">
        <v>139</v>
      </c>
      <c r="D1516" s="14">
        <v>7</v>
      </c>
      <c r="E1516" s="14">
        <v>2</v>
      </c>
      <c r="F1516" s="14">
        <v>27</v>
      </c>
      <c r="G1516" s="14">
        <v>3</v>
      </c>
      <c r="H1516" s="14" t="s">
        <v>10</v>
      </c>
      <c r="I1516" s="19">
        <v>42194</v>
      </c>
      <c r="J1516" s="14" t="s">
        <v>126</v>
      </c>
      <c r="K1516" s="22">
        <v>181</v>
      </c>
      <c r="L1516" s="22">
        <v>65</v>
      </c>
      <c r="M1516" s="22">
        <v>115</v>
      </c>
      <c r="N1516" s="22"/>
      <c r="O1516" s="22">
        <v>1</v>
      </c>
      <c r="P1516" s="10"/>
      <c r="Q1516" s="13"/>
      <c r="R1516" s="13"/>
      <c r="S1516" s="16"/>
      <c r="T1516" s="16"/>
    </row>
    <row r="1517" spans="1:20" x14ac:dyDescent="0.25">
      <c r="A1517" s="14">
        <v>2015</v>
      </c>
      <c r="B1517" s="14" t="s">
        <v>137</v>
      </c>
      <c r="C1517" s="14" t="s">
        <v>139</v>
      </c>
      <c r="D1517" s="14">
        <v>7</v>
      </c>
      <c r="E1517" s="14">
        <v>1</v>
      </c>
      <c r="F1517" s="14">
        <v>28</v>
      </c>
      <c r="G1517" s="14">
        <v>3</v>
      </c>
      <c r="H1517" s="14" t="s">
        <v>4</v>
      </c>
      <c r="I1517" s="19">
        <v>42194</v>
      </c>
      <c r="J1517" s="14" t="s">
        <v>126</v>
      </c>
      <c r="K1517" s="22">
        <v>107</v>
      </c>
      <c r="L1517" s="22">
        <v>36</v>
      </c>
      <c r="M1517" s="22">
        <v>70</v>
      </c>
      <c r="N1517" s="22"/>
      <c r="O1517" s="22">
        <v>1</v>
      </c>
      <c r="P1517" s="10"/>
      <c r="Q1517" s="13"/>
      <c r="R1517" s="13"/>
      <c r="S1517" s="16"/>
      <c r="T1517" s="16"/>
    </row>
    <row r="1518" spans="1:20" x14ac:dyDescent="0.25">
      <c r="A1518" s="14">
        <v>2015</v>
      </c>
      <c r="B1518" s="14" t="s">
        <v>137</v>
      </c>
      <c r="C1518" s="14" t="s">
        <v>139</v>
      </c>
      <c r="D1518" s="14">
        <v>8</v>
      </c>
      <c r="E1518" s="14">
        <v>4</v>
      </c>
      <c r="F1518" s="14">
        <v>29</v>
      </c>
      <c r="G1518" s="14">
        <v>3</v>
      </c>
      <c r="H1518" s="14" t="s">
        <v>7</v>
      </c>
      <c r="I1518" s="19">
        <v>42194</v>
      </c>
      <c r="J1518" s="14" t="s">
        <v>126</v>
      </c>
      <c r="K1518" s="22">
        <v>193</v>
      </c>
      <c r="L1518" s="22">
        <v>82</v>
      </c>
      <c r="M1518" s="22">
        <v>109</v>
      </c>
      <c r="N1518" s="22"/>
      <c r="O1518" s="22">
        <v>2</v>
      </c>
      <c r="P1518" s="10"/>
      <c r="Q1518" s="13"/>
      <c r="R1518" s="13"/>
      <c r="S1518" s="16"/>
      <c r="T1518" s="16"/>
    </row>
    <row r="1519" spans="1:20" x14ac:dyDescent="0.25">
      <c r="A1519" s="14">
        <v>2015</v>
      </c>
      <c r="B1519" s="14" t="s">
        <v>137</v>
      </c>
      <c r="C1519" s="14" t="s">
        <v>139</v>
      </c>
      <c r="D1519" s="14">
        <v>8</v>
      </c>
      <c r="E1519" s="14">
        <v>3</v>
      </c>
      <c r="F1519" s="14">
        <v>30</v>
      </c>
      <c r="G1519" s="14">
        <v>3</v>
      </c>
      <c r="H1519" s="14" t="s">
        <v>6</v>
      </c>
      <c r="I1519" s="19">
        <v>42194</v>
      </c>
      <c r="J1519" s="14" t="s">
        <v>126</v>
      </c>
      <c r="K1519" s="22">
        <v>120</v>
      </c>
      <c r="L1519" s="22">
        <v>48</v>
      </c>
      <c r="M1519" s="22">
        <v>71</v>
      </c>
      <c r="N1519" s="22"/>
      <c r="O1519" s="22">
        <v>1</v>
      </c>
      <c r="P1519" s="10"/>
      <c r="Q1519" s="13"/>
      <c r="R1519" s="13"/>
      <c r="S1519" s="16"/>
      <c r="T1519" s="16"/>
    </row>
    <row r="1520" spans="1:20" x14ac:dyDescent="0.25">
      <c r="A1520" s="14">
        <v>2015</v>
      </c>
      <c r="B1520" s="14" t="s">
        <v>137</v>
      </c>
      <c r="C1520" s="14" t="s">
        <v>139</v>
      </c>
      <c r="D1520" s="14">
        <v>8</v>
      </c>
      <c r="E1520" s="14">
        <v>2</v>
      </c>
      <c r="F1520" s="14">
        <v>31</v>
      </c>
      <c r="G1520" s="14">
        <v>3</v>
      </c>
      <c r="H1520" s="14" t="s">
        <v>5</v>
      </c>
      <c r="I1520" s="19">
        <v>42194</v>
      </c>
      <c r="J1520" s="14" t="s">
        <v>126</v>
      </c>
      <c r="K1520" s="22">
        <v>194</v>
      </c>
      <c r="L1520" s="22">
        <v>70</v>
      </c>
      <c r="M1520" s="22">
        <v>122</v>
      </c>
      <c r="N1520" s="22"/>
      <c r="O1520" s="22">
        <v>2</v>
      </c>
      <c r="P1520" s="10"/>
      <c r="Q1520" s="13"/>
      <c r="R1520" s="13"/>
      <c r="S1520" s="16"/>
      <c r="T1520" s="16"/>
    </row>
    <row r="1521" spans="1:20" x14ac:dyDescent="0.25">
      <c r="A1521" s="14">
        <v>2015</v>
      </c>
      <c r="B1521" s="14" t="s">
        <v>137</v>
      </c>
      <c r="C1521" s="14" t="s">
        <v>139</v>
      </c>
      <c r="D1521" s="14">
        <v>8</v>
      </c>
      <c r="E1521" s="14">
        <v>1</v>
      </c>
      <c r="F1521" s="14">
        <v>32</v>
      </c>
      <c r="G1521" s="14">
        <v>3</v>
      </c>
      <c r="H1521" s="14" t="s">
        <v>3</v>
      </c>
      <c r="I1521" s="19">
        <v>42194</v>
      </c>
      <c r="J1521" s="14" t="s">
        <v>126</v>
      </c>
      <c r="K1521" s="22">
        <v>171</v>
      </c>
      <c r="L1521" s="22">
        <v>52</v>
      </c>
      <c r="M1521" s="22">
        <v>117</v>
      </c>
      <c r="N1521" s="22"/>
      <c r="O1521" s="22">
        <v>1</v>
      </c>
      <c r="P1521" s="10"/>
      <c r="Q1521" s="13"/>
      <c r="R1521" s="13"/>
      <c r="S1521" s="16"/>
      <c r="T1521" s="16"/>
    </row>
    <row r="1522" spans="1:20" x14ac:dyDescent="0.25">
      <c r="A1522" s="14">
        <v>2015</v>
      </c>
      <c r="B1522" s="14" t="s">
        <v>137</v>
      </c>
      <c r="C1522" s="14" t="s">
        <v>139</v>
      </c>
      <c r="D1522" s="14">
        <v>9</v>
      </c>
      <c r="E1522" s="14">
        <v>4</v>
      </c>
      <c r="F1522" s="14">
        <v>33</v>
      </c>
      <c r="G1522" s="14">
        <v>3</v>
      </c>
      <c r="H1522" s="14" t="s">
        <v>2</v>
      </c>
      <c r="I1522" s="19">
        <v>42194</v>
      </c>
      <c r="J1522" s="14" t="s">
        <v>126</v>
      </c>
      <c r="K1522" s="22">
        <v>132</v>
      </c>
      <c r="L1522" s="22">
        <v>49</v>
      </c>
      <c r="M1522" s="22">
        <v>81</v>
      </c>
      <c r="N1522" s="22"/>
      <c r="O1522" s="22">
        <v>2</v>
      </c>
      <c r="P1522" s="10"/>
      <c r="Q1522" s="13"/>
      <c r="R1522" s="13"/>
      <c r="S1522" s="16"/>
      <c r="T1522" s="16"/>
    </row>
    <row r="1523" spans="1:20" x14ac:dyDescent="0.25">
      <c r="A1523" s="14">
        <v>2015</v>
      </c>
      <c r="B1523" s="14" t="s">
        <v>137</v>
      </c>
      <c r="C1523" s="14" t="s">
        <v>139</v>
      </c>
      <c r="D1523" s="14">
        <v>9</v>
      </c>
      <c r="E1523" s="14">
        <v>3</v>
      </c>
      <c r="F1523" s="14">
        <v>34</v>
      </c>
      <c r="G1523" s="14">
        <v>3</v>
      </c>
      <c r="H1523" s="14" t="s">
        <v>14</v>
      </c>
      <c r="I1523" s="19">
        <v>42194</v>
      </c>
      <c r="J1523" s="14" t="s">
        <v>126</v>
      </c>
      <c r="K1523" s="22">
        <v>144</v>
      </c>
      <c r="L1523" s="22">
        <v>50</v>
      </c>
      <c r="M1523" s="22">
        <v>91</v>
      </c>
      <c r="N1523" s="22"/>
      <c r="O1523" s="22">
        <v>2</v>
      </c>
      <c r="P1523" s="10"/>
      <c r="Q1523" s="13"/>
      <c r="R1523" s="13"/>
      <c r="S1523" s="16"/>
      <c r="T1523" s="16"/>
    </row>
    <row r="1524" spans="1:20" x14ac:dyDescent="0.25">
      <c r="A1524" s="14">
        <v>2015</v>
      </c>
      <c r="B1524" s="14" t="s">
        <v>137</v>
      </c>
      <c r="C1524" s="14" t="s">
        <v>139</v>
      </c>
      <c r="D1524" s="14">
        <v>9</v>
      </c>
      <c r="E1524" s="14">
        <v>2</v>
      </c>
      <c r="F1524" s="14">
        <v>35</v>
      </c>
      <c r="G1524" s="14">
        <v>3</v>
      </c>
      <c r="H1524" s="14" t="s">
        <v>9</v>
      </c>
      <c r="I1524" s="19">
        <v>42194</v>
      </c>
      <c r="J1524" s="14" t="s">
        <v>126</v>
      </c>
      <c r="K1524" s="22">
        <v>179</v>
      </c>
      <c r="L1524" s="22">
        <v>72</v>
      </c>
      <c r="M1524" s="22">
        <v>104</v>
      </c>
      <c r="N1524" s="22"/>
      <c r="O1524" s="22">
        <v>3</v>
      </c>
      <c r="P1524" s="10"/>
      <c r="Q1524" s="13"/>
      <c r="R1524" s="13"/>
      <c r="S1524" s="16"/>
      <c r="T1524" s="16"/>
    </row>
    <row r="1525" spans="1:20" x14ac:dyDescent="0.25">
      <c r="A1525" s="14">
        <v>2015</v>
      </c>
      <c r="B1525" s="14" t="s">
        <v>137</v>
      </c>
      <c r="C1525" s="14" t="s">
        <v>139</v>
      </c>
      <c r="D1525" s="14">
        <v>9</v>
      </c>
      <c r="E1525" s="14">
        <v>1</v>
      </c>
      <c r="F1525" s="14">
        <v>36</v>
      </c>
      <c r="G1525" s="14">
        <v>3</v>
      </c>
      <c r="H1525" s="14" t="s">
        <v>13</v>
      </c>
      <c r="I1525" s="19">
        <v>42194</v>
      </c>
      <c r="J1525" s="14" t="s">
        <v>126</v>
      </c>
      <c r="K1525" s="22">
        <v>162</v>
      </c>
      <c r="L1525" s="22">
        <v>76</v>
      </c>
      <c r="M1525" s="22">
        <v>84</v>
      </c>
      <c r="N1525" s="22"/>
      <c r="O1525" s="22">
        <v>1</v>
      </c>
      <c r="P1525" s="10"/>
      <c r="Q1525" s="13"/>
      <c r="R1525" s="13"/>
      <c r="S1525" s="16"/>
      <c r="T1525" s="16"/>
    </row>
    <row r="1526" spans="1:20" x14ac:dyDescent="0.25">
      <c r="A1526" s="14">
        <v>2015</v>
      </c>
      <c r="B1526" s="14" t="s">
        <v>137</v>
      </c>
      <c r="C1526" s="14" t="s">
        <v>139</v>
      </c>
      <c r="D1526" s="14">
        <v>10</v>
      </c>
      <c r="E1526" s="14">
        <v>4</v>
      </c>
      <c r="F1526" s="14">
        <v>37</v>
      </c>
      <c r="G1526" s="14">
        <v>4</v>
      </c>
      <c r="H1526" s="14" t="s">
        <v>14</v>
      </c>
      <c r="I1526" s="19">
        <v>42194</v>
      </c>
      <c r="J1526" s="14" t="s">
        <v>126</v>
      </c>
      <c r="K1526" s="22">
        <v>117</v>
      </c>
      <c r="L1526" s="22">
        <v>40</v>
      </c>
      <c r="M1526" s="22">
        <v>76</v>
      </c>
      <c r="N1526" s="22"/>
      <c r="O1526" s="22">
        <v>2</v>
      </c>
      <c r="P1526" s="10"/>
      <c r="Q1526" s="13"/>
      <c r="R1526" s="13"/>
      <c r="S1526" s="16"/>
      <c r="T1526" s="16"/>
    </row>
    <row r="1527" spans="1:20" x14ac:dyDescent="0.25">
      <c r="A1527" s="14">
        <v>2015</v>
      </c>
      <c r="B1527" s="14" t="s">
        <v>137</v>
      </c>
      <c r="C1527" s="14" t="s">
        <v>139</v>
      </c>
      <c r="D1527" s="14">
        <v>10</v>
      </c>
      <c r="E1527" s="14">
        <v>3</v>
      </c>
      <c r="F1527" s="14">
        <v>38</v>
      </c>
      <c r="G1527" s="14">
        <v>4</v>
      </c>
      <c r="H1527" s="14" t="s">
        <v>3</v>
      </c>
      <c r="I1527" s="19">
        <v>42194</v>
      </c>
      <c r="J1527" s="14" t="s">
        <v>126</v>
      </c>
      <c r="K1527" s="22">
        <v>161</v>
      </c>
      <c r="L1527" s="22">
        <v>54</v>
      </c>
      <c r="M1527" s="22">
        <v>107</v>
      </c>
      <c r="N1527" s="22"/>
      <c r="O1527" s="22">
        <v>1</v>
      </c>
      <c r="P1527" s="10"/>
      <c r="Q1527" s="13"/>
      <c r="R1527" s="13"/>
      <c r="S1527" s="16"/>
      <c r="T1527" s="16"/>
    </row>
    <row r="1528" spans="1:20" x14ac:dyDescent="0.25">
      <c r="A1528" s="14">
        <v>2015</v>
      </c>
      <c r="B1528" s="14" t="s">
        <v>137</v>
      </c>
      <c r="C1528" s="14" t="s">
        <v>139</v>
      </c>
      <c r="D1528" s="14">
        <v>10</v>
      </c>
      <c r="E1528" s="14">
        <v>2</v>
      </c>
      <c r="F1528" s="14">
        <v>39</v>
      </c>
      <c r="G1528" s="14">
        <v>4</v>
      </c>
      <c r="H1528" s="14" t="s">
        <v>7</v>
      </c>
      <c r="I1528" s="19">
        <v>42194</v>
      </c>
      <c r="J1528" s="14" t="s">
        <v>126</v>
      </c>
      <c r="K1528" s="22">
        <v>177</v>
      </c>
      <c r="L1528" s="22">
        <v>69</v>
      </c>
      <c r="M1528" s="22">
        <v>106</v>
      </c>
      <c r="N1528" s="22"/>
      <c r="O1528" s="22">
        <v>2</v>
      </c>
      <c r="P1528" s="10"/>
      <c r="Q1528" s="13"/>
      <c r="R1528" s="13"/>
      <c r="S1528" s="16"/>
      <c r="T1528" s="16"/>
    </row>
    <row r="1529" spans="1:20" x14ac:dyDescent="0.25">
      <c r="A1529" s="14">
        <v>2015</v>
      </c>
      <c r="B1529" s="14" t="s">
        <v>137</v>
      </c>
      <c r="C1529" s="14" t="s">
        <v>139</v>
      </c>
      <c r="D1529" s="14">
        <v>10</v>
      </c>
      <c r="E1529" s="14">
        <v>1</v>
      </c>
      <c r="F1529" s="14">
        <v>40</v>
      </c>
      <c r="G1529" s="14">
        <v>4</v>
      </c>
      <c r="H1529" s="14" t="s">
        <v>9</v>
      </c>
      <c r="I1529" s="19">
        <v>42194</v>
      </c>
      <c r="J1529" s="14" t="s">
        <v>126</v>
      </c>
      <c r="K1529" s="22">
        <v>158</v>
      </c>
      <c r="L1529" s="22">
        <v>63</v>
      </c>
      <c r="M1529" s="22">
        <v>94</v>
      </c>
      <c r="N1529" s="22"/>
      <c r="O1529" s="22">
        <v>1</v>
      </c>
      <c r="P1529" s="10"/>
      <c r="Q1529" s="13"/>
      <c r="R1529" s="13"/>
      <c r="S1529" s="16"/>
      <c r="T1529" s="16"/>
    </row>
    <row r="1530" spans="1:20" x14ac:dyDescent="0.25">
      <c r="A1530" s="14">
        <v>2015</v>
      </c>
      <c r="B1530" s="14" t="s">
        <v>137</v>
      </c>
      <c r="C1530" s="14" t="s">
        <v>139</v>
      </c>
      <c r="D1530" s="14">
        <v>11</v>
      </c>
      <c r="E1530" s="14">
        <v>4</v>
      </c>
      <c r="F1530" s="14">
        <v>41</v>
      </c>
      <c r="G1530" s="14">
        <v>4</v>
      </c>
      <c r="H1530" s="14" t="s">
        <v>5</v>
      </c>
      <c r="I1530" s="19">
        <v>42194</v>
      </c>
      <c r="J1530" s="14" t="s">
        <v>126</v>
      </c>
      <c r="K1530" s="22">
        <v>113</v>
      </c>
      <c r="L1530" s="22">
        <v>44</v>
      </c>
      <c r="M1530" s="22">
        <v>67</v>
      </c>
      <c r="N1530" s="22"/>
      <c r="O1530" s="22">
        <v>1</v>
      </c>
      <c r="P1530" s="10"/>
      <c r="Q1530" s="13"/>
      <c r="R1530" s="13"/>
      <c r="S1530" s="16"/>
      <c r="T1530" s="16"/>
    </row>
    <row r="1531" spans="1:20" x14ac:dyDescent="0.25">
      <c r="A1531" s="14">
        <v>2015</v>
      </c>
      <c r="B1531" s="14" t="s">
        <v>137</v>
      </c>
      <c r="C1531" s="14" t="s">
        <v>139</v>
      </c>
      <c r="D1531" s="14">
        <v>11</v>
      </c>
      <c r="E1531" s="14">
        <v>3</v>
      </c>
      <c r="F1531" s="14">
        <v>42</v>
      </c>
      <c r="G1531" s="14">
        <v>4</v>
      </c>
      <c r="H1531" s="14" t="s">
        <v>2</v>
      </c>
      <c r="I1531" s="19">
        <v>42194</v>
      </c>
      <c r="J1531" s="14" t="s">
        <v>126</v>
      </c>
      <c r="K1531" s="22">
        <v>69</v>
      </c>
      <c r="L1531" s="22">
        <v>24</v>
      </c>
      <c r="M1531" s="22">
        <v>43</v>
      </c>
      <c r="N1531" s="22"/>
      <c r="O1531" s="22">
        <v>1</v>
      </c>
      <c r="P1531" s="10"/>
      <c r="Q1531" s="13"/>
      <c r="R1531" s="13"/>
      <c r="S1531" s="16"/>
      <c r="T1531" s="16"/>
    </row>
    <row r="1532" spans="1:20" x14ac:dyDescent="0.25">
      <c r="A1532" s="14">
        <v>2015</v>
      </c>
      <c r="B1532" s="14" t="s">
        <v>137</v>
      </c>
      <c r="C1532" s="14" t="s">
        <v>139</v>
      </c>
      <c r="D1532" s="14">
        <v>11</v>
      </c>
      <c r="E1532" s="14">
        <v>2</v>
      </c>
      <c r="F1532" s="14">
        <v>43</v>
      </c>
      <c r="G1532" s="14">
        <v>4</v>
      </c>
      <c r="H1532" s="14" t="s">
        <v>8</v>
      </c>
      <c r="I1532" s="19">
        <v>42194</v>
      </c>
      <c r="J1532" s="14" t="s">
        <v>126</v>
      </c>
      <c r="K1532" s="22">
        <v>170</v>
      </c>
      <c r="L1532" s="22">
        <v>66</v>
      </c>
      <c r="M1532" s="22">
        <v>103</v>
      </c>
      <c r="N1532" s="22"/>
      <c r="O1532" s="22">
        <v>1</v>
      </c>
      <c r="P1532" s="10"/>
      <c r="Q1532" s="13"/>
      <c r="R1532" s="13"/>
      <c r="S1532" s="16"/>
      <c r="T1532" s="16"/>
    </row>
    <row r="1533" spans="1:20" x14ac:dyDescent="0.25">
      <c r="A1533" s="14">
        <v>2015</v>
      </c>
      <c r="B1533" s="14" t="s">
        <v>137</v>
      </c>
      <c r="C1533" s="14" t="s">
        <v>139</v>
      </c>
      <c r="D1533" s="14">
        <v>11</v>
      </c>
      <c r="E1533" s="14">
        <v>1</v>
      </c>
      <c r="F1533" s="14">
        <v>44</v>
      </c>
      <c r="G1533" s="14">
        <v>4</v>
      </c>
      <c r="H1533" s="14" t="s">
        <v>6</v>
      </c>
      <c r="I1533" s="19">
        <v>42194</v>
      </c>
      <c r="J1533" s="14" t="s">
        <v>126</v>
      </c>
      <c r="K1533" s="22">
        <v>149</v>
      </c>
      <c r="L1533" s="22">
        <v>59</v>
      </c>
      <c r="M1533" s="22">
        <v>88</v>
      </c>
      <c r="N1533" s="22"/>
      <c r="O1533" s="22">
        <v>2</v>
      </c>
      <c r="P1533" s="10"/>
      <c r="Q1533" s="13"/>
      <c r="R1533" s="13"/>
      <c r="S1533" s="16"/>
      <c r="T1533" s="16"/>
    </row>
    <row r="1534" spans="1:20" x14ac:dyDescent="0.25">
      <c r="A1534" s="14">
        <v>2015</v>
      </c>
      <c r="B1534" s="14" t="s">
        <v>137</v>
      </c>
      <c r="C1534" s="14" t="s">
        <v>139</v>
      </c>
      <c r="D1534" s="14">
        <v>12</v>
      </c>
      <c r="E1534" s="14">
        <v>4</v>
      </c>
      <c r="F1534" s="14">
        <v>45</v>
      </c>
      <c r="G1534" s="14">
        <v>4</v>
      </c>
      <c r="H1534" s="14" t="s">
        <v>4</v>
      </c>
      <c r="I1534" s="19">
        <v>42194</v>
      </c>
      <c r="J1534" s="14" t="s">
        <v>126</v>
      </c>
      <c r="K1534" s="22">
        <v>95</v>
      </c>
      <c r="L1534" s="22">
        <v>36</v>
      </c>
      <c r="M1534" s="22">
        <v>58</v>
      </c>
      <c r="N1534" s="22"/>
      <c r="O1534" s="22">
        <v>1</v>
      </c>
      <c r="P1534" s="10"/>
      <c r="Q1534" s="13"/>
      <c r="R1534" s="13"/>
      <c r="S1534" s="16"/>
      <c r="T1534" s="16"/>
    </row>
    <row r="1535" spans="1:20" x14ac:dyDescent="0.25">
      <c r="A1535" s="14">
        <v>2015</v>
      </c>
      <c r="B1535" s="14" t="s">
        <v>137</v>
      </c>
      <c r="C1535" s="14" t="s">
        <v>139</v>
      </c>
      <c r="D1535" s="14">
        <v>12</v>
      </c>
      <c r="E1535" s="14">
        <v>3</v>
      </c>
      <c r="F1535" s="14">
        <v>46</v>
      </c>
      <c r="G1535" s="14">
        <v>4</v>
      </c>
      <c r="H1535" s="14" t="s">
        <v>10</v>
      </c>
      <c r="I1535" s="19">
        <v>42194</v>
      </c>
      <c r="J1535" s="14" t="s">
        <v>126</v>
      </c>
      <c r="K1535" s="22">
        <v>138</v>
      </c>
      <c r="L1535" s="22">
        <v>50</v>
      </c>
      <c r="M1535" s="22">
        <v>86</v>
      </c>
      <c r="N1535" s="22"/>
      <c r="O1535" s="22">
        <v>1</v>
      </c>
      <c r="P1535" s="10"/>
      <c r="Q1535" s="13"/>
      <c r="R1535" s="13"/>
      <c r="S1535" s="16"/>
      <c r="T1535" s="16"/>
    </row>
    <row r="1536" spans="1:20" x14ac:dyDescent="0.25">
      <c r="A1536" s="14">
        <v>2015</v>
      </c>
      <c r="B1536" s="14" t="s">
        <v>137</v>
      </c>
      <c r="C1536" s="14" t="s">
        <v>139</v>
      </c>
      <c r="D1536" s="14">
        <v>12</v>
      </c>
      <c r="E1536" s="14">
        <v>2</v>
      </c>
      <c r="F1536" s="14">
        <v>47</v>
      </c>
      <c r="G1536" s="14">
        <v>4</v>
      </c>
      <c r="H1536" s="14" t="s">
        <v>13</v>
      </c>
      <c r="I1536" s="19">
        <v>42194</v>
      </c>
      <c r="J1536" s="14" t="s">
        <v>126</v>
      </c>
      <c r="K1536" s="22">
        <v>192</v>
      </c>
      <c r="L1536" s="22">
        <v>84</v>
      </c>
      <c r="M1536" s="22">
        <v>106</v>
      </c>
      <c r="N1536" s="22"/>
      <c r="O1536" s="22">
        <v>2</v>
      </c>
      <c r="P1536" s="10"/>
      <c r="Q1536" s="13"/>
      <c r="R1536" s="13"/>
      <c r="S1536" s="16"/>
      <c r="T1536" s="16"/>
    </row>
    <row r="1537" spans="1:20" x14ac:dyDescent="0.25">
      <c r="A1537" s="14">
        <v>2015</v>
      </c>
      <c r="B1537" s="14" t="s">
        <v>137</v>
      </c>
      <c r="C1537" s="14" t="s">
        <v>139</v>
      </c>
      <c r="D1537" s="14">
        <v>12</v>
      </c>
      <c r="E1537" s="14">
        <v>1</v>
      </c>
      <c r="F1537" s="14">
        <v>48</v>
      </c>
      <c r="G1537" s="14">
        <v>4</v>
      </c>
      <c r="H1537" s="14" t="s">
        <v>12</v>
      </c>
      <c r="I1537" s="19">
        <v>42194</v>
      </c>
      <c r="J1537" s="14" t="s">
        <v>126</v>
      </c>
      <c r="K1537" s="22">
        <v>157</v>
      </c>
      <c r="L1537" s="22">
        <v>68</v>
      </c>
      <c r="M1537" s="22">
        <v>88</v>
      </c>
      <c r="N1537" s="22"/>
      <c r="O1537" s="22">
        <v>1</v>
      </c>
      <c r="P1537" s="10"/>
      <c r="Q1537" s="13"/>
      <c r="R1537" s="13"/>
      <c r="S1537" s="16"/>
      <c r="T1537" s="16"/>
    </row>
    <row r="1538" spans="1:20" x14ac:dyDescent="0.25">
      <c r="A1538" s="14">
        <v>2015</v>
      </c>
      <c r="B1538" s="14" t="s">
        <v>137</v>
      </c>
      <c r="C1538" s="14" t="s">
        <v>139</v>
      </c>
      <c r="D1538" s="14">
        <v>1</v>
      </c>
      <c r="E1538" s="14">
        <v>4</v>
      </c>
      <c r="F1538" s="14">
        <v>1</v>
      </c>
      <c r="G1538" s="14">
        <v>1</v>
      </c>
      <c r="H1538" s="14" t="s">
        <v>6</v>
      </c>
      <c r="I1538" s="19">
        <v>42209</v>
      </c>
      <c r="J1538" s="14" t="s">
        <v>127</v>
      </c>
      <c r="K1538" s="22">
        <v>325</v>
      </c>
      <c r="L1538" s="22">
        <v>157</v>
      </c>
      <c r="M1538" s="22">
        <v>156</v>
      </c>
      <c r="N1538" s="22"/>
      <c r="O1538" s="22">
        <v>12</v>
      </c>
      <c r="P1538" s="11"/>
      <c r="Q1538" s="13"/>
      <c r="R1538" s="13"/>
      <c r="S1538" s="16"/>
      <c r="T1538" s="16"/>
    </row>
    <row r="1539" spans="1:20" x14ac:dyDescent="0.25">
      <c r="A1539" s="14">
        <v>2015</v>
      </c>
      <c r="B1539" s="14" t="s">
        <v>137</v>
      </c>
      <c r="C1539" s="14" t="s">
        <v>139</v>
      </c>
      <c r="D1539" s="14">
        <v>1</v>
      </c>
      <c r="E1539" s="14">
        <v>3</v>
      </c>
      <c r="F1539" s="14">
        <v>2</v>
      </c>
      <c r="G1539" s="14">
        <v>1</v>
      </c>
      <c r="H1539" s="14" t="s">
        <v>9</v>
      </c>
      <c r="I1539" s="19">
        <v>42213</v>
      </c>
      <c r="J1539" s="14" t="s">
        <v>127</v>
      </c>
      <c r="K1539" s="22">
        <v>484</v>
      </c>
      <c r="L1539" s="22">
        <v>263</v>
      </c>
      <c r="M1539" s="22">
        <v>187</v>
      </c>
      <c r="N1539" s="22"/>
      <c r="O1539" s="22">
        <v>34</v>
      </c>
      <c r="P1539" s="11"/>
      <c r="Q1539" s="13"/>
      <c r="R1539" s="13"/>
      <c r="S1539" s="16"/>
      <c r="T1539" s="16"/>
    </row>
    <row r="1540" spans="1:20" x14ac:dyDescent="0.25">
      <c r="A1540" s="14">
        <v>2015</v>
      </c>
      <c r="B1540" s="14" t="s">
        <v>137</v>
      </c>
      <c r="C1540" s="14" t="s">
        <v>139</v>
      </c>
      <c r="D1540" s="14">
        <v>1</v>
      </c>
      <c r="E1540" s="14">
        <v>2</v>
      </c>
      <c r="F1540" s="14">
        <v>3</v>
      </c>
      <c r="G1540" s="14">
        <v>1</v>
      </c>
      <c r="H1540" s="14" t="s">
        <v>3</v>
      </c>
      <c r="I1540" s="19">
        <v>42213</v>
      </c>
      <c r="J1540" s="14" t="s">
        <v>127</v>
      </c>
      <c r="K1540" s="22">
        <v>354</v>
      </c>
      <c r="L1540" s="22">
        <v>169</v>
      </c>
      <c r="M1540" s="22">
        <v>171</v>
      </c>
      <c r="N1540" s="22"/>
      <c r="O1540" s="22">
        <v>14</v>
      </c>
      <c r="P1540" s="11"/>
      <c r="Q1540" s="13"/>
      <c r="R1540" s="13"/>
      <c r="S1540" s="16"/>
      <c r="T1540" s="16"/>
    </row>
    <row r="1541" spans="1:20" x14ac:dyDescent="0.25">
      <c r="A1541" s="14">
        <v>2015</v>
      </c>
      <c r="B1541" s="14" t="s">
        <v>137</v>
      </c>
      <c r="C1541" s="14" t="s">
        <v>139</v>
      </c>
      <c r="D1541" s="14">
        <v>1</v>
      </c>
      <c r="E1541" s="14">
        <v>1</v>
      </c>
      <c r="F1541" s="14">
        <v>4</v>
      </c>
      <c r="G1541" s="14">
        <v>1</v>
      </c>
      <c r="H1541" s="14" t="s">
        <v>5</v>
      </c>
      <c r="I1541" s="19">
        <v>42209</v>
      </c>
      <c r="J1541" s="14" t="s">
        <v>127</v>
      </c>
      <c r="K1541" s="22">
        <v>370</v>
      </c>
      <c r="L1541" s="22">
        <v>184</v>
      </c>
      <c r="M1541" s="22">
        <v>179</v>
      </c>
      <c r="N1541" s="22"/>
      <c r="O1541" s="22">
        <v>6</v>
      </c>
      <c r="P1541" s="11"/>
      <c r="Q1541" s="13"/>
      <c r="R1541" s="13"/>
      <c r="S1541" s="16"/>
      <c r="T1541" s="16"/>
    </row>
    <row r="1542" spans="1:20" x14ac:dyDescent="0.25">
      <c r="A1542" s="14">
        <v>2015</v>
      </c>
      <c r="B1542" s="14" t="s">
        <v>137</v>
      </c>
      <c r="C1542" s="14" t="s">
        <v>139</v>
      </c>
      <c r="D1542" s="14">
        <v>2</v>
      </c>
      <c r="E1542" s="14">
        <v>4</v>
      </c>
      <c r="F1542" s="14">
        <v>5</v>
      </c>
      <c r="G1542" s="14">
        <v>1</v>
      </c>
      <c r="H1542" s="14" t="s">
        <v>13</v>
      </c>
      <c r="I1542" s="19">
        <v>42201</v>
      </c>
      <c r="J1542" s="14" t="s">
        <v>127</v>
      </c>
      <c r="K1542" s="22">
        <v>215</v>
      </c>
      <c r="L1542" s="22">
        <v>102</v>
      </c>
      <c r="M1542" s="22">
        <v>109</v>
      </c>
      <c r="N1542" s="22"/>
      <c r="O1542" s="22">
        <v>5</v>
      </c>
      <c r="P1542" s="11"/>
      <c r="Q1542" s="13"/>
      <c r="R1542" s="13"/>
      <c r="S1542" s="16"/>
      <c r="T1542" s="16"/>
    </row>
    <row r="1543" spans="1:20" x14ac:dyDescent="0.25">
      <c r="A1543" s="14">
        <v>2015</v>
      </c>
      <c r="B1543" s="14" t="s">
        <v>137</v>
      </c>
      <c r="C1543" s="14" t="s">
        <v>139</v>
      </c>
      <c r="D1543" s="14">
        <v>2</v>
      </c>
      <c r="E1543" s="14">
        <v>3</v>
      </c>
      <c r="F1543" s="14">
        <v>6</v>
      </c>
      <c r="G1543" s="14">
        <v>1</v>
      </c>
      <c r="H1543" s="14" t="s">
        <v>4</v>
      </c>
      <c r="I1543" s="19">
        <v>42220</v>
      </c>
      <c r="J1543" s="14" t="s">
        <v>127</v>
      </c>
      <c r="K1543" s="22">
        <v>263</v>
      </c>
      <c r="L1543" s="22">
        <v>150</v>
      </c>
      <c r="M1543" s="22">
        <v>104</v>
      </c>
      <c r="N1543" s="22"/>
      <c r="O1543" s="22">
        <v>8</v>
      </c>
      <c r="P1543" s="11"/>
      <c r="Q1543" s="13"/>
      <c r="R1543" s="13"/>
      <c r="S1543" s="16"/>
      <c r="T1543" s="16"/>
    </row>
    <row r="1544" spans="1:20" x14ac:dyDescent="0.25">
      <c r="A1544" s="14">
        <v>2015</v>
      </c>
      <c r="B1544" s="14" t="s">
        <v>137</v>
      </c>
      <c r="C1544" s="14" t="s">
        <v>139</v>
      </c>
      <c r="D1544" s="14">
        <v>2</v>
      </c>
      <c r="E1544" s="14">
        <v>2</v>
      </c>
      <c r="F1544" s="14">
        <v>7</v>
      </c>
      <c r="G1544" s="14">
        <v>1</v>
      </c>
      <c r="H1544" s="14" t="s">
        <v>12</v>
      </c>
      <c r="I1544" s="19">
        <v>42209</v>
      </c>
      <c r="J1544" s="14" t="s">
        <v>127</v>
      </c>
      <c r="K1544" s="22">
        <v>289</v>
      </c>
      <c r="L1544" s="22">
        <v>156</v>
      </c>
      <c r="M1544" s="22">
        <v>125</v>
      </c>
      <c r="N1544" s="22"/>
      <c r="O1544" s="22">
        <v>7</v>
      </c>
      <c r="P1544" s="11"/>
      <c r="Q1544" s="13"/>
      <c r="R1544" s="13"/>
      <c r="S1544" s="16"/>
      <c r="T1544" s="16"/>
    </row>
    <row r="1545" spans="1:20" x14ac:dyDescent="0.25">
      <c r="A1545" s="14">
        <v>2015</v>
      </c>
      <c r="B1545" s="14" t="s">
        <v>137</v>
      </c>
      <c r="C1545" s="14" t="s">
        <v>139</v>
      </c>
      <c r="D1545" s="14">
        <v>2</v>
      </c>
      <c r="E1545" s="14">
        <v>1</v>
      </c>
      <c r="F1545" s="14">
        <v>8</v>
      </c>
      <c r="G1545" s="14">
        <v>1</v>
      </c>
      <c r="H1545" s="14" t="s">
        <v>2</v>
      </c>
      <c r="I1545" s="19">
        <v>42213</v>
      </c>
      <c r="J1545" s="14" t="s">
        <v>127</v>
      </c>
      <c r="K1545" s="22">
        <v>412</v>
      </c>
      <c r="L1545" s="22">
        <v>220</v>
      </c>
      <c r="M1545" s="22">
        <v>171</v>
      </c>
      <c r="N1545" s="22"/>
      <c r="O1545" s="22">
        <v>21</v>
      </c>
      <c r="P1545" s="11"/>
      <c r="Q1545" s="13"/>
      <c r="R1545" s="13"/>
      <c r="S1545" s="16"/>
      <c r="T1545" s="16"/>
    </row>
    <row r="1546" spans="1:20" x14ac:dyDescent="0.25">
      <c r="A1546" s="14">
        <v>2015</v>
      </c>
      <c r="B1546" s="14" t="s">
        <v>137</v>
      </c>
      <c r="C1546" s="14" t="s">
        <v>139</v>
      </c>
      <c r="D1546" s="14">
        <v>3</v>
      </c>
      <c r="E1546" s="14">
        <v>4</v>
      </c>
      <c r="F1546" s="14">
        <v>9</v>
      </c>
      <c r="G1546" s="14">
        <v>1</v>
      </c>
      <c r="H1546" s="14" t="s">
        <v>10</v>
      </c>
      <c r="I1546" s="19">
        <v>42209</v>
      </c>
      <c r="J1546" s="14" t="s">
        <v>127</v>
      </c>
      <c r="K1546" s="22">
        <v>308</v>
      </c>
      <c r="L1546" s="22">
        <v>162</v>
      </c>
      <c r="M1546" s="22">
        <v>139</v>
      </c>
      <c r="N1546" s="22"/>
      <c r="O1546" s="22">
        <v>7</v>
      </c>
      <c r="P1546" s="11"/>
      <c r="Q1546" s="13"/>
      <c r="R1546" s="13"/>
      <c r="S1546" s="16"/>
      <c r="T1546" s="16"/>
    </row>
    <row r="1547" spans="1:20" x14ac:dyDescent="0.25">
      <c r="A1547" s="14">
        <v>2015</v>
      </c>
      <c r="B1547" s="14" t="s">
        <v>137</v>
      </c>
      <c r="C1547" s="14" t="s">
        <v>139</v>
      </c>
      <c r="D1547" s="14">
        <v>3</v>
      </c>
      <c r="E1547" s="14">
        <v>3</v>
      </c>
      <c r="F1547" s="14">
        <v>10</v>
      </c>
      <c r="G1547" s="14">
        <v>1</v>
      </c>
      <c r="H1547" s="14" t="s">
        <v>7</v>
      </c>
      <c r="I1547" s="19">
        <v>42209</v>
      </c>
      <c r="J1547" s="14" t="s">
        <v>127</v>
      </c>
      <c r="K1547" s="22">
        <v>372</v>
      </c>
      <c r="L1547" s="22">
        <v>190</v>
      </c>
      <c r="M1547" s="22">
        <v>169</v>
      </c>
      <c r="N1547" s="22"/>
      <c r="O1547" s="22">
        <v>13</v>
      </c>
      <c r="P1547" s="11"/>
      <c r="Q1547" s="13"/>
      <c r="R1547" s="13"/>
      <c r="S1547" s="16"/>
      <c r="T1547" s="16"/>
    </row>
    <row r="1548" spans="1:20" x14ac:dyDescent="0.25">
      <c r="A1548" s="14">
        <v>2015</v>
      </c>
      <c r="B1548" s="14" t="s">
        <v>137</v>
      </c>
      <c r="C1548" s="14" t="s">
        <v>139</v>
      </c>
      <c r="D1548" s="14">
        <v>3</v>
      </c>
      <c r="E1548" s="14">
        <v>2</v>
      </c>
      <c r="F1548" s="14">
        <v>11</v>
      </c>
      <c r="G1548" s="14">
        <v>1</v>
      </c>
      <c r="H1548" s="14" t="s">
        <v>14</v>
      </c>
      <c r="I1548" s="19">
        <v>42213</v>
      </c>
      <c r="J1548" s="14" t="s">
        <v>127</v>
      </c>
      <c r="K1548" s="22">
        <v>422</v>
      </c>
      <c r="L1548" s="22">
        <v>233</v>
      </c>
      <c r="M1548" s="22">
        <v>169</v>
      </c>
      <c r="N1548" s="22"/>
      <c r="O1548" s="22">
        <v>20</v>
      </c>
      <c r="P1548" s="11"/>
      <c r="Q1548" s="13"/>
      <c r="R1548" s="13"/>
      <c r="S1548" s="16"/>
      <c r="T1548" s="16"/>
    </row>
    <row r="1549" spans="1:20" x14ac:dyDescent="0.25">
      <c r="A1549" s="14">
        <v>2015</v>
      </c>
      <c r="B1549" s="14" t="s">
        <v>137</v>
      </c>
      <c r="C1549" s="14" t="s">
        <v>139</v>
      </c>
      <c r="D1549" s="14">
        <v>3</v>
      </c>
      <c r="E1549" s="14">
        <v>1</v>
      </c>
      <c r="F1549" s="14">
        <v>12</v>
      </c>
      <c r="G1549" s="14">
        <v>1</v>
      </c>
      <c r="H1549" s="14" t="s">
        <v>8</v>
      </c>
      <c r="I1549" s="19">
        <v>42213</v>
      </c>
      <c r="J1549" s="14" t="s">
        <v>127</v>
      </c>
      <c r="K1549" s="22">
        <v>369</v>
      </c>
      <c r="L1549" s="22">
        <v>213</v>
      </c>
      <c r="M1549" s="22">
        <v>149</v>
      </c>
      <c r="N1549" s="22"/>
      <c r="O1549" s="22">
        <v>7</v>
      </c>
      <c r="P1549" s="11"/>
      <c r="Q1549" s="13"/>
      <c r="R1549" s="13"/>
      <c r="S1549" s="16"/>
      <c r="T1549" s="16"/>
    </row>
    <row r="1550" spans="1:20" x14ac:dyDescent="0.25">
      <c r="A1550" s="14">
        <v>2015</v>
      </c>
      <c r="B1550" s="14" t="s">
        <v>137</v>
      </c>
      <c r="C1550" s="14" t="s">
        <v>139</v>
      </c>
      <c r="D1550" s="14">
        <v>4</v>
      </c>
      <c r="E1550" s="14">
        <v>4</v>
      </c>
      <c r="F1550" s="14">
        <v>13</v>
      </c>
      <c r="G1550" s="14">
        <v>2</v>
      </c>
      <c r="H1550" s="14" t="s">
        <v>3</v>
      </c>
      <c r="I1550" s="19">
        <v>42213</v>
      </c>
      <c r="J1550" s="14" t="s">
        <v>127</v>
      </c>
      <c r="K1550" s="22">
        <v>346</v>
      </c>
      <c r="L1550" s="22">
        <v>147</v>
      </c>
      <c r="M1550" s="22">
        <v>184</v>
      </c>
      <c r="N1550" s="22"/>
      <c r="O1550" s="22">
        <v>16</v>
      </c>
      <c r="P1550" s="11"/>
      <c r="Q1550" s="13"/>
      <c r="R1550" s="13"/>
      <c r="S1550" s="16"/>
      <c r="T1550" s="16"/>
    </row>
    <row r="1551" spans="1:20" x14ac:dyDescent="0.25">
      <c r="A1551" s="14">
        <v>2015</v>
      </c>
      <c r="B1551" s="14" t="s">
        <v>137</v>
      </c>
      <c r="C1551" s="14" t="s">
        <v>139</v>
      </c>
      <c r="D1551" s="14">
        <v>4</v>
      </c>
      <c r="E1551" s="14">
        <v>3</v>
      </c>
      <c r="F1551" s="14">
        <v>14</v>
      </c>
      <c r="G1551" s="14">
        <v>2</v>
      </c>
      <c r="H1551" s="14" t="s">
        <v>13</v>
      </c>
      <c r="I1551" s="19">
        <v>42201</v>
      </c>
      <c r="J1551" s="14" t="s">
        <v>127</v>
      </c>
      <c r="K1551" s="22">
        <v>237</v>
      </c>
      <c r="L1551" s="22">
        <v>121</v>
      </c>
      <c r="M1551" s="22">
        <v>110</v>
      </c>
      <c r="N1551" s="22"/>
      <c r="O1551" s="22">
        <v>7</v>
      </c>
      <c r="P1551" s="11"/>
      <c r="Q1551" s="13"/>
      <c r="R1551" s="13"/>
      <c r="S1551" s="16"/>
      <c r="T1551" s="16"/>
    </row>
    <row r="1552" spans="1:20" x14ac:dyDescent="0.25">
      <c r="A1552" s="14">
        <v>2015</v>
      </c>
      <c r="B1552" s="14" t="s">
        <v>137</v>
      </c>
      <c r="C1552" s="14" t="s">
        <v>139</v>
      </c>
      <c r="D1552" s="14">
        <v>4</v>
      </c>
      <c r="E1552" s="14">
        <v>2</v>
      </c>
      <c r="F1552" s="14">
        <v>15</v>
      </c>
      <c r="G1552" s="14">
        <v>2</v>
      </c>
      <c r="H1552" s="14" t="s">
        <v>2</v>
      </c>
      <c r="I1552" s="19">
        <v>42213</v>
      </c>
      <c r="J1552" s="14" t="s">
        <v>127</v>
      </c>
      <c r="K1552" s="22">
        <v>319</v>
      </c>
      <c r="L1552" s="22">
        <v>170</v>
      </c>
      <c r="M1552" s="22">
        <v>137</v>
      </c>
      <c r="N1552" s="22"/>
      <c r="O1552" s="22">
        <v>12</v>
      </c>
      <c r="P1552" s="11"/>
      <c r="Q1552" s="13"/>
      <c r="R1552" s="13"/>
      <c r="S1552" s="16"/>
      <c r="T1552" s="16"/>
    </row>
    <row r="1553" spans="1:20" x14ac:dyDescent="0.25">
      <c r="A1553" s="14">
        <v>2015</v>
      </c>
      <c r="B1553" s="14" t="s">
        <v>137</v>
      </c>
      <c r="C1553" s="14" t="s">
        <v>139</v>
      </c>
      <c r="D1553" s="14">
        <v>4</v>
      </c>
      <c r="E1553" s="14">
        <v>1</v>
      </c>
      <c r="F1553" s="14">
        <v>16</v>
      </c>
      <c r="G1553" s="14">
        <v>2</v>
      </c>
      <c r="H1553" s="14" t="s">
        <v>7</v>
      </c>
      <c r="I1553" s="19">
        <v>42209</v>
      </c>
      <c r="J1553" s="14" t="s">
        <v>127</v>
      </c>
      <c r="K1553" s="22">
        <v>329</v>
      </c>
      <c r="L1553" s="22">
        <v>175</v>
      </c>
      <c r="M1553" s="22">
        <v>144</v>
      </c>
      <c r="N1553" s="22"/>
      <c r="O1553" s="22">
        <v>11</v>
      </c>
      <c r="P1553" s="11"/>
      <c r="Q1553" s="13"/>
      <c r="R1553" s="13"/>
      <c r="S1553" s="16"/>
      <c r="T1553" s="16"/>
    </row>
    <row r="1554" spans="1:20" x14ac:dyDescent="0.25">
      <c r="A1554" s="14">
        <v>2015</v>
      </c>
      <c r="B1554" s="14" t="s">
        <v>137</v>
      </c>
      <c r="C1554" s="14" t="s">
        <v>139</v>
      </c>
      <c r="D1554" s="14">
        <v>5</v>
      </c>
      <c r="E1554" s="14">
        <v>4</v>
      </c>
      <c r="F1554" s="14">
        <v>17</v>
      </c>
      <c r="G1554" s="14">
        <v>2</v>
      </c>
      <c r="H1554" s="14" t="s">
        <v>8</v>
      </c>
      <c r="I1554" s="19">
        <v>42213</v>
      </c>
      <c r="J1554" s="14" t="s">
        <v>127</v>
      </c>
      <c r="K1554" s="22">
        <v>385</v>
      </c>
      <c r="L1554" s="22">
        <v>172</v>
      </c>
      <c r="M1554" s="22">
        <v>205</v>
      </c>
      <c r="N1554" s="22"/>
      <c r="O1554" s="22">
        <v>8</v>
      </c>
      <c r="P1554" s="11"/>
      <c r="Q1554" s="13"/>
      <c r="R1554" s="13"/>
      <c r="S1554" s="16"/>
      <c r="T1554" s="16"/>
    </row>
    <row r="1555" spans="1:20" x14ac:dyDescent="0.25">
      <c r="A1555" s="14">
        <v>2015</v>
      </c>
      <c r="B1555" s="14" t="s">
        <v>137</v>
      </c>
      <c r="C1555" s="14" t="s">
        <v>139</v>
      </c>
      <c r="D1555" s="14">
        <v>5</v>
      </c>
      <c r="E1555" s="14">
        <v>3</v>
      </c>
      <c r="F1555" s="14">
        <v>18</v>
      </c>
      <c r="G1555" s="14">
        <v>2</v>
      </c>
      <c r="H1555" s="14" t="s">
        <v>5</v>
      </c>
      <c r="I1555" s="19">
        <v>42209</v>
      </c>
      <c r="J1555" s="14" t="s">
        <v>127</v>
      </c>
      <c r="K1555" s="22">
        <v>315</v>
      </c>
      <c r="L1555" s="22">
        <v>168</v>
      </c>
      <c r="M1555" s="22">
        <v>140</v>
      </c>
      <c r="N1555" s="22"/>
      <c r="O1555" s="22">
        <v>7</v>
      </c>
      <c r="P1555" s="11"/>
      <c r="Q1555" s="13"/>
      <c r="R1555" s="13"/>
      <c r="S1555" s="16"/>
      <c r="T1555" s="16"/>
    </row>
    <row r="1556" spans="1:20" x14ac:dyDescent="0.25">
      <c r="A1556" s="14">
        <v>2015</v>
      </c>
      <c r="B1556" s="14" t="s">
        <v>137</v>
      </c>
      <c r="C1556" s="14" t="s">
        <v>139</v>
      </c>
      <c r="D1556" s="14">
        <v>5</v>
      </c>
      <c r="E1556" s="14">
        <v>2</v>
      </c>
      <c r="F1556" s="14">
        <v>19</v>
      </c>
      <c r="G1556" s="14">
        <v>2</v>
      </c>
      <c r="H1556" s="14" t="s">
        <v>4</v>
      </c>
      <c r="I1556" s="19">
        <v>42220</v>
      </c>
      <c r="J1556" s="14" t="s">
        <v>127</v>
      </c>
      <c r="K1556" s="22">
        <v>399</v>
      </c>
      <c r="L1556" s="22">
        <v>226</v>
      </c>
      <c r="M1556" s="22">
        <v>156</v>
      </c>
      <c r="N1556" s="22"/>
      <c r="O1556" s="22">
        <v>17</v>
      </c>
      <c r="P1556" s="11"/>
      <c r="Q1556" s="13"/>
      <c r="R1556" s="13"/>
      <c r="S1556" s="16"/>
      <c r="T1556" s="16"/>
    </row>
    <row r="1557" spans="1:20" x14ac:dyDescent="0.25">
      <c r="A1557" s="14">
        <v>2015</v>
      </c>
      <c r="B1557" s="14" t="s">
        <v>137</v>
      </c>
      <c r="C1557" s="14" t="s">
        <v>139</v>
      </c>
      <c r="D1557" s="14">
        <v>5</v>
      </c>
      <c r="E1557" s="14">
        <v>1</v>
      </c>
      <c r="F1557" s="14">
        <v>20</v>
      </c>
      <c r="G1557" s="14">
        <v>2</v>
      </c>
      <c r="H1557" s="14" t="s">
        <v>14</v>
      </c>
      <c r="I1557" s="19">
        <v>42213</v>
      </c>
      <c r="J1557" s="14" t="s">
        <v>127</v>
      </c>
      <c r="K1557" s="22">
        <v>342</v>
      </c>
      <c r="L1557" s="22">
        <v>181</v>
      </c>
      <c r="M1557" s="22">
        <v>141</v>
      </c>
      <c r="N1557" s="22"/>
      <c r="O1557" s="22">
        <v>20</v>
      </c>
      <c r="P1557" s="11"/>
      <c r="Q1557" s="13"/>
      <c r="R1557" s="13"/>
      <c r="S1557" s="16"/>
      <c r="T1557" s="16"/>
    </row>
    <row r="1558" spans="1:20" x14ac:dyDescent="0.25">
      <c r="A1558" s="14">
        <v>2015</v>
      </c>
      <c r="B1558" s="14" t="s">
        <v>137</v>
      </c>
      <c r="C1558" s="14" t="s">
        <v>139</v>
      </c>
      <c r="D1558" s="14">
        <v>6</v>
      </c>
      <c r="E1558" s="14">
        <v>4</v>
      </c>
      <c r="F1558" s="14">
        <v>21</v>
      </c>
      <c r="G1558" s="14">
        <v>2</v>
      </c>
      <c r="H1558" s="14" t="s">
        <v>9</v>
      </c>
      <c r="I1558" s="19">
        <v>42213</v>
      </c>
      <c r="J1558" s="14" t="s">
        <v>127</v>
      </c>
      <c r="K1558" s="22">
        <v>387</v>
      </c>
      <c r="L1558" s="22">
        <v>184</v>
      </c>
      <c r="M1558" s="22">
        <v>181</v>
      </c>
      <c r="N1558" s="22"/>
      <c r="O1558" s="22">
        <v>22</v>
      </c>
      <c r="P1558" s="11"/>
      <c r="Q1558" s="13"/>
      <c r="R1558" s="13"/>
      <c r="S1558" s="16"/>
      <c r="T1558" s="16"/>
    </row>
    <row r="1559" spans="1:20" x14ac:dyDescent="0.25">
      <c r="A1559" s="14">
        <v>2015</v>
      </c>
      <c r="B1559" s="14" t="s">
        <v>137</v>
      </c>
      <c r="C1559" s="14" t="s">
        <v>139</v>
      </c>
      <c r="D1559" s="14">
        <v>6</v>
      </c>
      <c r="E1559" s="14">
        <v>3</v>
      </c>
      <c r="F1559" s="14">
        <v>22</v>
      </c>
      <c r="G1559" s="14">
        <v>2</v>
      </c>
      <c r="H1559" s="14" t="s">
        <v>12</v>
      </c>
      <c r="I1559" s="19">
        <v>42209</v>
      </c>
      <c r="J1559" s="14" t="s">
        <v>127</v>
      </c>
      <c r="K1559" s="22">
        <v>318</v>
      </c>
      <c r="L1559" s="22">
        <v>160</v>
      </c>
      <c r="M1559" s="22">
        <v>151</v>
      </c>
      <c r="N1559" s="22"/>
      <c r="O1559" s="22">
        <v>7</v>
      </c>
      <c r="P1559" s="11"/>
      <c r="Q1559" s="13"/>
      <c r="R1559" s="13"/>
      <c r="S1559" s="16"/>
      <c r="T1559" s="16"/>
    </row>
    <row r="1560" spans="1:20" x14ac:dyDescent="0.25">
      <c r="A1560" s="14">
        <v>2015</v>
      </c>
      <c r="B1560" s="14" t="s">
        <v>137</v>
      </c>
      <c r="C1560" s="14" t="s">
        <v>139</v>
      </c>
      <c r="D1560" s="14">
        <v>6</v>
      </c>
      <c r="E1560" s="14">
        <v>2</v>
      </c>
      <c r="F1560" s="14">
        <v>23</v>
      </c>
      <c r="G1560" s="14">
        <v>2</v>
      </c>
      <c r="H1560" s="14" t="s">
        <v>6</v>
      </c>
      <c r="I1560" s="19">
        <v>42209</v>
      </c>
      <c r="J1560" s="14" t="s">
        <v>127</v>
      </c>
      <c r="K1560" s="22">
        <v>327</v>
      </c>
      <c r="L1560" s="22">
        <v>185</v>
      </c>
      <c r="M1560" s="22">
        <v>133</v>
      </c>
      <c r="N1560" s="22"/>
      <c r="O1560" s="22">
        <v>9</v>
      </c>
      <c r="P1560" s="11"/>
      <c r="Q1560" s="13"/>
      <c r="R1560" s="13"/>
      <c r="S1560" s="16"/>
      <c r="T1560" s="16"/>
    </row>
    <row r="1561" spans="1:20" x14ac:dyDescent="0.25">
      <c r="A1561" s="14">
        <v>2015</v>
      </c>
      <c r="B1561" s="14" t="s">
        <v>137</v>
      </c>
      <c r="C1561" s="14" t="s">
        <v>139</v>
      </c>
      <c r="D1561" s="14">
        <v>6</v>
      </c>
      <c r="E1561" s="14">
        <v>1</v>
      </c>
      <c r="F1561" s="14">
        <v>24</v>
      </c>
      <c r="G1561" s="14">
        <v>2</v>
      </c>
      <c r="H1561" s="14" t="s">
        <v>10</v>
      </c>
      <c r="I1561" s="19">
        <v>42209</v>
      </c>
      <c r="J1561" s="14" t="s">
        <v>127</v>
      </c>
      <c r="K1561" s="22">
        <v>303</v>
      </c>
      <c r="L1561" s="22">
        <v>170</v>
      </c>
      <c r="M1561" s="22">
        <v>126</v>
      </c>
      <c r="N1561" s="22"/>
      <c r="O1561" s="22">
        <v>7</v>
      </c>
      <c r="P1561" s="11"/>
      <c r="Q1561" s="13"/>
      <c r="R1561" s="13"/>
      <c r="S1561" s="16"/>
      <c r="T1561" s="16"/>
    </row>
    <row r="1562" spans="1:20" x14ac:dyDescent="0.25">
      <c r="A1562" s="14">
        <v>2015</v>
      </c>
      <c r="B1562" s="14" t="s">
        <v>137</v>
      </c>
      <c r="C1562" s="14" t="s">
        <v>139</v>
      </c>
      <c r="D1562" s="14">
        <v>7</v>
      </c>
      <c r="E1562" s="14">
        <v>4</v>
      </c>
      <c r="F1562" s="14">
        <v>25</v>
      </c>
      <c r="G1562" s="14">
        <v>3</v>
      </c>
      <c r="H1562" s="14" t="s">
        <v>12</v>
      </c>
      <c r="I1562" s="19">
        <v>42209</v>
      </c>
      <c r="J1562" s="14" t="s">
        <v>127</v>
      </c>
      <c r="K1562" s="22">
        <v>221</v>
      </c>
      <c r="L1562" s="22">
        <v>112</v>
      </c>
      <c r="M1562" s="22">
        <v>104</v>
      </c>
      <c r="N1562" s="22"/>
      <c r="O1562" s="22">
        <v>5</v>
      </c>
      <c r="P1562" s="11"/>
      <c r="Q1562" s="13"/>
      <c r="R1562" s="13"/>
      <c r="S1562" s="16"/>
      <c r="T1562" s="16"/>
    </row>
    <row r="1563" spans="1:20" x14ac:dyDescent="0.25">
      <c r="A1563" s="14">
        <v>2015</v>
      </c>
      <c r="B1563" s="14" t="s">
        <v>137</v>
      </c>
      <c r="C1563" s="14" t="s">
        <v>139</v>
      </c>
      <c r="D1563" s="14">
        <v>7</v>
      </c>
      <c r="E1563" s="14">
        <v>3</v>
      </c>
      <c r="F1563" s="14">
        <v>26</v>
      </c>
      <c r="G1563" s="14">
        <v>3</v>
      </c>
      <c r="H1563" s="14" t="s">
        <v>8</v>
      </c>
      <c r="I1563" s="19">
        <v>42213</v>
      </c>
      <c r="J1563" s="14" t="s">
        <v>127</v>
      </c>
      <c r="K1563" s="22">
        <v>474</v>
      </c>
      <c r="L1563" s="22">
        <v>233</v>
      </c>
      <c r="M1563" s="22">
        <v>232</v>
      </c>
      <c r="N1563" s="22"/>
      <c r="O1563" s="22">
        <v>9</v>
      </c>
      <c r="P1563" s="11"/>
      <c r="Q1563" s="13"/>
      <c r="R1563" s="13"/>
      <c r="S1563" s="16"/>
      <c r="T1563" s="16"/>
    </row>
    <row r="1564" spans="1:20" x14ac:dyDescent="0.25">
      <c r="A1564" s="14">
        <v>2015</v>
      </c>
      <c r="B1564" s="14" t="s">
        <v>137</v>
      </c>
      <c r="C1564" s="14" t="s">
        <v>139</v>
      </c>
      <c r="D1564" s="14">
        <v>7</v>
      </c>
      <c r="E1564" s="14">
        <v>2</v>
      </c>
      <c r="F1564" s="14">
        <v>27</v>
      </c>
      <c r="G1564" s="14">
        <v>3</v>
      </c>
      <c r="H1564" s="14" t="s">
        <v>10</v>
      </c>
      <c r="I1564" s="19">
        <v>42209</v>
      </c>
      <c r="J1564" s="14" t="s">
        <v>127</v>
      </c>
      <c r="K1564" s="22">
        <v>336</v>
      </c>
      <c r="L1564" s="22">
        <v>167</v>
      </c>
      <c r="M1564" s="22">
        <v>161</v>
      </c>
      <c r="N1564" s="22"/>
      <c r="O1564" s="22">
        <v>8</v>
      </c>
      <c r="P1564" s="11"/>
      <c r="Q1564" s="13"/>
      <c r="R1564" s="13"/>
      <c r="S1564" s="16"/>
      <c r="T1564" s="16"/>
    </row>
    <row r="1565" spans="1:20" x14ac:dyDescent="0.25">
      <c r="A1565" s="14">
        <v>2015</v>
      </c>
      <c r="B1565" s="14" t="s">
        <v>137</v>
      </c>
      <c r="C1565" s="14" t="s">
        <v>139</v>
      </c>
      <c r="D1565" s="14">
        <v>7</v>
      </c>
      <c r="E1565" s="14">
        <v>1</v>
      </c>
      <c r="F1565" s="14">
        <v>28</v>
      </c>
      <c r="G1565" s="14">
        <v>3</v>
      </c>
      <c r="H1565" s="14" t="s">
        <v>4</v>
      </c>
      <c r="I1565" s="19">
        <v>42220</v>
      </c>
      <c r="J1565" s="14" t="s">
        <v>127</v>
      </c>
      <c r="K1565" s="22">
        <v>369</v>
      </c>
      <c r="L1565" s="22">
        <v>196</v>
      </c>
      <c r="M1565" s="22">
        <v>163</v>
      </c>
      <c r="N1565" s="22"/>
      <c r="O1565" s="22">
        <v>10</v>
      </c>
      <c r="P1565" s="11"/>
      <c r="Q1565" s="13"/>
      <c r="R1565" s="13"/>
      <c r="S1565" s="16"/>
      <c r="T1565" s="16"/>
    </row>
    <row r="1566" spans="1:20" x14ac:dyDescent="0.25">
      <c r="A1566" s="14">
        <v>2015</v>
      </c>
      <c r="B1566" s="14" t="s">
        <v>137</v>
      </c>
      <c r="C1566" s="14" t="s">
        <v>139</v>
      </c>
      <c r="D1566" s="14">
        <v>8</v>
      </c>
      <c r="E1566" s="14">
        <v>4</v>
      </c>
      <c r="F1566" s="14">
        <v>29</v>
      </c>
      <c r="G1566" s="14">
        <v>3</v>
      </c>
      <c r="H1566" s="14" t="s">
        <v>7</v>
      </c>
      <c r="I1566" s="19">
        <v>42209</v>
      </c>
      <c r="J1566" s="14" t="s">
        <v>127</v>
      </c>
      <c r="K1566" s="22">
        <v>307</v>
      </c>
      <c r="L1566" s="22">
        <v>208</v>
      </c>
      <c r="M1566" s="22">
        <v>91</v>
      </c>
      <c r="N1566" s="22"/>
      <c r="O1566" s="22">
        <v>8</v>
      </c>
      <c r="P1566" s="11"/>
      <c r="Q1566" s="13"/>
      <c r="R1566" s="13"/>
      <c r="S1566" s="16"/>
      <c r="T1566" s="16"/>
    </row>
    <row r="1567" spans="1:20" x14ac:dyDescent="0.25">
      <c r="A1567" s="14">
        <v>2015</v>
      </c>
      <c r="B1567" s="14" t="s">
        <v>137</v>
      </c>
      <c r="C1567" s="14" t="s">
        <v>139</v>
      </c>
      <c r="D1567" s="14">
        <v>8</v>
      </c>
      <c r="E1567" s="14">
        <v>3</v>
      </c>
      <c r="F1567" s="14">
        <v>30</v>
      </c>
      <c r="G1567" s="14">
        <v>3</v>
      </c>
      <c r="H1567" s="14" t="s">
        <v>6</v>
      </c>
      <c r="I1567" s="19">
        <v>42209</v>
      </c>
      <c r="J1567" s="14" t="s">
        <v>127</v>
      </c>
      <c r="K1567" s="22">
        <v>259</v>
      </c>
      <c r="L1567" s="22">
        <v>137</v>
      </c>
      <c r="M1567" s="22">
        <v>114</v>
      </c>
      <c r="N1567" s="22"/>
      <c r="O1567" s="22">
        <v>8</v>
      </c>
      <c r="P1567" s="11"/>
      <c r="Q1567" s="13"/>
      <c r="R1567" s="13"/>
      <c r="S1567" s="16"/>
      <c r="T1567" s="16"/>
    </row>
    <row r="1568" spans="1:20" x14ac:dyDescent="0.25">
      <c r="A1568" s="14">
        <v>2015</v>
      </c>
      <c r="B1568" s="14" t="s">
        <v>137</v>
      </c>
      <c r="C1568" s="14" t="s">
        <v>139</v>
      </c>
      <c r="D1568" s="14">
        <v>8</v>
      </c>
      <c r="E1568" s="14">
        <v>2</v>
      </c>
      <c r="F1568" s="14">
        <v>31</v>
      </c>
      <c r="G1568" s="14">
        <v>3</v>
      </c>
      <c r="H1568" s="14" t="s">
        <v>5</v>
      </c>
      <c r="I1568" s="19">
        <v>42209</v>
      </c>
      <c r="J1568" s="14" t="s">
        <v>127</v>
      </c>
      <c r="K1568" s="22">
        <v>314</v>
      </c>
      <c r="L1568" s="22">
        <v>154</v>
      </c>
      <c r="M1568" s="22">
        <v>154</v>
      </c>
      <c r="N1568" s="22"/>
      <c r="O1568" s="22">
        <v>6</v>
      </c>
      <c r="P1568" s="11"/>
      <c r="Q1568" s="13"/>
      <c r="R1568" s="13"/>
      <c r="S1568" s="16"/>
      <c r="T1568" s="16"/>
    </row>
    <row r="1569" spans="1:20" x14ac:dyDescent="0.25">
      <c r="A1569" s="14">
        <v>2015</v>
      </c>
      <c r="B1569" s="14" t="s">
        <v>137</v>
      </c>
      <c r="C1569" s="14" t="s">
        <v>139</v>
      </c>
      <c r="D1569" s="14">
        <v>8</v>
      </c>
      <c r="E1569" s="14">
        <v>1</v>
      </c>
      <c r="F1569" s="14">
        <v>32</v>
      </c>
      <c r="G1569" s="14">
        <v>3</v>
      </c>
      <c r="H1569" s="14" t="s">
        <v>3</v>
      </c>
      <c r="I1569" s="19">
        <v>42213</v>
      </c>
      <c r="J1569" s="14" t="s">
        <v>127</v>
      </c>
      <c r="K1569" s="22">
        <v>391</v>
      </c>
      <c r="L1569" s="22">
        <v>185</v>
      </c>
      <c r="M1569" s="22">
        <v>194</v>
      </c>
      <c r="N1569" s="22"/>
      <c r="O1569" s="22">
        <v>13</v>
      </c>
      <c r="P1569" s="11"/>
      <c r="Q1569" s="13"/>
      <c r="R1569" s="13"/>
      <c r="S1569" s="16"/>
      <c r="T1569" s="16"/>
    </row>
    <row r="1570" spans="1:20" x14ac:dyDescent="0.25">
      <c r="A1570" s="14">
        <v>2015</v>
      </c>
      <c r="B1570" s="14" t="s">
        <v>137</v>
      </c>
      <c r="C1570" s="14" t="s">
        <v>139</v>
      </c>
      <c r="D1570" s="14">
        <v>9</v>
      </c>
      <c r="E1570" s="14">
        <v>4</v>
      </c>
      <c r="F1570" s="14">
        <v>33</v>
      </c>
      <c r="G1570" s="14">
        <v>3</v>
      </c>
      <c r="H1570" s="14" t="s">
        <v>2</v>
      </c>
      <c r="I1570" s="19">
        <v>42213</v>
      </c>
      <c r="J1570" s="14" t="s">
        <v>127</v>
      </c>
      <c r="K1570" s="22">
        <v>391</v>
      </c>
      <c r="L1570" s="22">
        <v>215</v>
      </c>
      <c r="M1570" s="22">
        <v>160</v>
      </c>
      <c r="N1570" s="22"/>
      <c r="O1570" s="22">
        <v>16</v>
      </c>
      <c r="P1570" s="11"/>
      <c r="Q1570" s="13"/>
      <c r="R1570" s="13"/>
      <c r="S1570" s="16"/>
      <c r="T1570" s="16"/>
    </row>
    <row r="1571" spans="1:20" x14ac:dyDescent="0.25">
      <c r="A1571" s="14">
        <v>2015</v>
      </c>
      <c r="B1571" s="14" t="s">
        <v>137</v>
      </c>
      <c r="C1571" s="14" t="s">
        <v>139</v>
      </c>
      <c r="D1571" s="14">
        <v>9</v>
      </c>
      <c r="E1571" s="14">
        <v>3</v>
      </c>
      <c r="F1571" s="14">
        <v>34</v>
      </c>
      <c r="G1571" s="14">
        <v>3</v>
      </c>
      <c r="H1571" s="14" t="s">
        <v>14</v>
      </c>
      <c r="I1571" s="19">
        <v>42213</v>
      </c>
      <c r="J1571" s="14" t="s">
        <v>127</v>
      </c>
      <c r="K1571" s="22">
        <v>302</v>
      </c>
      <c r="L1571" s="22">
        <v>163</v>
      </c>
      <c r="M1571" s="22">
        <v>123</v>
      </c>
      <c r="N1571" s="22"/>
      <c r="O1571" s="22">
        <v>16</v>
      </c>
      <c r="P1571" s="11"/>
      <c r="Q1571" s="13"/>
      <c r="R1571" s="13"/>
      <c r="S1571" s="16"/>
      <c r="T1571" s="16"/>
    </row>
    <row r="1572" spans="1:20" x14ac:dyDescent="0.25">
      <c r="A1572" s="14">
        <v>2015</v>
      </c>
      <c r="B1572" s="14" t="s">
        <v>137</v>
      </c>
      <c r="C1572" s="14" t="s">
        <v>139</v>
      </c>
      <c r="D1572" s="14">
        <v>9</v>
      </c>
      <c r="E1572" s="14">
        <v>2</v>
      </c>
      <c r="F1572" s="14">
        <v>35</v>
      </c>
      <c r="G1572" s="14">
        <v>3</v>
      </c>
      <c r="H1572" s="14" t="s">
        <v>9</v>
      </c>
      <c r="I1572" s="19">
        <v>42213</v>
      </c>
      <c r="J1572" s="14" t="s">
        <v>127</v>
      </c>
      <c r="K1572" s="22">
        <v>410</v>
      </c>
      <c r="L1572" s="22">
        <v>246</v>
      </c>
      <c r="M1572" s="22">
        <v>142</v>
      </c>
      <c r="N1572" s="22"/>
      <c r="O1572" s="22">
        <v>22</v>
      </c>
      <c r="P1572" s="11"/>
      <c r="Q1572" s="13"/>
      <c r="R1572" s="13"/>
      <c r="S1572" s="16"/>
      <c r="T1572" s="16"/>
    </row>
    <row r="1573" spans="1:20" x14ac:dyDescent="0.25">
      <c r="A1573" s="14">
        <v>2015</v>
      </c>
      <c r="B1573" s="14" t="s">
        <v>137</v>
      </c>
      <c r="C1573" s="14" t="s">
        <v>139</v>
      </c>
      <c r="D1573" s="14">
        <v>9</v>
      </c>
      <c r="E1573" s="14">
        <v>1</v>
      </c>
      <c r="F1573" s="14">
        <v>36</v>
      </c>
      <c r="G1573" s="14">
        <v>3</v>
      </c>
      <c r="H1573" s="14" t="s">
        <v>13</v>
      </c>
      <c r="I1573" s="19">
        <v>42201</v>
      </c>
      <c r="J1573" s="14" t="s">
        <v>127</v>
      </c>
      <c r="K1573" s="22">
        <v>247</v>
      </c>
      <c r="L1573" s="22">
        <v>135</v>
      </c>
      <c r="M1573" s="22">
        <v>105</v>
      </c>
      <c r="N1573" s="22"/>
      <c r="O1573" s="22">
        <v>7</v>
      </c>
      <c r="P1573" s="11"/>
      <c r="Q1573" s="13"/>
      <c r="R1573" s="13"/>
      <c r="S1573" s="16"/>
      <c r="T1573" s="16"/>
    </row>
    <row r="1574" spans="1:20" x14ac:dyDescent="0.25">
      <c r="A1574" s="14">
        <v>2015</v>
      </c>
      <c r="B1574" s="14" t="s">
        <v>137</v>
      </c>
      <c r="C1574" s="14" t="s">
        <v>139</v>
      </c>
      <c r="D1574" s="14">
        <v>10</v>
      </c>
      <c r="E1574" s="14">
        <v>4</v>
      </c>
      <c r="F1574" s="14">
        <v>37</v>
      </c>
      <c r="G1574" s="14">
        <v>4</v>
      </c>
      <c r="H1574" s="14" t="s">
        <v>14</v>
      </c>
      <c r="I1574" s="19">
        <v>42213</v>
      </c>
      <c r="J1574" s="14" t="s">
        <v>127</v>
      </c>
      <c r="K1574" s="22">
        <v>509</v>
      </c>
      <c r="L1574" s="22">
        <v>253</v>
      </c>
      <c r="M1574" s="22">
        <v>201</v>
      </c>
      <c r="N1574" s="22"/>
      <c r="O1574" s="22">
        <v>56</v>
      </c>
      <c r="P1574" s="11"/>
      <c r="Q1574" s="13"/>
      <c r="R1574" s="13"/>
      <c r="S1574" s="16"/>
      <c r="T1574" s="16"/>
    </row>
    <row r="1575" spans="1:20" x14ac:dyDescent="0.25">
      <c r="A1575" s="14">
        <v>2015</v>
      </c>
      <c r="B1575" s="14" t="s">
        <v>137</v>
      </c>
      <c r="C1575" s="14" t="s">
        <v>139</v>
      </c>
      <c r="D1575" s="14">
        <v>10</v>
      </c>
      <c r="E1575" s="14">
        <v>3</v>
      </c>
      <c r="F1575" s="14">
        <v>38</v>
      </c>
      <c r="G1575" s="14">
        <v>4</v>
      </c>
      <c r="H1575" s="14" t="s">
        <v>3</v>
      </c>
      <c r="I1575" s="19">
        <v>42213</v>
      </c>
      <c r="J1575" s="14" t="s">
        <v>127</v>
      </c>
      <c r="K1575" s="22">
        <v>364</v>
      </c>
      <c r="L1575" s="22">
        <v>165</v>
      </c>
      <c r="M1575" s="22">
        <v>189</v>
      </c>
      <c r="N1575" s="22"/>
      <c r="O1575" s="22">
        <v>10</v>
      </c>
      <c r="P1575" s="11"/>
      <c r="Q1575" s="13"/>
      <c r="R1575" s="13"/>
      <c r="S1575" s="16"/>
      <c r="T1575" s="16"/>
    </row>
    <row r="1576" spans="1:20" x14ac:dyDescent="0.25">
      <c r="A1576" s="14">
        <v>2015</v>
      </c>
      <c r="B1576" s="14" t="s">
        <v>137</v>
      </c>
      <c r="C1576" s="14" t="s">
        <v>139</v>
      </c>
      <c r="D1576" s="14">
        <v>10</v>
      </c>
      <c r="E1576" s="14">
        <v>2</v>
      </c>
      <c r="F1576" s="14">
        <v>39</v>
      </c>
      <c r="G1576" s="14">
        <v>4</v>
      </c>
      <c r="H1576" s="14" t="s">
        <v>7</v>
      </c>
      <c r="I1576" s="19">
        <v>42209</v>
      </c>
      <c r="J1576" s="14" t="s">
        <v>127</v>
      </c>
      <c r="K1576" s="22">
        <v>418</v>
      </c>
      <c r="L1576" s="22">
        <v>215</v>
      </c>
      <c r="M1576" s="22">
        <v>196</v>
      </c>
      <c r="N1576" s="22"/>
      <c r="O1576" s="22">
        <v>7</v>
      </c>
      <c r="P1576" s="11"/>
      <c r="Q1576" s="13"/>
      <c r="R1576" s="13"/>
      <c r="S1576" s="16"/>
      <c r="T1576" s="16"/>
    </row>
    <row r="1577" spans="1:20" x14ac:dyDescent="0.25">
      <c r="A1577" s="14">
        <v>2015</v>
      </c>
      <c r="B1577" s="14" t="s">
        <v>137</v>
      </c>
      <c r="C1577" s="14" t="s">
        <v>139</v>
      </c>
      <c r="D1577" s="14">
        <v>10</v>
      </c>
      <c r="E1577" s="14">
        <v>1</v>
      </c>
      <c r="F1577" s="14">
        <v>40</v>
      </c>
      <c r="G1577" s="14">
        <v>4</v>
      </c>
      <c r="H1577" s="14" t="s">
        <v>9</v>
      </c>
      <c r="I1577" s="19">
        <v>42213</v>
      </c>
      <c r="J1577" s="14" t="s">
        <v>127</v>
      </c>
      <c r="K1577" s="22">
        <v>285</v>
      </c>
      <c r="L1577" s="22">
        <v>150</v>
      </c>
      <c r="M1577" s="22">
        <v>128</v>
      </c>
      <c r="N1577" s="22"/>
      <c r="O1577" s="22">
        <v>7</v>
      </c>
      <c r="P1577" s="11"/>
      <c r="Q1577" s="13"/>
      <c r="R1577" s="13"/>
      <c r="S1577" s="16"/>
      <c r="T1577" s="16"/>
    </row>
    <row r="1578" spans="1:20" x14ac:dyDescent="0.25">
      <c r="A1578" s="14">
        <v>2015</v>
      </c>
      <c r="B1578" s="14" t="s">
        <v>137</v>
      </c>
      <c r="C1578" s="14" t="s">
        <v>139</v>
      </c>
      <c r="D1578" s="14">
        <v>11</v>
      </c>
      <c r="E1578" s="14">
        <v>4</v>
      </c>
      <c r="F1578" s="14">
        <v>41</v>
      </c>
      <c r="G1578" s="14">
        <v>4</v>
      </c>
      <c r="H1578" s="14" t="s">
        <v>5</v>
      </c>
      <c r="I1578" s="19">
        <v>42209</v>
      </c>
      <c r="J1578" s="14" t="s">
        <v>127</v>
      </c>
      <c r="K1578" s="22">
        <v>357</v>
      </c>
      <c r="L1578" s="22">
        <v>179</v>
      </c>
      <c r="M1578" s="22">
        <v>172</v>
      </c>
      <c r="N1578" s="22"/>
      <c r="O1578" s="22">
        <v>6</v>
      </c>
      <c r="P1578" s="11"/>
      <c r="Q1578" s="13"/>
      <c r="R1578" s="13"/>
      <c r="S1578" s="16"/>
      <c r="T1578" s="16"/>
    </row>
    <row r="1579" spans="1:20" x14ac:dyDescent="0.25">
      <c r="A1579" s="14">
        <v>2015</v>
      </c>
      <c r="B1579" s="14" t="s">
        <v>137</v>
      </c>
      <c r="C1579" s="14" t="s">
        <v>139</v>
      </c>
      <c r="D1579" s="14">
        <v>11</v>
      </c>
      <c r="E1579" s="14">
        <v>3</v>
      </c>
      <c r="F1579" s="14">
        <v>42</v>
      </c>
      <c r="G1579" s="14">
        <v>4</v>
      </c>
      <c r="H1579" s="14" t="s">
        <v>2</v>
      </c>
      <c r="I1579" s="19">
        <v>42213</v>
      </c>
      <c r="J1579" s="14" t="s">
        <v>127</v>
      </c>
      <c r="K1579" s="22">
        <v>215</v>
      </c>
      <c r="L1579" s="22">
        <v>113</v>
      </c>
      <c r="M1579" s="22">
        <v>98</v>
      </c>
      <c r="N1579" s="22"/>
      <c r="O1579" s="22">
        <v>4</v>
      </c>
      <c r="P1579" s="11"/>
      <c r="Q1579" s="13"/>
      <c r="R1579" s="13"/>
      <c r="S1579" s="16"/>
      <c r="T1579" s="16"/>
    </row>
    <row r="1580" spans="1:20" x14ac:dyDescent="0.25">
      <c r="A1580" s="14">
        <v>2015</v>
      </c>
      <c r="B1580" s="14" t="s">
        <v>137</v>
      </c>
      <c r="C1580" s="14" t="s">
        <v>139</v>
      </c>
      <c r="D1580" s="14">
        <v>11</v>
      </c>
      <c r="E1580" s="14">
        <v>2</v>
      </c>
      <c r="F1580" s="14">
        <v>43</v>
      </c>
      <c r="G1580" s="14">
        <v>4</v>
      </c>
      <c r="H1580" s="14" t="s">
        <v>8</v>
      </c>
      <c r="I1580" s="19">
        <v>42213</v>
      </c>
      <c r="J1580" s="14" t="s">
        <v>127</v>
      </c>
      <c r="K1580" s="22">
        <v>369</v>
      </c>
      <c r="L1580" s="22">
        <v>204</v>
      </c>
      <c r="M1580" s="22">
        <v>161</v>
      </c>
      <c r="N1580" s="22"/>
      <c r="O1580" s="22">
        <v>4</v>
      </c>
      <c r="P1580" s="11"/>
      <c r="Q1580" s="13"/>
      <c r="R1580" s="13"/>
      <c r="S1580" s="16"/>
      <c r="T1580" s="16"/>
    </row>
    <row r="1581" spans="1:20" x14ac:dyDescent="0.25">
      <c r="A1581" s="14">
        <v>2015</v>
      </c>
      <c r="B1581" s="14" t="s">
        <v>137</v>
      </c>
      <c r="C1581" s="14" t="s">
        <v>139</v>
      </c>
      <c r="D1581" s="14">
        <v>11</v>
      </c>
      <c r="E1581" s="14">
        <v>1</v>
      </c>
      <c r="F1581" s="14">
        <v>44</v>
      </c>
      <c r="G1581" s="14">
        <v>4</v>
      </c>
      <c r="H1581" s="14" t="s">
        <v>6</v>
      </c>
      <c r="I1581" s="19">
        <v>42209</v>
      </c>
      <c r="J1581" s="14" t="s">
        <v>127</v>
      </c>
      <c r="K1581" s="22">
        <v>336</v>
      </c>
      <c r="L1581" s="22">
        <v>187</v>
      </c>
      <c r="M1581" s="22">
        <v>141</v>
      </c>
      <c r="N1581" s="22"/>
      <c r="O1581" s="22">
        <v>7</v>
      </c>
      <c r="P1581" s="11"/>
      <c r="Q1581" s="13"/>
      <c r="R1581" s="13"/>
      <c r="S1581" s="16"/>
      <c r="T1581" s="16"/>
    </row>
    <row r="1582" spans="1:20" x14ac:dyDescent="0.25">
      <c r="A1582" s="14">
        <v>2015</v>
      </c>
      <c r="B1582" s="14" t="s">
        <v>137</v>
      </c>
      <c r="C1582" s="14" t="s">
        <v>139</v>
      </c>
      <c r="D1582" s="14">
        <v>12</v>
      </c>
      <c r="E1582" s="14">
        <v>4</v>
      </c>
      <c r="F1582" s="14">
        <v>45</v>
      </c>
      <c r="G1582" s="14">
        <v>4</v>
      </c>
      <c r="H1582" s="14" t="s">
        <v>4</v>
      </c>
      <c r="I1582" s="19">
        <v>42220</v>
      </c>
      <c r="J1582" s="14" t="s">
        <v>127</v>
      </c>
      <c r="K1582" s="22">
        <v>425</v>
      </c>
      <c r="L1582" s="22">
        <v>240</v>
      </c>
      <c r="M1582" s="22">
        <v>172</v>
      </c>
      <c r="N1582" s="22"/>
      <c r="O1582" s="22">
        <v>13</v>
      </c>
      <c r="P1582" s="11"/>
      <c r="Q1582" s="13"/>
      <c r="R1582" s="13"/>
      <c r="S1582" s="16"/>
      <c r="T1582" s="16"/>
    </row>
    <row r="1583" spans="1:20" x14ac:dyDescent="0.25">
      <c r="A1583" s="14">
        <v>2015</v>
      </c>
      <c r="B1583" s="14" t="s">
        <v>137</v>
      </c>
      <c r="C1583" s="14" t="s">
        <v>139</v>
      </c>
      <c r="D1583" s="14">
        <v>12</v>
      </c>
      <c r="E1583" s="14">
        <v>3</v>
      </c>
      <c r="F1583" s="14">
        <v>46</v>
      </c>
      <c r="G1583" s="14">
        <v>4</v>
      </c>
      <c r="H1583" s="14" t="s">
        <v>10</v>
      </c>
      <c r="I1583" s="19">
        <v>42209</v>
      </c>
      <c r="J1583" s="14" t="s">
        <v>127</v>
      </c>
      <c r="K1583" s="22">
        <v>295</v>
      </c>
      <c r="L1583" s="22">
        <v>145</v>
      </c>
      <c r="M1583" s="22">
        <v>148</v>
      </c>
      <c r="N1583" s="22"/>
      <c r="O1583" s="22">
        <v>2</v>
      </c>
      <c r="P1583" s="11"/>
      <c r="Q1583" s="13"/>
      <c r="R1583" s="13"/>
      <c r="S1583" s="16"/>
      <c r="T1583" s="16"/>
    </row>
    <row r="1584" spans="1:20" x14ac:dyDescent="0.25">
      <c r="A1584" s="14">
        <v>2015</v>
      </c>
      <c r="B1584" s="14" t="s">
        <v>137</v>
      </c>
      <c r="C1584" s="14" t="s">
        <v>139</v>
      </c>
      <c r="D1584" s="14">
        <v>12</v>
      </c>
      <c r="E1584" s="14">
        <v>2</v>
      </c>
      <c r="F1584" s="14">
        <v>47</v>
      </c>
      <c r="G1584" s="14">
        <v>4</v>
      </c>
      <c r="H1584" s="14" t="s">
        <v>13</v>
      </c>
      <c r="I1584" s="19">
        <v>42201</v>
      </c>
      <c r="J1584" s="14" t="s">
        <v>127</v>
      </c>
      <c r="K1584" s="22">
        <v>216</v>
      </c>
      <c r="L1584" s="22">
        <v>114</v>
      </c>
      <c r="M1584" s="22">
        <v>98</v>
      </c>
      <c r="N1584" s="22"/>
      <c r="O1584" s="22">
        <v>4</v>
      </c>
      <c r="P1584" s="11"/>
      <c r="Q1584" s="13"/>
      <c r="R1584" s="13"/>
      <c r="S1584" s="16"/>
      <c r="T1584" s="16"/>
    </row>
    <row r="1585" spans="1:20" x14ac:dyDescent="0.25">
      <c r="A1585" s="14">
        <v>2015</v>
      </c>
      <c r="B1585" s="14" t="s">
        <v>137</v>
      </c>
      <c r="C1585" s="14" t="s">
        <v>139</v>
      </c>
      <c r="D1585" s="14">
        <v>12</v>
      </c>
      <c r="E1585" s="14">
        <v>1</v>
      </c>
      <c r="F1585" s="14">
        <v>48</v>
      </c>
      <c r="G1585" s="14">
        <v>4</v>
      </c>
      <c r="H1585" s="14" t="s">
        <v>12</v>
      </c>
      <c r="I1585" s="19">
        <v>42209</v>
      </c>
      <c r="J1585" s="14" t="s">
        <v>127</v>
      </c>
      <c r="K1585" s="22">
        <v>304</v>
      </c>
      <c r="L1585" s="22">
        <v>168</v>
      </c>
      <c r="M1585" s="22">
        <v>128</v>
      </c>
      <c r="N1585" s="22"/>
      <c r="O1585" s="22">
        <v>7</v>
      </c>
      <c r="P1585" s="11"/>
      <c r="Q1585" s="13"/>
      <c r="R1585" s="13"/>
      <c r="S1585" s="16"/>
      <c r="T1585" s="16"/>
    </row>
    <row r="1586" spans="1:20" x14ac:dyDescent="0.25">
      <c r="A1586" s="14">
        <v>2015</v>
      </c>
      <c r="B1586" s="14" t="s">
        <v>137</v>
      </c>
      <c r="C1586" s="14" t="s">
        <v>139</v>
      </c>
      <c r="D1586" s="14">
        <v>1</v>
      </c>
      <c r="E1586" s="14">
        <v>4</v>
      </c>
      <c r="F1586" s="14">
        <v>1</v>
      </c>
      <c r="G1586" s="14">
        <v>1</v>
      </c>
      <c r="H1586" s="14" t="s">
        <v>6</v>
      </c>
      <c r="I1586" s="19">
        <v>42234</v>
      </c>
      <c r="J1586" s="14" t="s">
        <v>128</v>
      </c>
      <c r="K1586" s="22">
        <v>908</v>
      </c>
      <c r="L1586" s="22">
        <v>497</v>
      </c>
      <c r="M1586" s="22">
        <v>193</v>
      </c>
      <c r="N1586" s="22">
        <v>174</v>
      </c>
      <c r="O1586" s="22">
        <v>44</v>
      </c>
      <c r="P1586" s="11"/>
      <c r="Q1586" s="13"/>
      <c r="R1586" s="13"/>
      <c r="S1586" s="16"/>
      <c r="T1586" s="16"/>
    </row>
    <row r="1587" spans="1:20" x14ac:dyDescent="0.25">
      <c r="A1587" s="14">
        <v>2015</v>
      </c>
      <c r="B1587" s="14" t="s">
        <v>137</v>
      </c>
      <c r="C1587" s="14" t="s">
        <v>139</v>
      </c>
      <c r="D1587" s="14">
        <v>1</v>
      </c>
      <c r="E1587" s="14">
        <v>3</v>
      </c>
      <c r="F1587" s="14">
        <v>2</v>
      </c>
      <c r="G1587" s="14">
        <v>1</v>
      </c>
      <c r="H1587" s="14" t="s">
        <v>9</v>
      </c>
      <c r="I1587" s="19">
        <v>42234</v>
      </c>
      <c r="J1587" s="14" t="s">
        <v>128</v>
      </c>
      <c r="K1587" s="22">
        <v>784</v>
      </c>
      <c r="L1587" s="22">
        <v>419</v>
      </c>
      <c r="M1587" s="22">
        <v>177</v>
      </c>
      <c r="N1587" s="22">
        <v>133</v>
      </c>
      <c r="O1587" s="22">
        <v>55</v>
      </c>
      <c r="P1587" s="11"/>
      <c r="Q1587" s="13"/>
      <c r="R1587" s="13"/>
      <c r="S1587" s="16"/>
      <c r="T1587" s="16"/>
    </row>
    <row r="1588" spans="1:20" x14ac:dyDescent="0.25">
      <c r="A1588" s="14">
        <v>2015</v>
      </c>
      <c r="B1588" s="14" t="s">
        <v>137</v>
      </c>
      <c r="C1588" s="14" t="s">
        <v>139</v>
      </c>
      <c r="D1588" s="14">
        <v>1</v>
      </c>
      <c r="E1588" s="14">
        <v>2</v>
      </c>
      <c r="F1588" s="14">
        <v>3</v>
      </c>
      <c r="G1588" s="14">
        <v>1</v>
      </c>
      <c r="H1588" s="14" t="s">
        <v>3</v>
      </c>
      <c r="I1588" s="19">
        <v>42241</v>
      </c>
      <c r="J1588" s="14" t="s">
        <v>128</v>
      </c>
      <c r="K1588" s="22">
        <v>933</v>
      </c>
      <c r="L1588" s="22">
        <v>453</v>
      </c>
      <c r="M1588" s="22">
        <v>211</v>
      </c>
      <c r="N1588" s="22">
        <v>184</v>
      </c>
      <c r="O1588" s="22">
        <v>85</v>
      </c>
      <c r="P1588" s="11"/>
      <c r="Q1588" s="13"/>
      <c r="R1588" s="13"/>
      <c r="S1588" s="16"/>
      <c r="T1588" s="16"/>
    </row>
    <row r="1589" spans="1:20" x14ac:dyDescent="0.25">
      <c r="A1589" s="14">
        <v>2015</v>
      </c>
      <c r="B1589" s="14" t="s">
        <v>137</v>
      </c>
      <c r="C1589" s="14" t="s">
        <v>139</v>
      </c>
      <c r="D1589" s="14">
        <v>1</v>
      </c>
      <c r="E1589" s="14">
        <v>1</v>
      </c>
      <c r="F1589" s="14">
        <v>4</v>
      </c>
      <c r="G1589" s="14">
        <v>1</v>
      </c>
      <c r="H1589" s="14" t="s">
        <v>5</v>
      </c>
      <c r="I1589" s="19">
        <v>42234</v>
      </c>
      <c r="J1589" s="14" t="s">
        <v>128</v>
      </c>
      <c r="K1589" s="22">
        <v>788</v>
      </c>
      <c r="L1589" s="22">
        <v>398</v>
      </c>
      <c r="M1589" s="22">
        <v>151</v>
      </c>
      <c r="N1589" s="22">
        <v>202</v>
      </c>
      <c r="O1589" s="22">
        <v>37</v>
      </c>
      <c r="P1589" s="11"/>
      <c r="Q1589" s="13"/>
      <c r="R1589" s="13"/>
      <c r="S1589" s="16"/>
      <c r="T1589" s="16"/>
    </row>
    <row r="1590" spans="1:20" x14ac:dyDescent="0.25">
      <c r="A1590" s="14">
        <v>2015</v>
      </c>
      <c r="B1590" s="14" t="s">
        <v>137</v>
      </c>
      <c r="C1590" s="14" t="s">
        <v>139</v>
      </c>
      <c r="D1590" s="14">
        <v>2</v>
      </c>
      <c r="E1590" s="14">
        <v>4</v>
      </c>
      <c r="F1590" s="14">
        <v>5</v>
      </c>
      <c r="G1590" s="14">
        <v>1</v>
      </c>
      <c r="H1590" s="14" t="s">
        <v>13</v>
      </c>
      <c r="I1590" s="19">
        <v>42227</v>
      </c>
      <c r="J1590" s="14" t="s">
        <v>128</v>
      </c>
      <c r="K1590" s="22">
        <v>701</v>
      </c>
      <c r="L1590" s="22">
        <v>414</v>
      </c>
      <c r="M1590" s="22">
        <v>149</v>
      </c>
      <c r="N1590" s="22">
        <v>114</v>
      </c>
      <c r="O1590" s="22">
        <v>24</v>
      </c>
      <c r="P1590" s="11"/>
      <c r="Q1590" s="13"/>
      <c r="R1590" s="13"/>
      <c r="S1590" s="16"/>
      <c r="T1590" s="16"/>
    </row>
    <row r="1591" spans="1:20" x14ac:dyDescent="0.25">
      <c r="A1591" s="14">
        <v>2015</v>
      </c>
      <c r="B1591" s="14" t="s">
        <v>137</v>
      </c>
      <c r="C1591" s="14" t="s">
        <v>139</v>
      </c>
      <c r="D1591" s="14">
        <v>2</v>
      </c>
      <c r="E1591" s="14">
        <v>3</v>
      </c>
      <c r="F1591" s="14">
        <v>6</v>
      </c>
      <c r="G1591" s="14">
        <v>1</v>
      </c>
      <c r="H1591" s="14" t="s">
        <v>4</v>
      </c>
      <c r="I1591" s="19">
        <v>42241</v>
      </c>
      <c r="J1591" s="14" t="s">
        <v>128</v>
      </c>
      <c r="K1591" s="22">
        <v>709</v>
      </c>
      <c r="L1591" s="22">
        <v>352</v>
      </c>
      <c r="M1591" s="22">
        <v>156</v>
      </c>
      <c r="N1591" s="22">
        <v>155</v>
      </c>
      <c r="O1591" s="22">
        <v>46</v>
      </c>
      <c r="P1591" s="11"/>
      <c r="Q1591" s="13"/>
      <c r="R1591" s="13"/>
      <c r="S1591" s="16"/>
      <c r="T1591" s="16"/>
    </row>
    <row r="1592" spans="1:20" x14ac:dyDescent="0.25">
      <c r="A1592" s="14">
        <v>2015</v>
      </c>
      <c r="B1592" s="14" t="s">
        <v>137</v>
      </c>
      <c r="C1592" s="14" t="s">
        <v>139</v>
      </c>
      <c r="D1592" s="14">
        <v>2</v>
      </c>
      <c r="E1592" s="14">
        <v>2</v>
      </c>
      <c r="F1592" s="14">
        <v>7</v>
      </c>
      <c r="G1592" s="14">
        <v>1</v>
      </c>
      <c r="H1592" s="14" t="s">
        <v>12</v>
      </c>
      <c r="I1592" s="19">
        <v>42241</v>
      </c>
      <c r="J1592" s="14" t="s">
        <v>128</v>
      </c>
      <c r="K1592" s="22">
        <v>841</v>
      </c>
      <c r="L1592" s="22">
        <v>477</v>
      </c>
      <c r="M1592" s="22">
        <v>149</v>
      </c>
      <c r="N1592" s="22">
        <v>176</v>
      </c>
      <c r="O1592" s="22">
        <v>39</v>
      </c>
      <c r="P1592" s="11"/>
      <c r="Q1592" s="13"/>
      <c r="R1592" s="13"/>
      <c r="S1592" s="16"/>
      <c r="T1592" s="16"/>
    </row>
    <row r="1593" spans="1:20" x14ac:dyDescent="0.25">
      <c r="A1593" s="14">
        <v>2015</v>
      </c>
      <c r="B1593" s="14" t="s">
        <v>137</v>
      </c>
      <c r="C1593" s="14" t="s">
        <v>139</v>
      </c>
      <c r="D1593" s="14">
        <v>2</v>
      </c>
      <c r="E1593" s="14">
        <v>1</v>
      </c>
      <c r="F1593" s="14">
        <v>8</v>
      </c>
      <c r="G1593" s="14">
        <v>1</v>
      </c>
      <c r="H1593" s="14" t="s">
        <v>2</v>
      </c>
      <c r="I1593" s="19">
        <v>42241</v>
      </c>
      <c r="J1593" s="14" t="s">
        <v>128</v>
      </c>
      <c r="K1593" s="22">
        <v>823</v>
      </c>
      <c r="L1593" s="22">
        <v>432</v>
      </c>
      <c r="M1593" s="22">
        <v>130</v>
      </c>
      <c r="N1593" s="22">
        <v>201</v>
      </c>
      <c r="O1593" s="22">
        <v>61</v>
      </c>
      <c r="P1593" s="11"/>
      <c r="Q1593" s="13"/>
      <c r="R1593" s="13"/>
      <c r="S1593" s="16"/>
      <c r="T1593" s="16"/>
    </row>
    <row r="1594" spans="1:20" x14ac:dyDescent="0.25">
      <c r="A1594" s="14">
        <v>2015</v>
      </c>
      <c r="B1594" s="14" t="s">
        <v>137</v>
      </c>
      <c r="C1594" s="14" t="s">
        <v>139</v>
      </c>
      <c r="D1594" s="14">
        <v>3</v>
      </c>
      <c r="E1594" s="14">
        <v>4</v>
      </c>
      <c r="F1594" s="14">
        <v>9</v>
      </c>
      <c r="G1594" s="14">
        <v>1</v>
      </c>
      <c r="H1594" s="14" t="s">
        <v>10</v>
      </c>
      <c r="I1594" s="19">
        <v>42234</v>
      </c>
      <c r="J1594" s="14" t="s">
        <v>128</v>
      </c>
      <c r="K1594" s="22">
        <v>850</v>
      </c>
      <c r="L1594" s="22">
        <v>427</v>
      </c>
      <c r="M1594" s="22">
        <v>163</v>
      </c>
      <c r="N1594" s="22">
        <v>208</v>
      </c>
      <c r="O1594" s="22">
        <v>51</v>
      </c>
      <c r="P1594" s="11"/>
      <c r="Q1594" s="13"/>
      <c r="R1594" s="13"/>
      <c r="S1594" s="16"/>
      <c r="T1594" s="16"/>
    </row>
    <row r="1595" spans="1:20" x14ac:dyDescent="0.25">
      <c r="A1595" s="14">
        <v>2015</v>
      </c>
      <c r="B1595" s="14" t="s">
        <v>137</v>
      </c>
      <c r="C1595" s="14" t="s">
        <v>139</v>
      </c>
      <c r="D1595" s="14">
        <v>3</v>
      </c>
      <c r="E1595" s="14">
        <v>3</v>
      </c>
      <c r="F1595" s="14">
        <v>10</v>
      </c>
      <c r="G1595" s="14">
        <v>1</v>
      </c>
      <c r="H1595" s="14" t="s">
        <v>7</v>
      </c>
      <c r="I1595" s="19">
        <v>42234</v>
      </c>
      <c r="J1595" s="14" t="s">
        <v>128</v>
      </c>
      <c r="K1595" s="22">
        <v>640</v>
      </c>
      <c r="L1595" s="22">
        <v>335</v>
      </c>
      <c r="M1595" s="22">
        <v>161</v>
      </c>
      <c r="N1595" s="22">
        <v>112</v>
      </c>
      <c r="O1595" s="22">
        <v>33</v>
      </c>
      <c r="P1595" s="11"/>
      <c r="Q1595" s="13"/>
      <c r="R1595" s="13"/>
      <c r="S1595" s="16"/>
      <c r="T1595" s="16"/>
    </row>
    <row r="1596" spans="1:20" x14ac:dyDescent="0.25">
      <c r="A1596" s="14">
        <v>2015</v>
      </c>
      <c r="B1596" s="14" t="s">
        <v>137</v>
      </c>
      <c r="C1596" s="14" t="s">
        <v>139</v>
      </c>
      <c r="D1596" s="14">
        <v>3</v>
      </c>
      <c r="E1596" s="14">
        <v>2</v>
      </c>
      <c r="F1596" s="14">
        <v>11</v>
      </c>
      <c r="G1596" s="14">
        <v>1</v>
      </c>
      <c r="H1596" s="14" t="s">
        <v>14</v>
      </c>
      <c r="I1596" s="19">
        <v>42241</v>
      </c>
      <c r="J1596" s="14" t="s">
        <v>128</v>
      </c>
      <c r="K1596" s="22">
        <v>853</v>
      </c>
      <c r="L1596" s="22">
        <v>457</v>
      </c>
      <c r="M1596" s="22">
        <v>171</v>
      </c>
      <c r="N1596" s="22">
        <v>166</v>
      </c>
      <c r="O1596" s="22">
        <v>59</v>
      </c>
      <c r="P1596" s="11"/>
      <c r="Q1596" s="13"/>
      <c r="R1596" s="13"/>
      <c r="S1596" s="16"/>
      <c r="T1596" s="16"/>
    </row>
    <row r="1597" spans="1:20" x14ac:dyDescent="0.25">
      <c r="A1597" s="14">
        <v>2015</v>
      </c>
      <c r="B1597" s="14" t="s">
        <v>137</v>
      </c>
      <c r="C1597" s="14" t="s">
        <v>139</v>
      </c>
      <c r="D1597" s="14">
        <v>3</v>
      </c>
      <c r="E1597" s="14">
        <v>1</v>
      </c>
      <c r="F1597" s="14">
        <v>12</v>
      </c>
      <c r="G1597" s="14">
        <v>1</v>
      </c>
      <c r="H1597" s="14" t="s">
        <v>8</v>
      </c>
      <c r="I1597" s="19">
        <v>42241</v>
      </c>
      <c r="J1597" s="14" t="s">
        <v>128</v>
      </c>
      <c r="K1597" s="22">
        <v>797</v>
      </c>
      <c r="L1597" s="22">
        <v>433</v>
      </c>
      <c r="M1597" s="22">
        <v>129</v>
      </c>
      <c r="N1597" s="22">
        <v>177</v>
      </c>
      <c r="O1597" s="22">
        <v>58</v>
      </c>
      <c r="P1597" s="11"/>
      <c r="Q1597" s="13"/>
      <c r="R1597" s="13"/>
      <c r="S1597" s="16"/>
      <c r="T1597" s="16"/>
    </row>
    <row r="1598" spans="1:20" x14ac:dyDescent="0.25">
      <c r="A1598" s="14">
        <v>2015</v>
      </c>
      <c r="B1598" s="14" t="s">
        <v>137</v>
      </c>
      <c r="C1598" s="14" t="s">
        <v>139</v>
      </c>
      <c r="D1598" s="14">
        <v>4</v>
      </c>
      <c r="E1598" s="14">
        <v>4</v>
      </c>
      <c r="F1598" s="14">
        <v>13</v>
      </c>
      <c r="G1598" s="14">
        <v>2</v>
      </c>
      <c r="H1598" s="14" t="s">
        <v>3</v>
      </c>
      <c r="I1598" s="19">
        <v>42241</v>
      </c>
      <c r="J1598" s="14" t="s">
        <v>128</v>
      </c>
      <c r="K1598" s="22">
        <v>855</v>
      </c>
      <c r="L1598" s="22">
        <v>381</v>
      </c>
      <c r="M1598" s="22">
        <v>215</v>
      </c>
      <c r="N1598" s="22">
        <v>149</v>
      </c>
      <c r="O1598" s="22">
        <v>110</v>
      </c>
      <c r="P1598" s="11"/>
      <c r="Q1598" s="13"/>
      <c r="R1598" s="13"/>
      <c r="S1598" s="16"/>
      <c r="T1598" s="16"/>
    </row>
    <row r="1599" spans="1:20" x14ac:dyDescent="0.25">
      <c r="A1599" s="14">
        <v>2015</v>
      </c>
      <c r="B1599" s="14" t="s">
        <v>137</v>
      </c>
      <c r="C1599" s="14" t="s">
        <v>139</v>
      </c>
      <c r="D1599" s="14">
        <v>4</v>
      </c>
      <c r="E1599" s="14">
        <v>3</v>
      </c>
      <c r="F1599" s="14">
        <v>14</v>
      </c>
      <c r="G1599" s="14">
        <v>2</v>
      </c>
      <c r="H1599" s="14" t="s">
        <v>13</v>
      </c>
      <c r="I1599" s="19">
        <v>42227</v>
      </c>
      <c r="J1599" s="14" t="s">
        <v>128</v>
      </c>
      <c r="K1599" s="22">
        <v>702</v>
      </c>
      <c r="L1599" s="22">
        <v>413</v>
      </c>
      <c r="M1599" s="22">
        <v>152</v>
      </c>
      <c r="N1599" s="22">
        <v>115</v>
      </c>
      <c r="O1599" s="22">
        <v>21</v>
      </c>
      <c r="P1599" s="11"/>
      <c r="Q1599" s="13"/>
      <c r="R1599" s="13"/>
      <c r="S1599" s="16"/>
      <c r="T1599" s="16"/>
    </row>
    <row r="1600" spans="1:20" x14ac:dyDescent="0.25">
      <c r="A1600" s="14">
        <v>2015</v>
      </c>
      <c r="B1600" s="14" t="s">
        <v>137</v>
      </c>
      <c r="C1600" s="14" t="s">
        <v>139</v>
      </c>
      <c r="D1600" s="14">
        <v>4</v>
      </c>
      <c r="E1600" s="14">
        <v>2</v>
      </c>
      <c r="F1600" s="14">
        <v>15</v>
      </c>
      <c r="G1600" s="14">
        <v>2</v>
      </c>
      <c r="H1600" s="14" t="s">
        <v>2</v>
      </c>
      <c r="I1600" s="19">
        <v>42241</v>
      </c>
      <c r="J1600" s="14" t="s">
        <v>128</v>
      </c>
      <c r="K1600" s="22">
        <v>875</v>
      </c>
      <c r="L1600" s="22">
        <v>469</v>
      </c>
      <c r="M1600" s="22">
        <v>152</v>
      </c>
      <c r="N1600" s="22">
        <v>184</v>
      </c>
      <c r="O1600" s="22">
        <v>69</v>
      </c>
      <c r="P1600" s="11"/>
      <c r="Q1600" s="13"/>
      <c r="R1600" s="13"/>
      <c r="S1600" s="16"/>
      <c r="T1600" s="16"/>
    </row>
    <row r="1601" spans="1:20" x14ac:dyDescent="0.25">
      <c r="A1601" s="14">
        <v>2015</v>
      </c>
      <c r="B1601" s="14" t="s">
        <v>137</v>
      </c>
      <c r="C1601" s="14" t="s">
        <v>139</v>
      </c>
      <c r="D1601" s="14">
        <v>4</v>
      </c>
      <c r="E1601" s="14">
        <v>1</v>
      </c>
      <c r="F1601" s="14">
        <v>16</v>
      </c>
      <c r="G1601" s="14">
        <v>2</v>
      </c>
      <c r="H1601" s="14" t="s">
        <v>7</v>
      </c>
      <c r="I1601" s="19">
        <v>42234</v>
      </c>
      <c r="J1601" s="14" t="s">
        <v>128</v>
      </c>
      <c r="K1601" s="22">
        <v>828</v>
      </c>
      <c r="L1601" s="22">
        <v>469</v>
      </c>
      <c r="M1601" s="22">
        <v>152</v>
      </c>
      <c r="N1601" s="22">
        <v>169</v>
      </c>
      <c r="O1601" s="22">
        <v>38</v>
      </c>
      <c r="P1601" s="11"/>
      <c r="Q1601" s="13"/>
      <c r="R1601" s="13"/>
      <c r="S1601" s="16"/>
      <c r="T1601" s="16"/>
    </row>
    <row r="1602" spans="1:20" x14ac:dyDescent="0.25">
      <c r="A1602" s="14">
        <v>2015</v>
      </c>
      <c r="B1602" s="14" t="s">
        <v>137</v>
      </c>
      <c r="C1602" s="14" t="s">
        <v>139</v>
      </c>
      <c r="D1602" s="14">
        <v>5</v>
      </c>
      <c r="E1602" s="14">
        <v>4</v>
      </c>
      <c r="F1602" s="14">
        <v>17</v>
      </c>
      <c r="G1602" s="14">
        <v>2</v>
      </c>
      <c r="H1602" s="14" t="s">
        <v>8</v>
      </c>
      <c r="I1602" s="19">
        <v>42241</v>
      </c>
      <c r="J1602" s="14" t="s">
        <v>128</v>
      </c>
      <c r="K1602" s="22">
        <v>895</v>
      </c>
      <c r="L1602" s="22">
        <v>485</v>
      </c>
      <c r="M1602" s="22">
        <v>193</v>
      </c>
      <c r="N1602" s="22">
        <v>165</v>
      </c>
      <c r="O1602" s="22">
        <v>51</v>
      </c>
      <c r="P1602" s="11"/>
      <c r="Q1602" s="13"/>
      <c r="R1602" s="13"/>
      <c r="S1602" s="16"/>
      <c r="T1602" s="16"/>
    </row>
    <row r="1603" spans="1:20" x14ac:dyDescent="0.25">
      <c r="A1603" s="14">
        <v>2015</v>
      </c>
      <c r="B1603" s="14" t="s">
        <v>137</v>
      </c>
      <c r="C1603" s="14" t="s">
        <v>139</v>
      </c>
      <c r="D1603" s="14">
        <v>5</v>
      </c>
      <c r="E1603" s="14">
        <v>3</v>
      </c>
      <c r="F1603" s="14">
        <v>18</v>
      </c>
      <c r="G1603" s="14">
        <v>2</v>
      </c>
      <c r="H1603" s="14" t="s">
        <v>5</v>
      </c>
      <c r="I1603" s="19">
        <v>42234</v>
      </c>
      <c r="J1603" s="14" t="s">
        <v>128</v>
      </c>
      <c r="K1603" s="22">
        <v>761</v>
      </c>
      <c r="L1603" s="22">
        <v>385</v>
      </c>
      <c r="M1603" s="22">
        <v>179</v>
      </c>
      <c r="N1603" s="22">
        <v>171</v>
      </c>
      <c r="O1603" s="22">
        <v>25</v>
      </c>
      <c r="P1603" s="11"/>
      <c r="Q1603" s="13"/>
      <c r="R1603" s="13"/>
      <c r="S1603" s="16"/>
      <c r="T1603" s="16"/>
    </row>
    <row r="1604" spans="1:20" x14ac:dyDescent="0.25">
      <c r="A1604" s="14">
        <v>2015</v>
      </c>
      <c r="B1604" s="14" t="s">
        <v>137</v>
      </c>
      <c r="C1604" s="14" t="s">
        <v>139</v>
      </c>
      <c r="D1604" s="14">
        <v>5</v>
      </c>
      <c r="E1604" s="14">
        <v>2</v>
      </c>
      <c r="F1604" s="14">
        <v>19</v>
      </c>
      <c r="G1604" s="14">
        <v>2</v>
      </c>
      <c r="H1604" s="14" t="s">
        <v>4</v>
      </c>
      <c r="I1604" s="19">
        <v>42241</v>
      </c>
      <c r="J1604" s="14" t="s">
        <v>128</v>
      </c>
      <c r="K1604" s="22">
        <v>815</v>
      </c>
      <c r="L1604" s="22">
        <v>415</v>
      </c>
      <c r="M1604" s="22">
        <v>171</v>
      </c>
      <c r="N1604" s="22">
        <v>183</v>
      </c>
      <c r="O1604" s="22">
        <v>46</v>
      </c>
      <c r="P1604" s="11"/>
      <c r="Q1604" s="13"/>
      <c r="R1604" s="13"/>
      <c r="S1604" s="16"/>
      <c r="T1604" s="16"/>
    </row>
    <row r="1605" spans="1:20" x14ac:dyDescent="0.25">
      <c r="A1605" s="14">
        <v>2015</v>
      </c>
      <c r="B1605" s="14" t="s">
        <v>137</v>
      </c>
      <c r="C1605" s="14" t="s">
        <v>139</v>
      </c>
      <c r="D1605" s="14">
        <v>5</v>
      </c>
      <c r="E1605" s="14">
        <v>1</v>
      </c>
      <c r="F1605" s="14">
        <v>20</v>
      </c>
      <c r="G1605" s="14">
        <v>2</v>
      </c>
      <c r="H1605" s="14" t="s">
        <v>14</v>
      </c>
      <c r="I1605" s="19">
        <v>42241</v>
      </c>
      <c r="J1605" s="14" t="s">
        <v>128</v>
      </c>
      <c r="K1605" s="22">
        <v>843</v>
      </c>
      <c r="L1605" s="22">
        <v>483</v>
      </c>
      <c r="M1605" s="22">
        <v>164</v>
      </c>
      <c r="N1605" s="22">
        <v>141</v>
      </c>
      <c r="O1605" s="22">
        <v>55</v>
      </c>
      <c r="P1605" s="11"/>
      <c r="Q1605" s="13"/>
      <c r="R1605" s="13"/>
      <c r="S1605" s="16"/>
      <c r="T1605" s="16"/>
    </row>
    <row r="1606" spans="1:20" x14ac:dyDescent="0.25">
      <c r="A1606" s="14">
        <v>2015</v>
      </c>
      <c r="B1606" s="14" t="s">
        <v>137</v>
      </c>
      <c r="C1606" s="14" t="s">
        <v>139</v>
      </c>
      <c r="D1606" s="14">
        <v>6</v>
      </c>
      <c r="E1606" s="14">
        <v>4</v>
      </c>
      <c r="F1606" s="14">
        <v>21</v>
      </c>
      <c r="G1606" s="14">
        <v>2</v>
      </c>
      <c r="H1606" s="14" t="s">
        <v>9</v>
      </c>
      <c r="I1606" s="19">
        <v>42234</v>
      </c>
      <c r="J1606" s="14" t="s">
        <v>128</v>
      </c>
      <c r="K1606" s="22">
        <v>870</v>
      </c>
      <c r="L1606" s="22">
        <v>478</v>
      </c>
      <c r="M1606" s="22">
        <v>199</v>
      </c>
      <c r="N1606" s="22">
        <v>136</v>
      </c>
      <c r="O1606" s="22">
        <v>56</v>
      </c>
      <c r="P1606" s="11"/>
      <c r="Q1606" s="13"/>
      <c r="R1606" s="13"/>
      <c r="S1606" s="16"/>
      <c r="T1606" s="16"/>
    </row>
    <row r="1607" spans="1:20" x14ac:dyDescent="0.25">
      <c r="A1607" s="14">
        <v>2015</v>
      </c>
      <c r="B1607" s="14" t="s">
        <v>137</v>
      </c>
      <c r="C1607" s="14" t="s">
        <v>139</v>
      </c>
      <c r="D1607" s="14">
        <v>6</v>
      </c>
      <c r="E1607" s="14">
        <v>3</v>
      </c>
      <c r="F1607" s="14">
        <v>22</v>
      </c>
      <c r="G1607" s="14">
        <v>2</v>
      </c>
      <c r="H1607" s="14" t="s">
        <v>12</v>
      </c>
      <c r="I1607" s="19">
        <v>42241</v>
      </c>
      <c r="J1607" s="14" t="s">
        <v>128</v>
      </c>
      <c r="K1607" s="22">
        <v>806</v>
      </c>
      <c r="L1607" s="22">
        <v>450</v>
      </c>
      <c r="M1607" s="22">
        <v>157</v>
      </c>
      <c r="N1607" s="22">
        <v>161</v>
      </c>
      <c r="O1607" s="22">
        <v>38</v>
      </c>
      <c r="P1607" s="11"/>
      <c r="Q1607" s="13"/>
      <c r="R1607" s="13"/>
      <c r="S1607" s="16"/>
      <c r="T1607" s="16"/>
    </row>
    <row r="1608" spans="1:20" x14ac:dyDescent="0.25">
      <c r="A1608" s="14">
        <v>2015</v>
      </c>
      <c r="B1608" s="14" t="s">
        <v>137</v>
      </c>
      <c r="C1608" s="14" t="s">
        <v>139</v>
      </c>
      <c r="D1608" s="14">
        <v>6</v>
      </c>
      <c r="E1608" s="14">
        <v>2</v>
      </c>
      <c r="F1608" s="14">
        <v>23</v>
      </c>
      <c r="G1608" s="14">
        <v>2</v>
      </c>
      <c r="H1608" s="14" t="s">
        <v>6</v>
      </c>
      <c r="I1608" s="19">
        <v>42234</v>
      </c>
      <c r="J1608" s="14" t="s">
        <v>128</v>
      </c>
      <c r="K1608" s="22">
        <v>875</v>
      </c>
      <c r="L1608" s="22">
        <v>502</v>
      </c>
      <c r="M1608" s="22">
        <v>170</v>
      </c>
      <c r="N1608" s="22">
        <v>168</v>
      </c>
      <c r="O1608" s="22">
        <v>35</v>
      </c>
      <c r="P1608" s="11"/>
      <c r="Q1608" s="13"/>
      <c r="R1608" s="13"/>
      <c r="S1608" s="16"/>
      <c r="T1608" s="16"/>
    </row>
    <row r="1609" spans="1:20" x14ac:dyDescent="0.25">
      <c r="A1609" s="14">
        <v>2015</v>
      </c>
      <c r="B1609" s="14" t="s">
        <v>137</v>
      </c>
      <c r="C1609" s="14" t="s">
        <v>139</v>
      </c>
      <c r="D1609" s="14">
        <v>6</v>
      </c>
      <c r="E1609" s="14">
        <v>1</v>
      </c>
      <c r="F1609" s="14">
        <v>24</v>
      </c>
      <c r="G1609" s="14">
        <v>2</v>
      </c>
      <c r="H1609" s="14" t="s">
        <v>10</v>
      </c>
      <c r="I1609" s="19">
        <v>42234</v>
      </c>
      <c r="J1609" s="14" t="s">
        <v>128</v>
      </c>
      <c r="K1609" s="22">
        <v>884</v>
      </c>
      <c r="L1609" s="22">
        <v>499</v>
      </c>
      <c r="M1609" s="22">
        <v>141</v>
      </c>
      <c r="N1609" s="22">
        <v>194</v>
      </c>
      <c r="O1609" s="22">
        <v>50</v>
      </c>
      <c r="P1609" s="11"/>
      <c r="Q1609" s="13"/>
      <c r="R1609" s="13"/>
      <c r="S1609" s="16"/>
      <c r="T1609" s="16"/>
    </row>
    <row r="1610" spans="1:20" x14ac:dyDescent="0.25">
      <c r="A1610" s="14">
        <v>2015</v>
      </c>
      <c r="B1610" s="14" t="s">
        <v>137</v>
      </c>
      <c r="C1610" s="14" t="s">
        <v>139</v>
      </c>
      <c r="D1610" s="14">
        <v>7</v>
      </c>
      <c r="E1610" s="14">
        <v>4</v>
      </c>
      <c r="F1610" s="14">
        <v>25</v>
      </c>
      <c r="G1610" s="14">
        <v>3</v>
      </c>
      <c r="H1610" s="14" t="s">
        <v>12</v>
      </c>
      <c r="I1610" s="19">
        <v>42241</v>
      </c>
      <c r="J1610" s="14" t="s">
        <v>128</v>
      </c>
      <c r="K1610" s="22">
        <v>859</v>
      </c>
      <c r="L1610" s="22">
        <v>470</v>
      </c>
      <c r="M1610" s="22">
        <v>171</v>
      </c>
      <c r="N1610" s="22">
        <v>188</v>
      </c>
      <c r="O1610" s="22">
        <v>30</v>
      </c>
      <c r="P1610" s="11"/>
      <c r="Q1610" s="13"/>
      <c r="R1610" s="13"/>
      <c r="S1610" s="16"/>
      <c r="T1610" s="16"/>
    </row>
    <row r="1611" spans="1:20" x14ac:dyDescent="0.25">
      <c r="A1611" s="14">
        <v>2015</v>
      </c>
      <c r="B1611" s="14" t="s">
        <v>137</v>
      </c>
      <c r="C1611" s="14" t="s">
        <v>139</v>
      </c>
      <c r="D1611" s="14">
        <v>7</v>
      </c>
      <c r="E1611" s="14">
        <v>3</v>
      </c>
      <c r="F1611" s="14">
        <v>26</v>
      </c>
      <c r="G1611" s="14">
        <v>3</v>
      </c>
      <c r="H1611" s="14" t="s">
        <v>8</v>
      </c>
      <c r="I1611" s="19">
        <v>42241</v>
      </c>
      <c r="J1611" s="14" t="s">
        <v>128</v>
      </c>
      <c r="K1611" s="22">
        <v>894</v>
      </c>
      <c r="L1611" s="22">
        <v>444</v>
      </c>
      <c r="M1611" s="22">
        <v>215</v>
      </c>
      <c r="N1611" s="22">
        <v>158</v>
      </c>
      <c r="O1611" s="22">
        <v>77</v>
      </c>
      <c r="P1611" s="11"/>
      <c r="Q1611" s="13"/>
      <c r="R1611" s="13"/>
      <c r="S1611" s="16"/>
      <c r="T1611" s="16"/>
    </row>
    <row r="1612" spans="1:20" x14ac:dyDescent="0.25">
      <c r="A1612" s="14">
        <v>2015</v>
      </c>
      <c r="B1612" s="14" t="s">
        <v>137</v>
      </c>
      <c r="C1612" s="14" t="s">
        <v>139</v>
      </c>
      <c r="D1612" s="14">
        <v>7</v>
      </c>
      <c r="E1612" s="14">
        <v>2</v>
      </c>
      <c r="F1612" s="14">
        <v>27</v>
      </c>
      <c r="G1612" s="14">
        <v>3</v>
      </c>
      <c r="H1612" s="14" t="s">
        <v>10</v>
      </c>
      <c r="I1612" s="19">
        <v>42234</v>
      </c>
      <c r="J1612" s="14" t="s">
        <v>128</v>
      </c>
      <c r="K1612" s="22">
        <v>806</v>
      </c>
      <c r="L1612" s="22">
        <v>399</v>
      </c>
      <c r="M1612" s="22">
        <v>183</v>
      </c>
      <c r="N1612" s="22">
        <v>190</v>
      </c>
      <c r="O1612" s="22">
        <v>35</v>
      </c>
      <c r="P1612" s="11"/>
      <c r="Q1612" s="13"/>
      <c r="R1612" s="13"/>
      <c r="S1612" s="16"/>
      <c r="T1612" s="16"/>
    </row>
    <row r="1613" spans="1:20" x14ac:dyDescent="0.25">
      <c r="A1613" s="14">
        <v>2015</v>
      </c>
      <c r="B1613" s="14" t="s">
        <v>137</v>
      </c>
      <c r="C1613" s="14" t="s">
        <v>139</v>
      </c>
      <c r="D1613" s="14">
        <v>7</v>
      </c>
      <c r="E1613" s="14">
        <v>1</v>
      </c>
      <c r="F1613" s="14">
        <v>28</v>
      </c>
      <c r="G1613" s="14">
        <v>3</v>
      </c>
      <c r="H1613" s="14" t="s">
        <v>4</v>
      </c>
      <c r="I1613" s="19">
        <v>42241</v>
      </c>
      <c r="J1613" s="14" t="s">
        <v>128</v>
      </c>
      <c r="K1613" s="22">
        <v>641</v>
      </c>
      <c r="L1613" s="22">
        <v>322</v>
      </c>
      <c r="M1613" s="22">
        <v>139</v>
      </c>
      <c r="N1613" s="22">
        <v>142</v>
      </c>
      <c r="O1613" s="22">
        <v>37</v>
      </c>
      <c r="P1613" s="11"/>
      <c r="Q1613" s="13"/>
      <c r="R1613" s="13"/>
      <c r="S1613" s="16"/>
      <c r="T1613" s="16"/>
    </row>
    <row r="1614" spans="1:20" x14ac:dyDescent="0.25">
      <c r="A1614" s="14">
        <v>2015</v>
      </c>
      <c r="B1614" s="14" t="s">
        <v>137</v>
      </c>
      <c r="C1614" s="14" t="s">
        <v>139</v>
      </c>
      <c r="D1614" s="14">
        <v>8</v>
      </c>
      <c r="E1614" s="14">
        <v>4</v>
      </c>
      <c r="F1614" s="14">
        <v>29</v>
      </c>
      <c r="G1614" s="14">
        <v>3</v>
      </c>
      <c r="H1614" s="14" t="s">
        <v>7</v>
      </c>
      <c r="I1614" s="19">
        <v>42234</v>
      </c>
      <c r="J1614" s="14" t="s">
        <v>128</v>
      </c>
      <c r="K1614" s="22">
        <v>747</v>
      </c>
      <c r="L1614" s="22">
        <v>420</v>
      </c>
      <c r="M1614" s="22">
        <v>156</v>
      </c>
      <c r="N1614" s="22">
        <v>142</v>
      </c>
      <c r="O1614" s="22">
        <v>30</v>
      </c>
      <c r="P1614" s="11"/>
      <c r="Q1614" s="13"/>
      <c r="R1614" s="13"/>
      <c r="S1614" s="16"/>
      <c r="T1614" s="16"/>
    </row>
    <row r="1615" spans="1:20" x14ac:dyDescent="0.25">
      <c r="A1615" s="14">
        <v>2015</v>
      </c>
      <c r="B1615" s="14" t="s">
        <v>137</v>
      </c>
      <c r="C1615" s="14" t="s">
        <v>139</v>
      </c>
      <c r="D1615" s="14">
        <v>8</v>
      </c>
      <c r="E1615" s="14">
        <v>3</v>
      </c>
      <c r="F1615" s="14">
        <v>30</v>
      </c>
      <c r="G1615" s="14">
        <v>3</v>
      </c>
      <c r="H1615" s="14" t="s">
        <v>6</v>
      </c>
      <c r="I1615" s="19">
        <v>42234</v>
      </c>
      <c r="J1615" s="14" t="s">
        <v>128</v>
      </c>
      <c r="K1615" s="22">
        <v>783</v>
      </c>
      <c r="L1615" s="22">
        <v>432</v>
      </c>
      <c r="M1615" s="22">
        <v>178</v>
      </c>
      <c r="N1615" s="22">
        <v>126</v>
      </c>
      <c r="O1615" s="22">
        <v>47</v>
      </c>
      <c r="P1615" s="11"/>
      <c r="Q1615" s="13"/>
      <c r="R1615" s="13"/>
      <c r="S1615" s="16"/>
      <c r="T1615" s="16"/>
    </row>
    <row r="1616" spans="1:20" x14ac:dyDescent="0.25">
      <c r="A1616" s="14">
        <v>2015</v>
      </c>
      <c r="B1616" s="14" t="s">
        <v>137</v>
      </c>
      <c r="C1616" s="14" t="s">
        <v>139</v>
      </c>
      <c r="D1616" s="14">
        <v>8</v>
      </c>
      <c r="E1616" s="14">
        <v>2</v>
      </c>
      <c r="F1616" s="14">
        <v>31</v>
      </c>
      <c r="G1616" s="14">
        <v>3</v>
      </c>
      <c r="H1616" s="14" t="s">
        <v>5</v>
      </c>
      <c r="I1616" s="19">
        <v>42234</v>
      </c>
      <c r="J1616" s="14" t="s">
        <v>128</v>
      </c>
      <c r="K1616" s="22">
        <v>694</v>
      </c>
      <c r="L1616" s="22">
        <v>348</v>
      </c>
      <c r="M1616" s="22">
        <v>170</v>
      </c>
      <c r="N1616" s="22">
        <v>147</v>
      </c>
      <c r="O1616" s="22">
        <v>29</v>
      </c>
      <c r="P1616" s="11"/>
      <c r="Q1616" s="13"/>
      <c r="R1616" s="13"/>
      <c r="S1616" s="16"/>
      <c r="T1616" s="16"/>
    </row>
    <row r="1617" spans="1:20" x14ac:dyDescent="0.25">
      <c r="A1617" s="14">
        <v>2015</v>
      </c>
      <c r="B1617" s="14" t="s">
        <v>137</v>
      </c>
      <c r="C1617" s="14" t="s">
        <v>139</v>
      </c>
      <c r="D1617" s="14">
        <v>8</v>
      </c>
      <c r="E1617" s="14">
        <v>1</v>
      </c>
      <c r="F1617" s="14">
        <v>32</v>
      </c>
      <c r="G1617" s="14">
        <v>3</v>
      </c>
      <c r="H1617" s="14" t="s">
        <v>3</v>
      </c>
      <c r="I1617" s="19">
        <v>42241</v>
      </c>
      <c r="J1617" s="14" t="s">
        <v>128</v>
      </c>
      <c r="K1617" s="22">
        <v>863</v>
      </c>
      <c r="L1617" s="22">
        <v>425</v>
      </c>
      <c r="M1617" s="22">
        <v>170</v>
      </c>
      <c r="N1617" s="22">
        <v>188</v>
      </c>
      <c r="O1617" s="22">
        <v>80</v>
      </c>
      <c r="P1617" s="11"/>
      <c r="Q1617" s="13"/>
      <c r="R1617" s="13"/>
      <c r="S1617" s="16"/>
      <c r="T1617" s="16"/>
    </row>
    <row r="1618" spans="1:20" x14ac:dyDescent="0.25">
      <c r="A1618" s="14">
        <v>2015</v>
      </c>
      <c r="B1618" s="14" t="s">
        <v>137</v>
      </c>
      <c r="C1618" s="14" t="s">
        <v>139</v>
      </c>
      <c r="D1618" s="14">
        <v>9</v>
      </c>
      <c r="E1618" s="14">
        <v>4</v>
      </c>
      <c r="F1618" s="14">
        <v>33</v>
      </c>
      <c r="G1618" s="14">
        <v>3</v>
      </c>
      <c r="H1618" s="14" t="s">
        <v>2</v>
      </c>
      <c r="I1618" s="19">
        <v>42241</v>
      </c>
      <c r="J1618" s="14" t="s">
        <v>128</v>
      </c>
      <c r="K1618" s="22">
        <v>846</v>
      </c>
      <c r="L1618" s="22">
        <v>441</v>
      </c>
      <c r="M1618" s="22">
        <v>153</v>
      </c>
      <c r="N1618" s="22">
        <v>179</v>
      </c>
      <c r="O1618" s="22">
        <v>72</v>
      </c>
      <c r="P1618" s="11"/>
      <c r="Q1618" s="13"/>
      <c r="R1618" s="13"/>
      <c r="S1618" s="16"/>
      <c r="T1618" s="16"/>
    </row>
    <row r="1619" spans="1:20" x14ac:dyDescent="0.25">
      <c r="A1619" s="14">
        <v>2015</v>
      </c>
      <c r="B1619" s="14" t="s">
        <v>137</v>
      </c>
      <c r="C1619" s="14" t="s">
        <v>139</v>
      </c>
      <c r="D1619" s="14">
        <v>9</v>
      </c>
      <c r="E1619" s="14">
        <v>3</v>
      </c>
      <c r="F1619" s="14">
        <v>34</v>
      </c>
      <c r="G1619" s="14">
        <v>3</v>
      </c>
      <c r="H1619" s="14" t="s">
        <v>14</v>
      </c>
      <c r="I1619" s="19">
        <v>42241</v>
      </c>
      <c r="J1619" s="14" t="s">
        <v>128</v>
      </c>
      <c r="K1619" s="22">
        <v>614</v>
      </c>
      <c r="L1619" s="22">
        <v>316</v>
      </c>
      <c r="M1619" s="22">
        <v>116</v>
      </c>
      <c r="N1619" s="22">
        <v>139</v>
      </c>
      <c r="O1619" s="22">
        <v>43</v>
      </c>
      <c r="P1619" s="11"/>
      <c r="Q1619" s="13"/>
      <c r="R1619" s="13"/>
      <c r="S1619" s="16"/>
      <c r="T1619" s="16"/>
    </row>
    <row r="1620" spans="1:20" x14ac:dyDescent="0.25">
      <c r="A1620" s="14">
        <v>2015</v>
      </c>
      <c r="B1620" s="14" t="s">
        <v>137</v>
      </c>
      <c r="C1620" s="14" t="s">
        <v>139</v>
      </c>
      <c r="D1620" s="14">
        <v>9</v>
      </c>
      <c r="E1620" s="14">
        <v>2</v>
      </c>
      <c r="F1620" s="14">
        <v>35</v>
      </c>
      <c r="G1620" s="14">
        <v>3</v>
      </c>
      <c r="H1620" s="14" t="s">
        <v>9</v>
      </c>
      <c r="I1620" s="19">
        <v>42234</v>
      </c>
      <c r="J1620" s="14" t="s">
        <v>128</v>
      </c>
      <c r="K1620" s="22">
        <v>687</v>
      </c>
      <c r="L1620" s="22">
        <v>393</v>
      </c>
      <c r="M1620" s="22">
        <v>142</v>
      </c>
      <c r="N1620" s="22">
        <v>124</v>
      </c>
      <c r="O1620" s="22">
        <v>29</v>
      </c>
      <c r="P1620" s="11"/>
      <c r="Q1620" s="13"/>
      <c r="R1620" s="13"/>
      <c r="S1620" s="16"/>
      <c r="T1620" s="16"/>
    </row>
    <row r="1621" spans="1:20" x14ac:dyDescent="0.25">
      <c r="A1621" s="14">
        <v>2015</v>
      </c>
      <c r="B1621" s="14" t="s">
        <v>137</v>
      </c>
      <c r="C1621" s="14" t="s">
        <v>139</v>
      </c>
      <c r="D1621" s="14">
        <v>9</v>
      </c>
      <c r="E1621" s="14">
        <v>1</v>
      </c>
      <c r="F1621" s="14">
        <v>36</v>
      </c>
      <c r="G1621" s="14">
        <v>3</v>
      </c>
      <c r="H1621" s="14" t="s">
        <v>13</v>
      </c>
      <c r="I1621" s="19">
        <v>42227</v>
      </c>
      <c r="J1621" s="14" t="s">
        <v>128</v>
      </c>
      <c r="K1621" s="22">
        <v>741</v>
      </c>
      <c r="L1621" s="22">
        <v>444</v>
      </c>
      <c r="M1621" s="22">
        <v>144</v>
      </c>
      <c r="N1621" s="22">
        <v>133</v>
      </c>
      <c r="O1621" s="22">
        <v>21</v>
      </c>
      <c r="P1621" s="11"/>
      <c r="Q1621" s="13"/>
      <c r="R1621" s="13"/>
      <c r="S1621" s="16"/>
      <c r="T1621" s="16"/>
    </row>
    <row r="1622" spans="1:20" x14ac:dyDescent="0.25">
      <c r="A1622" s="14">
        <v>2015</v>
      </c>
      <c r="B1622" s="14" t="s">
        <v>137</v>
      </c>
      <c r="C1622" s="14" t="s">
        <v>139</v>
      </c>
      <c r="D1622" s="14">
        <v>10</v>
      </c>
      <c r="E1622" s="14">
        <v>4</v>
      </c>
      <c r="F1622" s="14">
        <v>37</v>
      </c>
      <c r="G1622" s="14">
        <v>4</v>
      </c>
      <c r="H1622" s="14" t="s">
        <v>14</v>
      </c>
      <c r="I1622" s="19">
        <v>42241</v>
      </c>
      <c r="J1622" s="14" t="s">
        <v>128</v>
      </c>
      <c r="K1622" s="22">
        <v>730</v>
      </c>
      <c r="L1622" s="22">
        <v>367</v>
      </c>
      <c r="M1622" s="22">
        <v>132</v>
      </c>
      <c r="N1622" s="22">
        <v>160</v>
      </c>
      <c r="O1622" s="22">
        <v>70</v>
      </c>
      <c r="P1622" s="11"/>
      <c r="Q1622" s="13"/>
      <c r="R1622" s="13"/>
      <c r="S1622" s="16"/>
      <c r="T1622" s="16"/>
    </row>
    <row r="1623" spans="1:20" x14ac:dyDescent="0.25">
      <c r="A1623" s="14">
        <v>2015</v>
      </c>
      <c r="B1623" s="14" t="s">
        <v>137</v>
      </c>
      <c r="C1623" s="14" t="s">
        <v>139</v>
      </c>
      <c r="D1623" s="14">
        <v>10</v>
      </c>
      <c r="E1623" s="14">
        <v>3</v>
      </c>
      <c r="F1623" s="14">
        <v>38</v>
      </c>
      <c r="G1623" s="14">
        <v>4</v>
      </c>
      <c r="H1623" s="14" t="s">
        <v>3</v>
      </c>
      <c r="I1623" s="19">
        <v>42241</v>
      </c>
      <c r="J1623" s="14" t="s">
        <v>128</v>
      </c>
      <c r="K1623" s="22">
        <v>642</v>
      </c>
      <c r="L1623" s="22">
        <v>315</v>
      </c>
      <c r="M1623" s="22">
        <v>140</v>
      </c>
      <c r="N1623" s="22">
        <v>133</v>
      </c>
      <c r="O1623" s="22">
        <v>54</v>
      </c>
      <c r="P1623" s="11"/>
      <c r="Q1623" s="13"/>
      <c r="R1623" s="13"/>
      <c r="S1623" s="16"/>
      <c r="T1623" s="16"/>
    </row>
    <row r="1624" spans="1:20" x14ac:dyDescent="0.25">
      <c r="A1624" s="14">
        <v>2015</v>
      </c>
      <c r="B1624" s="14" t="s">
        <v>137</v>
      </c>
      <c r="C1624" s="14" t="s">
        <v>139</v>
      </c>
      <c r="D1624" s="14">
        <v>10</v>
      </c>
      <c r="E1624" s="14">
        <v>2</v>
      </c>
      <c r="F1624" s="14">
        <v>39</v>
      </c>
      <c r="G1624" s="14">
        <v>4</v>
      </c>
      <c r="H1624" s="14" t="s">
        <v>7</v>
      </c>
      <c r="I1624" s="19">
        <v>42234</v>
      </c>
      <c r="J1624" s="14" t="s">
        <v>128</v>
      </c>
      <c r="K1624" s="22">
        <v>899</v>
      </c>
      <c r="L1624" s="22">
        <v>538</v>
      </c>
      <c r="M1624" s="22">
        <v>141</v>
      </c>
      <c r="N1624" s="22">
        <v>190</v>
      </c>
      <c r="O1624" s="22">
        <v>30</v>
      </c>
      <c r="P1624" s="11"/>
      <c r="Q1624" s="13"/>
      <c r="R1624" s="13"/>
      <c r="S1624" s="16"/>
      <c r="T1624" s="16"/>
    </row>
    <row r="1625" spans="1:20" x14ac:dyDescent="0.25">
      <c r="A1625" s="14">
        <v>2015</v>
      </c>
      <c r="B1625" s="14" t="s">
        <v>137</v>
      </c>
      <c r="C1625" s="14" t="s">
        <v>139</v>
      </c>
      <c r="D1625" s="14">
        <v>10</v>
      </c>
      <c r="E1625" s="14">
        <v>1</v>
      </c>
      <c r="F1625" s="14">
        <v>40</v>
      </c>
      <c r="G1625" s="14">
        <v>4</v>
      </c>
      <c r="H1625" s="14" t="s">
        <v>9</v>
      </c>
      <c r="I1625" s="19">
        <v>42234</v>
      </c>
      <c r="J1625" s="14" t="s">
        <v>128</v>
      </c>
      <c r="K1625" s="22">
        <v>967</v>
      </c>
      <c r="L1625" s="22">
        <v>554</v>
      </c>
      <c r="M1625" s="22">
        <v>190</v>
      </c>
      <c r="N1625" s="22">
        <v>172</v>
      </c>
      <c r="O1625" s="22">
        <v>52</v>
      </c>
      <c r="P1625" s="11"/>
      <c r="Q1625" s="13"/>
      <c r="R1625" s="13"/>
      <c r="S1625" s="16"/>
      <c r="T1625" s="16"/>
    </row>
    <row r="1626" spans="1:20" x14ac:dyDescent="0.25">
      <c r="A1626" s="14">
        <v>2015</v>
      </c>
      <c r="B1626" s="14" t="s">
        <v>137</v>
      </c>
      <c r="C1626" s="14" t="s">
        <v>139</v>
      </c>
      <c r="D1626" s="14">
        <v>11</v>
      </c>
      <c r="E1626" s="14">
        <v>4</v>
      </c>
      <c r="F1626" s="14">
        <v>41</v>
      </c>
      <c r="G1626" s="14">
        <v>4</v>
      </c>
      <c r="H1626" s="14" t="s">
        <v>5</v>
      </c>
      <c r="I1626" s="19">
        <v>42234</v>
      </c>
      <c r="J1626" s="14" t="s">
        <v>128</v>
      </c>
      <c r="K1626" s="22">
        <v>805</v>
      </c>
      <c r="L1626" s="22">
        <v>397</v>
      </c>
      <c r="M1626" s="22">
        <v>172</v>
      </c>
      <c r="N1626" s="22">
        <v>191</v>
      </c>
      <c r="O1626" s="22">
        <v>45</v>
      </c>
      <c r="P1626" s="11"/>
      <c r="Q1626" s="13"/>
      <c r="R1626" s="13"/>
      <c r="S1626" s="16"/>
      <c r="T1626" s="16"/>
    </row>
    <row r="1627" spans="1:20" x14ac:dyDescent="0.25">
      <c r="A1627" s="14">
        <v>2015</v>
      </c>
      <c r="B1627" s="14" t="s">
        <v>137</v>
      </c>
      <c r="C1627" s="14" t="s">
        <v>139</v>
      </c>
      <c r="D1627" s="14">
        <v>11</v>
      </c>
      <c r="E1627" s="14">
        <v>3</v>
      </c>
      <c r="F1627" s="14">
        <v>42</v>
      </c>
      <c r="G1627" s="14">
        <v>4</v>
      </c>
      <c r="H1627" s="14" t="s">
        <v>2</v>
      </c>
      <c r="I1627" s="19">
        <v>42241</v>
      </c>
      <c r="J1627" s="14" t="s">
        <v>128</v>
      </c>
      <c r="K1627" s="22">
        <v>660</v>
      </c>
      <c r="L1627" s="22">
        <v>336</v>
      </c>
      <c r="M1627" s="22">
        <v>137</v>
      </c>
      <c r="N1627" s="22">
        <v>145</v>
      </c>
      <c r="O1627" s="22">
        <v>43</v>
      </c>
      <c r="P1627" s="11"/>
      <c r="Q1627" s="13"/>
      <c r="R1627" s="13"/>
      <c r="S1627" s="16"/>
      <c r="T1627" s="16"/>
    </row>
    <row r="1628" spans="1:20" x14ac:dyDescent="0.25">
      <c r="A1628" s="14">
        <v>2015</v>
      </c>
      <c r="B1628" s="14" t="s">
        <v>137</v>
      </c>
      <c r="C1628" s="14" t="s">
        <v>139</v>
      </c>
      <c r="D1628" s="14">
        <v>11</v>
      </c>
      <c r="E1628" s="14">
        <v>2</v>
      </c>
      <c r="F1628" s="14">
        <v>43</v>
      </c>
      <c r="G1628" s="14">
        <v>4</v>
      </c>
      <c r="H1628" s="14" t="s">
        <v>8</v>
      </c>
      <c r="I1628" s="19">
        <v>42241</v>
      </c>
      <c r="J1628" s="14" t="s">
        <v>128</v>
      </c>
      <c r="K1628" s="22">
        <v>847</v>
      </c>
      <c r="L1628" s="22">
        <v>482</v>
      </c>
      <c r="M1628" s="22">
        <v>151</v>
      </c>
      <c r="N1628" s="22">
        <v>163</v>
      </c>
      <c r="O1628" s="22">
        <v>51</v>
      </c>
      <c r="P1628" s="11"/>
      <c r="Q1628" s="13"/>
      <c r="R1628" s="13"/>
      <c r="S1628" s="16"/>
      <c r="T1628" s="16"/>
    </row>
    <row r="1629" spans="1:20" x14ac:dyDescent="0.25">
      <c r="A1629" s="14">
        <v>2015</v>
      </c>
      <c r="B1629" s="14" t="s">
        <v>137</v>
      </c>
      <c r="C1629" s="14" t="s">
        <v>139</v>
      </c>
      <c r="D1629" s="14">
        <v>11</v>
      </c>
      <c r="E1629" s="14">
        <v>1</v>
      </c>
      <c r="F1629" s="14">
        <v>44</v>
      </c>
      <c r="G1629" s="14">
        <v>4</v>
      </c>
      <c r="H1629" s="14" t="s">
        <v>6</v>
      </c>
      <c r="I1629" s="19">
        <v>42234</v>
      </c>
      <c r="J1629" s="14" t="s">
        <v>128</v>
      </c>
      <c r="K1629" s="22">
        <v>838</v>
      </c>
      <c r="L1629" s="22">
        <v>478</v>
      </c>
      <c r="M1629" s="22">
        <v>162</v>
      </c>
      <c r="N1629" s="22">
        <v>160</v>
      </c>
      <c r="O1629" s="22">
        <v>37</v>
      </c>
      <c r="P1629" s="11"/>
      <c r="Q1629" s="13"/>
      <c r="R1629" s="13"/>
      <c r="S1629" s="16"/>
      <c r="T1629" s="16"/>
    </row>
    <row r="1630" spans="1:20" x14ac:dyDescent="0.25">
      <c r="A1630" s="14">
        <v>2015</v>
      </c>
      <c r="B1630" s="14" t="s">
        <v>137</v>
      </c>
      <c r="C1630" s="14" t="s">
        <v>139</v>
      </c>
      <c r="D1630" s="14">
        <v>12</v>
      </c>
      <c r="E1630" s="14">
        <v>4</v>
      </c>
      <c r="F1630" s="14">
        <v>45</v>
      </c>
      <c r="G1630" s="14">
        <v>4</v>
      </c>
      <c r="H1630" s="14" t="s">
        <v>4</v>
      </c>
      <c r="I1630" s="19">
        <v>42241</v>
      </c>
      <c r="J1630" s="14" t="s">
        <v>128</v>
      </c>
      <c r="K1630" s="22">
        <v>659</v>
      </c>
      <c r="L1630" s="22">
        <v>337</v>
      </c>
      <c r="M1630" s="22">
        <v>151</v>
      </c>
      <c r="N1630" s="22">
        <v>126</v>
      </c>
      <c r="O1630" s="22">
        <v>45</v>
      </c>
      <c r="P1630" s="11"/>
      <c r="Q1630" s="13"/>
      <c r="R1630" s="13"/>
      <c r="S1630" s="16"/>
      <c r="T1630" s="16"/>
    </row>
    <row r="1631" spans="1:20" x14ac:dyDescent="0.25">
      <c r="A1631" s="14">
        <v>2015</v>
      </c>
      <c r="B1631" s="14" t="s">
        <v>137</v>
      </c>
      <c r="C1631" s="14" t="s">
        <v>139</v>
      </c>
      <c r="D1631" s="14">
        <v>12</v>
      </c>
      <c r="E1631" s="14">
        <v>3</v>
      </c>
      <c r="F1631" s="14">
        <v>46</v>
      </c>
      <c r="G1631" s="14">
        <v>4</v>
      </c>
      <c r="H1631" s="14" t="s">
        <v>10</v>
      </c>
      <c r="I1631" s="19">
        <v>42234</v>
      </c>
      <c r="J1631" s="14" t="s">
        <v>128</v>
      </c>
      <c r="K1631" s="22">
        <v>731</v>
      </c>
      <c r="L1631" s="22">
        <v>372</v>
      </c>
      <c r="M1631" s="22">
        <v>156</v>
      </c>
      <c r="N1631" s="22">
        <v>166</v>
      </c>
      <c r="O1631" s="22">
        <v>37</v>
      </c>
      <c r="P1631" s="11"/>
      <c r="Q1631" s="13"/>
      <c r="R1631" s="13"/>
      <c r="S1631" s="16"/>
      <c r="T1631" s="16"/>
    </row>
    <row r="1632" spans="1:20" x14ac:dyDescent="0.25">
      <c r="A1632" s="14">
        <v>2015</v>
      </c>
      <c r="B1632" s="14" t="s">
        <v>137</v>
      </c>
      <c r="C1632" s="14" t="s">
        <v>139</v>
      </c>
      <c r="D1632" s="14">
        <v>12</v>
      </c>
      <c r="E1632" s="14">
        <v>2</v>
      </c>
      <c r="F1632" s="14">
        <v>47</v>
      </c>
      <c r="G1632" s="14">
        <v>4</v>
      </c>
      <c r="H1632" s="14" t="s">
        <v>13</v>
      </c>
      <c r="I1632" s="19">
        <v>42227</v>
      </c>
      <c r="J1632" s="14" t="s">
        <v>128</v>
      </c>
      <c r="K1632" s="22">
        <v>572</v>
      </c>
      <c r="L1632" s="22">
        <v>344</v>
      </c>
      <c r="M1632" s="22">
        <v>112</v>
      </c>
      <c r="N1632" s="22">
        <v>96</v>
      </c>
      <c r="O1632" s="22">
        <v>20</v>
      </c>
      <c r="P1632" s="11"/>
      <c r="Q1632" s="13"/>
      <c r="R1632" s="13"/>
      <c r="S1632" s="16"/>
      <c r="T1632" s="16"/>
    </row>
    <row r="1633" spans="1:20" x14ac:dyDescent="0.25">
      <c r="A1633" s="14">
        <v>2015</v>
      </c>
      <c r="B1633" s="14" t="s">
        <v>137</v>
      </c>
      <c r="C1633" s="14" t="s">
        <v>139</v>
      </c>
      <c r="D1633" s="14">
        <v>12</v>
      </c>
      <c r="E1633" s="14">
        <v>1</v>
      </c>
      <c r="F1633" s="14">
        <v>48</v>
      </c>
      <c r="G1633" s="14">
        <v>4</v>
      </c>
      <c r="H1633" s="14" t="s">
        <v>12</v>
      </c>
      <c r="I1633" s="20">
        <v>42241</v>
      </c>
      <c r="J1633" s="14" t="s">
        <v>128</v>
      </c>
      <c r="K1633" s="23">
        <v>820</v>
      </c>
      <c r="L1633" s="23">
        <v>470</v>
      </c>
      <c r="M1633" s="23">
        <v>128</v>
      </c>
      <c r="N1633" s="23">
        <v>166</v>
      </c>
      <c r="O1633" s="23">
        <v>56</v>
      </c>
      <c r="P1633" s="11"/>
      <c r="Q1633" s="13"/>
      <c r="R1633" s="13"/>
      <c r="S1633" s="16"/>
      <c r="T1633" s="16"/>
    </row>
    <row r="1634" spans="1:20" x14ac:dyDescent="0.25">
      <c r="A1634" s="14">
        <v>2015</v>
      </c>
      <c r="B1634" s="14" t="s">
        <v>137</v>
      </c>
      <c r="C1634" s="14" t="s">
        <v>139</v>
      </c>
      <c r="D1634" s="14">
        <v>1</v>
      </c>
      <c r="E1634" s="14">
        <v>4</v>
      </c>
      <c r="F1634" s="14">
        <v>1</v>
      </c>
      <c r="G1634" s="14">
        <v>1</v>
      </c>
      <c r="H1634" s="14" t="s">
        <v>6</v>
      </c>
      <c r="I1634" s="19">
        <v>42284</v>
      </c>
      <c r="J1634" s="14" t="s">
        <v>129</v>
      </c>
      <c r="K1634" s="22">
        <v>1427</v>
      </c>
      <c r="L1634" s="22">
        <v>470</v>
      </c>
      <c r="M1634" s="22">
        <v>11</v>
      </c>
      <c r="N1634" s="22">
        <v>765</v>
      </c>
      <c r="O1634" s="22">
        <v>182</v>
      </c>
      <c r="P1634" s="11"/>
      <c r="Q1634" s="13"/>
      <c r="R1634" s="13"/>
      <c r="S1634" s="16"/>
      <c r="T1634" s="16"/>
    </row>
    <row r="1635" spans="1:20" x14ac:dyDescent="0.25">
      <c r="A1635" s="14">
        <v>2015</v>
      </c>
      <c r="B1635" s="14" t="s">
        <v>137</v>
      </c>
      <c r="C1635" s="14" t="s">
        <v>139</v>
      </c>
      <c r="D1635" s="14">
        <v>1</v>
      </c>
      <c r="E1635" s="14">
        <v>3</v>
      </c>
      <c r="F1635" s="14">
        <v>2</v>
      </c>
      <c r="G1635" s="14">
        <v>1</v>
      </c>
      <c r="H1635" s="14" t="s">
        <v>9</v>
      </c>
      <c r="I1635" s="19">
        <v>42284</v>
      </c>
      <c r="J1635" s="14" t="s">
        <v>129</v>
      </c>
      <c r="K1635" s="22">
        <v>1262</v>
      </c>
      <c r="L1635" s="22">
        <v>446</v>
      </c>
      <c r="M1635" s="22"/>
      <c r="N1635" s="22">
        <v>664</v>
      </c>
      <c r="O1635" s="22">
        <v>151</v>
      </c>
      <c r="P1635" s="11"/>
      <c r="Q1635" s="13"/>
      <c r="R1635" s="13"/>
      <c r="S1635" s="16"/>
      <c r="T1635" s="16"/>
    </row>
    <row r="1636" spans="1:20" x14ac:dyDescent="0.25">
      <c r="A1636" s="14">
        <v>2015</v>
      </c>
      <c r="B1636" s="14" t="s">
        <v>137</v>
      </c>
      <c r="C1636" s="14" t="s">
        <v>139</v>
      </c>
      <c r="D1636" s="14">
        <v>1</v>
      </c>
      <c r="E1636" s="14">
        <v>2</v>
      </c>
      <c r="F1636" s="14">
        <v>3</v>
      </c>
      <c r="G1636" s="14">
        <v>1</v>
      </c>
      <c r="H1636" s="14" t="s">
        <v>3</v>
      </c>
      <c r="I1636" s="19">
        <v>42290</v>
      </c>
      <c r="J1636" s="14" t="s">
        <v>129</v>
      </c>
      <c r="K1636" s="22">
        <v>1401</v>
      </c>
      <c r="L1636" s="22">
        <v>359</v>
      </c>
      <c r="M1636" s="22"/>
      <c r="N1636" s="22">
        <v>845</v>
      </c>
      <c r="O1636" s="22">
        <v>197</v>
      </c>
      <c r="P1636" s="11"/>
      <c r="Q1636" s="13"/>
      <c r="R1636" s="13"/>
      <c r="S1636" s="16"/>
      <c r="T1636" s="16"/>
    </row>
    <row r="1637" spans="1:20" x14ac:dyDescent="0.25">
      <c r="A1637" s="14">
        <v>2015</v>
      </c>
      <c r="B1637" s="14" t="s">
        <v>137</v>
      </c>
      <c r="C1637" s="14" t="s">
        <v>139</v>
      </c>
      <c r="D1637" s="14">
        <v>1</v>
      </c>
      <c r="E1637" s="14">
        <v>1</v>
      </c>
      <c r="F1637" s="14">
        <v>4</v>
      </c>
      <c r="G1637" s="14">
        <v>1</v>
      </c>
      <c r="H1637" s="14" t="s">
        <v>5</v>
      </c>
      <c r="I1637" s="19">
        <v>42284</v>
      </c>
      <c r="J1637" s="14" t="s">
        <v>129</v>
      </c>
      <c r="K1637" s="22">
        <v>1273</v>
      </c>
      <c r="L1637" s="22">
        <v>415</v>
      </c>
      <c r="M1637" s="22">
        <v>11</v>
      </c>
      <c r="N1637" s="22">
        <v>726</v>
      </c>
      <c r="O1637" s="22">
        <v>121</v>
      </c>
      <c r="P1637" s="11"/>
      <c r="Q1637" s="13"/>
      <c r="R1637" s="13"/>
      <c r="S1637" s="16"/>
      <c r="T1637" s="16"/>
    </row>
    <row r="1638" spans="1:20" x14ac:dyDescent="0.25">
      <c r="A1638" s="14">
        <v>2015</v>
      </c>
      <c r="B1638" s="14" t="s">
        <v>137</v>
      </c>
      <c r="C1638" s="14" t="s">
        <v>139</v>
      </c>
      <c r="D1638" s="14">
        <v>2</v>
      </c>
      <c r="E1638" s="14">
        <v>4</v>
      </c>
      <c r="F1638" s="14">
        <v>5</v>
      </c>
      <c r="G1638" s="14">
        <v>1</v>
      </c>
      <c r="H1638" s="14" t="s">
        <v>13</v>
      </c>
      <c r="I1638" s="19">
        <v>42284</v>
      </c>
      <c r="J1638" s="14" t="s">
        <v>129</v>
      </c>
      <c r="K1638" s="22">
        <v>1307</v>
      </c>
      <c r="L1638" s="22">
        <v>512</v>
      </c>
      <c r="M1638" s="22">
        <v>13</v>
      </c>
      <c r="N1638" s="22">
        <v>644</v>
      </c>
      <c r="O1638" s="22">
        <v>138</v>
      </c>
      <c r="P1638" s="11"/>
      <c r="Q1638" s="13"/>
      <c r="R1638" s="13"/>
      <c r="S1638" s="16"/>
      <c r="T1638" s="16"/>
    </row>
    <row r="1639" spans="1:20" x14ac:dyDescent="0.25">
      <c r="A1639" s="14">
        <v>2015</v>
      </c>
      <c r="B1639" s="14" t="s">
        <v>137</v>
      </c>
      <c r="C1639" s="14" t="s">
        <v>139</v>
      </c>
      <c r="D1639" s="14">
        <v>2</v>
      </c>
      <c r="E1639" s="14">
        <v>3</v>
      </c>
      <c r="F1639" s="14">
        <v>6</v>
      </c>
      <c r="G1639" s="14">
        <v>1</v>
      </c>
      <c r="H1639" s="14" t="s">
        <v>4</v>
      </c>
      <c r="I1639" s="19">
        <v>42290</v>
      </c>
      <c r="J1639" s="14" t="s">
        <v>129</v>
      </c>
      <c r="K1639" s="22">
        <v>1232</v>
      </c>
      <c r="L1639" s="22">
        <v>353</v>
      </c>
      <c r="M1639" s="22"/>
      <c r="N1639" s="22">
        <v>715</v>
      </c>
      <c r="O1639" s="22">
        <v>164</v>
      </c>
      <c r="P1639" s="11"/>
      <c r="Q1639" s="13"/>
      <c r="R1639" s="13"/>
      <c r="S1639" s="16"/>
      <c r="T1639" s="16"/>
    </row>
    <row r="1640" spans="1:20" x14ac:dyDescent="0.25">
      <c r="A1640" s="14">
        <v>2015</v>
      </c>
      <c r="B1640" s="14" t="s">
        <v>137</v>
      </c>
      <c r="C1640" s="14" t="s">
        <v>139</v>
      </c>
      <c r="D1640" s="14">
        <v>2</v>
      </c>
      <c r="E1640" s="14">
        <v>2</v>
      </c>
      <c r="F1640" s="14">
        <v>7</v>
      </c>
      <c r="G1640" s="14">
        <v>1</v>
      </c>
      <c r="H1640" s="14" t="s">
        <v>12</v>
      </c>
      <c r="I1640" s="19">
        <v>42290</v>
      </c>
      <c r="J1640" s="14" t="s">
        <v>129</v>
      </c>
      <c r="K1640" s="22">
        <v>1314</v>
      </c>
      <c r="L1640" s="22">
        <v>446</v>
      </c>
      <c r="M1640" s="22"/>
      <c r="N1640" s="22">
        <v>725</v>
      </c>
      <c r="O1640" s="22">
        <v>144</v>
      </c>
      <c r="P1640" s="11"/>
      <c r="Q1640" s="13"/>
      <c r="R1640" s="13"/>
      <c r="S1640" s="16"/>
      <c r="T1640" s="16"/>
    </row>
    <row r="1641" spans="1:20" x14ac:dyDescent="0.25">
      <c r="A1641" s="14">
        <v>2015</v>
      </c>
      <c r="B1641" s="14" t="s">
        <v>137</v>
      </c>
      <c r="C1641" s="14" t="s">
        <v>139</v>
      </c>
      <c r="D1641" s="14">
        <v>2</v>
      </c>
      <c r="E1641" s="14">
        <v>1</v>
      </c>
      <c r="F1641" s="14">
        <v>8</v>
      </c>
      <c r="G1641" s="14">
        <v>1</v>
      </c>
      <c r="H1641" s="14" t="s">
        <v>2</v>
      </c>
      <c r="I1641" s="19">
        <v>42290</v>
      </c>
      <c r="J1641" s="14" t="s">
        <v>129</v>
      </c>
      <c r="K1641" s="22">
        <v>1431</v>
      </c>
      <c r="L1641" s="22">
        <v>434</v>
      </c>
      <c r="M1641" s="22"/>
      <c r="N1641" s="22">
        <v>827</v>
      </c>
      <c r="O1641" s="22">
        <v>171</v>
      </c>
      <c r="P1641" s="11"/>
      <c r="Q1641" s="13"/>
      <c r="R1641" s="13"/>
      <c r="S1641" s="16"/>
      <c r="T1641" s="16"/>
    </row>
    <row r="1642" spans="1:20" x14ac:dyDescent="0.25">
      <c r="A1642" s="14">
        <v>2015</v>
      </c>
      <c r="B1642" s="14" t="s">
        <v>137</v>
      </c>
      <c r="C1642" s="14" t="s">
        <v>139</v>
      </c>
      <c r="D1642" s="14">
        <v>3</v>
      </c>
      <c r="E1642" s="14">
        <v>4</v>
      </c>
      <c r="F1642" s="14">
        <v>9</v>
      </c>
      <c r="G1642" s="14">
        <v>1</v>
      </c>
      <c r="H1642" s="14" t="s">
        <v>10</v>
      </c>
      <c r="I1642" s="19">
        <v>42290</v>
      </c>
      <c r="J1642" s="14" t="s">
        <v>129</v>
      </c>
      <c r="K1642" s="22">
        <v>1244</v>
      </c>
      <c r="L1642" s="22">
        <v>322</v>
      </c>
      <c r="M1642" s="22"/>
      <c r="N1642" s="22">
        <v>755</v>
      </c>
      <c r="O1642" s="22">
        <v>167</v>
      </c>
      <c r="P1642" s="11"/>
      <c r="Q1642" s="13"/>
      <c r="R1642" s="13"/>
      <c r="S1642" s="16"/>
      <c r="T1642" s="16"/>
    </row>
    <row r="1643" spans="1:20" x14ac:dyDescent="0.25">
      <c r="A1643" s="14">
        <v>2015</v>
      </c>
      <c r="B1643" s="14" t="s">
        <v>137</v>
      </c>
      <c r="C1643" s="14" t="s">
        <v>139</v>
      </c>
      <c r="D1643" s="14">
        <v>3</v>
      </c>
      <c r="E1643" s="14">
        <v>3</v>
      </c>
      <c r="F1643" s="14">
        <v>10</v>
      </c>
      <c r="G1643" s="14">
        <v>1</v>
      </c>
      <c r="H1643" s="14" t="s">
        <v>7</v>
      </c>
      <c r="I1643" s="19">
        <v>42284</v>
      </c>
      <c r="J1643" s="14" t="s">
        <v>129</v>
      </c>
      <c r="K1643" s="22">
        <v>1450</v>
      </c>
      <c r="L1643" s="22">
        <v>497</v>
      </c>
      <c r="M1643" s="22">
        <v>5</v>
      </c>
      <c r="N1643" s="22">
        <v>764</v>
      </c>
      <c r="O1643" s="22">
        <v>183</v>
      </c>
      <c r="P1643" s="11"/>
      <c r="Q1643" s="13"/>
      <c r="R1643" s="13"/>
      <c r="S1643" s="16"/>
      <c r="T1643" s="16"/>
    </row>
    <row r="1644" spans="1:20" x14ac:dyDescent="0.25">
      <c r="A1644" s="14">
        <v>2015</v>
      </c>
      <c r="B1644" s="14" t="s">
        <v>137</v>
      </c>
      <c r="C1644" s="14" t="s">
        <v>139</v>
      </c>
      <c r="D1644" s="14">
        <v>3</v>
      </c>
      <c r="E1644" s="14">
        <v>2</v>
      </c>
      <c r="F1644" s="14">
        <v>11</v>
      </c>
      <c r="G1644" s="14">
        <v>1</v>
      </c>
      <c r="H1644" s="14" t="s">
        <v>14</v>
      </c>
      <c r="I1644" s="19">
        <v>42290</v>
      </c>
      <c r="J1644" s="14" t="s">
        <v>129</v>
      </c>
      <c r="K1644" s="22">
        <v>1375</v>
      </c>
      <c r="L1644" s="22">
        <v>415</v>
      </c>
      <c r="M1644" s="22"/>
      <c r="N1644" s="22">
        <v>782</v>
      </c>
      <c r="O1644" s="22">
        <v>178</v>
      </c>
      <c r="P1644" s="11"/>
      <c r="Q1644" s="13"/>
      <c r="R1644" s="13"/>
      <c r="S1644" s="16"/>
      <c r="T1644" s="16"/>
    </row>
    <row r="1645" spans="1:20" x14ac:dyDescent="0.25">
      <c r="A1645" s="14">
        <v>2015</v>
      </c>
      <c r="B1645" s="14" t="s">
        <v>137</v>
      </c>
      <c r="C1645" s="14" t="s">
        <v>139</v>
      </c>
      <c r="D1645" s="14">
        <v>3</v>
      </c>
      <c r="E1645" s="14">
        <v>1</v>
      </c>
      <c r="F1645" s="14">
        <v>12</v>
      </c>
      <c r="G1645" s="14">
        <v>1</v>
      </c>
      <c r="H1645" s="14" t="s">
        <v>8</v>
      </c>
      <c r="I1645" s="19">
        <v>42290</v>
      </c>
      <c r="J1645" s="14" t="s">
        <v>129</v>
      </c>
      <c r="K1645" s="22">
        <v>1169</v>
      </c>
      <c r="L1645" s="22">
        <v>354</v>
      </c>
      <c r="M1645" s="22"/>
      <c r="N1645" s="22">
        <v>658</v>
      </c>
      <c r="O1645" s="22">
        <v>157</v>
      </c>
      <c r="P1645" s="11"/>
      <c r="Q1645" s="13"/>
      <c r="R1645" s="13"/>
      <c r="S1645" s="16"/>
      <c r="T1645" s="16"/>
    </row>
    <row r="1646" spans="1:20" x14ac:dyDescent="0.25">
      <c r="A1646" s="14">
        <v>2015</v>
      </c>
      <c r="B1646" s="14" t="s">
        <v>137</v>
      </c>
      <c r="C1646" s="14" t="s">
        <v>139</v>
      </c>
      <c r="D1646" s="14">
        <v>4</v>
      </c>
      <c r="E1646" s="14">
        <v>4</v>
      </c>
      <c r="F1646" s="14">
        <v>13</v>
      </c>
      <c r="G1646" s="14">
        <v>2</v>
      </c>
      <c r="H1646" s="14" t="s">
        <v>3</v>
      </c>
      <c r="I1646" s="19">
        <v>42290</v>
      </c>
      <c r="J1646" s="14" t="s">
        <v>129</v>
      </c>
      <c r="K1646" s="22">
        <v>1283</v>
      </c>
      <c r="L1646" s="22">
        <v>328</v>
      </c>
      <c r="M1646" s="22">
        <v>1</v>
      </c>
      <c r="N1646" s="22">
        <v>737</v>
      </c>
      <c r="O1646" s="22">
        <v>218</v>
      </c>
      <c r="P1646" s="11"/>
      <c r="Q1646" s="13"/>
      <c r="R1646" s="13"/>
      <c r="S1646" s="16"/>
      <c r="T1646" s="16"/>
    </row>
    <row r="1647" spans="1:20" x14ac:dyDescent="0.25">
      <c r="A1647" s="14">
        <v>2015</v>
      </c>
      <c r="B1647" s="14" t="s">
        <v>137</v>
      </c>
      <c r="C1647" s="14" t="s">
        <v>139</v>
      </c>
      <c r="D1647" s="14">
        <v>4</v>
      </c>
      <c r="E1647" s="14">
        <v>3</v>
      </c>
      <c r="F1647" s="14">
        <v>14</v>
      </c>
      <c r="G1647" s="14">
        <v>2</v>
      </c>
      <c r="H1647" s="14" t="s">
        <v>13</v>
      </c>
      <c r="I1647" s="19">
        <v>42284</v>
      </c>
      <c r="J1647" s="14" t="s">
        <v>129</v>
      </c>
      <c r="K1647" s="22">
        <v>1619</v>
      </c>
      <c r="L1647" s="22">
        <v>592</v>
      </c>
      <c r="M1647" s="22">
        <v>9</v>
      </c>
      <c r="N1647" s="22">
        <v>844</v>
      </c>
      <c r="O1647" s="22">
        <v>174</v>
      </c>
      <c r="P1647" s="11"/>
      <c r="Q1647" s="13"/>
      <c r="R1647" s="13"/>
      <c r="S1647" s="16"/>
      <c r="T1647" s="16"/>
    </row>
    <row r="1648" spans="1:20" x14ac:dyDescent="0.25">
      <c r="A1648" s="14">
        <v>2015</v>
      </c>
      <c r="B1648" s="14" t="s">
        <v>137</v>
      </c>
      <c r="C1648" s="14" t="s">
        <v>139</v>
      </c>
      <c r="D1648" s="14">
        <v>4</v>
      </c>
      <c r="E1648" s="14">
        <v>2</v>
      </c>
      <c r="F1648" s="14">
        <v>15</v>
      </c>
      <c r="G1648" s="14">
        <v>2</v>
      </c>
      <c r="H1648" s="14" t="s">
        <v>2</v>
      </c>
      <c r="I1648" s="19">
        <v>42290</v>
      </c>
      <c r="J1648" s="14" t="s">
        <v>129</v>
      </c>
      <c r="K1648" s="22">
        <v>1411</v>
      </c>
      <c r="L1648" s="22">
        <v>405</v>
      </c>
      <c r="M1648" s="22"/>
      <c r="N1648" s="22">
        <v>834</v>
      </c>
      <c r="O1648" s="22">
        <v>172</v>
      </c>
      <c r="P1648" s="11"/>
      <c r="Q1648" s="13"/>
      <c r="R1648" s="13"/>
      <c r="S1648" s="16"/>
      <c r="T1648" s="16"/>
    </row>
    <row r="1649" spans="1:20" x14ac:dyDescent="0.25">
      <c r="A1649" s="14">
        <v>2015</v>
      </c>
      <c r="B1649" s="14" t="s">
        <v>137</v>
      </c>
      <c r="C1649" s="14" t="s">
        <v>139</v>
      </c>
      <c r="D1649" s="14">
        <v>4</v>
      </c>
      <c r="E1649" s="14">
        <v>1</v>
      </c>
      <c r="F1649" s="14">
        <v>16</v>
      </c>
      <c r="G1649" s="14">
        <v>2</v>
      </c>
      <c r="H1649" s="14" t="s">
        <v>7</v>
      </c>
      <c r="I1649" s="19">
        <v>42284</v>
      </c>
      <c r="J1649" s="14" t="s">
        <v>129</v>
      </c>
      <c r="K1649" s="22">
        <v>1482</v>
      </c>
      <c r="L1649" s="22">
        <v>490</v>
      </c>
      <c r="M1649" s="22">
        <v>4</v>
      </c>
      <c r="N1649" s="22">
        <v>875</v>
      </c>
      <c r="O1649" s="22">
        <v>113</v>
      </c>
      <c r="P1649" s="11"/>
      <c r="Q1649" s="13"/>
      <c r="R1649" s="13"/>
      <c r="S1649" s="16"/>
      <c r="T1649" s="16"/>
    </row>
    <row r="1650" spans="1:20" x14ac:dyDescent="0.25">
      <c r="A1650" s="14">
        <v>2015</v>
      </c>
      <c r="B1650" s="14" t="s">
        <v>137</v>
      </c>
      <c r="C1650" s="14" t="s">
        <v>139</v>
      </c>
      <c r="D1650" s="14">
        <v>5</v>
      </c>
      <c r="E1650" s="14">
        <v>4</v>
      </c>
      <c r="F1650" s="14">
        <v>17</v>
      </c>
      <c r="G1650" s="14">
        <v>2</v>
      </c>
      <c r="H1650" s="14" t="s">
        <v>8</v>
      </c>
      <c r="I1650" s="19">
        <v>42290</v>
      </c>
      <c r="J1650" s="14" t="s">
        <v>129</v>
      </c>
      <c r="K1650" s="22">
        <v>1167</v>
      </c>
      <c r="L1650" s="22">
        <v>370</v>
      </c>
      <c r="M1650" s="22"/>
      <c r="N1650" s="22">
        <v>653</v>
      </c>
      <c r="O1650" s="22">
        <v>144</v>
      </c>
      <c r="P1650" s="11"/>
      <c r="Q1650" s="13"/>
      <c r="R1650" s="13"/>
      <c r="S1650" s="16"/>
      <c r="T1650" s="16"/>
    </row>
    <row r="1651" spans="1:20" x14ac:dyDescent="0.25">
      <c r="A1651" s="14">
        <v>2015</v>
      </c>
      <c r="B1651" s="14" t="s">
        <v>137</v>
      </c>
      <c r="C1651" s="14" t="s">
        <v>139</v>
      </c>
      <c r="D1651" s="14">
        <v>5</v>
      </c>
      <c r="E1651" s="14">
        <v>3</v>
      </c>
      <c r="F1651" s="14">
        <v>18</v>
      </c>
      <c r="G1651" s="14">
        <v>2</v>
      </c>
      <c r="H1651" s="14" t="s">
        <v>5</v>
      </c>
      <c r="I1651" s="19">
        <v>42284</v>
      </c>
      <c r="J1651" s="14" t="s">
        <v>129</v>
      </c>
      <c r="K1651" s="22">
        <v>1474</v>
      </c>
      <c r="L1651" s="22">
        <v>452</v>
      </c>
      <c r="M1651" s="22">
        <v>4</v>
      </c>
      <c r="N1651" s="22">
        <v>871</v>
      </c>
      <c r="O1651" s="22">
        <v>146</v>
      </c>
      <c r="P1651" s="11"/>
      <c r="Q1651" s="13"/>
      <c r="R1651" s="13"/>
      <c r="S1651" s="16"/>
      <c r="T1651" s="16"/>
    </row>
    <row r="1652" spans="1:20" x14ac:dyDescent="0.25">
      <c r="A1652" s="14">
        <v>2015</v>
      </c>
      <c r="B1652" s="14" t="s">
        <v>137</v>
      </c>
      <c r="C1652" s="14" t="s">
        <v>139</v>
      </c>
      <c r="D1652" s="14">
        <v>5</v>
      </c>
      <c r="E1652" s="14">
        <v>2</v>
      </c>
      <c r="F1652" s="14">
        <v>19</v>
      </c>
      <c r="G1652" s="14">
        <v>2</v>
      </c>
      <c r="H1652" s="14" t="s">
        <v>4</v>
      </c>
      <c r="I1652" s="19">
        <v>42290</v>
      </c>
      <c r="J1652" s="14" t="s">
        <v>129</v>
      </c>
      <c r="K1652" s="22">
        <v>1107</v>
      </c>
      <c r="L1652" s="22">
        <v>309</v>
      </c>
      <c r="M1652" s="22">
        <v>2</v>
      </c>
      <c r="N1652" s="22">
        <v>674</v>
      </c>
      <c r="O1652" s="22">
        <v>122</v>
      </c>
      <c r="P1652" s="11"/>
      <c r="Q1652" s="13"/>
      <c r="R1652" s="13"/>
      <c r="S1652" s="16"/>
      <c r="T1652" s="16"/>
    </row>
    <row r="1653" spans="1:20" x14ac:dyDescent="0.25">
      <c r="A1653" s="14">
        <v>2015</v>
      </c>
      <c r="B1653" s="14" t="s">
        <v>137</v>
      </c>
      <c r="C1653" s="14" t="s">
        <v>139</v>
      </c>
      <c r="D1653" s="14">
        <v>5</v>
      </c>
      <c r="E1653" s="14">
        <v>1</v>
      </c>
      <c r="F1653" s="14">
        <v>20</v>
      </c>
      <c r="G1653" s="14">
        <v>2</v>
      </c>
      <c r="H1653" s="14" t="s">
        <v>14</v>
      </c>
      <c r="I1653" s="19">
        <v>42290</v>
      </c>
      <c r="J1653" s="14" t="s">
        <v>129</v>
      </c>
      <c r="K1653" s="22">
        <v>1245</v>
      </c>
      <c r="L1653" s="22">
        <v>385</v>
      </c>
      <c r="M1653" s="22"/>
      <c r="N1653" s="22">
        <v>755</v>
      </c>
      <c r="O1653" s="22">
        <v>104</v>
      </c>
      <c r="P1653" s="11"/>
      <c r="Q1653" s="13"/>
      <c r="R1653" s="13"/>
      <c r="S1653" s="16"/>
      <c r="T1653" s="16"/>
    </row>
    <row r="1654" spans="1:20" x14ac:dyDescent="0.25">
      <c r="A1654" s="14">
        <v>2015</v>
      </c>
      <c r="B1654" s="14" t="s">
        <v>137</v>
      </c>
      <c r="C1654" s="14" t="s">
        <v>139</v>
      </c>
      <c r="D1654" s="14">
        <v>6</v>
      </c>
      <c r="E1654" s="14">
        <v>4</v>
      </c>
      <c r="F1654" s="14">
        <v>21</v>
      </c>
      <c r="G1654" s="14">
        <v>2</v>
      </c>
      <c r="H1654" s="14" t="s">
        <v>9</v>
      </c>
      <c r="I1654" s="19">
        <v>42284</v>
      </c>
      <c r="J1654" s="14" t="s">
        <v>129</v>
      </c>
      <c r="K1654" s="22">
        <v>1435</v>
      </c>
      <c r="L1654" s="22">
        <v>547</v>
      </c>
      <c r="M1654" s="22">
        <v>7</v>
      </c>
      <c r="N1654" s="22">
        <v>711</v>
      </c>
      <c r="O1654" s="22">
        <v>170</v>
      </c>
      <c r="P1654" s="11"/>
      <c r="Q1654" s="13"/>
      <c r="R1654" s="13"/>
      <c r="S1654" s="16"/>
      <c r="T1654" s="16"/>
    </row>
    <row r="1655" spans="1:20" x14ac:dyDescent="0.25">
      <c r="A1655" s="14">
        <v>2015</v>
      </c>
      <c r="B1655" s="14" t="s">
        <v>137</v>
      </c>
      <c r="C1655" s="14" t="s">
        <v>139</v>
      </c>
      <c r="D1655" s="14">
        <v>6</v>
      </c>
      <c r="E1655" s="14">
        <v>3</v>
      </c>
      <c r="F1655" s="14">
        <v>22</v>
      </c>
      <c r="G1655" s="14">
        <v>2</v>
      </c>
      <c r="H1655" s="14" t="s">
        <v>12</v>
      </c>
      <c r="I1655" s="19">
        <v>42290</v>
      </c>
      <c r="J1655" s="14" t="s">
        <v>129</v>
      </c>
      <c r="K1655" s="22">
        <v>1334</v>
      </c>
      <c r="L1655" s="22">
        <v>447</v>
      </c>
      <c r="M1655" s="22"/>
      <c r="N1655" s="22">
        <v>746</v>
      </c>
      <c r="O1655" s="22">
        <v>141</v>
      </c>
      <c r="P1655" s="11"/>
      <c r="Q1655" s="13"/>
      <c r="R1655" s="13"/>
      <c r="S1655" s="16"/>
      <c r="T1655" s="16"/>
    </row>
    <row r="1656" spans="1:20" x14ac:dyDescent="0.25">
      <c r="A1656" s="14">
        <v>2015</v>
      </c>
      <c r="B1656" s="14" t="s">
        <v>137</v>
      </c>
      <c r="C1656" s="14" t="s">
        <v>139</v>
      </c>
      <c r="D1656" s="14">
        <v>6</v>
      </c>
      <c r="E1656" s="14">
        <v>2</v>
      </c>
      <c r="F1656" s="14">
        <v>23</v>
      </c>
      <c r="G1656" s="14">
        <v>2</v>
      </c>
      <c r="H1656" s="14" t="s">
        <v>6</v>
      </c>
      <c r="I1656" s="19">
        <v>42284</v>
      </c>
      <c r="J1656" s="14" t="s">
        <v>129</v>
      </c>
      <c r="K1656" s="22">
        <v>1394</v>
      </c>
      <c r="L1656" s="22">
        <v>434</v>
      </c>
      <c r="M1656" s="22">
        <v>6</v>
      </c>
      <c r="N1656" s="22">
        <v>826</v>
      </c>
      <c r="O1656" s="22">
        <v>128</v>
      </c>
      <c r="P1656" s="11"/>
      <c r="Q1656" s="13"/>
      <c r="R1656" s="13"/>
      <c r="S1656" s="16"/>
      <c r="T1656" s="16"/>
    </row>
    <row r="1657" spans="1:20" x14ac:dyDescent="0.25">
      <c r="A1657" s="14">
        <v>2015</v>
      </c>
      <c r="B1657" s="14" t="s">
        <v>137</v>
      </c>
      <c r="C1657" s="14" t="s">
        <v>139</v>
      </c>
      <c r="D1657" s="14">
        <v>6</v>
      </c>
      <c r="E1657" s="14">
        <v>1</v>
      </c>
      <c r="F1657" s="14">
        <v>24</v>
      </c>
      <c r="G1657" s="14">
        <v>2</v>
      </c>
      <c r="H1657" s="14" t="s">
        <v>10</v>
      </c>
      <c r="I1657" s="19">
        <v>42290</v>
      </c>
      <c r="J1657" s="14" t="s">
        <v>129</v>
      </c>
      <c r="K1657" s="22">
        <v>1193</v>
      </c>
      <c r="L1657" s="22">
        <v>317</v>
      </c>
      <c r="M1657" s="22"/>
      <c r="N1657" s="22">
        <v>758</v>
      </c>
      <c r="O1657" s="22">
        <v>118</v>
      </c>
      <c r="P1657" s="10"/>
      <c r="Q1657" s="13"/>
      <c r="R1657" s="13"/>
      <c r="S1657" s="16"/>
      <c r="T1657" s="16"/>
    </row>
    <row r="1658" spans="1:20" x14ac:dyDescent="0.25">
      <c r="A1658" s="14">
        <v>2015</v>
      </c>
      <c r="B1658" s="14" t="s">
        <v>137</v>
      </c>
      <c r="C1658" s="14" t="s">
        <v>139</v>
      </c>
      <c r="D1658" s="14">
        <v>7</v>
      </c>
      <c r="E1658" s="14">
        <v>4</v>
      </c>
      <c r="F1658" s="14">
        <v>25</v>
      </c>
      <c r="G1658" s="14">
        <v>3</v>
      </c>
      <c r="H1658" s="14" t="s">
        <v>12</v>
      </c>
      <c r="I1658" s="19">
        <v>42290</v>
      </c>
      <c r="J1658" s="14" t="s">
        <v>129</v>
      </c>
      <c r="K1658" s="22">
        <v>1248</v>
      </c>
      <c r="L1658" s="22">
        <v>387</v>
      </c>
      <c r="M1658" s="22"/>
      <c r="N1658" s="22">
        <v>711</v>
      </c>
      <c r="O1658" s="22">
        <v>150</v>
      </c>
      <c r="P1658" s="10"/>
      <c r="Q1658" s="13"/>
      <c r="R1658" s="13"/>
      <c r="S1658" s="16"/>
      <c r="T1658" s="16"/>
    </row>
    <row r="1659" spans="1:20" x14ac:dyDescent="0.25">
      <c r="A1659" s="14">
        <v>2015</v>
      </c>
      <c r="B1659" s="14" t="s">
        <v>137</v>
      </c>
      <c r="C1659" s="14" t="s">
        <v>139</v>
      </c>
      <c r="D1659" s="14">
        <v>7</v>
      </c>
      <c r="E1659" s="14">
        <v>3</v>
      </c>
      <c r="F1659" s="14">
        <v>26</v>
      </c>
      <c r="G1659" s="14">
        <v>3</v>
      </c>
      <c r="H1659" s="14" t="s">
        <v>8</v>
      </c>
      <c r="I1659" s="19">
        <v>42290</v>
      </c>
      <c r="J1659" s="14" t="s">
        <v>129</v>
      </c>
      <c r="K1659" s="22">
        <v>1344</v>
      </c>
      <c r="L1659" s="22">
        <v>386</v>
      </c>
      <c r="M1659" s="22"/>
      <c r="N1659" s="22">
        <v>773</v>
      </c>
      <c r="O1659" s="22">
        <v>186</v>
      </c>
      <c r="P1659" s="10"/>
      <c r="Q1659" s="13"/>
      <c r="R1659" s="13"/>
      <c r="S1659" s="16"/>
      <c r="T1659" s="16"/>
    </row>
    <row r="1660" spans="1:20" x14ac:dyDescent="0.25">
      <c r="A1660" s="14">
        <v>2015</v>
      </c>
      <c r="B1660" s="14" t="s">
        <v>137</v>
      </c>
      <c r="C1660" s="14" t="s">
        <v>139</v>
      </c>
      <c r="D1660" s="14">
        <v>7</v>
      </c>
      <c r="E1660" s="14">
        <v>2</v>
      </c>
      <c r="F1660" s="14">
        <v>27</v>
      </c>
      <c r="G1660" s="14">
        <v>3</v>
      </c>
      <c r="H1660" s="14" t="s">
        <v>10</v>
      </c>
      <c r="I1660" s="19">
        <v>42290</v>
      </c>
      <c r="J1660" s="14" t="s">
        <v>129</v>
      </c>
      <c r="K1660" s="22">
        <v>1331</v>
      </c>
      <c r="L1660" s="22">
        <v>322</v>
      </c>
      <c r="M1660" s="22"/>
      <c r="N1660" s="22">
        <v>833</v>
      </c>
      <c r="O1660" s="22">
        <v>176</v>
      </c>
      <c r="P1660" s="10"/>
      <c r="Q1660" s="13"/>
      <c r="R1660" s="13"/>
      <c r="S1660" s="16"/>
      <c r="T1660" s="16"/>
    </row>
    <row r="1661" spans="1:20" x14ac:dyDescent="0.25">
      <c r="A1661" s="14">
        <v>2015</v>
      </c>
      <c r="B1661" s="14" t="s">
        <v>137</v>
      </c>
      <c r="C1661" s="14" t="s">
        <v>139</v>
      </c>
      <c r="D1661" s="14">
        <v>7</v>
      </c>
      <c r="E1661" s="14">
        <v>1</v>
      </c>
      <c r="F1661" s="14">
        <v>28</v>
      </c>
      <c r="G1661" s="14">
        <v>3</v>
      </c>
      <c r="H1661" s="14" t="s">
        <v>4</v>
      </c>
      <c r="I1661" s="19">
        <v>42290</v>
      </c>
      <c r="J1661" s="14" t="s">
        <v>129</v>
      </c>
      <c r="K1661" s="22">
        <v>1143</v>
      </c>
      <c r="L1661" s="22">
        <v>310</v>
      </c>
      <c r="M1661" s="22"/>
      <c r="N1661" s="22">
        <v>676</v>
      </c>
      <c r="O1661" s="22">
        <v>156</v>
      </c>
      <c r="P1661" s="10"/>
      <c r="Q1661" s="13"/>
      <c r="R1661" s="13"/>
      <c r="S1661" s="16"/>
      <c r="T1661" s="16"/>
    </row>
    <row r="1662" spans="1:20" x14ac:dyDescent="0.25">
      <c r="A1662" s="14">
        <v>2015</v>
      </c>
      <c r="B1662" s="14" t="s">
        <v>137</v>
      </c>
      <c r="C1662" s="14" t="s">
        <v>139</v>
      </c>
      <c r="D1662" s="14">
        <v>8</v>
      </c>
      <c r="E1662" s="14">
        <v>4</v>
      </c>
      <c r="F1662" s="14">
        <v>29</v>
      </c>
      <c r="G1662" s="14">
        <v>3</v>
      </c>
      <c r="H1662" s="14" t="s">
        <v>7</v>
      </c>
      <c r="I1662" s="19">
        <v>42284</v>
      </c>
      <c r="J1662" s="14" t="s">
        <v>129</v>
      </c>
      <c r="K1662" s="22">
        <v>1388</v>
      </c>
      <c r="L1662" s="22">
        <v>456</v>
      </c>
      <c r="M1662" s="22">
        <v>5</v>
      </c>
      <c r="N1662" s="22">
        <v>753</v>
      </c>
      <c r="O1662" s="22">
        <v>174</v>
      </c>
      <c r="P1662" s="10"/>
      <c r="Q1662" s="13"/>
      <c r="R1662" s="13"/>
      <c r="S1662" s="16"/>
      <c r="T1662" s="16"/>
    </row>
    <row r="1663" spans="1:20" x14ac:dyDescent="0.25">
      <c r="A1663" s="14">
        <v>2015</v>
      </c>
      <c r="B1663" s="14" t="s">
        <v>137</v>
      </c>
      <c r="C1663" s="14" t="s">
        <v>139</v>
      </c>
      <c r="D1663" s="14">
        <v>8</v>
      </c>
      <c r="E1663" s="14">
        <v>3</v>
      </c>
      <c r="F1663" s="14">
        <v>30</v>
      </c>
      <c r="G1663" s="14">
        <v>3</v>
      </c>
      <c r="H1663" s="14" t="s">
        <v>6</v>
      </c>
      <c r="I1663" s="19">
        <v>42284</v>
      </c>
      <c r="J1663" s="14" t="s">
        <v>129</v>
      </c>
      <c r="K1663" s="22">
        <v>1437</v>
      </c>
      <c r="L1663" s="22">
        <v>506</v>
      </c>
      <c r="M1663" s="22">
        <v>6</v>
      </c>
      <c r="N1663" s="22">
        <v>753</v>
      </c>
      <c r="O1663" s="22">
        <v>172</v>
      </c>
      <c r="P1663" s="10"/>
      <c r="Q1663" s="13"/>
      <c r="R1663" s="13"/>
      <c r="S1663" s="16"/>
      <c r="T1663" s="16"/>
    </row>
    <row r="1664" spans="1:20" x14ac:dyDescent="0.25">
      <c r="A1664" s="14">
        <v>2015</v>
      </c>
      <c r="B1664" s="14" t="s">
        <v>137</v>
      </c>
      <c r="C1664" s="14" t="s">
        <v>139</v>
      </c>
      <c r="D1664" s="14">
        <v>8</v>
      </c>
      <c r="E1664" s="14">
        <v>2</v>
      </c>
      <c r="F1664" s="14">
        <v>31</v>
      </c>
      <c r="G1664" s="14">
        <v>3</v>
      </c>
      <c r="H1664" s="14" t="s">
        <v>5</v>
      </c>
      <c r="I1664" s="19">
        <v>42284</v>
      </c>
      <c r="J1664" s="14" t="s">
        <v>129</v>
      </c>
      <c r="K1664" s="22">
        <v>1081</v>
      </c>
      <c r="L1664" s="22">
        <v>329</v>
      </c>
      <c r="M1664" s="22">
        <v>11</v>
      </c>
      <c r="N1664" s="22">
        <v>631</v>
      </c>
      <c r="O1664" s="22">
        <v>111</v>
      </c>
      <c r="P1664" s="10"/>
      <c r="Q1664" s="13"/>
      <c r="R1664" s="13"/>
      <c r="S1664" s="16"/>
      <c r="T1664" s="16"/>
    </row>
    <row r="1665" spans="1:20" x14ac:dyDescent="0.25">
      <c r="A1665" s="14">
        <v>2015</v>
      </c>
      <c r="B1665" s="14" t="s">
        <v>137</v>
      </c>
      <c r="C1665" s="14" t="s">
        <v>139</v>
      </c>
      <c r="D1665" s="14">
        <v>8</v>
      </c>
      <c r="E1665" s="14">
        <v>1</v>
      </c>
      <c r="F1665" s="14">
        <v>32</v>
      </c>
      <c r="G1665" s="14">
        <v>3</v>
      </c>
      <c r="H1665" s="14" t="s">
        <v>3</v>
      </c>
      <c r="I1665" s="19">
        <v>42290</v>
      </c>
      <c r="J1665" s="14" t="s">
        <v>129</v>
      </c>
      <c r="K1665" s="22">
        <v>1204</v>
      </c>
      <c r="L1665" s="22">
        <v>328</v>
      </c>
      <c r="M1665" s="22"/>
      <c r="N1665" s="22">
        <v>747</v>
      </c>
      <c r="O1665" s="22">
        <v>128</v>
      </c>
      <c r="P1665" s="10"/>
      <c r="Q1665" s="13"/>
      <c r="R1665" s="13"/>
      <c r="S1665" s="16"/>
      <c r="T1665" s="16"/>
    </row>
    <row r="1666" spans="1:20" x14ac:dyDescent="0.25">
      <c r="A1666" s="14">
        <v>2015</v>
      </c>
      <c r="B1666" s="14" t="s">
        <v>137</v>
      </c>
      <c r="C1666" s="14" t="s">
        <v>139</v>
      </c>
      <c r="D1666" s="14">
        <v>9</v>
      </c>
      <c r="E1666" s="14">
        <v>4</v>
      </c>
      <c r="F1666" s="14">
        <v>33</v>
      </c>
      <c r="G1666" s="14">
        <v>3</v>
      </c>
      <c r="H1666" s="14" t="s">
        <v>2</v>
      </c>
      <c r="I1666" s="19">
        <v>42290</v>
      </c>
      <c r="J1666" s="14" t="s">
        <v>129</v>
      </c>
      <c r="K1666" s="22">
        <v>1241</v>
      </c>
      <c r="L1666" s="22">
        <v>383</v>
      </c>
      <c r="M1666" s="22"/>
      <c r="N1666" s="22">
        <v>718</v>
      </c>
      <c r="O1666" s="22">
        <v>140</v>
      </c>
      <c r="P1666" s="10"/>
      <c r="Q1666" s="13"/>
      <c r="R1666" s="13"/>
      <c r="S1666" s="16"/>
      <c r="T1666" s="16"/>
    </row>
    <row r="1667" spans="1:20" x14ac:dyDescent="0.25">
      <c r="A1667" s="14">
        <v>2015</v>
      </c>
      <c r="B1667" s="14" t="s">
        <v>137</v>
      </c>
      <c r="C1667" s="14" t="s">
        <v>139</v>
      </c>
      <c r="D1667" s="14">
        <v>9</v>
      </c>
      <c r="E1667" s="14">
        <v>3</v>
      </c>
      <c r="F1667" s="14">
        <v>34</v>
      </c>
      <c r="G1667" s="14">
        <v>3</v>
      </c>
      <c r="H1667" s="14" t="s">
        <v>14</v>
      </c>
      <c r="I1667" s="19">
        <v>42290</v>
      </c>
      <c r="J1667" s="14" t="s">
        <v>129</v>
      </c>
      <c r="K1667" s="22">
        <v>1115</v>
      </c>
      <c r="L1667" s="22">
        <v>331</v>
      </c>
      <c r="M1667" s="22"/>
      <c r="N1667" s="22">
        <v>681</v>
      </c>
      <c r="O1667" s="22">
        <v>103</v>
      </c>
      <c r="P1667" s="10"/>
      <c r="Q1667" s="13"/>
      <c r="R1667" s="13"/>
      <c r="S1667" s="16"/>
      <c r="T1667" s="16"/>
    </row>
    <row r="1668" spans="1:20" x14ac:dyDescent="0.25">
      <c r="A1668" s="14">
        <v>2015</v>
      </c>
      <c r="B1668" s="14" t="s">
        <v>137</v>
      </c>
      <c r="C1668" s="14" t="s">
        <v>139</v>
      </c>
      <c r="D1668" s="14">
        <v>9</v>
      </c>
      <c r="E1668" s="14">
        <v>2</v>
      </c>
      <c r="F1668" s="14">
        <v>35</v>
      </c>
      <c r="G1668" s="14">
        <v>3</v>
      </c>
      <c r="H1668" s="14" t="s">
        <v>9</v>
      </c>
      <c r="I1668" s="19">
        <v>42284</v>
      </c>
      <c r="J1668" s="14" t="s">
        <v>129</v>
      </c>
      <c r="K1668" s="22">
        <v>1413</v>
      </c>
      <c r="L1668" s="22">
        <v>484</v>
      </c>
      <c r="M1668" s="22">
        <v>14</v>
      </c>
      <c r="N1668" s="22">
        <v>751</v>
      </c>
      <c r="O1668" s="22">
        <v>164</v>
      </c>
      <c r="P1668" s="10"/>
      <c r="Q1668" s="13"/>
      <c r="R1668" s="13"/>
      <c r="S1668" s="16"/>
      <c r="T1668" s="16"/>
    </row>
    <row r="1669" spans="1:20" x14ac:dyDescent="0.25">
      <c r="A1669" s="14">
        <v>2015</v>
      </c>
      <c r="B1669" s="14" t="s">
        <v>137</v>
      </c>
      <c r="C1669" s="14" t="s">
        <v>139</v>
      </c>
      <c r="D1669" s="14">
        <v>9</v>
      </c>
      <c r="E1669" s="14">
        <v>1</v>
      </c>
      <c r="F1669" s="14">
        <v>36</v>
      </c>
      <c r="G1669" s="14">
        <v>3</v>
      </c>
      <c r="H1669" s="14" t="s">
        <v>13</v>
      </c>
      <c r="I1669" s="19">
        <v>42284</v>
      </c>
      <c r="J1669" s="14" t="s">
        <v>129</v>
      </c>
      <c r="K1669" s="22">
        <v>940</v>
      </c>
      <c r="L1669" s="22">
        <v>340</v>
      </c>
      <c r="M1669" s="22"/>
      <c r="N1669" s="22">
        <v>524</v>
      </c>
      <c r="O1669" s="22">
        <v>76</v>
      </c>
      <c r="P1669" s="10"/>
      <c r="Q1669" s="13"/>
      <c r="R1669" s="13"/>
      <c r="S1669" s="16"/>
      <c r="T1669" s="16"/>
    </row>
    <row r="1670" spans="1:20" x14ac:dyDescent="0.25">
      <c r="A1670" s="14">
        <v>2015</v>
      </c>
      <c r="B1670" s="14" t="s">
        <v>137</v>
      </c>
      <c r="C1670" s="14" t="s">
        <v>139</v>
      </c>
      <c r="D1670" s="14">
        <v>10</v>
      </c>
      <c r="E1670" s="14">
        <v>4</v>
      </c>
      <c r="F1670" s="14">
        <v>37</v>
      </c>
      <c r="G1670" s="14">
        <v>4</v>
      </c>
      <c r="H1670" s="14" t="s">
        <v>14</v>
      </c>
      <c r="I1670" s="19">
        <v>42290</v>
      </c>
      <c r="J1670" s="14" t="s">
        <v>129</v>
      </c>
      <c r="K1670" s="22">
        <v>1504</v>
      </c>
      <c r="L1670" s="22">
        <v>436</v>
      </c>
      <c r="M1670" s="22"/>
      <c r="N1670" s="22">
        <v>874</v>
      </c>
      <c r="O1670" s="22">
        <v>194</v>
      </c>
      <c r="P1670" s="10"/>
      <c r="Q1670" s="13"/>
      <c r="R1670" s="13"/>
      <c r="S1670" s="16"/>
      <c r="T1670" s="16"/>
    </row>
    <row r="1671" spans="1:20" x14ac:dyDescent="0.25">
      <c r="A1671" s="14">
        <v>2015</v>
      </c>
      <c r="B1671" s="14" t="s">
        <v>137</v>
      </c>
      <c r="C1671" s="14" t="s">
        <v>139</v>
      </c>
      <c r="D1671" s="14">
        <v>10</v>
      </c>
      <c r="E1671" s="14">
        <v>3</v>
      </c>
      <c r="F1671" s="14">
        <v>38</v>
      </c>
      <c r="G1671" s="14">
        <v>4</v>
      </c>
      <c r="H1671" s="14" t="s">
        <v>3</v>
      </c>
      <c r="I1671" s="19">
        <v>42290</v>
      </c>
      <c r="J1671" s="14" t="s">
        <v>129</v>
      </c>
      <c r="K1671" s="22">
        <v>1311</v>
      </c>
      <c r="L1671" s="22">
        <v>351</v>
      </c>
      <c r="M1671" s="22"/>
      <c r="N1671" s="22">
        <v>792</v>
      </c>
      <c r="O1671" s="22">
        <v>167</v>
      </c>
      <c r="P1671" s="10"/>
      <c r="Q1671" s="13"/>
      <c r="R1671" s="13"/>
      <c r="S1671" s="16"/>
      <c r="T1671" s="16"/>
    </row>
    <row r="1672" spans="1:20" x14ac:dyDescent="0.25">
      <c r="A1672" s="14">
        <v>2015</v>
      </c>
      <c r="B1672" s="14" t="s">
        <v>137</v>
      </c>
      <c r="C1672" s="14" t="s">
        <v>139</v>
      </c>
      <c r="D1672" s="14">
        <v>10</v>
      </c>
      <c r="E1672" s="14">
        <v>2</v>
      </c>
      <c r="F1672" s="14">
        <v>39</v>
      </c>
      <c r="G1672" s="14">
        <v>4</v>
      </c>
      <c r="H1672" s="14" t="s">
        <v>7</v>
      </c>
      <c r="I1672" s="19">
        <v>42284</v>
      </c>
      <c r="J1672" s="14" t="s">
        <v>129</v>
      </c>
      <c r="K1672" s="22">
        <v>1653</v>
      </c>
      <c r="L1672" s="22">
        <v>484</v>
      </c>
      <c r="M1672" s="22">
        <v>16</v>
      </c>
      <c r="N1672" s="22">
        <v>979</v>
      </c>
      <c r="O1672" s="22">
        <v>174</v>
      </c>
      <c r="P1672" s="10"/>
      <c r="Q1672" s="13"/>
      <c r="R1672" s="13"/>
      <c r="S1672" s="16"/>
      <c r="T1672" s="16"/>
    </row>
    <row r="1673" spans="1:20" x14ac:dyDescent="0.25">
      <c r="A1673" s="14">
        <v>2015</v>
      </c>
      <c r="B1673" s="14" t="s">
        <v>137</v>
      </c>
      <c r="C1673" s="14" t="s">
        <v>139</v>
      </c>
      <c r="D1673" s="14">
        <v>10</v>
      </c>
      <c r="E1673" s="14">
        <v>1</v>
      </c>
      <c r="F1673" s="14">
        <v>40</v>
      </c>
      <c r="G1673" s="14">
        <v>4</v>
      </c>
      <c r="H1673" s="14" t="s">
        <v>9</v>
      </c>
      <c r="I1673" s="19">
        <v>42284</v>
      </c>
      <c r="J1673" s="14" t="s">
        <v>129</v>
      </c>
      <c r="K1673" s="22">
        <v>1512</v>
      </c>
      <c r="L1673" s="22">
        <v>552</v>
      </c>
      <c r="M1673" s="22"/>
      <c r="N1673" s="22">
        <v>805</v>
      </c>
      <c r="O1673" s="22">
        <v>154</v>
      </c>
      <c r="P1673" s="10"/>
      <c r="Q1673" s="13"/>
      <c r="R1673" s="13"/>
      <c r="S1673" s="16"/>
      <c r="T1673" s="16"/>
    </row>
    <row r="1674" spans="1:20" x14ac:dyDescent="0.25">
      <c r="A1674" s="14">
        <v>2015</v>
      </c>
      <c r="B1674" s="14" t="s">
        <v>137</v>
      </c>
      <c r="C1674" s="14" t="s">
        <v>139</v>
      </c>
      <c r="D1674" s="14">
        <v>11</v>
      </c>
      <c r="E1674" s="14">
        <v>4</v>
      </c>
      <c r="F1674" s="14">
        <v>41</v>
      </c>
      <c r="G1674" s="14">
        <v>4</v>
      </c>
      <c r="H1674" s="14" t="s">
        <v>5</v>
      </c>
      <c r="I1674" s="19">
        <v>42284</v>
      </c>
      <c r="J1674" s="14" t="s">
        <v>129</v>
      </c>
      <c r="K1674" s="22">
        <v>1401</v>
      </c>
      <c r="L1674" s="22">
        <v>447</v>
      </c>
      <c r="M1674" s="22">
        <v>28</v>
      </c>
      <c r="N1674" s="22">
        <v>790</v>
      </c>
      <c r="O1674" s="22">
        <v>135</v>
      </c>
      <c r="P1674" s="10"/>
      <c r="Q1674" s="13"/>
      <c r="R1674" s="13"/>
      <c r="S1674" s="16"/>
      <c r="T1674" s="16"/>
    </row>
    <row r="1675" spans="1:20" x14ac:dyDescent="0.25">
      <c r="A1675" s="14">
        <v>2015</v>
      </c>
      <c r="B1675" s="14" t="s">
        <v>137</v>
      </c>
      <c r="C1675" s="14" t="s">
        <v>139</v>
      </c>
      <c r="D1675" s="14">
        <v>11</v>
      </c>
      <c r="E1675" s="14">
        <v>3</v>
      </c>
      <c r="F1675" s="14">
        <v>42</v>
      </c>
      <c r="G1675" s="14">
        <v>4</v>
      </c>
      <c r="H1675" s="14" t="s">
        <v>2</v>
      </c>
      <c r="I1675" s="19">
        <v>42290</v>
      </c>
      <c r="J1675" s="14" t="s">
        <v>129</v>
      </c>
      <c r="K1675" s="22">
        <v>1167</v>
      </c>
      <c r="L1675" s="22">
        <v>300</v>
      </c>
      <c r="M1675" s="22"/>
      <c r="N1675" s="22">
        <v>720</v>
      </c>
      <c r="O1675" s="22">
        <v>147</v>
      </c>
      <c r="P1675" s="10"/>
      <c r="Q1675" s="13"/>
      <c r="R1675" s="13"/>
      <c r="S1675" s="16"/>
      <c r="T1675" s="16"/>
    </row>
    <row r="1676" spans="1:20" x14ac:dyDescent="0.25">
      <c r="A1676" s="14">
        <v>2015</v>
      </c>
      <c r="B1676" s="14" t="s">
        <v>137</v>
      </c>
      <c r="C1676" s="14" t="s">
        <v>139</v>
      </c>
      <c r="D1676" s="14">
        <v>11</v>
      </c>
      <c r="E1676" s="14">
        <v>2</v>
      </c>
      <c r="F1676" s="14">
        <v>43</v>
      </c>
      <c r="G1676" s="14">
        <v>4</v>
      </c>
      <c r="H1676" s="14" t="s">
        <v>8</v>
      </c>
      <c r="I1676" s="19">
        <v>42290</v>
      </c>
      <c r="J1676" s="14" t="s">
        <v>129</v>
      </c>
      <c r="K1676" s="22">
        <v>1381</v>
      </c>
      <c r="L1676" s="22">
        <v>455</v>
      </c>
      <c r="M1676" s="22"/>
      <c r="N1676" s="22">
        <v>767</v>
      </c>
      <c r="O1676" s="22">
        <v>158</v>
      </c>
      <c r="P1676" s="10"/>
      <c r="Q1676" s="13"/>
      <c r="R1676" s="13"/>
      <c r="S1676" s="16"/>
      <c r="T1676" s="16"/>
    </row>
    <row r="1677" spans="1:20" x14ac:dyDescent="0.25">
      <c r="A1677" s="14">
        <v>2015</v>
      </c>
      <c r="B1677" s="14" t="s">
        <v>137</v>
      </c>
      <c r="C1677" s="14" t="s">
        <v>139</v>
      </c>
      <c r="D1677" s="14">
        <v>11</v>
      </c>
      <c r="E1677" s="14">
        <v>1</v>
      </c>
      <c r="F1677" s="14">
        <v>44</v>
      </c>
      <c r="G1677" s="14">
        <v>4</v>
      </c>
      <c r="H1677" s="14" t="s">
        <v>6</v>
      </c>
      <c r="I1677" s="19">
        <v>42284</v>
      </c>
      <c r="J1677" s="14" t="s">
        <v>129</v>
      </c>
      <c r="K1677" s="22">
        <v>1143</v>
      </c>
      <c r="L1677" s="22">
        <v>411</v>
      </c>
      <c r="M1677" s="22">
        <v>6</v>
      </c>
      <c r="N1677" s="22">
        <v>627</v>
      </c>
      <c r="O1677" s="22">
        <v>99</v>
      </c>
      <c r="P1677" s="10"/>
      <c r="Q1677" s="13"/>
      <c r="R1677" s="13"/>
      <c r="S1677" s="16"/>
      <c r="T1677" s="16"/>
    </row>
    <row r="1678" spans="1:20" x14ac:dyDescent="0.25">
      <c r="A1678" s="14">
        <v>2015</v>
      </c>
      <c r="B1678" s="14" t="s">
        <v>137</v>
      </c>
      <c r="C1678" s="14" t="s">
        <v>139</v>
      </c>
      <c r="D1678" s="14">
        <v>12</v>
      </c>
      <c r="E1678" s="14">
        <v>4</v>
      </c>
      <c r="F1678" s="14">
        <v>45</v>
      </c>
      <c r="G1678" s="14">
        <v>4</v>
      </c>
      <c r="H1678" s="14" t="s">
        <v>4</v>
      </c>
      <c r="I1678" s="19">
        <v>42290</v>
      </c>
      <c r="J1678" s="14" t="s">
        <v>129</v>
      </c>
      <c r="K1678" s="22">
        <v>1556</v>
      </c>
      <c r="L1678" s="22">
        <v>445</v>
      </c>
      <c r="M1678" s="22"/>
      <c r="N1678" s="22">
        <v>884</v>
      </c>
      <c r="O1678" s="22">
        <v>227</v>
      </c>
      <c r="P1678" s="10"/>
      <c r="Q1678" s="13"/>
      <c r="R1678" s="13"/>
      <c r="S1678" s="16"/>
      <c r="T1678" s="16"/>
    </row>
    <row r="1679" spans="1:20" x14ac:dyDescent="0.25">
      <c r="A1679" s="14">
        <v>2015</v>
      </c>
      <c r="B1679" s="14" t="s">
        <v>137</v>
      </c>
      <c r="C1679" s="14" t="s">
        <v>139</v>
      </c>
      <c r="D1679" s="14">
        <v>12</v>
      </c>
      <c r="E1679" s="14">
        <v>3</v>
      </c>
      <c r="F1679" s="14">
        <v>46</v>
      </c>
      <c r="G1679" s="14">
        <v>4</v>
      </c>
      <c r="H1679" s="14" t="s">
        <v>10</v>
      </c>
      <c r="I1679" s="19">
        <v>42290</v>
      </c>
      <c r="J1679" s="14" t="s">
        <v>129</v>
      </c>
      <c r="K1679" s="22">
        <v>1198</v>
      </c>
      <c r="L1679" s="22">
        <v>301</v>
      </c>
      <c r="M1679" s="22"/>
      <c r="N1679" s="22">
        <v>751</v>
      </c>
      <c r="O1679" s="22">
        <v>146</v>
      </c>
      <c r="P1679" s="10"/>
      <c r="Q1679" s="13"/>
      <c r="R1679" s="13"/>
      <c r="S1679" s="16"/>
      <c r="T1679" s="16"/>
    </row>
    <row r="1680" spans="1:20" x14ac:dyDescent="0.25">
      <c r="A1680" s="14">
        <v>2015</v>
      </c>
      <c r="B1680" s="14" t="s">
        <v>137</v>
      </c>
      <c r="C1680" s="14" t="s">
        <v>139</v>
      </c>
      <c r="D1680" s="14">
        <v>12</v>
      </c>
      <c r="E1680" s="14">
        <v>2</v>
      </c>
      <c r="F1680" s="14">
        <v>47</v>
      </c>
      <c r="G1680" s="14">
        <v>4</v>
      </c>
      <c r="H1680" s="14" t="s">
        <v>13</v>
      </c>
      <c r="I1680" s="19">
        <v>42284</v>
      </c>
      <c r="J1680" s="14" t="s">
        <v>129</v>
      </c>
      <c r="K1680" s="22">
        <v>1151</v>
      </c>
      <c r="L1680" s="22">
        <v>402</v>
      </c>
      <c r="M1680" s="22">
        <v>21</v>
      </c>
      <c r="N1680" s="22">
        <v>637</v>
      </c>
      <c r="O1680" s="22">
        <v>91</v>
      </c>
      <c r="P1680" s="10"/>
      <c r="Q1680" s="13"/>
      <c r="R1680" s="13"/>
      <c r="S1680" s="16"/>
      <c r="T1680" s="16"/>
    </row>
    <row r="1681" spans="1:20" x14ac:dyDescent="0.25">
      <c r="A1681" s="14">
        <v>2015</v>
      </c>
      <c r="B1681" s="14" t="s">
        <v>137</v>
      </c>
      <c r="C1681" s="14" t="s">
        <v>139</v>
      </c>
      <c r="D1681" s="14">
        <v>12</v>
      </c>
      <c r="E1681" s="14">
        <v>1</v>
      </c>
      <c r="F1681" s="14">
        <v>48</v>
      </c>
      <c r="G1681" s="14">
        <v>4</v>
      </c>
      <c r="H1681" s="14" t="s">
        <v>12</v>
      </c>
      <c r="I1681" s="19">
        <v>42290</v>
      </c>
      <c r="J1681" s="14" t="s">
        <v>129</v>
      </c>
      <c r="K1681" s="22">
        <v>1004</v>
      </c>
      <c r="L1681" s="22">
        <v>328</v>
      </c>
      <c r="M1681" s="22"/>
      <c r="N1681" s="22">
        <v>568</v>
      </c>
      <c r="O1681" s="22">
        <v>107</v>
      </c>
      <c r="P1681" s="10"/>
      <c r="Q1681" s="13"/>
      <c r="R1681" s="13"/>
      <c r="S1681" s="16"/>
      <c r="T1681" s="16"/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ObservedOLD</vt:lpstr>
      <vt:lpstr>Observed</vt:lpstr>
      <vt:lpstr>Data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Huth, Neil (CES, Toowoomba)</dc:creator>
  <dc:description/>
  <cp:lastModifiedBy>Hamish Brown</cp:lastModifiedBy>
  <cp:revision>1</cp:revision>
  <cp:lastPrinted>2016-04-22T04:05:48Z</cp:lastPrinted>
  <dcterms:created xsi:type="dcterms:W3CDTF">2014-04-28T02:28:47Z</dcterms:created>
  <dcterms:modified xsi:type="dcterms:W3CDTF">2026-06-08T04:06:29Z</dcterms:modified>
  <dc:language>en-AU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2024-04-10T04:51:37Z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d8afe21c-3f4f-427d-be7a-151ead9c0fb5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4f61d463-a7a2-4f89-972c-cb4d4e3c5dfc_Enabled">
    <vt:lpwstr>true</vt:lpwstr>
  </property>
  <property fmtid="{D5CDD505-2E9C-101B-9397-08002B2CF9AE}" pid="10" name="MSIP_Label_4f61d463-a7a2-4f89-972c-cb4d4e3c5dfc_SetDate">
    <vt:lpwstr>2026-05-07T21:59:30Z</vt:lpwstr>
  </property>
  <property fmtid="{D5CDD505-2E9C-101B-9397-08002B2CF9AE}" pid="11" name="MSIP_Label_4f61d463-a7a2-4f89-972c-cb4d4e3c5dfc_Method">
    <vt:lpwstr>Privileged</vt:lpwstr>
  </property>
  <property fmtid="{D5CDD505-2E9C-101B-9397-08002B2CF9AE}" pid="12" name="MSIP_Label_4f61d463-a7a2-4f89-972c-cb4d4e3c5dfc_Name">
    <vt:lpwstr>UNOFFICIAL</vt:lpwstr>
  </property>
  <property fmtid="{D5CDD505-2E9C-101B-9397-08002B2CF9AE}" pid="13" name="MSIP_Label_4f61d463-a7a2-4f89-972c-cb4d4e3c5dfc_SiteId">
    <vt:lpwstr>0fe05593-19ac-4f98-adbf-0375fce7f160</vt:lpwstr>
  </property>
  <property fmtid="{D5CDD505-2E9C-101B-9397-08002B2CF9AE}" pid="14" name="MSIP_Label_4f61d463-a7a2-4f89-972c-cb4d4e3c5dfc_ActionId">
    <vt:lpwstr>5897a454-c5b9-4120-ae97-7942128ca194</vt:lpwstr>
  </property>
  <property fmtid="{D5CDD505-2E9C-101B-9397-08002B2CF9AE}" pid="15" name="MSIP_Label_4f61d463-a7a2-4f89-972c-cb4d4e3c5dfc_ContentBits">
    <vt:lpwstr>3</vt:lpwstr>
  </property>
  <property fmtid="{D5CDD505-2E9C-101B-9397-08002B2CF9AE}" pid="16" name="MSIP_Label_4f61d463-a7a2-4f89-972c-cb4d4e3c5dfc_Tag">
    <vt:lpwstr>10, 0, 1, 1</vt:lpwstr>
  </property>
</Properties>
</file>