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huong\20241202\"/>
    </mc:Choice>
  </mc:AlternateContent>
  <xr:revisionPtr revIDLastSave="0" documentId="13_ncr:1_{240476C1-B97A-481B-95E9-56F8EBBD8F29}" xr6:coauthVersionLast="47" xr6:coauthVersionMax="47" xr10:uidLastSave="{00000000-0000-0000-0000-000000000000}"/>
  <bookViews>
    <workbookView xWindow="-98" yWindow="-98" windowWidth="21795" windowHeight="13875" xr2:uid="{670FA289-C1A4-4596-930E-3CD3AEFAFFB9}"/>
  </bookViews>
  <sheets>
    <sheet name="Observed" sheetId="1" r:id="rId1"/>
  </sheets>
  <externalReferences>
    <externalReference r:id="rId2"/>
  </externalReferences>
  <definedNames>
    <definedName name="_xlnm._FilterDatabase" localSheetId="0" hidden="1">Observed!$A$1:$K$1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" l="1"/>
  <c r="K6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" i="1"/>
  <c r="K4" i="1"/>
  <c r="K3" i="1"/>
  <c r="K2" i="1"/>
  <c r="I8" i="1"/>
  <c r="I9" i="1"/>
  <c r="I31" i="1"/>
  <c r="I23" i="1"/>
  <c r="I7" i="1"/>
  <c r="I13" i="1"/>
  <c r="I14" i="1" l="1"/>
  <c r="I24" i="1"/>
  <c r="I27" i="1"/>
  <c r="I22" i="1"/>
  <c r="I15" i="1"/>
  <c r="I20" i="1"/>
  <c r="I32" i="1"/>
  <c r="I28" i="1"/>
  <c r="I21" i="1"/>
  <c r="I16" i="1"/>
  <c r="I26" i="1"/>
  <c r="I29" i="1"/>
  <c r="I17" i="1"/>
  <c r="I10" i="1"/>
  <c r="I30" i="1"/>
  <c r="I11" i="1"/>
  <c r="I19" i="1"/>
  <c r="I25" i="1"/>
</calcChain>
</file>

<file path=xl/sharedStrings.xml><?xml version="1.0" encoding="utf-8"?>
<sst xmlns="http://schemas.openxmlformats.org/spreadsheetml/2006/main" count="184" uniqueCount="91">
  <si>
    <t>ForestHill2022CvKuranda</t>
  </si>
  <si>
    <t>ForestHill2022CvBunya</t>
  </si>
  <si>
    <t>ForestHill2022CvA6785</t>
  </si>
  <si>
    <t>SimulationName</t>
  </si>
  <si>
    <t>Clock.Today</t>
  </si>
  <si>
    <t>Soybean.Grain.Wt</t>
  </si>
  <si>
    <t>Soybean.Phenology.CurrentStageName</t>
  </si>
  <si>
    <t>HarvestRipe</t>
  </si>
  <si>
    <t>Soybean.Leaf.NodeNumber</t>
  </si>
  <si>
    <t>Soybean.TotalLeaf</t>
  </si>
  <si>
    <t>Soybean.Leaf.Height</t>
  </si>
  <si>
    <t>Soybean.Phenology.FloweringDAS</t>
  </si>
  <si>
    <t>ForestHill2022CvHayman</t>
  </si>
  <si>
    <t>ForestHill2024CvHayman</t>
  </si>
  <si>
    <t>ForestHill2024CvBunya</t>
  </si>
  <si>
    <t>ForestHill2024CvKuranda</t>
  </si>
  <si>
    <t>ForestHill2024CvA6785</t>
  </si>
  <si>
    <t>ForestHill2023CvBunya</t>
  </si>
  <si>
    <t>ForestHill2023CvHayman</t>
  </si>
  <si>
    <t>ForestHill2023CvA6785</t>
  </si>
  <si>
    <t>Bundaberg2012CvHayman</t>
  </si>
  <si>
    <t>Bundaberg2017CvKuranda</t>
  </si>
  <si>
    <t>Bundaberg2018CvKuranda</t>
  </si>
  <si>
    <t>Bundaberg2011CvKuranda</t>
  </si>
  <si>
    <t>Bundaberg2012CvKuranda</t>
  </si>
  <si>
    <t>Bundaberg2017CvRichmond</t>
  </si>
  <si>
    <t>Bundaberg2018CvRichmond</t>
  </si>
  <si>
    <t>Bundaberg2013CvRichmond</t>
  </si>
  <si>
    <t>Bundaberg2011CvRichmond</t>
  </si>
  <si>
    <t>Bundaberg2012CvRichmond</t>
  </si>
  <si>
    <t>Bundaberg2017CvA6785</t>
  </si>
  <si>
    <t>Bundaberg2018CvA6785</t>
  </si>
  <si>
    <t>Bundaberg2013CvA6785</t>
  </si>
  <si>
    <t>Bundaberg2011CvA6785</t>
  </si>
  <si>
    <t>Bundaberg2012CvA6785</t>
  </si>
  <si>
    <t>Bundaberg2017CvBunya</t>
  </si>
  <si>
    <t>Bundaberg2018CvBunya</t>
  </si>
  <si>
    <t>Bundaberg2013CvBunya</t>
  </si>
  <si>
    <t>Bundaberg2011CvBunya</t>
  </si>
  <si>
    <t>Bundaberg2012CvBunya</t>
  </si>
  <si>
    <t>Bundaberg2017CvHayman</t>
  </si>
  <si>
    <t>Bundaberg2018CvHayman</t>
  </si>
  <si>
    <t>Bundaberg2013CvHayman</t>
  </si>
  <si>
    <t>Bundaberg2011CvHayman</t>
  </si>
  <si>
    <t>Gatton2010CvHayman</t>
  </si>
  <si>
    <t>Gatton2010CvBunya</t>
  </si>
  <si>
    <t>Gatton2010CvA6785</t>
  </si>
  <si>
    <t>Gatton2011CvA6785</t>
  </si>
  <si>
    <t>Gatton2011CvBunya</t>
  </si>
  <si>
    <t>Gatton2011CvRichmond</t>
  </si>
  <si>
    <t>Gatton2014CvA6785</t>
  </si>
  <si>
    <t>Gatton2014CvBunya</t>
  </si>
  <si>
    <t>Gatton2014CvRichmond</t>
  </si>
  <si>
    <t>Gatton2014CvHayman</t>
  </si>
  <si>
    <t>Gatton2018CvKuranda</t>
  </si>
  <si>
    <t>Gatton2018CvHayman</t>
  </si>
  <si>
    <t>Gatton2018CvBunya</t>
  </si>
  <si>
    <t>Gatton2018CvA6785</t>
  </si>
  <si>
    <t>Gatton2018CvRichmond</t>
  </si>
  <si>
    <t>Gatton2013CvA6785SowDec11</t>
  </si>
  <si>
    <t>Gatton2013CvBunyaSowDec11</t>
  </si>
  <si>
    <t>Gatton2013CvHaymanSowDec11</t>
  </si>
  <si>
    <t>Gatton2013CvRichmondSowDec11</t>
  </si>
  <si>
    <t>Gatton2013CvA6785SowDec19</t>
  </si>
  <si>
    <t>Gatton2013CvBunyaSowDec19</t>
  </si>
  <si>
    <t>Gatton2013CvHaymanSowDec19</t>
  </si>
  <si>
    <t>Gatton2013CvRichmondSowDec19</t>
  </si>
  <si>
    <t>Ayr2018CvA6785</t>
  </si>
  <si>
    <t>Ayr2018CvBunya</t>
  </si>
  <si>
    <t>Ayr2018CvHayman</t>
  </si>
  <si>
    <t>Ayr2018CvKuranda</t>
  </si>
  <si>
    <t>Narrabri2012CvA6785RowSpacing025</t>
  </si>
  <si>
    <t>Narrabri2012CvBunyaRowSpacing025</t>
  </si>
  <si>
    <t>Narrabri2012CvRichmondRowSpacing025</t>
  </si>
  <si>
    <t>Narrabri2012CvA6785RowSpacing100</t>
  </si>
  <si>
    <t>Narrabri2012CvBunyaRowSpacing100</t>
  </si>
  <si>
    <t>Narrabri2012CvRichmondRowSpacing100</t>
  </si>
  <si>
    <t>Narrabri20121CvA6785RowSpacing025</t>
  </si>
  <si>
    <t>Narrabri20121CvBunyaRowSpacing025</t>
  </si>
  <si>
    <t>Narrabri20121CvRichmondRowSpacing025</t>
  </si>
  <si>
    <t>Narrabri20121CvA6785RowSpacing100</t>
  </si>
  <si>
    <t>Narrabri20121CvBunyaRowSpacing100</t>
  </si>
  <si>
    <t>Narrabri20121CvRichmondRowSpacing100</t>
  </si>
  <si>
    <t>Soybean.Phenology.EndGrainFillDAS</t>
  </si>
  <si>
    <t>Soybean.Phenology.MaturityDAS</t>
  </si>
  <si>
    <t>Cv</t>
  </si>
  <si>
    <t>Hayman</t>
  </si>
  <si>
    <t>Bundaberg2011CvWarrigal</t>
  </si>
  <si>
    <t>Bundaberg2012CvWarrigal</t>
  </si>
  <si>
    <t>Ayr2018CvLeichhardt</t>
  </si>
  <si>
    <t>Gatton2018CvLeichhardt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</si>
</sst>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tng159_uq_edu_au/Documents/DATA_Onedrive/01.%20My%20PhD/Applications/Placement/Andrew%20data/Observer.Andrew.xlsx" TargetMode="External"/><Relationship Id="rId1" Type="http://schemas.openxmlformats.org/officeDocument/2006/relationships/externalLinkPath" Target="https://uq-my.sharepoint.com/personal/uqtng159_uq_edu_au/Documents/DATA_Onedrive/01.%20My%20PhD/Applications/Placement/Andrew%20data/Observer.Andr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served"/>
    </sheetNames>
    <sheetDataSet>
      <sheetData sheetId="0">
        <row r="1">
          <cell r="A1" t="str">
            <v>SimulationName</v>
          </cell>
          <cell r="B1" t="str">
            <v>Clock.Today</v>
          </cell>
          <cell r="C1" t="str">
            <v>Soybean.Phenoloy.CurrentStage</v>
          </cell>
          <cell r="D1" t="str">
            <v>Location</v>
          </cell>
          <cell r="E1" t="str">
            <v>Latitude</v>
          </cell>
          <cell r="F1" t="str">
            <v>Planting date</v>
          </cell>
          <cell r="G1" t="str">
            <v>Year</v>
          </cell>
          <cell r="H1" t="str">
            <v>row spacing (cm)</v>
          </cell>
          <cell r="I1" t="str">
            <v>Variety</v>
          </cell>
          <cell r="J1" t="str">
            <v>Variety1</v>
          </cell>
          <cell r="K1" t="str">
            <v>Plant population (plants/m2)</v>
          </cell>
          <cell r="L1" t="str">
            <v>Emergence</v>
          </cell>
          <cell r="M1" t="str">
            <v>Soybean.Phenology.FloweringDAS</v>
          </cell>
        </row>
        <row r="2">
          <cell r="A2" t="str">
            <v>Ayr research station2018CvA6785</v>
          </cell>
          <cell r="B2">
            <v>43319</v>
          </cell>
          <cell r="C2" t="str">
            <v>HarvestRipe</v>
          </cell>
          <cell r="D2" t="str">
            <v>Ayr research station</v>
          </cell>
          <cell r="E2">
            <v>-19.616900000000001</v>
          </cell>
          <cell r="F2">
            <v>43209</v>
          </cell>
          <cell r="G2">
            <v>2018</v>
          </cell>
          <cell r="H2">
            <v>75</v>
          </cell>
          <cell r="I2" t="str">
            <v>A6785</v>
          </cell>
          <cell r="J2" t="str">
            <v>A6785</v>
          </cell>
          <cell r="K2">
            <v>25</v>
          </cell>
          <cell r="L2">
            <v>3</v>
          </cell>
          <cell r="M2">
            <v>32</v>
          </cell>
        </row>
        <row r="3">
          <cell r="A3" t="str">
            <v>Ayr research station2018CvBunya</v>
          </cell>
          <cell r="B3">
            <v>43319</v>
          </cell>
          <cell r="C3" t="str">
            <v>HarvestRipe</v>
          </cell>
          <cell r="D3" t="str">
            <v>Ayr research station</v>
          </cell>
          <cell r="E3">
            <v>-19.616900000000001</v>
          </cell>
          <cell r="F3">
            <v>43209</v>
          </cell>
          <cell r="G3">
            <v>2018</v>
          </cell>
          <cell r="H3">
            <v>75</v>
          </cell>
          <cell r="I3" t="str">
            <v>Bunya</v>
          </cell>
          <cell r="J3" t="str">
            <v>Bunya</v>
          </cell>
          <cell r="K3">
            <v>25</v>
          </cell>
          <cell r="L3">
            <v>3</v>
          </cell>
          <cell r="M3">
            <v>38</v>
          </cell>
        </row>
        <row r="4">
          <cell r="A4" t="str">
            <v>Ayr research station2018CvHayman</v>
          </cell>
          <cell r="B4">
            <v>43319</v>
          </cell>
          <cell r="C4" t="str">
            <v>HarvestRipe</v>
          </cell>
          <cell r="D4" t="str">
            <v>Ayr research station</v>
          </cell>
          <cell r="E4">
            <v>-19.616900000000001</v>
          </cell>
          <cell r="F4">
            <v>43209</v>
          </cell>
          <cell r="G4">
            <v>2018</v>
          </cell>
          <cell r="H4">
            <v>75</v>
          </cell>
          <cell r="I4" t="str">
            <v xml:space="preserve">Hayman </v>
          </cell>
          <cell r="J4" t="str">
            <v>Hayman</v>
          </cell>
          <cell r="K4">
            <v>25</v>
          </cell>
          <cell r="L4">
            <v>3</v>
          </cell>
          <cell r="M4">
            <v>45</v>
          </cell>
        </row>
        <row r="5">
          <cell r="A5" t="str">
            <v>Ayr research station2018CvKuranda</v>
          </cell>
          <cell r="B5">
            <v>43319</v>
          </cell>
          <cell r="C5" t="str">
            <v>HarvestRipe</v>
          </cell>
          <cell r="D5" t="str">
            <v>Ayr research station</v>
          </cell>
          <cell r="E5">
            <v>-19.616900000000001</v>
          </cell>
          <cell r="F5">
            <v>43209</v>
          </cell>
          <cell r="G5">
            <v>2018</v>
          </cell>
          <cell r="H5">
            <v>75</v>
          </cell>
          <cell r="I5" t="str">
            <v>Kuranda</v>
          </cell>
          <cell r="J5" t="str">
            <v>Kuranda</v>
          </cell>
          <cell r="K5">
            <v>25</v>
          </cell>
          <cell r="L5">
            <v>3</v>
          </cell>
          <cell r="M5">
            <v>48</v>
          </cell>
        </row>
        <row r="6">
          <cell r="A6" t="str">
            <v>Bundaberg2011CvA6785</v>
          </cell>
          <cell r="B6">
            <v>41022</v>
          </cell>
          <cell r="C6" t="str">
            <v>HarvestRipe</v>
          </cell>
          <cell r="D6" t="str">
            <v>Bundaberg</v>
          </cell>
          <cell r="E6">
            <v>-24.9069</v>
          </cell>
          <cell r="F6">
            <v>40894</v>
          </cell>
          <cell r="G6">
            <v>2011</v>
          </cell>
          <cell r="H6">
            <v>85</v>
          </cell>
          <cell r="I6" t="str">
            <v>A6785</v>
          </cell>
          <cell r="J6" t="str">
            <v>A6785</v>
          </cell>
          <cell r="K6">
            <v>30</v>
          </cell>
          <cell r="M6">
            <v>48.5</v>
          </cell>
        </row>
        <row r="7">
          <cell r="A7" t="str">
            <v>Bundaberg2011CvBunya</v>
          </cell>
          <cell r="B7">
            <v>41010</v>
          </cell>
          <cell r="C7" t="str">
            <v>HarvestRipe</v>
          </cell>
          <cell r="D7" t="str">
            <v>Bundaberg</v>
          </cell>
          <cell r="E7">
            <v>-24.9069</v>
          </cell>
          <cell r="F7">
            <v>40894</v>
          </cell>
          <cell r="G7">
            <v>2011</v>
          </cell>
          <cell r="H7">
            <v>85</v>
          </cell>
          <cell r="I7" t="str">
            <v>Bunya</v>
          </cell>
          <cell r="J7" t="str">
            <v>Bunya</v>
          </cell>
          <cell r="K7">
            <v>30</v>
          </cell>
          <cell r="M7">
            <v>46.5</v>
          </cell>
        </row>
        <row r="8">
          <cell r="A8" t="str">
            <v>Bundaberg2011CvHayman</v>
          </cell>
          <cell r="B8">
            <v>41022</v>
          </cell>
          <cell r="C8" t="str">
            <v>HarvestRipe</v>
          </cell>
          <cell r="D8" t="str">
            <v>Bundaberg</v>
          </cell>
          <cell r="E8">
            <v>-24.9069</v>
          </cell>
          <cell r="F8">
            <v>40894</v>
          </cell>
          <cell r="G8">
            <v>2011</v>
          </cell>
          <cell r="H8">
            <v>85</v>
          </cell>
          <cell r="I8" t="str">
            <v>NK55C</v>
          </cell>
          <cell r="J8" t="str">
            <v>Hayman</v>
          </cell>
          <cell r="K8">
            <v>30</v>
          </cell>
          <cell r="M8">
            <v>52.5</v>
          </cell>
        </row>
        <row r="9">
          <cell r="A9" t="str">
            <v>Bundaberg2011CvKuranda</v>
          </cell>
          <cell r="B9">
            <v>41022</v>
          </cell>
          <cell r="C9" t="str">
            <v>HarvestRipe</v>
          </cell>
          <cell r="D9" t="str">
            <v>Bundaberg</v>
          </cell>
          <cell r="E9">
            <v>-24.9069</v>
          </cell>
          <cell r="F9">
            <v>40894</v>
          </cell>
          <cell r="G9">
            <v>2011</v>
          </cell>
          <cell r="H9">
            <v>85</v>
          </cell>
          <cell r="I9" t="str">
            <v>M103-22-1 (Kuranda)</v>
          </cell>
          <cell r="J9" t="str">
            <v>Kuranda</v>
          </cell>
          <cell r="K9">
            <v>30</v>
          </cell>
          <cell r="M9">
            <v>57.5</v>
          </cell>
        </row>
        <row r="10">
          <cell r="A10" t="str">
            <v>Bundaberg2011CvRichmond</v>
          </cell>
          <cell r="B10">
            <v>41015</v>
          </cell>
          <cell r="C10" t="str">
            <v>HarvestRipe</v>
          </cell>
          <cell r="D10" t="str">
            <v>Bundaberg</v>
          </cell>
          <cell r="E10">
            <v>-24.9069</v>
          </cell>
          <cell r="F10">
            <v>40894</v>
          </cell>
          <cell r="G10">
            <v>2011</v>
          </cell>
          <cell r="H10">
            <v>85</v>
          </cell>
          <cell r="I10" t="str">
            <v>NF246-64 (Richmond)</v>
          </cell>
          <cell r="J10" t="str">
            <v>Richmond</v>
          </cell>
          <cell r="K10">
            <v>30</v>
          </cell>
          <cell r="M10">
            <v>46.5</v>
          </cell>
        </row>
        <row r="11">
          <cell r="A11" t="str">
            <v>Bundaberg2012CvA6785</v>
          </cell>
          <cell r="B11">
            <v>41022</v>
          </cell>
          <cell r="C11" t="str">
            <v>HarvestRipe</v>
          </cell>
          <cell r="D11" t="str">
            <v>Bundaberg</v>
          </cell>
          <cell r="E11">
            <v>-24.9069</v>
          </cell>
          <cell r="F11">
            <v>40921</v>
          </cell>
          <cell r="G11">
            <v>2012</v>
          </cell>
          <cell r="H11">
            <v>85</v>
          </cell>
          <cell r="I11" t="str">
            <v>A6785</v>
          </cell>
          <cell r="J11" t="str">
            <v>A6785</v>
          </cell>
          <cell r="K11">
            <v>30</v>
          </cell>
          <cell r="M11">
            <v>40.5</v>
          </cell>
        </row>
        <row r="12">
          <cell r="A12" t="str">
            <v>Bundaberg2012CvBunya</v>
          </cell>
          <cell r="B12">
            <v>41027</v>
          </cell>
          <cell r="C12" t="str">
            <v>HarvestRipe</v>
          </cell>
          <cell r="D12" t="str">
            <v>Bundaberg</v>
          </cell>
          <cell r="E12">
            <v>-24.9069</v>
          </cell>
          <cell r="F12">
            <v>40921</v>
          </cell>
          <cell r="G12">
            <v>2012</v>
          </cell>
          <cell r="H12">
            <v>85</v>
          </cell>
          <cell r="I12" t="str">
            <v>Bunya</v>
          </cell>
          <cell r="J12" t="str">
            <v>Bunya</v>
          </cell>
          <cell r="K12">
            <v>30</v>
          </cell>
          <cell r="M12">
            <v>38.5</v>
          </cell>
        </row>
        <row r="13">
          <cell r="A13" t="str">
            <v>Bundaberg2012CvHayman</v>
          </cell>
          <cell r="B13">
            <v>41033</v>
          </cell>
          <cell r="C13" t="str">
            <v>HarvestRipe</v>
          </cell>
          <cell r="D13" t="str">
            <v>Bundaberg</v>
          </cell>
          <cell r="E13">
            <v>-24.9069</v>
          </cell>
          <cell r="F13">
            <v>40921</v>
          </cell>
          <cell r="G13">
            <v>2012</v>
          </cell>
          <cell r="H13">
            <v>85</v>
          </cell>
          <cell r="I13" t="str">
            <v>NK55C (Hayman)</v>
          </cell>
          <cell r="J13" t="str">
            <v>Hayman</v>
          </cell>
          <cell r="K13">
            <v>30</v>
          </cell>
          <cell r="M13">
            <v>47.5</v>
          </cell>
        </row>
        <row r="14">
          <cell r="A14" t="str">
            <v>Bundaberg2012CvKuranda</v>
          </cell>
          <cell r="B14">
            <v>41033</v>
          </cell>
          <cell r="C14" t="str">
            <v>HarvestRipe</v>
          </cell>
          <cell r="D14" t="str">
            <v>Bundaberg</v>
          </cell>
          <cell r="E14">
            <v>-24.9069</v>
          </cell>
          <cell r="F14">
            <v>40921</v>
          </cell>
          <cell r="G14">
            <v>2012</v>
          </cell>
          <cell r="H14">
            <v>85</v>
          </cell>
          <cell r="I14" t="str">
            <v>M103-22-1 (Kuranda)</v>
          </cell>
          <cell r="J14" t="str">
            <v>Kuranda</v>
          </cell>
          <cell r="K14">
            <v>30</v>
          </cell>
          <cell r="M14">
            <v>47.5</v>
          </cell>
        </row>
        <row r="15">
          <cell r="A15" t="str">
            <v>Bundaberg2012CvRichmond</v>
          </cell>
          <cell r="B15">
            <v>41027</v>
          </cell>
          <cell r="C15" t="str">
            <v>HarvestRipe</v>
          </cell>
          <cell r="D15" t="str">
            <v>Bundaberg</v>
          </cell>
          <cell r="E15">
            <v>-24.9069</v>
          </cell>
          <cell r="F15">
            <v>40921</v>
          </cell>
          <cell r="G15">
            <v>2012</v>
          </cell>
          <cell r="H15">
            <v>85</v>
          </cell>
          <cell r="I15" t="str">
            <v>NF246-64 (Richmond)</v>
          </cell>
          <cell r="J15" t="str">
            <v>Richmond</v>
          </cell>
          <cell r="K15">
            <v>30</v>
          </cell>
          <cell r="M15">
            <v>38.5</v>
          </cell>
        </row>
        <row r="16">
          <cell r="A16" t="str">
            <v>Bundaberg2013CvA6785</v>
          </cell>
          <cell r="B16">
            <v>41751</v>
          </cell>
          <cell r="C16" t="str">
            <v>HarvestRipe</v>
          </cell>
          <cell r="D16" t="str">
            <v>Bundaberg</v>
          </cell>
          <cell r="E16">
            <v>-24.9069</v>
          </cell>
          <cell r="F16">
            <v>41631</v>
          </cell>
          <cell r="G16">
            <v>2013</v>
          </cell>
          <cell r="H16">
            <v>85</v>
          </cell>
          <cell r="I16" t="str">
            <v>A6785</v>
          </cell>
          <cell r="J16" t="str">
            <v>A6785</v>
          </cell>
          <cell r="K16">
            <v>30</v>
          </cell>
          <cell r="M16">
            <v>48.5</v>
          </cell>
        </row>
        <row r="17">
          <cell r="A17" t="str">
            <v>Bundaberg2013CvBunya</v>
          </cell>
          <cell r="B17">
            <v>41737</v>
          </cell>
          <cell r="C17" t="str">
            <v>HarvestRipe</v>
          </cell>
          <cell r="D17" t="str">
            <v>Bundaberg</v>
          </cell>
          <cell r="E17">
            <v>-24.9069</v>
          </cell>
          <cell r="F17">
            <v>41631</v>
          </cell>
          <cell r="G17">
            <v>2013</v>
          </cell>
          <cell r="H17">
            <v>85</v>
          </cell>
          <cell r="I17" t="str">
            <v>Bunya</v>
          </cell>
          <cell r="J17" t="str">
            <v>Bunya</v>
          </cell>
          <cell r="K17">
            <v>30</v>
          </cell>
          <cell r="M17">
            <v>42.5</v>
          </cell>
        </row>
        <row r="18">
          <cell r="A18" t="str">
            <v>Bundaberg2013CvHayman</v>
          </cell>
          <cell r="B18">
            <v>41751</v>
          </cell>
          <cell r="C18" t="str">
            <v>HarvestRipe</v>
          </cell>
          <cell r="D18" t="str">
            <v>Bundaberg</v>
          </cell>
          <cell r="E18">
            <v>-24.9069</v>
          </cell>
          <cell r="F18">
            <v>41631</v>
          </cell>
          <cell r="G18">
            <v>2013</v>
          </cell>
          <cell r="H18">
            <v>85</v>
          </cell>
          <cell r="I18" t="str">
            <v xml:space="preserve">Hayman </v>
          </cell>
          <cell r="J18" t="str">
            <v>Hayman</v>
          </cell>
          <cell r="K18">
            <v>30</v>
          </cell>
          <cell r="M18">
            <v>54.5</v>
          </cell>
        </row>
        <row r="19">
          <cell r="A19" t="str">
            <v>Bundaberg2013CvRichmond</v>
          </cell>
          <cell r="B19">
            <v>41745</v>
          </cell>
          <cell r="C19" t="str">
            <v>HarvestRipe</v>
          </cell>
          <cell r="D19" t="str">
            <v>Bundaberg</v>
          </cell>
          <cell r="E19">
            <v>-24.9069</v>
          </cell>
          <cell r="F19">
            <v>41631</v>
          </cell>
          <cell r="G19">
            <v>2013</v>
          </cell>
          <cell r="H19">
            <v>85</v>
          </cell>
          <cell r="I19" t="str">
            <v>NF264-64</v>
          </cell>
          <cell r="J19" t="str">
            <v>Richmond</v>
          </cell>
          <cell r="K19">
            <v>30</v>
          </cell>
          <cell r="M19">
            <v>42.5</v>
          </cell>
        </row>
        <row r="20">
          <cell r="A20" t="str">
            <v>Bundaberg2017CvA6785</v>
          </cell>
          <cell r="B20">
            <v>43206</v>
          </cell>
          <cell r="C20" t="str">
            <v>HarvestRipe</v>
          </cell>
          <cell r="D20" t="str">
            <v>Bundaberg</v>
          </cell>
          <cell r="E20">
            <v>-24.9069</v>
          </cell>
          <cell r="F20">
            <v>43087</v>
          </cell>
          <cell r="G20">
            <v>2017</v>
          </cell>
          <cell r="H20">
            <v>90</v>
          </cell>
          <cell r="I20" t="str">
            <v>A6785 Std</v>
          </cell>
          <cell r="J20" t="str">
            <v>A6785</v>
          </cell>
          <cell r="K20">
            <v>32.5</v>
          </cell>
          <cell r="M20">
            <v>44.5</v>
          </cell>
        </row>
        <row r="21">
          <cell r="A21" t="str">
            <v>Bundaberg2017CvBunya</v>
          </cell>
          <cell r="B21">
            <v>43206</v>
          </cell>
          <cell r="C21" t="str">
            <v>HarvestRipe</v>
          </cell>
          <cell r="D21" t="str">
            <v>Bundaberg</v>
          </cell>
          <cell r="E21">
            <v>-24.9069</v>
          </cell>
          <cell r="F21">
            <v>43087</v>
          </cell>
          <cell r="G21">
            <v>2017</v>
          </cell>
          <cell r="H21">
            <v>90</v>
          </cell>
          <cell r="I21" t="str">
            <v>Bunya</v>
          </cell>
          <cell r="J21" t="str">
            <v>Bunya</v>
          </cell>
          <cell r="K21">
            <v>32.5</v>
          </cell>
          <cell r="M21">
            <v>44.5</v>
          </cell>
        </row>
        <row r="22">
          <cell r="A22" t="str">
            <v>Bundaberg2017CvHayman</v>
          </cell>
          <cell r="B22">
            <v>43210</v>
          </cell>
          <cell r="C22" t="str">
            <v>HarvestRipe</v>
          </cell>
          <cell r="D22" t="str">
            <v>Bundaberg</v>
          </cell>
          <cell r="E22">
            <v>-24.9069</v>
          </cell>
          <cell r="F22">
            <v>43087</v>
          </cell>
          <cell r="G22">
            <v>2017</v>
          </cell>
          <cell r="H22">
            <v>90</v>
          </cell>
          <cell r="I22" t="str">
            <v>NK55C-32 HY</v>
          </cell>
          <cell r="J22" t="str">
            <v>Hayman</v>
          </cell>
          <cell r="K22">
            <v>32.5</v>
          </cell>
          <cell r="M22">
            <v>55.5</v>
          </cell>
        </row>
        <row r="23">
          <cell r="A23" t="str">
            <v>Bundaberg2017CvKuranda</v>
          </cell>
          <cell r="B23">
            <v>43214</v>
          </cell>
          <cell r="C23" t="str">
            <v>HarvestRipe</v>
          </cell>
          <cell r="D23" t="str">
            <v>Bundaberg</v>
          </cell>
          <cell r="E23">
            <v>-24.9069</v>
          </cell>
          <cell r="F23">
            <v>43087</v>
          </cell>
          <cell r="G23">
            <v>2017</v>
          </cell>
          <cell r="H23">
            <v>90</v>
          </cell>
          <cell r="I23" t="str">
            <v>M103-22-1</v>
          </cell>
          <cell r="J23" t="str">
            <v>Kuranda</v>
          </cell>
          <cell r="K23">
            <v>32.5</v>
          </cell>
          <cell r="M23">
            <v>55.5</v>
          </cell>
        </row>
        <row r="24">
          <cell r="A24" t="str">
            <v>Bundaberg2017CvRichmond</v>
          </cell>
          <cell r="B24">
            <v>43206</v>
          </cell>
          <cell r="C24" t="str">
            <v>HarvestRipe</v>
          </cell>
          <cell r="D24" t="str">
            <v>Bundaberg</v>
          </cell>
          <cell r="E24">
            <v>-24.9069</v>
          </cell>
          <cell r="F24">
            <v>43087</v>
          </cell>
          <cell r="G24">
            <v>2017</v>
          </cell>
          <cell r="H24">
            <v>90</v>
          </cell>
          <cell r="I24" t="str">
            <v>NF264-64 RHM</v>
          </cell>
          <cell r="J24" t="str">
            <v>Richmond</v>
          </cell>
          <cell r="K24">
            <v>32.5</v>
          </cell>
          <cell r="M24">
            <v>44.5</v>
          </cell>
        </row>
        <row r="25">
          <cell r="A25" t="str">
            <v>Bundaberg2018CvA6785</v>
          </cell>
          <cell r="B25">
            <v>43214</v>
          </cell>
          <cell r="C25" t="str">
            <v>HarvestRipe</v>
          </cell>
          <cell r="D25" t="str">
            <v>Bundaberg</v>
          </cell>
          <cell r="E25">
            <v>-24.9069</v>
          </cell>
          <cell r="F25">
            <v>43112</v>
          </cell>
          <cell r="G25">
            <v>2018</v>
          </cell>
          <cell r="H25">
            <v>90</v>
          </cell>
          <cell r="I25" t="str">
            <v>A6785 Std</v>
          </cell>
          <cell r="J25" t="str">
            <v>A6785</v>
          </cell>
          <cell r="K25">
            <v>32.5</v>
          </cell>
          <cell r="M25">
            <v>43.5</v>
          </cell>
        </row>
        <row r="26">
          <cell r="A26" t="str">
            <v>Bundaberg2018CvBunya</v>
          </cell>
          <cell r="B26">
            <v>43214</v>
          </cell>
          <cell r="C26" t="str">
            <v>HarvestRipe</v>
          </cell>
          <cell r="D26" t="str">
            <v>Bundaberg</v>
          </cell>
          <cell r="E26">
            <v>-24.9069</v>
          </cell>
          <cell r="F26">
            <v>43112</v>
          </cell>
          <cell r="G26">
            <v>2018</v>
          </cell>
          <cell r="H26">
            <v>90</v>
          </cell>
          <cell r="I26" t="str">
            <v>Bunya</v>
          </cell>
          <cell r="J26" t="str">
            <v>Bunya</v>
          </cell>
          <cell r="K26">
            <v>32.5</v>
          </cell>
          <cell r="M26">
            <v>43.5</v>
          </cell>
        </row>
        <row r="27">
          <cell r="A27" t="str">
            <v>Bundaberg2018CvHayman</v>
          </cell>
          <cell r="B27">
            <v>43234</v>
          </cell>
          <cell r="C27" t="str">
            <v>HarvestRipe</v>
          </cell>
          <cell r="D27" t="str">
            <v>Bundaberg</v>
          </cell>
          <cell r="E27">
            <v>-24.9069</v>
          </cell>
          <cell r="F27">
            <v>43112</v>
          </cell>
          <cell r="G27">
            <v>2018</v>
          </cell>
          <cell r="H27">
            <v>90</v>
          </cell>
          <cell r="I27" t="str">
            <v>NK55C-32 HY</v>
          </cell>
          <cell r="J27" t="str">
            <v>Hayman</v>
          </cell>
          <cell r="K27">
            <v>32.5</v>
          </cell>
          <cell r="M27">
            <v>49.5</v>
          </cell>
        </row>
        <row r="28">
          <cell r="A28" t="str">
            <v>Bundaberg2018CvKuranda</v>
          </cell>
          <cell r="B28">
            <v>43234</v>
          </cell>
          <cell r="C28" t="str">
            <v>HarvestRipe</v>
          </cell>
          <cell r="D28" t="str">
            <v>Bundaberg</v>
          </cell>
          <cell r="E28">
            <v>-24.9069</v>
          </cell>
          <cell r="F28">
            <v>43112</v>
          </cell>
          <cell r="G28">
            <v>2018</v>
          </cell>
          <cell r="H28">
            <v>90</v>
          </cell>
          <cell r="I28" t="str">
            <v>M103-22-1</v>
          </cell>
          <cell r="J28" t="str">
            <v>Kuranda</v>
          </cell>
          <cell r="K28">
            <v>32.5</v>
          </cell>
          <cell r="M28">
            <v>47.5</v>
          </cell>
        </row>
        <row r="29">
          <cell r="A29" t="str">
            <v>Bundaberg2018CvRichmond</v>
          </cell>
          <cell r="B29">
            <v>43224</v>
          </cell>
          <cell r="C29" t="str">
            <v>HarvestRipe</v>
          </cell>
          <cell r="D29" t="str">
            <v>Bundaberg</v>
          </cell>
          <cell r="E29">
            <v>-24.9069</v>
          </cell>
          <cell r="F29">
            <v>43112</v>
          </cell>
          <cell r="G29">
            <v>2018</v>
          </cell>
          <cell r="H29">
            <v>90</v>
          </cell>
          <cell r="I29" t="str">
            <v>NF264-64 RHM</v>
          </cell>
          <cell r="J29" t="str">
            <v>Richmond</v>
          </cell>
          <cell r="K29">
            <v>32.5</v>
          </cell>
          <cell r="M29">
            <v>43.5</v>
          </cell>
        </row>
        <row r="30">
          <cell r="A30" t="str">
            <v>ForestHill2022CvA6785</v>
          </cell>
          <cell r="B30">
            <v>44688</v>
          </cell>
          <cell r="C30" t="str">
            <v>HarvestRipe</v>
          </cell>
          <cell r="D30" t="str">
            <v>ForestHill</v>
          </cell>
          <cell r="E30">
            <v>-27.583100000000002</v>
          </cell>
          <cell r="F30">
            <v>44583</v>
          </cell>
          <cell r="G30">
            <v>2022</v>
          </cell>
          <cell r="H30">
            <v>50</v>
          </cell>
          <cell r="I30" t="str">
            <v>A6785</v>
          </cell>
          <cell r="J30" t="str">
            <v>A6785</v>
          </cell>
          <cell r="K30">
            <v>25</v>
          </cell>
          <cell r="L30">
            <v>3</v>
          </cell>
          <cell r="M30">
            <v>47.5</v>
          </cell>
        </row>
        <row r="31">
          <cell r="A31" t="str">
            <v>ForestHill2022CvBunya</v>
          </cell>
          <cell r="B31">
            <v>44688</v>
          </cell>
          <cell r="C31" t="str">
            <v>HarvestRipe</v>
          </cell>
          <cell r="D31" t="str">
            <v>ForestHill</v>
          </cell>
          <cell r="E31">
            <v>-27.583100000000002</v>
          </cell>
          <cell r="F31">
            <v>44583</v>
          </cell>
          <cell r="G31">
            <v>2022</v>
          </cell>
          <cell r="H31">
            <v>50</v>
          </cell>
          <cell r="I31" t="str">
            <v>New Bunya HB1</v>
          </cell>
          <cell r="J31" t="str">
            <v>Bunya</v>
          </cell>
          <cell r="K31">
            <v>25</v>
          </cell>
          <cell r="L31">
            <v>3</v>
          </cell>
          <cell r="M31">
            <v>49</v>
          </cell>
        </row>
        <row r="32">
          <cell r="A32" t="str">
            <v>ForestHill2022CvHayman</v>
          </cell>
          <cell r="B32">
            <v>44701</v>
          </cell>
          <cell r="C32" t="str">
            <v>HarvestRipe</v>
          </cell>
          <cell r="D32" t="str">
            <v>ForestHill</v>
          </cell>
          <cell r="E32">
            <v>-27.583100000000002</v>
          </cell>
          <cell r="F32">
            <v>44583</v>
          </cell>
          <cell r="G32">
            <v>2022</v>
          </cell>
          <cell r="H32">
            <v>50</v>
          </cell>
          <cell r="I32" t="str">
            <v xml:space="preserve">Hayman </v>
          </cell>
          <cell r="J32" t="str">
            <v>Hayman</v>
          </cell>
          <cell r="K32">
            <v>25</v>
          </cell>
          <cell r="L32">
            <v>3</v>
          </cell>
          <cell r="M32">
            <v>54</v>
          </cell>
        </row>
        <row r="33">
          <cell r="A33" t="str">
            <v>ForestHill2022CvKuranda</v>
          </cell>
          <cell r="B33">
            <v>44708</v>
          </cell>
          <cell r="C33" t="str">
            <v>HarvestRipe</v>
          </cell>
          <cell r="D33" t="str">
            <v>ForestHill</v>
          </cell>
          <cell r="E33">
            <v>-27.583100000000002</v>
          </cell>
          <cell r="F33">
            <v>44583</v>
          </cell>
          <cell r="G33">
            <v>2022</v>
          </cell>
          <cell r="H33">
            <v>50</v>
          </cell>
          <cell r="I33" t="str">
            <v>Kuranda</v>
          </cell>
          <cell r="J33" t="str">
            <v>Kuranda</v>
          </cell>
          <cell r="K33">
            <v>25</v>
          </cell>
          <cell r="L33">
            <v>3</v>
          </cell>
          <cell r="M33">
            <v>55</v>
          </cell>
        </row>
        <row r="34">
          <cell r="A34" t="str">
            <v>ForestHill2023CvA6785</v>
          </cell>
          <cell r="B34">
            <v>45374</v>
          </cell>
          <cell r="C34" t="str">
            <v>HarvestRipe</v>
          </cell>
          <cell r="D34" t="str">
            <v>ForestHill</v>
          </cell>
          <cell r="E34">
            <v>-27.583100000000002</v>
          </cell>
          <cell r="F34">
            <v>45264</v>
          </cell>
          <cell r="G34">
            <v>2023</v>
          </cell>
          <cell r="H34">
            <v>50</v>
          </cell>
          <cell r="I34" t="str">
            <v>A6785</v>
          </cell>
          <cell r="J34" t="str">
            <v>A6785</v>
          </cell>
          <cell r="K34">
            <v>25</v>
          </cell>
          <cell r="L34">
            <v>3</v>
          </cell>
          <cell r="M34">
            <v>48</v>
          </cell>
        </row>
        <row r="35">
          <cell r="A35" t="str">
            <v>ForestHill2023CvBunya</v>
          </cell>
          <cell r="B35">
            <v>45369</v>
          </cell>
          <cell r="C35" t="str">
            <v>HarvestRipe</v>
          </cell>
          <cell r="D35" t="str">
            <v>ForestHill</v>
          </cell>
          <cell r="E35">
            <v>-27.583100000000002</v>
          </cell>
          <cell r="F35">
            <v>45264</v>
          </cell>
          <cell r="G35">
            <v>2023</v>
          </cell>
          <cell r="H35">
            <v>50</v>
          </cell>
          <cell r="I35" t="str">
            <v>New Bunya HB1</v>
          </cell>
          <cell r="J35" t="str">
            <v>Bunya</v>
          </cell>
          <cell r="K35">
            <v>25</v>
          </cell>
          <cell r="L35">
            <v>3</v>
          </cell>
          <cell r="M35">
            <v>46</v>
          </cell>
        </row>
        <row r="36">
          <cell r="A36" t="str">
            <v>ForestHill2023CvHayman</v>
          </cell>
          <cell r="B36">
            <v>45379</v>
          </cell>
          <cell r="C36" t="str">
            <v>HarvestRipe</v>
          </cell>
          <cell r="D36" t="str">
            <v>ForestHill</v>
          </cell>
          <cell r="E36">
            <v>-27.583100000000002</v>
          </cell>
          <cell r="F36">
            <v>45264</v>
          </cell>
          <cell r="G36">
            <v>2023</v>
          </cell>
          <cell r="H36">
            <v>50</v>
          </cell>
          <cell r="I36" t="str">
            <v xml:space="preserve">Hayman </v>
          </cell>
          <cell r="J36" t="str">
            <v>Hayman</v>
          </cell>
          <cell r="K36">
            <v>25</v>
          </cell>
          <cell r="L36">
            <v>3</v>
          </cell>
          <cell r="M36">
            <v>62</v>
          </cell>
        </row>
        <row r="37">
          <cell r="A37" t="str">
            <v>ForestHill2024CvA6785</v>
          </cell>
          <cell r="B37">
            <v>45423</v>
          </cell>
          <cell r="C37" t="str">
            <v>HarvestRipe</v>
          </cell>
          <cell r="D37" t="str">
            <v>ForestHill</v>
          </cell>
          <cell r="E37">
            <v>-27.583100000000002</v>
          </cell>
          <cell r="F37">
            <v>45308</v>
          </cell>
          <cell r="G37">
            <v>2024</v>
          </cell>
          <cell r="H37">
            <v>50</v>
          </cell>
          <cell r="I37" t="str">
            <v>A6785</v>
          </cell>
          <cell r="J37" t="str">
            <v>A6785</v>
          </cell>
          <cell r="K37">
            <v>25</v>
          </cell>
          <cell r="L37">
            <v>3</v>
          </cell>
          <cell r="M37">
            <v>41</v>
          </cell>
        </row>
        <row r="38">
          <cell r="A38" t="str">
            <v>ForestHill2024CvBunya</v>
          </cell>
          <cell r="B38">
            <v>45415</v>
          </cell>
          <cell r="C38" t="str">
            <v>HarvestRipe</v>
          </cell>
          <cell r="D38" t="str">
            <v>ForestHill</v>
          </cell>
          <cell r="E38">
            <v>-27.583100000000002</v>
          </cell>
          <cell r="F38">
            <v>45308</v>
          </cell>
          <cell r="G38">
            <v>2024</v>
          </cell>
          <cell r="H38">
            <v>50</v>
          </cell>
          <cell r="I38" t="str">
            <v>New Bunya HB1</v>
          </cell>
          <cell r="J38" t="str">
            <v>Bunya</v>
          </cell>
          <cell r="K38">
            <v>25</v>
          </cell>
          <cell r="L38">
            <v>3</v>
          </cell>
          <cell r="M38">
            <v>44</v>
          </cell>
        </row>
        <row r="39">
          <cell r="A39" t="str">
            <v>ForestHill2024CvHayman</v>
          </cell>
          <cell r="B39">
            <v>45433</v>
          </cell>
          <cell r="C39" t="str">
            <v>HarvestRipe</v>
          </cell>
          <cell r="D39" t="str">
            <v>ForestHill</v>
          </cell>
          <cell r="E39">
            <v>-27.583100000000002</v>
          </cell>
          <cell r="F39">
            <v>45308</v>
          </cell>
          <cell r="G39">
            <v>2024</v>
          </cell>
          <cell r="H39">
            <v>50</v>
          </cell>
          <cell r="I39" t="str">
            <v xml:space="preserve">Hayman </v>
          </cell>
          <cell r="J39" t="str">
            <v>Hayman</v>
          </cell>
          <cell r="K39">
            <v>25</v>
          </cell>
          <cell r="L39">
            <v>3</v>
          </cell>
          <cell r="M39">
            <v>50.6</v>
          </cell>
        </row>
        <row r="40">
          <cell r="A40" t="str">
            <v>ForestHill2024CvKuranda</v>
          </cell>
          <cell r="B40">
            <v>45433</v>
          </cell>
          <cell r="C40" t="str">
            <v>HarvestRipe</v>
          </cell>
          <cell r="D40" t="str">
            <v>ForestHill</v>
          </cell>
          <cell r="E40">
            <v>-27.583100000000002</v>
          </cell>
          <cell r="F40">
            <v>45308</v>
          </cell>
          <cell r="G40">
            <v>2024</v>
          </cell>
          <cell r="H40">
            <v>50</v>
          </cell>
          <cell r="I40" t="str">
            <v>Kuranda HB1</v>
          </cell>
          <cell r="J40" t="str">
            <v>Kuranda</v>
          </cell>
          <cell r="K40">
            <v>25</v>
          </cell>
          <cell r="L40">
            <v>3</v>
          </cell>
          <cell r="M40">
            <v>53</v>
          </cell>
        </row>
        <row r="41">
          <cell r="A41" t="str">
            <v>Gatton2010CvA6785</v>
          </cell>
          <cell r="B41">
            <v>40660.333333333336</v>
          </cell>
          <cell r="C41" t="str">
            <v>HarvestRipe</v>
          </cell>
          <cell r="D41" t="str">
            <v>Gatton</v>
          </cell>
          <cell r="F41">
            <v>40534</v>
          </cell>
          <cell r="G41">
            <v>2010</v>
          </cell>
          <cell r="H41">
            <v>75</v>
          </cell>
          <cell r="I41" t="str">
            <v>A6785</v>
          </cell>
          <cell r="J41" t="str">
            <v>A6785</v>
          </cell>
          <cell r="M41">
            <v>48.666666666666664</v>
          </cell>
        </row>
        <row r="42">
          <cell r="A42" t="str">
            <v>Gatton2010CvBunya</v>
          </cell>
          <cell r="B42">
            <v>40655</v>
          </cell>
          <cell r="C42" t="str">
            <v>HarvestRipe</v>
          </cell>
          <cell r="D42" t="str">
            <v>Gatton</v>
          </cell>
          <cell r="F42">
            <v>40534</v>
          </cell>
          <cell r="G42">
            <v>2010</v>
          </cell>
          <cell r="H42">
            <v>75</v>
          </cell>
          <cell r="I42" t="str">
            <v>Bunya</v>
          </cell>
          <cell r="J42" t="str">
            <v>Bunya</v>
          </cell>
          <cell r="M42">
            <v>45</v>
          </cell>
        </row>
        <row r="43">
          <cell r="A43" t="str">
            <v>Gatton2010CvHayman</v>
          </cell>
          <cell r="B43">
            <v>40660.333333333336</v>
          </cell>
          <cell r="C43" t="str">
            <v>HarvestRipe</v>
          </cell>
          <cell r="D43" t="str">
            <v>Gatton</v>
          </cell>
          <cell r="F43">
            <v>40534</v>
          </cell>
          <cell r="G43">
            <v>2010</v>
          </cell>
          <cell r="H43">
            <v>75</v>
          </cell>
          <cell r="I43" t="str">
            <v xml:space="preserve">Hayman </v>
          </cell>
          <cell r="J43" t="str">
            <v>Hayman</v>
          </cell>
          <cell r="M43">
            <v>55.333333333333336</v>
          </cell>
        </row>
        <row r="44">
          <cell r="A44" t="str">
            <v>Gatton2011CvA6785</v>
          </cell>
          <cell r="B44">
            <v>40660</v>
          </cell>
          <cell r="C44" t="str">
            <v>HarvestRipe</v>
          </cell>
          <cell r="D44" t="str">
            <v>Gatton</v>
          </cell>
          <cell r="F44">
            <v>40547</v>
          </cell>
          <cell r="G44">
            <v>2011</v>
          </cell>
          <cell r="H44">
            <v>75</v>
          </cell>
          <cell r="I44" t="str">
            <v>A6785</v>
          </cell>
          <cell r="J44" t="str">
            <v>A6785</v>
          </cell>
          <cell r="M44">
            <v>46.5</v>
          </cell>
        </row>
        <row r="45">
          <cell r="A45" t="str">
            <v>Gatton2011CvA6785</v>
          </cell>
          <cell r="B45">
            <v>40661</v>
          </cell>
          <cell r="C45" t="str">
            <v>HarvestRipe</v>
          </cell>
          <cell r="D45" t="str">
            <v>Gatton</v>
          </cell>
          <cell r="F45">
            <v>40547</v>
          </cell>
          <cell r="G45">
            <v>2011</v>
          </cell>
          <cell r="H45">
            <v>75</v>
          </cell>
          <cell r="I45" t="str">
            <v>A6785</v>
          </cell>
          <cell r="J45" t="str">
            <v>A6785</v>
          </cell>
          <cell r="M45">
            <v>47.5</v>
          </cell>
        </row>
        <row r="46">
          <cell r="A46" t="str">
            <v>Gatton2011CvBunya</v>
          </cell>
          <cell r="B46">
            <v>40663.5</v>
          </cell>
          <cell r="C46" t="str">
            <v>HarvestRipe</v>
          </cell>
          <cell r="D46" t="str">
            <v>Gatton</v>
          </cell>
          <cell r="F46">
            <v>40547</v>
          </cell>
          <cell r="G46">
            <v>2011</v>
          </cell>
          <cell r="H46">
            <v>75</v>
          </cell>
          <cell r="I46" t="str">
            <v>Bunya</v>
          </cell>
          <cell r="J46" t="str">
            <v>Bunya</v>
          </cell>
          <cell r="M46">
            <v>47.5</v>
          </cell>
        </row>
        <row r="47">
          <cell r="A47" t="str">
            <v>Gatton2011CvBunya</v>
          </cell>
          <cell r="B47">
            <v>40663.5</v>
          </cell>
          <cell r="C47" t="str">
            <v>HarvestRipe</v>
          </cell>
          <cell r="D47" t="str">
            <v>Gatton</v>
          </cell>
          <cell r="F47">
            <v>40547</v>
          </cell>
          <cell r="G47">
            <v>2011</v>
          </cell>
          <cell r="H47">
            <v>75</v>
          </cell>
          <cell r="I47" t="str">
            <v>Bunya</v>
          </cell>
          <cell r="J47" t="str">
            <v>Bunya</v>
          </cell>
          <cell r="M47">
            <v>47.5</v>
          </cell>
        </row>
        <row r="48">
          <cell r="A48" t="str">
            <v>Gatton2011CvRichmond</v>
          </cell>
          <cell r="B48">
            <v>40661.5</v>
          </cell>
          <cell r="C48" t="str">
            <v>HarvestRipe</v>
          </cell>
          <cell r="D48" t="str">
            <v>Gatton</v>
          </cell>
          <cell r="F48">
            <v>40547</v>
          </cell>
          <cell r="G48">
            <v>2011</v>
          </cell>
          <cell r="H48">
            <v>75</v>
          </cell>
          <cell r="I48" t="str">
            <v>Richmond</v>
          </cell>
          <cell r="J48" t="str">
            <v>Richmond</v>
          </cell>
          <cell r="M48">
            <v>44.5</v>
          </cell>
        </row>
        <row r="49">
          <cell r="A49" t="str">
            <v>Gatton2013CvA6785</v>
          </cell>
          <cell r="B49">
            <v>41752</v>
          </cell>
          <cell r="C49" t="str">
            <v>HarvestRipe</v>
          </cell>
          <cell r="D49" t="str">
            <v>Gatton</v>
          </cell>
          <cell r="F49">
            <v>41627</v>
          </cell>
          <cell r="G49">
            <v>2013</v>
          </cell>
          <cell r="H49">
            <v>50</v>
          </cell>
          <cell r="I49" t="str">
            <v>A6785</v>
          </cell>
          <cell r="J49" t="str">
            <v>A6785</v>
          </cell>
          <cell r="M49">
            <v>54</v>
          </cell>
        </row>
        <row r="50">
          <cell r="A50" t="str">
            <v>Gatton2013CvBunya</v>
          </cell>
          <cell r="B50">
            <v>41747</v>
          </cell>
          <cell r="C50" t="str">
            <v>HarvestRipe</v>
          </cell>
          <cell r="D50" t="str">
            <v>Gatton</v>
          </cell>
          <cell r="F50">
            <v>41627</v>
          </cell>
          <cell r="G50">
            <v>2013</v>
          </cell>
          <cell r="H50">
            <v>50</v>
          </cell>
          <cell r="I50" t="str">
            <v>Bunya</v>
          </cell>
          <cell r="J50" t="str">
            <v>Bunya</v>
          </cell>
          <cell r="M50">
            <v>50</v>
          </cell>
        </row>
        <row r="51">
          <cell r="A51" t="str">
            <v>Gatton2013CvHayman</v>
          </cell>
          <cell r="B51">
            <v>41765</v>
          </cell>
          <cell r="C51" t="str">
            <v>HarvestRipe</v>
          </cell>
          <cell r="D51" t="str">
            <v>Gatton</v>
          </cell>
          <cell r="F51">
            <v>41627</v>
          </cell>
          <cell r="G51">
            <v>2013</v>
          </cell>
          <cell r="H51">
            <v>50</v>
          </cell>
          <cell r="I51" t="str">
            <v xml:space="preserve">Hayman </v>
          </cell>
          <cell r="J51" t="str">
            <v>Hayman</v>
          </cell>
          <cell r="M51">
            <v>65</v>
          </cell>
        </row>
        <row r="52">
          <cell r="A52" t="str">
            <v>Gatton2013CvRichmond</v>
          </cell>
          <cell r="B52">
            <v>41748</v>
          </cell>
          <cell r="C52" t="str">
            <v>HarvestRipe</v>
          </cell>
          <cell r="D52" t="str">
            <v>Gatton</v>
          </cell>
          <cell r="F52">
            <v>41627</v>
          </cell>
          <cell r="G52">
            <v>2013</v>
          </cell>
          <cell r="H52">
            <v>50</v>
          </cell>
          <cell r="I52" t="str">
            <v>Richmond</v>
          </cell>
          <cell r="J52" t="str">
            <v>Richmond</v>
          </cell>
          <cell r="M52">
            <v>51</v>
          </cell>
        </row>
        <row r="53">
          <cell r="A53" t="str">
            <v>Gatton2013CvA6785</v>
          </cell>
          <cell r="B53">
            <v>41754</v>
          </cell>
          <cell r="C53" t="str">
            <v>HarvestRipe</v>
          </cell>
          <cell r="D53" t="str">
            <v>Gatton</v>
          </cell>
          <cell r="F53">
            <v>41619</v>
          </cell>
          <cell r="G53">
            <v>2013</v>
          </cell>
          <cell r="H53">
            <v>50</v>
          </cell>
          <cell r="I53" t="str">
            <v>A6785</v>
          </cell>
          <cell r="J53" t="str">
            <v>A6785</v>
          </cell>
          <cell r="M53">
            <v>55</v>
          </cell>
        </row>
        <row r="54">
          <cell r="A54" t="str">
            <v>Gatton2013CvBunya</v>
          </cell>
          <cell r="B54">
            <v>41739</v>
          </cell>
          <cell r="C54" t="str">
            <v>HarvestRipe</v>
          </cell>
          <cell r="D54" t="str">
            <v>Gatton</v>
          </cell>
          <cell r="F54">
            <v>41619</v>
          </cell>
          <cell r="G54">
            <v>2013</v>
          </cell>
          <cell r="H54">
            <v>50</v>
          </cell>
          <cell r="I54" t="str">
            <v>Bunya</v>
          </cell>
          <cell r="J54" t="str">
            <v>Bunya</v>
          </cell>
          <cell r="M54">
            <v>50</v>
          </cell>
        </row>
        <row r="55">
          <cell r="A55" t="str">
            <v>Gatton2013CvHayman</v>
          </cell>
          <cell r="B55">
            <v>41763</v>
          </cell>
          <cell r="C55" t="str">
            <v>HarvestRipe</v>
          </cell>
          <cell r="D55" t="str">
            <v>Gatton</v>
          </cell>
          <cell r="F55">
            <v>41619</v>
          </cell>
          <cell r="G55">
            <v>2013</v>
          </cell>
          <cell r="H55">
            <v>50</v>
          </cell>
          <cell r="I55" t="str">
            <v xml:space="preserve">Hayman </v>
          </cell>
          <cell r="J55" t="str">
            <v>Hayman</v>
          </cell>
          <cell r="M55">
            <v>66</v>
          </cell>
        </row>
        <row r="56">
          <cell r="A56" t="str">
            <v>Gatton2013CvRichmond</v>
          </cell>
          <cell r="B56">
            <v>41744</v>
          </cell>
          <cell r="C56" t="str">
            <v>HarvestRipe</v>
          </cell>
          <cell r="D56" t="str">
            <v>Gatton</v>
          </cell>
          <cell r="F56">
            <v>41619</v>
          </cell>
          <cell r="G56">
            <v>2013</v>
          </cell>
          <cell r="H56">
            <v>50</v>
          </cell>
          <cell r="I56" t="str">
            <v>Richmond</v>
          </cell>
          <cell r="J56" t="str">
            <v>Richmond</v>
          </cell>
          <cell r="M56">
            <v>52</v>
          </cell>
        </row>
        <row r="57">
          <cell r="A57" t="str">
            <v>Gatton2014CvA6785</v>
          </cell>
          <cell r="B57">
            <v>42116</v>
          </cell>
          <cell r="C57" t="str">
            <v>HarvestRipe</v>
          </cell>
          <cell r="D57" t="str">
            <v>Gatton</v>
          </cell>
          <cell r="F57">
            <v>41997</v>
          </cell>
          <cell r="G57">
            <v>2014</v>
          </cell>
          <cell r="H57">
            <v>50</v>
          </cell>
          <cell r="I57" t="str">
            <v>A6785</v>
          </cell>
          <cell r="J57" t="str">
            <v>A6785</v>
          </cell>
          <cell r="M57">
            <v>47</v>
          </cell>
        </row>
        <row r="58">
          <cell r="A58" t="str">
            <v>Gatton2014CvBunya</v>
          </cell>
          <cell r="B58">
            <v>42095</v>
          </cell>
          <cell r="C58" t="str">
            <v>HarvestRipe</v>
          </cell>
          <cell r="D58" t="str">
            <v>Gatton</v>
          </cell>
          <cell r="F58">
            <v>41997</v>
          </cell>
          <cell r="G58">
            <v>2014</v>
          </cell>
          <cell r="H58">
            <v>50</v>
          </cell>
          <cell r="I58" t="str">
            <v>Bunya</v>
          </cell>
          <cell r="J58" t="str">
            <v>Bunya</v>
          </cell>
          <cell r="M58">
            <v>44</v>
          </cell>
        </row>
        <row r="59">
          <cell r="A59" t="str">
            <v>Gatton2014CvHayman</v>
          </cell>
          <cell r="B59">
            <v>42123</v>
          </cell>
          <cell r="C59" t="str">
            <v>HarvestRipe</v>
          </cell>
          <cell r="D59" t="str">
            <v>Gatton</v>
          </cell>
          <cell r="F59">
            <v>41997</v>
          </cell>
          <cell r="G59">
            <v>2014</v>
          </cell>
          <cell r="H59">
            <v>50</v>
          </cell>
          <cell r="I59" t="str">
            <v xml:space="preserve">Hayman </v>
          </cell>
          <cell r="J59" t="str">
            <v>Hayman</v>
          </cell>
          <cell r="M59">
            <v>56</v>
          </cell>
        </row>
        <row r="60">
          <cell r="A60" t="str">
            <v>Gatton2014CvRichmond</v>
          </cell>
          <cell r="B60">
            <v>42096</v>
          </cell>
          <cell r="C60" t="str">
            <v>HarvestRipe</v>
          </cell>
          <cell r="D60" t="str">
            <v>Gatton</v>
          </cell>
          <cell r="F60">
            <v>41997</v>
          </cell>
          <cell r="G60">
            <v>2014</v>
          </cell>
          <cell r="H60">
            <v>50</v>
          </cell>
          <cell r="I60" t="str">
            <v>Richmond</v>
          </cell>
          <cell r="J60" t="str">
            <v>Richmond</v>
          </cell>
          <cell r="M60">
            <v>44</v>
          </cell>
        </row>
        <row r="61">
          <cell r="A61" t="str">
            <v>Gatton2018CvA6785</v>
          </cell>
          <cell r="B61">
            <v>43220</v>
          </cell>
          <cell r="C61" t="str">
            <v>HarvestRipe</v>
          </cell>
          <cell r="D61" t="str">
            <v>Gatton</v>
          </cell>
          <cell r="F61">
            <v>43125</v>
          </cell>
          <cell r="G61">
            <v>2018</v>
          </cell>
          <cell r="H61">
            <v>75</v>
          </cell>
          <cell r="I61" t="str">
            <v>A6785</v>
          </cell>
          <cell r="J61" t="str">
            <v>A6785</v>
          </cell>
          <cell r="K61">
            <v>25</v>
          </cell>
          <cell r="L61">
            <v>3</v>
          </cell>
          <cell r="M61">
            <v>38</v>
          </cell>
        </row>
        <row r="62">
          <cell r="A62" t="str">
            <v>Gatton2018CvBunya</v>
          </cell>
          <cell r="B62">
            <v>43226</v>
          </cell>
          <cell r="C62" t="str">
            <v>HarvestRipe</v>
          </cell>
          <cell r="D62" t="str">
            <v>Gatton</v>
          </cell>
          <cell r="F62">
            <v>43125</v>
          </cell>
          <cell r="G62">
            <v>2018</v>
          </cell>
          <cell r="H62">
            <v>75</v>
          </cell>
          <cell r="I62" t="str">
            <v>Bunya</v>
          </cell>
          <cell r="J62" t="str">
            <v>Bunya</v>
          </cell>
          <cell r="K62">
            <v>25</v>
          </cell>
          <cell r="L62">
            <v>3</v>
          </cell>
          <cell r="M62">
            <v>46</v>
          </cell>
        </row>
        <row r="63">
          <cell r="A63" t="str">
            <v>Gatton2018CvHayman</v>
          </cell>
          <cell r="B63">
            <v>43233</v>
          </cell>
          <cell r="C63" t="str">
            <v>HarvestRipe</v>
          </cell>
          <cell r="D63" t="str">
            <v>Gatton</v>
          </cell>
          <cell r="F63">
            <v>43125</v>
          </cell>
          <cell r="G63">
            <v>2018</v>
          </cell>
          <cell r="H63">
            <v>75</v>
          </cell>
          <cell r="I63" t="str">
            <v xml:space="preserve">Hayman </v>
          </cell>
          <cell r="J63" t="str">
            <v>Hayman</v>
          </cell>
          <cell r="K63">
            <v>25</v>
          </cell>
          <cell r="L63">
            <v>3</v>
          </cell>
          <cell r="M63">
            <v>55</v>
          </cell>
        </row>
        <row r="64">
          <cell r="A64" t="str">
            <v>Gatton2018CvKuranda</v>
          </cell>
          <cell r="B64">
            <v>43242</v>
          </cell>
          <cell r="C64" t="str">
            <v>HarvestRipe</v>
          </cell>
          <cell r="D64" t="str">
            <v>Gatton</v>
          </cell>
          <cell r="F64">
            <v>43125</v>
          </cell>
          <cell r="G64">
            <v>2018</v>
          </cell>
          <cell r="H64">
            <v>75</v>
          </cell>
          <cell r="I64" t="str">
            <v>Kuranda</v>
          </cell>
          <cell r="J64" t="str">
            <v>Kuranda</v>
          </cell>
          <cell r="K64">
            <v>25</v>
          </cell>
          <cell r="L64">
            <v>3</v>
          </cell>
          <cell r="M64">
            <v>62</v>
          </cell>
        </row>
        <row r="65">
          <cell r="A65" t="str">
            <v>Gatton2018CvRichmond</v>
          </cell>
          <cell r="B65">
            <v>43217</v>
          </cell>
          <cell r="C65" t="str">
            <v>HarvestRipe</v>
          </cell>
          <cell r="D65" t="str">
            <v>Gatton</v>
          </cell>
          <cell r="F65">
            <v>43125</v>
          </cell>
          <cell r="G65">
            <v>2018</v>
          </cell>
          <cell r="H65">
            <v>75</v>
          </cell>
          <cell r="I65" t="str">
            <v>Richmond</v>
          </cell>
          <cell r="J65" t="str">
            <v>Richmond</v>
          </cell>
          <cell r="K65">
            <v>25</v>
          </cell>
          <cell r="L65">
            <v>3</v>
          </cell>
          <cell r="M65">
            <v>36</v>
          </cell>
        </row>
        <row r="66">
          <cell r="A66" t="str">
            <v>Narrabri2012CvA6785RowSpacing025</v>
          </cell>
          <cell r="B66">
            <v>41389</v>
          </cell>
          <cell r="C66" t="str">
            <v>HarvestRipe</v>
          </cell>
          <cell r="D66" t="str">
            <v>Narrabri</v>
          </cell>
          <cell r="E66">
            <v>-35.711199999999998</v>
          </cell>
          <cell r="F66">
            <v>41258</v>
          </cell>
          <cell r="G66">
            <v>2012</v>
          </cell>
          <cell r="H66">
            <v>25</v>
          </cell>
          <cell r="I66" t="str">
            <v>A6785</v>
          </cell>
          <cell r="J66" t="str">
            <v>A6785</v>
          </cell>
          <cell r="K66">
            <v>25</v>
          </cell>
          <cell r="M66">
            <v>62</v>
          </cell>
        </row>
        <row r="67">
          <cell r="A67" t="str">
            <v>Narrabri2012CvBunyaRowSpacing025</v>
          </cell>
          <cell r="B67">
            <v>41389</v>
          </cell>
          <cell r="C67" t="str">
            <v>HarvestRipe</v>
          </cell>
          <cell r="D67" t="str">
            <v>Narrabri</v>
          </cell>
          <cell r="E67">
            <v>-35.711199999999998</v>
          </cell>
          <cell r="F67">
            <v>41258</v>
          </cell>
          <cell r="G67">
            <v>2012</v>
          </cell>
          <cell r="H67">
            <v>25</v>
          </cell>
          <cell r="I67" t="str">
            <v>Bunya</v>
          </cell>
          <cell r="J67" t="str">
            <v>Bunya</v>
          </cell>
          <cell r="K67">
            <v>25</v>
          </cell>
          <cell r="M67">
            <v>62</v>
          </cell>
        </row>
        <row r="68">
          <cell r="A68" t="str">
            <v>Narrabri2012CvRichmondRowSpacing025</v>
          </cell>
          <cell r="B68">
            <v>41389</v>
          </cell>
          <cell r="C68" t="str">
            <v>HarvestRipe</v>
          </cell>
          <cell r="D68" t="str">
            <v>Narrabri</v>
          </cell>
          <cell r="E68">
            <v>-35.711199999999998</v>
          </cell>
          <cell r="F68">
            <v>41258</v>
          </cell>
          <cell r="G68">
            <v>2012</v>
          </cell>
          <cell r="H68">
            <v>25</v>
          </cell>
          <cell r="I68" t="str">
            <v>Richmond</v>
          </cell>
          <cell r="J68" t="str">
            <v>Richmond</v>
          </cell>
          <cell r="K68">
            <v>25</v>
          </cell>
          <cell r="M68">
            <v>64</v>
          </cell>
        </row>
        <row r="69">
          <cell r="A69" t="str">
            <v>Narrabri2012CvA6785RowSpacing100</v>
          </cell>
          <cell r="B69">
            <v>41389</v>
          </cell>
          <cell r="C69" t="str">
            <v>HarvestRipe</v>
          </cell>
          <cell r="D69" t="str">
            <v>Narrabri</v>
          </cell>
          <cell r="E69">
            <v>-35.711199999999998</v>
          </cell>
          <cell r="F69">
            <v>41258</v>
          </cell>
          <cell r="G69">
            <v>2012</v>
          </cell>
          <cell r="H69">
            <v>100</v>
          </cell>
          <cell r="I69" t="str">
            <v>A6785</v>
          </cell>
          <cell r="J69" t="str">
            <v>A6785</v>
          </cell>
          <cell r="K69">
            <v>25</v>
          </cell>
          <cell r="M69">
            <v>62</v>
          </cell>
        </row>
        <row r="70">
          <cell r="A70" t="str">
            <v>Narrabri2012CvBunyaRowSpacing100</v>
          </cell>
          <cell r="B70">
            <v>41389</v>
          </cell>
          <cell r="C70" t="str">
            <v>HarvestRipe</v>
          </cell>
          <cell r="D70" t="str">
            <v>Narrabri</v>
          </cell>
          <cell r="E70">
            <v>-35.711199999999998</v>
          </cell>
          <cell r="F70">
            <v>41258</v>
          </cell>
          <cell r="G70">
            <v>2012</v>
          </cell>
          <cell r="H70">
            <v>100</v>
          </cell>
          <cell r="I70" t="str">
            <v>Bunya</v>
          </cell>
          <cell r="J70" t="str">
            <v>Bunya</v>
          </cell>
          <cell r="K70">
            <v>25</v>
          </cell>
          <cell r="M70">
            <v>62</v>
          </cell>
        </row>
        <row r="71">
          <cell r="A71" t="str">
            <v>Narrabri2012CvRichmondRowSpacing100</v>
          </cell>
          <cell r="B71">
            <v>41389</v>
          </cell>
          <cell r="C71" t="str">
            <v>HarvestRipe</v>
          </cell>
          <cell r="D71" t="str">
            <v>Narrabri</v>
          </cell>
          <cell r="E71">
            <v>-35.711199999999998</v>
          </cell>
          <cell r="F71">
            <v>41258</v>
          </cell>
          <cell r="G71">
            <v>2012</v>
          </cell>
          <cell r="H71">
            <v>100</v>
          </cell>
          <cell r="I71" t="str">
            <v>Richmond</v>
          </cell>
          <cell r="J71" t="str">
            <v>Richmond</v>
          </cell>
          <cell r="K71">
            <v>25</v>
          </cell>
          <cell r="M71">
            <v>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EA13-5541-477D-BC16-63D25DFD87DF}">
  <dimension ref="A1:O81"/>
  <sheetViews>
    <sheetView tabSelected="1" workbookViewId="0">
      <pane xSplit="1" ySplit="1" topLeftCell="F44" activePane="bottomRight" state="frozen"/>
      <selection pane="topRight" activeCell="B1" sqref="B1"/>
      <selection pane="bottomLeft" activeCell="A2" sqref="A2"/>
      <selection pane="bottomRight" activeCell="K69" sqref="K69"/>
    </sheetView>
  </sheetViews>
  <sheetFormatPr defaultRowHeight="14.25" x14ac:dyDescent="0.45"/>
  <cols>
    <col min="1" max="1" width="37.265625" bestFit="1" customWidth="1"/>
    <col min="2" max="3" width="23.73046875" customWidth="1"/>
    <col min="4" max="4" width="36" bestFit="1" customWidth="1"/>
    <col min="5" max="5" width="16.86328125" bestFit="1" customWidth="1"/>
    <col min="6" max="6" width="25.59765625" bestFit="1" customWidth="1"/>
    <col min="7" max="7" width="17.265625" bestFit="1" customWidth="1"/>
    <col min="8" max="8" width="19" bestFit="1" customWidth="1"/>
    <col min="9" max="9" width="31.3984375" bestFit="1" customWidth="1"/>
    <col min="10" max="10" width="30" bestFit="1" customWidth="1"/>
    <col min="12" max="14" width="9.9296875" bestFit="1" customWidth="1"/>
  </cols>
  <sheetData>
    <row r="1" spans="1:15" x14ac:dyDescent="0.45">
      <c r="A1" t="s">
        <v>3</v>
      </c>
      <c r="B1" t="s">
        <v>4</v>
      </c>
      <c r="C1" t="s">
        <v>85</v>
      </c>
      <c r="D1" t="s">
        <v>6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83</v>
      </c>
      <c r="K1" t="s">
        <v>84</v>
      </c>
    </row>
    <row r="2" spans="1:15" x14ac:dyDescent="0.45">
      <c r="A2" t="s">
        <v>67</v>
      </c>
      <c r="B2" s="1">
        <v>43319</v>
      </c>
      <c r="C2" s="1"/>
      <c r="D2" s="1" t="s">
        <v>7</v>
      </c>
      <c r="E2">
        <v>125</v>
      </c>
      <c r="F2">
        <v>9</v>
      </c>
      <c r="G2">
        <v>12</v>
      </c>
      <c r="H2">
        <v>420</v>
      </c>
      <c r="I2">
        <v>32</v>
      </c>
      <c r="J2">
        <v>110</v>
      </c>
      <c r="K2">
        <f>J2+10</f>
        <v>120</v>
      </c>
    </row>
    <row r="3" spans="1:15" x14ac:dyDescent="0.45">
      <c r="A3" t="s">
        <v>68</v>
      </c>
      <c r="B3" s="1">
        <v>43319</v>
      </c>
      <c r="C3" s="1"/>
      <c r="D3" s="1" t="s">
        <v>7</v>
      </c>
      <c r="E3">
        <v>148</v>
      </c>
      <c r="F3">
        <v>12</v>
      </c>
      <c r="G3">
        <v>17</v>
      </c>
      <c r="H3">
        <v>480</v>
      </c>
      <c r="I3">
        <v>38</v>
      </c>
      <c r="J3">
        <v>110</v>
      </c>
      <c r="K3">
        <f t="shared" ref="K3:K4" si="0">J3+10</f>
        <v>120</v>
      </c>
    </row>
    <row r="4" spans="1:15" x14ac:dyDescent="0.45">
      <c r="A4" t="s">
        <v>69</v>
      </c>
      <c r="B4" s="1">
        <v>43319</v>
      </c>
      <c r="C4" s="1" t="s">
        <v>86</v>
      </c>
      <c r="D4" s="1" t="s">
        <v>7</v>
      </c>
      <c r="E4">
        <v>158</v>
      </c>
      <c r="F4">
        <v>14</v>
      </c>
      <c r="G4">
        <v>18</v>
      </c>
      <c r="H4">
        <v>620</v>
      </c>
      <c r="I4">
        <v>45</v>
      </c>
      <c r="J4">
        <v>110</v>
      </c>
      <c r="K4">
        <f t="shared" si="0"/>
        <v>120</v>
      </c>
    </row>
    <row r="5" spans="1:15" x14ac:dyDescent="0.45">
      <c r="A5" t="s">
        <v>70</v>
      </c>
      <c r="B5" s="1">
        <v>43319</v>
      </c>
      <c r="C5" s="1"/>
      <c r="D5" s="1" t="s">
        <v>7</v>
      </c>
      <c r="E5">
        <v>210</v>
      </c>
      <c r="F5">
        <v>14</v>
      </c>
      <c r="G5">
        <v>18</v>
      </c>
      <c r="H5">
        <v>600</v>
      </c>
      <c r="I5">
        <v>48</v>
      </c>
      <c r="J5">
        <v>110</v>
      </c>
      <c r="K5">
        <f>J5+10</f>
        <v>120</v>
      </c>
    </row>
    <row r="6" spans="1:15" x14ac:dyDescent="0.45">
      <c r="A6" t="s">
        <v>89</v>
      </c>
      <c r="B6" s="1">
        <v>43319</v>
      </c>
      <c r="C6" s="1"/>
      <c r="D6" s="1" t="s">
        <v>7</v>
      </c>
      <c r="I6">
        <v>43</v>
      </c>
      <c r="J6">
        <v>110</v>
      </c>
      <c r="K6">
        <f>J6+10</f>
        <v>120</v>
      </c>
    </row>
    <row r="7" spans="1:15" x14ac:dyDescent="0.45">
      <c r="A7" t="s">
        <v>33</v>
      </c>
      <c r="B7" s="1">
        <v>41022</v>
      </c>
      <c r="C7" s="1"/>
      <c r="D7" s="1" t="s">
        <v>7</v>
      </c>
      <c r="E7">
        <v>407.6</v>
      </c>
      <c r="H7">
        <v>623.29999999999995</v>
      </c>
      <c r="I7">
        <f>VLOOKUP(A7,[1]Observed!$A:$M,13,0)</f>
        <v>48.5</v>
      </c>
      <c r="J7">
        <v>116</v>
      </c>
      <c r="K7">
        <v>128</v>
      </c>
    </row>
    <row r="8" spans="1:15" x14ac:dyDescent="0.45">
      <c r="A8" t="s">
        <v>38</v>
      </c>
      <c r="B8" s="1">
        <v>41010</v>
      </c>
      <c r="C8" s="1"/>
      <c r="D8" s="1" t="s">
        <v>7</v>
      </c>
      <c r="E8">
        <v>249.5</v>
      </c>
      <c r="H8">
        <v>523.29999999999995</v>
      </c>
      <c r="I8">
        <f>VLOOKUP(A8,[1]Observed!$A:$M,13,0)</f>
        <v>46.5</v>
      </c>
      <c r="J8">
        <v>104</v>
      </c>
      <c r="K8">
        <v>116</v>
      </c>
    </row>
    <row r="9" spans="1:15" x14ac:dyDescent="0.45">
      <c r="A9" t="s">
        <v>43</v>
      </c>
      <c r="B9" s="1">
        <v>41022</v>
      </c>
      <c r="C9" s="1" t="s">
        <v>86</v>
      </c>
      <c r="D9" s="1" t="s">
        <v>7</v>
      </c>
      <c r="E9">
        <v>322.2</v>
      </c>
      <c r="H9">
        <v>770</v>
      </c>
      <c r="I9">
        <f>VLOOKUP(A9,[1]Observed!$A:$M,13,0)</f>
        <v>52.5</v>
      </c>
      <c r="J9">
        <v>120</v>
      </c>
      <c r="K9">
        <v>128</v>
      </c>
    </row>
    <row r="10" spans="1:15" x14ac:dyDescent="0.45">
      <c r="A10" t="s">
        <v>23</v>
      </c>
      <c r="B10" s="1">
        <v>41022</v>
      </c>
      <c r="C10" s="1"/>
      <c r="D10" s="1" t="s">
        <v>7</v>
      </c>
      <c r="E10">
        <v>378.6</v>
      </c>
      <c r="H10">
        <v>666.7</v>
      </c>
      <c r="I10">
        <f>VLOOKUP(A10,[1]Observed!$A:$M,13,0)</f>
        <v>57.5</v>
      </c>
      <c r="J10">
        <v>120</v>
      </c>
      <c r="K10">
        <v>128</v>
      </c>
    </row>
    <row r="11" spans="1:15" x14ac:dyDescent="0.45">
      <c r="A11" t="s">
        <v>28</v>
      </c>
      <c r="B11" s="1">
        <v>41015</v>
      </c>
      <c r="C11" s="1"/>
      <c r="D11" s="1" t="s">
        <v>7</v>
      </c>
      <c r="E11">
        <v>217.3</v>
      </c>
      <c r="H11">
        <v>533.29999999999995</v>
      </c>
      <c r="I11">
        <f>VLOOKUP(A11,[1]Observed!$A:$M,13,0)</f>
        <v>46.5</v>
      </c>
      <c r="J11">
        <v>110</v>
      </c>
      <c r="K11">
        <v>121</v>
      </c>
    </row>
    <row r="12" spans="1:15" x14ac:dyDescent="0.45">
      <c r="A12" t="s">
        <v>87</v>
      </c>
      <c r="B12" s="1">
        <v>41022</v>
      </c>
      <c r="C12" s="1"/>
      <c r="D12" s="1" t="s">
        <v>7</v>
      </c>
      <c r="I12">
        <v>54</v>
      </c>
      <c r="J12">
        <v>116</v>
      </c>
      <c r="K12">
        <v>128</v>
      </c>
      <c r="L12" s="1"/>
      <c r="M12" s="1"/>
      <c r="N12" s="1"/>
      <c r="O12" s="1"/>
    </row>
    <row r="13" spans="1:15" x14ac:dyDescent="0.45">
      <c r="A13" t="s">
        <v>34</v>
      </c>
      <c r="B13" s="1">
        <v>41022</v>
      </c>
      <c r="C13" s="1"/>
      <c r="D13" s="1" t="s">
        <v>7</v>
      </c>
      <c r="E13">
        <v>343.2</v>
      </c>
      <c r="H13">
        <v>670</v>
      </c>
      <c r="I13">
        <f>VLOOKUP(A13,[1]Observed!$A:$M,13,0)</f>
        <v>40.5</v>
      </c>
      <c r="J13">
        <v>94</v>
      </c>
      <c r="K13">
        <v>101</v>
      </c>
    </row>
    <row r="14" spans="1:15" x14ac:dyDescent="0.45">
      <c r="A14" t="s">
        <v>39</v>
      </c>
      <c r="B14" s="1">
        <v>41027</v>
      </c>
      <c r="C14" s="1"/>
      <c r="D14" s="1" t="s">
        <v>7</v>
      </c>
      <c r="E14">
        <v>273.39999999999998</v>
      </c>
      <c r="H14">
        <v>566.70000000000005</v>
      </c>
      <c r="I14">
        <f>VLOOKUP(A14,[1]Observed!$A:$M,13,0)</f>
        <v>38.5</v>
      </c>
      <c r="J14">
        <v>94</v>
      </c>
      <c r="K14">
        <v>106</v>
      </c>
    </row>
    <row r="15" spans="1:15" x14ac:dyDescent="0.45">
      <c r="A15" t="s">
        <v>20</v>
      </c>
      <c r="B15" s="1">
        <v>41033</v>
      </c>
      <c r="C15" s="1" t="s">
        <v>86</v>
      </c>
      <c r="D15" s="1" t="s">
        <v>7</v>
      </c>
      <c r="E15">
        <v>343.2</v>
      </c>
      <c r="H15">
        <v>826.7</v>
      </c>
      <c r="I15">
        <f>VLOOKUP(A15,[1]Observed!$A:$M,13,0)</f>
        <v>47.5</v>
      </c>
      <c r="J15">
        <v>106</v>
      </c>
      <c r="K15">
        <v>112</v>
      </c>
    </row>
    <row r="16" spans="1:15" x14ac:dyDescent="0.45">
      <c r="A16" t="s">
        <v>24</v>
      </c>
      <c r="B16" s="1">
        <v>41033</v>
      </c>
      <c r="C16" s="1"/>
      <c r="D16" s="1" t="s">
        <v>7</v>
      </c>
      <c r="E16">
        <v>306.89999999999998</v>
      </c>
      <c r="H16">
        <v>730</v>
      </c>
      <c r="I16">
        <f>VLOOKUP(A16,[1]Observed!$A:$M,13,0)</f>
        <v>47.5</v>
      </c>
      <c r="J16">
        <v>106</v>
      </c>
      <c r="K16">
        <v>112</v>
      </c>
    </row>
    <row r="17" spans="1:11" x14ac:dyDescent="0.45">
      <c r="A17" t="s">
        <v>29</v>
      </c>
      <c r="B17" s="1">
        <v>41027</v>
      </c>
      <c r="C17" s="1"/>
      <c r="D17" s="1" t="s">
        <v>7</v>
      </c>
      <c r="E17">
        <v>226.4</v>
      </c>
      <c r="H17">
        <v>413.29999999999995</v>
      </c>
      <c r="I17">
        <f>VLOOKUP(A17,[1]Observed!$A:$M,13,0)</f>
        <v>38.5</v>
      </c>
      <c r="J17">
        <v>94</v>
      </c>
      <c r="K17">
        <v>106</v>
      </c>
    </row>
    <row r="18" spans="1:11" x14ac:dyDescent="0.45">
      <c r="A18" t="s">
        <v>88</v>
      </c>
      <c r="B18" s="1">
        <v>44320</v>
      </c>
      <c r="C18" s="1"/>
      <c r="D18" s="1" t="s">
        <v>7</v>
      </c>
      <c r="I18">
        <v>40</v>
      </c>
      <c r="J18">
        <v>101</v>
      </c>
      <c r="K18">
        <v>112</v>
      </c>
    </row>
    <row r="19" spans="1:11" x14ac:dyDescent="0.45">
      <c r="A19" t="s">
        <v>32</v>
      </c>
      <c r="B19" s="1">
        <v>41751</v>
      </c>
      <c r="C19" s="1"/>
      <c r="D19" s="1" t="s">
        <v>7</v>
      </c>
      <c r="E19">
        <v>324</v>
      </c>
      <c r="H19">
        <v>516.70000000000005</v>
      </c>
      <c r="I19">
        <f>VLOOKUP(A19,[1]Observed!$A:$M,13,0)</f>
        <v>48.5</v>
      </c>
      <c r="J19">
        <v>106</v>
      </c>
      <c r="K19">
        <v>120</v>
      </c>
    </row>
    <row r="20" spans="1:11" x14ac:dyDescent="0.45">
      <c r="A20" t="s">
        <v>37</v>
      </c>
      <c r="B20" s="1">
        <v>41737</v>
      </c>
      <c r="C20" s="1"/>
      <c r="D20" s="1" t="s">
        <v>7</v>
      </c>
      <c r="E20">
        <v>249</v>
      </c>
      <c r="H20">
        <v>420</v>
      </c>
      <c r="I20">
        <f>VLOOKUP(A20,[1]Observed!$A:$M,13,0)</f>
        <v>42.5</v>
      </c>
      <c r="J20">
        <v>100</v>
      </c>
      <c r="K20">
        <v>106</v>
      </c>
    </row>
    <row r="21" spans="1:11" x14ac:dyDescent="0.45">
      <c r="A21" t="s">
        <v>42</v>
      </c>
      <c r="B21" s="1">
        <v>41751</v>
      </c>
      <c r="C21" s="1" t="s">
        <v>86</v>
      </c>
      <c r="D21" s="1" t="s">
        <v>7</v>
      </c>
      <c r="E21">
        <v>274</v>
      </c>
      <c r="H21">
        <v>656.7</v>
      </c>
      <c r="I21">
        <f>VLOOKUP(A21,[1]Observed!$A:$M,13,0)</f>
        <v>54.5</v>
      </c>
      <c r="J21">
        <v>108</v>
      </c>
      <c r="K21">
        <v>120</v>
      </c>
    </row>
    <row r="22" spans="1:11" x14ac:dyDescent="0.45">
      <c r="A22" t="s">
        <v>27</v>
      </c>
      <c r="B22" s="1">
        <v>41745</v>
      </c>
      <c r="C22" s="1"/>
      <c r="D22" s="1" t="s">
        <v>7</v>
      </c>
      <c r="E22">
        <v>263</v>
      </c>
      <c r="H22">
        <v>351.1</v>
      </c>
      <c r="I22">
        <f>VLOOKUP(A22,[1]Observed!$A:$M,13,0)</f>
        <v>42.5</v>
      </c>
      <c r="J22">
        <v>104</v>
      </c>
      <c r="K22">
        <v>114</v>
      </c>
    </row>
    <row r="23" spans="1:11" x14ac:dyDescent="0.45">
      <c r="A23" t="s">
        <v>30</v>
      </c>
      <c r="B23" s="1">
        <v>43206</v>
      </c>
      <c r="C23" s="1"/>
      <c r="D23" s="1" t="s">
        <v>7</v>
      </c>
      <c r="E23">
        <v>369.9</v>
      </c>
      <c r="H23">
        <v>753.3</v>
      </c>
      <c r="I23">
        <f>VLOOKUP(A23,[1]Observed!$A:$M,13,0)</f>
        <v>44.5</v>
      </c>
      <c r="J23">
        <v>112</v>
      </c>
      <c r="K23">
        <v>119</v>
      </c>
    </row>
    <row r="24" spans="1:11" x14ac:dyDescent="0.45">
      <c r="A24" t="s">
        <v>35</v>
      </c>
      <c r="B24" s="1">
        <v>43206</v>
      </c>
      <c r="C24" s="1"/>
      <c r="D24" s="1" t="s">
        <v>7</v>
      </c>
      <c r="E24">
        <v>279.89999999999998</v>
      </c>
      <c r="H24">
        <v>566.70000000000005</v>
      </c>
      <c r="I24">
        <f>VLOOKUP(A24,[1]Observed!$A:$M,13,0)</f>
        <v>44.5</v>
      </c>
      <c r="J24">
        <v>99</v>
      </c>
      <c r="K24">
        <v>119</v>
      </c>
    </row>
    <row r="25" spans="1:11" x14ac:dyDescent="0.45">
      <c r="A25" t="s">
        <v>40</v>
      </c>
      <c r="B25" s="1">
        <v>43210</v>
      </c>
      <c r="C25" s="1" t="s">
        <v>86</v>
      </c>
      <c r="D25" s="1" t="s">
        <v>7</v>
      </c>
      <c r="E25">
        <v>374.9</v>
      </c>
      <c r="H25">
        <v>1083.3</v>
      </c>
      <c r="I25">
        <f>VLOOKUP(A25,[1]Observed!$A:$M,13,0)</f>
        <v>55.5</v>
      </c>
      <c r="J25">
        <v>112</v>
      </c>
      <c r="K25">
        <v>123</v>
      </c>
    </row>
    <row r="26" spans="1:11" x14ac:dyDescent="0.45">
      <c r="A26" t="s">
        <v>21</v>
      </c>
      <c r="B26" s="1">
        <v>43214</v>
      </c>
      <c r="C26" s="1"/>
      <c r="D26" s="1" t="s">
        <v>7</v>
      </c>
      <c r="E26">
        <v>376.1</v>
      </c>
      <c r="H26">
        <v>950</v>
      </c>
      <c r="I26">
        <f>VLOOKUP(A26,[1]Observed!$A:$M,13,0)</f>
        <v>55.5</v>
      </c>
      <c r="J26">
        <v>119</v>
      </c>
      <c r="K26">
        <v>127</v>
      </c>
    </row>
    <row r="27" spans="1:11" x14ac:dyDescent="0.45">
      <c r="A27" t="s">
        <v>25</v>
      </c>
      <c r="B27" s="1">
        <v>43206</v>
      </c>
      <c r="C27" s="1"/>
      <c r="D27" s="1" t="s">
        <v>7</v>
      </c>
      <c r="E27">
        <v>368</v>
      </c>
      <c r="H27">
        <v>693.3</v>
      </c>
      <c r="I27">
        <f>VLOOKUP(A27,[1]Observed!$A:$M,13,0)</f>
        <v>44.5</v>
      </c>
      <c r="J27">
        <v>112</v>
      </c>
      <c r="K27">
        <v>119</v>
      </c>
    </row>
    <row r="28" spans="1:11" x14ac:dyDescent="0.45">
      <c r="A28" t="s">
        <v>31</v>
      </c>
      <c r="B28" s="1">
        <v>43214</v>
      </c>
      <c r="C28" s="1"/>
      <c r="D28" s="1" t="s">
        <v>7</v>
      </c>
      <c r="E28">
        <v>342</v>
      </c>
      <c r="H28">
        <v>726.7</v>
      </c>
      <c r="I28">
        <f>VLOOKUP(A28,[1]Observed!$A:$M,13,0)</f>
        <v>43.5</v>
      </c>
      <c r="J28">
        <v>94</v>
      </c>
      <c r="K28">
        <v>102</v>
      </c>
    </row>
    <row r="29" spans="1:11" x14ac:dyDescent="0.45">
      <c r="A29" t="s">
        <v>36</v>
      </c>
      <c r="B29" s="1">
        <v>43214</v>
      </c>
      <c r="C29" s="1"/>
      <c r="D29" s="1" t="s">
        <v>7</v>
      </c>
      <c r="E29">
        <v>284</v>
      </c>
      <c r="H29">
        <v>550</v>
      </c>
      <c r="I29">
        <f>VLOOKUP(A29,[1]Observed!$A:$M,13,0)</f>
        <v>43.5</v>
      </c>
      <c r="J29">
        <v>94</v>
      </c>
      <c r="K29">
        <v>102</v>
      </c>
    </row>
    <row r="30" spans="1:11" x14ac:dyDescent="0.45">
      <c r="A30" t="s">
        <v>41</v>
      </c>
      <c r="B30" s="1">
        <v>43234</v>
      </c>
      <c r="C30" s="1" t="s">
        <v>86</v>
      </c>
      <c r="D30" s="1" t="s">
        <v>7</v>
      </c>
      <c r="E30">
        <v>327</v>
      </c>
      <c r="H30">
        <v>943.3</v>
      </c>
      <c r="I30">
        <f>VLOOKUP(A30,[1]Observed!$A:$M,13,0)</f>
        <v>49.5</v>
      </c>
      <c r="J30">
        <v>108</v>
      </c>
      <c r="K30">
        <v>122</v>
      </c>
    </row>
    <row r="31" spans="1:11" x14ac:dyDescent="0.45">
      <c r="A31" t="s">
        <v>22</v>
      </c>
      <c r="B31" s="1">
        <v>43234</v>
      </c>
      <c r="C31" s="1"/>
      <c r="D31" s="1" t="s">
        <v>7</v>
      </c>
      <c r="E31">
        <v>335</v>
      </c>
      <c r="H31">
        <v>993.3</v>
      </c>
      <c r="I31">
        <f>VLOOKUP(A31,[1]Observed!$A:$M,13,0)</f>
        <v>47.5</v>
      </c>
      <c r="J31">
        <v>108</v>
      </c>
      <c r="K31">
        <v>122</v>
      </c>
    </row>
    <row r="32" spans="1:11" x14ac:dyDescent="0.45">
      <c r="A32" t="s">
        <v>26</v>
      </c>
      <c r="B32" s="1">
        <v>43224</v>
      </c>
      <c r="C32" s="1"/>
      <c r="D32" s="1" t="s">
        <v>7</v>
      </c>
      <c r="E32">
        <v>335</v>
      </c>
      <c r="H32">
        <v>583.29999999999995</v>
      </c>
      <c r="I32">
        <f>VLOOKUP(A32,[1]Observed!$A:$M,13,0)</f>
        <v>43.5</v>
      </c>
      <c r="J32">
        <v>98</v>
      </c>
      <c r="K32">
        <v>112</v>
      </c>
    </row>
    <row r="33" spans="1:11" x14ac:dyDescent="0.45">
      <c r="A33" t="s">
        <v>2</v>
      </c>
      <c r="B33" s="1">
        <v>44688</v>
      </c>
      <c r="C33" s="1"/>
      <c r="D33" s="1" t="s">
        <v>7</v>
      </c>
      <c r="E33">
        <v>319.60000000000002</v>
      </c>
      <c r="F33">
        <v>12</v>
      </c>
      <c r="G33">
        <v>30</v>
      </c>
      <c r="H33">
        <v>720</v>
      </c>
      <c r="I33">
        <v>47.5</v>
      </c>
      <c r="J33">
        <v>98</v>
      </c>
      <c r="K33">
        <v>105</v>
      </c>
    </row>
    <row r="34" spans="1:11" x14ac:dyDescent="0.45">
      <c r="A34" t="s">
        <v>1</v>
      </c>
      <c r="B34" s="1">
        <v>44688</v>
      </c>
      <c r="C34" s="1"/>
      <c r="D34" s="1" t="s">
        <v>7</v>
      </c>
      <c r="E34">
        <v>377.3</v>
      </c>
      <c r="F34">
        <v>13</v>
      </c>
      <c r="G34">
        <v>25</v>
      </c>
      <c r="H34">
        <v>780</v>
      </c>
      <c r="I34">
        <v>49</v>
      </c>
      <c r="J34">
        <v>98</v>
      </c>
      <c r="K34">
        <v>105</v>
      </c>
    </row>
    <row r="35" spans="1:11" x14ac:dyDescent="0.45">
      <c r="A35" t="s">
        <v>12</v>
      </c>
      <c r="B35" s="1">
        <v>44701</v>
      </c>
      <c r="C35" s="1" t="s">
        <v>86</v>
      </c>
      <c r="D35" s="1" t="s">
        <v>7</v>
      </c>
      <c r="E35">
        <v>328</v>
      </c>
      <c r="F35">
        <v>16</v>
      </c>
      <c r="G35">
        <v>28</v>
      </c>
      <c r="H35">
        <v>920</v>
      </c>
      <c r="I35">
        <v>54</v>
      </c>
      <c r="J35">
        <v>113</v>
      </c>
      <c r="K35">
        <v>118</v>
      </c>
    </row>
    <row r="36" spans="1:11" x14ac:dyDescent="0.45">
      <c r="A36" t="s">
        <v>0</v>
      </c>
      <c r="B36" s="1">
        <v>44708</v>
      </c>
      <c r="C36" s="1"/>
      <c r="D36" s="1" t="s">
        <v>7</v>
      </c>
      <c r="E36">
        <v>340.8</v>
      </c>
      <c r="F36">
        <v>15</v>
      </c>
      <c r="G36">
        <v>28</v>
      </c>
      <c r="H36">
        <v>850</v>
      </c>
      <c r="I36">
        <v>55</v>
      </c>
      <c r="J36">
        <v>115</v>
      </c>
      <c r="K36">
        <v>125</v>
      </c>
    </row>
    <row r="37" spans="1:11" x14ac:dyDescent="0.45">
      <c r="A37" t="s">
        <v>19</v>
      </c>
      <c r="B37" s="1">
        <v>45374</v>
      </c>
      <c r="C37" s="1"/>
      <c r="D37" s="1" t="s">
        <v>7</v>
      </c>
      <c r="E37">
        <v>250</v>
      </c>
      <c r="F37">
        <v>12</v>
      </c>
      <c r="G37">
        <v>32</v>
      </c>
      <c r="H37">
        <v>720</v>
      </c>
      <c r="I37">
        <v>48</v>
      </c>
      <c r="J37">
        <v>99</v>
      </c>
      <c r="K37">
        <v>110</v>
      </c>
    </row>
    <row r="38" spans="1:11" x14ac:dyDescent="0.45">
      <c r="A38" t="s">
        <v>17</v>
      </c>
      <c r="B38" s="1">
        <v>45369</v>
      </c>
      <c r="C38" s="1"/>
      <c r="D38" s="1" t="s">
        <v>7</v>
      </c>
      <c r="E38">
        <v>255.3</v>
      </c>
      <c r="F38">
        <v>13</v>
      </c>
      <c r="G38">
        <v>28</v>
      </c>
      <c r="H38">
        <v>750</v>
      </c>
      <c r="I38">
        <v>46</v>
      </c>
      <c r="J38">
        <v>101</v>
      </c>
      <c r="K38">
        <v>105</v>
      </c>
    </row>
    <row r="39" spans="1:11" x14ac:dyDescent="0.45">
      <c r="A39" t="s">
        <v>18</v>
      </c>
      <c r="B39" s="1">
        <v>45379</v>
      </c>
      <c r="C39" s="1" t="s">
        <v>86</v>
      </c>
      <c r="D39" s="1" t="s">
        <v>7</v>
      </c>
      <c r="E39">
        <v>310</v>
      </c>
      <c r="F39">
        <v>16</v>
      </c>
      <c r="G39">
        <v>25</v>
      </c>
      <c r="H39">
        <v>880</v>
      </c>
      <c r="I39">
        <v>62</v>
      </c>
      <c r="J39">
        <v>110</v>
      </c>
      <c r="K39">
        <v>115</v>
      </c>
    </row>
    <row r="40" spans="1:11" x14ac:dyDescent="0.45">
      <c r="A40" t="s">
        <v>16</v>
      </c>
      <c r="B40" s="1">
        <v>45423</v>
      </c>
      <c r="C40" s="1"/>
      <c r="D40" s="1" t="s">
        <v>7</v>
      </c>
      <c r="E40">
        <v>299.5</v>
      </c>
      <c r="F40">
        <v>12</v>
      </c>
      <c r="G40">
        <v>28</v>
      </c>
      <c r="H40">
        <v>650</v>
      </c>
      <c r="I40">
        <v>41</v>
      </c>
      <c r="J40">
        <v>100</v>
      </c>
      <c r="K40">
        <v>115</v>
      </c>
    </row>
    <row r="41" spans="1:11" x14ac:dyDescent="0.45">
      <c r="A41" t="s">
        <v>14</v>
      </c>
      <c r="B41" s="1">
        <v>45415</v>
      </c>
      <c r="C41" s="1"/>
      <c r="D41" s="1" t="s">
        <v>7</v>
      </c>
      <c r="E41">
        <v>335</v>
      </c>
      <c r="F41">
        <v>13</v>
      </c>
      <c r="G41">
        <v>25</v>
      </c>
      <c r="H41">
        <v>620</v>
      </c>
      <c r="I41">
        <v>44</v>
      </c>
      <c r="J41">
        <v>100</v>
      </c>
      <c r="K41">
        <v>107</v>
      </c>
    </row>
    <row r="42" spans="1:11" x14ac:dyDescent="0.45">
      <c r="A42" t="s">
        <v>13</v>
      </c>
      <c r="B42" s="1">
        <v>45433</v>
      </c>
      <c r="C42" s="1" t="s">
        <v>86</v>
      </c>
      <c r="D42" s="1" t="s">
        <v>7</v>
      </c>
      <c r="E42">
        <v>344.30769230769226</v>
      </c>
      <c r="F42">
        <v>18.399999999999999</v>
      </c>
      <c r="G42">
        <v>34.799999999999997</v>
      </c>
      <c r="H42">
        <v>800</v>
      </c>
      <c r="I42">
        <v>50.6</v>
      </c>
      <c r="J42">
        <v>115</v>
      </c>
      <c r="K42">
        <v>125</v>
      </c>
    </row>
    <row r="43" spans="1:11" x14ac:dyDescent="0.45">
      <c r="A43" t="s">
        <v>15</v>
      </c>
      <c r="B43" s="1">
        <v>45433</v>
      </c>
      <c r="C43" s="1"/>
      <c r="D43" s="1" t="s">
        <v>7</v>
      </c>
      <c r="E43">
        <v>400.5</v>
      </c>
      <c r="F43">
        <v>16</v>
      </c>
      <c r="G43">
        <v>32</v>
      </c>
      <c r="H43">
        <v>900</v>
      </c>
      <c r="I43">
        <v>53</v>
      </c>
      <c r="J43">
        <v>118</v>
      </c>
      <c r="K43">
        <v>125</v>
      </c>
    </row>
    <row r="44" spans="1:11" x14ac:dyDescent="0.45">
      <c r="A44" t="s">
        <v>46</v>
      </c>
      <c r="B44" s="1">
        <v>40660.333333333336</v>
      </c>
      <c r="C44" s="1"/>
      <c r="D44" s="1" t="s">
        <v>7</v>
      </c>
      <c r="E44">
        <v>476.53690662793633</v>
      </c>
      <c r="H44">
        <v>946.66666666666674</v>
      </c>
      <c r="I44" s="2">
        <v>48.666666666666664</v>
      </c>
      <c r="J44" s="2">
        <v>120.33333333333333</v>
      </c>
      <c r="K44" s="2">
        <v>126.33333333333333</v>
      </c>
    </row>
    <row r="45" spans="1:11" x14ac:dyDescent="0.45">
      <c r="A45" t="s">
        <v>45</v>
      </c>
      <c r="B45" s="1">
        <v>40655</v>
      </c>
      <c r="C45" s="1"/>
      <c r="D45" s="1" t="s">
        <v>7</v>
      </c>
      <c r="E45">
        <v>533.56545246414976</v>
      </c>
      <c r="H45">
        <v>790</v>
      </c>
      <c r="I45" s="2">
        <v>45</v>
      </c>
      <c r="J45" s="2">
        <v>115</v>
      </c>
      <c r="K45" s="2">
        <v>121</v>
      </c>
    </row>
    <row r="46" spans="1:11" x14ac:dyDescent="0.45">
      <c r="A46" t="s">
        <v>44</v>
      </c>
      <c r="B46" s="1">
        <v>40660.333333333336</v>
      </c>
      <c r="C46" s="1" t="s">
        <v>86</v>
      </c>
      <c r="D46" s="1" t="s">
        <v>7</v>
      </c>
      <c r="E46">
        <v>574.17685539356</v>
      </c>
      <c r="H46">
        <v>1136.6666666666667</v>
      </c>
      <c r="I46" s="2">
        <v>55.333333333333336</v>
      </c>
      <c r="J46" s="2">
        <v>120.33333333333333</v>
      </c>
      <c r="K46" s="2">
        <v>126.33333333333333</v>
      </c>
    </row>
    <row r="47" spans="1:11" x14ac:dyDescent="0.45">
      <c r="A47" t="s">
        <v>47</v>
      </c>
      <c r="B47" s="1">
        <v>40660</v>
      </c>
      <c r="C47" s="1"/>
      <c r="D47" s="1" t="s">
        <v>7</v>
      </c>
      <c r="E47">
        <v>441.20061775151919</v>
      </c>
      <c r="I47">
        <v>46.5</v>
      </c>
      <c r="J47">
        <v>107</v>
      </c>
      <c r="K47">
        <v>113</v>
      </c>
    </row>
    <row r="48" spans="1:11" x14ac:dyDescent="0.45">
      <c r="A48" t="s">
        <v>47</v>
      </c>
      <c r="B48" s="1">
        <v>40661</v>
      </c>
      <c r="C48" s="1"/>
      <c r="D48" s="1" t="s">
        <v>7</v>
      </c>
      <c r="E48">
        <v>483.51275763308951</v>
      </c>
      <c r="I48">
        <v>47.5</v>
      </c>
      <c r="J48">
        <v>108</v>
      </c>
      <c r="K48">
        <v>114</v>
      </c>
    </row>
    <row r="49" spans="1:11" x14ac:dyDescent="0.45">
      <c r="A49" t="s">
        <v>48</v>
      </c>
      <c r="B49" s="1">
        <v>40663.5</v>
      </c>
      <c r="C49" s="1"/>
      <c r="D49" s="1" t="s">
        <v>7</v>
      </c>
      <c r="E49">
        <v>414.89793833688009</v>
      </c>
      <c r="I49">
        <v>47.5</v>
      </c>
      <c r="J49">
        <v>110.5</v>
      </c>
      <c r="K49">
        <v>116.5</v>
      </c>
    </row>
    <row r="50" spans="1:11" x14ac:dyDescent="0.45">
      <c r="A50" t="s">
        <v>48</v>
      </c>
      <c r="B50" s="1">
        <v>40663.5</v>
      </c>
      <c r="C50" s="1"/>
      <c r="D50" s="1" t="s">
        <v>7</v>
      </c>
      <c r="E50">
        <v>509.549094386023</v>
      </c>
      <c r="I50">
        <v>47.5</v>
      </c>
      <c r="J50">
        <v>110.5</v>
      </c>
      <c r="K50">
        <v>116.5</v>
      </c>
    </row>
    <row r="51" spans="1:11" x14ac:dyDescent="0.45">
      <c r="A51" t="s">
        <v>49</v>
      </c>
      <c r="B51" s="1">
        <v>40661.5</v>
      </c>
      <c r="C51" s="1"/>
      <c r="D51" s="1" t="s">
        <v>7</v>
      </c>
      <c r="E51">
        <v>549.93581685666686</v>
      </c>
      <c r="I51">
        <v>44.5</v>
      </c>
      <c r="J51">
        <v>108.5</v>
      </c>
      <c r="K51">
        <v>114.5</v>
      </c>
    </row>
    <row r="52" spans="1:11" x14ac:dyDescent="0.45">
      <c r="A52" t="s">
        <v>59</v>
      </c>
      <c r="B52" s="1">
        <v>41752</v>
      </c>
      <c r="C52" s="1"/>
      <c r="D52" s="1" t="s">
        <v>7</v>
      </c>
      <c r="E52">
        <v>199.5</v>
      </c>
      <c r="H52">
        <v>750</v>
      </c>
      <c r="I52">
        <v>54</v>
      </c>
      <c r="J52">
        <v>125</v>
      </c>
      <c r="K52">
        <f t="shared" ref="K52:K69" si="1">J52+10</f>
        <v>135</v>
      </c>
    </row>
    <row r="53" spans="1:11" x14ac:dyDescent="0.45">
      <c r="A53" t="s">
        <v>60</v>
      </c>
      <c r="B53" s="1">
        <v>41747</v>
      </c>
      <c r="C53" s="1"/>
      <c r="D53" s="1" t="s">
        <v>7</v>
      </c>
      <c r="E53">
        <v>179.4</v>
      </c>
      <c r="H53">
        <v>560</v>
      </c>
      <c r="I53">
        <v>50</v>
      </c>
      <c r="J53">
        <v>120</v>
      </c>
      <c r="K53">
        <f t="shared" si="1"/>
        <v>130</v>
      </c>
    </row>
    <row r="54" spans="1:11" x14ac:dyDescent="0.45">
      <c r="A54" t="s">
        <v>61</v>
      </c>
      <c r="B54" s="1">
        <v>41765</v>
      </c>
      <c r="C54" s="1"/>
      <c r="D54" s="1" t="s">
        <v>7</v>
      </c>
      <c r="E54">
        <v>245.5</v>
      </c>
      <c r="H54">
        <v>880</v>
      </c>
      <c r="I54">
        <v>65</v>
      </c>
      <c r="J54">
        <v>138</v>
      </c>
      <c r="K54">
        <f t="shared" si="1"/>
        <v>148</v>
      </c>
    </row>
    <row r="55" spans="1:11" x14ac:dyDescent="0.45">
      <c r="A55" t="s">
        <v>62</v>
      </c>
      <c r="B55" s="1">
        <v>41748</v>
      </c>
      <c r="C55" s="1"/>
      <c r="D55" s="1" t="s">
        <v>7</v>
      </c>
      <c r="E55">
        <v>176.9</v>
      </c>
      <c r="H55">
        <v>620</v>
      </c>
      <c r="I55">
        <v>51</v>
      </c>
      <c r="J55">
        <v>121</v>
      </c>
      <c r="K55">
        <f t="shared" si="1"/>
        <v>131</v>
      </c>
    </row>
    <row r="56" spans="1:11" x14ac:dyDescent="0.45">
      <c r="A56" t="s">
        <v>63</v>
      </c>
      <c r="B56" s="1">
        <v>41754</v>
      </c>
      <c r="C56" s="1"/>
      <c r="D56" s="1" t="s">
        <v>7</v>
      </c>
      <c r="E56">
        <v>241.6</v>
      </c>
      <c r="H56">
        <v>1040</v>
      </c>
      <c r="I56">
        <v>55</v>
      </c>
      <c r="J56">
        <v>135</v>
      </c>
      <c r="K56">
        <f t="shared" si="1"/>
        <v>145</v>
      </c>
    </row>
    <row r="57" spans="1:11" x14ac:dyDescent="0.45">
      <c r="A57" t="s">
        <v>64</v>
      </c>
      <c r="B57" s="1">
        <v>41739</v>
      </c>
      <c r="C57" s="1"/>
      <c r="D57" s="1" t="s">
        <v>7</v>
      </c>
      <c r="E57">
        <v>255.3</v>
      </c>
      <c r="H57">
        <v>970</v>
      </c>
      <c r="I57">
        <v>50</v>
      </c>
      <c r="J57">
        <v>120</v>
      </c>
      <c r="K57">
        <f t="shared" si="1"/>
        <v>130</v>
      </c>
    </row>
    <row r="58" spans="1:11" x14ac:dyDescent="0.45">
      <c r="A58" t="s">
        <v>65</v>
      </c>
      <c r="B58" s="1">
        <v>41763</v>
      </c>
      <c r="C58" s="1" t="s">
        <v>86</v>
      </c>
      <c r="D58" s="1" t="s">
        <v>7</v>
      </c>
      <c r="E58">
        <v>246.3</v>
      </c>
      <c r="H58">
        <v>1320</v>
      </c>
      <c r="I58">
        <v>66</v>
      </c>
      <c r="J58">
        <v>144</v>
      </c>
      <c r="K58">
        <f t="shared" si="1"/>
        <v>154</v>
      </c>
    </row>
    <row r="59" spans="1:11" x14ac:dyDescent="0.45">
      <c r="A59" t="s">
        <v>66</v>
      </c>
      <c r="B59" s="1">
        <v>41744</v>
      </c>
      <c r="C59" s="1"/>
      <c r="D59" s="1" t="s">
        <v>7</v>
      </c>
      <c r="E59">
        <v>305.8</v>
      </c>
      <c r="H59">
        <v>950</v>
      </c>
      <c r="I59">
        <v>52</v>
      </c>
      <c r="J59">
        <v>125</v>
      </c>
      <c r="K59">
        <f t="shared" si="1"/>
        <v>135</v>
      </c>
    </row>
    <row r="60" spans="1:11" x14ac:dyDescent="0.45">
      <c r="A60" t="s">
        <v>50</v>
      </c>
      <c r="B60" s="1">
        <v>42116</v>
      </c>
      <c r="C60" s="1"/>
      <c r="D60" s="1" t="s">
        <v>7</v>
      </c>
      <c r="E60">
        <v>336.1</v>
      </c>
      <c r="F60">
        <v>13</v>
      </c>
      <c r="G60">
        <v>30</v>
      </c>
      <c r="H60">
        <v>660</v>
      </c>
      <c r="I60">
        <v>47</v>
      </c>
      <c r="J60">
        <v>119</v>
      </c>
      <c r="K60">
        <f t="shared" si="1"/>
        <v>129</v>
      </c>
    </row>
    <row r="61" spans="1:11" x14ac:dyDescent="0.45">
      <c r="A61" t="s">
        <v>51</v>
      </c>
      <c r="B61" s="1">
        <v>42095</v>
      </c>
      <c r="C61" s="1"/>
      <c r="D61" s="1" t="s">
        <v>7</v>
      </c>
      <c r="E61">
        <v>434.3</v>
      </c>
      <c r="F61">
        <v>13.6</v>
      </c>
      <c r="G61">
        <v>29</v>
      </c>
      <c r="H61">
        <v>650</v>
      </c>
      <c r="I61">
        <v>44</v>
      </c>
      <c r="J61">
        <v>98</v>
      </c>
      <c r="K61">
        <f t="shared" si="1"/>
        <v>108</v>
      </c>
    </row>
    <row r="62" spans="1:11" x14ac:dyDescent="0.45">
      <c r="A62" t="s">
        <v>53</v>
      </c>
      <c r="B62" s="1">
        <v>42123</v>
      </c>
      <c r="C62" s="1" t="s">
        <v>86</v>
      </c>
      <c r="D62" s="1" t="s">
        <v>7</v>
      </c>
      <c r="E62">
        <v>435</v>
      </c>
      <c r="F62">
        <v>15.3</v>
      </c>
      <c r="G62">
        <v>26</v>
      </c>
      <c r="H62">
        <v>1060</v>
      </c>
      <c r="I62">
        <v>56</v>
      </c>
      <c r="J62">
        <v>126</v>
      </c>
      <c r="K62">
        <f t="shared" si="1"/>
        <v>136</v>
      </c>
    </row>
    <row r="63" spans="1:11" x14ac:dyDescent="0.45">
      <c r="A63" t="s">
        <v>52</v>
      </c>
      <c r="B63" s="1">
        <v>42096</v>
      </c>
      <c r="C63" s="1"/>
      <c r="D63" s="1" t="s">
        <v>7</v>
      </c>
      <c r="E63">
        <v>410.7</v>
      </c>
      <c r="F63">
        <v>13.4</v>
      </c>
      <c r="G63">
        <v>25</v>
      </c>
      <c r="H63">
        <v>570</v>
      </c>
      <c r="I63">
        <v>44</v>
      </c>
      <c r="J63">
        <v>99</v>
      </c>
      <c r="K63">
        <f t="shared" si="1"/>
        <v>109</v>
      </c>
    </row>
    <row r="64" spans="1:11" x14ac:dyDescent="0.45">
      <c r="A64" t="s">
        <v>57</v>
      </c>
      <c r="B64" s="1">
        <v>43220</v>
      </c>
      <c r="C64" s="1"/>
      <c r="D64" s="1" t="s">
        <v>7</v>
      </c>
      <c r="E64">
        <v>250</v>
      </c>
      <c r="F64">
        <v>12</v>
      </c>
      <c r="G64">
        <v>20</v>
      </c>
      <c r="H64">
        <v>550</v>
      </c>
      <c r="I64">
        <v>38</v>
      </c>
      <c r="J64">
        <v>95</v>
      </c>
      <c r="K64">
        <f t="shared" si="1"/>
        <v>105</v>
      </c>
    </row>
    <row r="65" spans="1:11" x14ac:dyDescent="0.45">
      <c r="A65" t="s">
        <v>56</v>
      </c>
      <c r="B65" s="1">
        <v>43226</v>
      </c>
      <c r="C65" s="1"/>
      <c r="D65" s="1" t="s">
        <v>7</v>
      </c>
      <c r="E65">
        <v>302</v>
      </c>
      <c r="F65">
        <v>14</v>
      </c>
      <c r="G65">
        <v>18</v>
      </c>
      <c r="H65">
        <v>600</v>
      </c>
      <c r="I65">
        <v>46</v>
      </c>
      <c r="J65">
        <v>101</v>
      </c>
      <c r="K65">
        <f t="shared" si="1"/>
        <v>111</v>
      </c>
    </row>
    <row r="66" spans="1:11" x14ac:dyDescent="0.45">
      <c r="A66" t="s">
        <v>55</v>
      </c>
      <c r="B66" s="1">
        <v>43233</v>
      </c>
      <c r="C66" s="1" t="s">
        <v>86</v>
      </c>
      <c r="D66" s="1" t="s">
        <v>7</v>
      </c>
      <c r="E66">
        <v>360</v>
      </c>
      <c r="F66">
        <v>15</v>
      </c>
      <c r="G66">
        <v>20</v>
      </c>
      <c r="H66">
        <v>800</v>
      </c>
      <c r="I66">
        <v>55</v>
      </c>
      <c r="J66">
        <v>108</v>
      </c>
      <c r="K66">
        <f t="shared" si="1"/>
        <v>118</v>
      </c>
    </row>
    <row r="67" spans="1:11" x14ac:dyDescent="0.45">
      <c r="A67" t="s">
        <v>54</v>
      </c>
      <c r="B67" s="1">
        <v>43242</v>
      </c>
      <c r="C67" s="1"/>
      <c r="D67" s="1" t="s">
        <v>7</v>
      </c>
      <c r="E67">
        <v>450</v>
      </c>
      <c r="F67">
        <v>16</v>
      </c>
      <c r="G67">
        <v>27</v>
      </c>
      <c r="H67">
        <v>850</v>
      </c>
      <c r="I67">
        <v>62</v>
      </c>
      <c r="J67">
        <v>117</v>
      </c>
      <c r="K67">
        <f t="shared" si="1"/>
        <v>127</v>
      </c>
    </row>
    <row r="68" spans="1:11" x14ac:dyDescent="0.45">
      <c r="A68" t="s">
        <v>58</v>
      </c>
      <c r="B68" s="1">
        <v>43217</v>
      </c>
      <c r="C68" s="1"/>
      <c r="D68" s="1" t="s">
        <v>7</v>
      </c>
      <c r="E68">
        <v>185</v>
      </c>
      <c r="F68">
        <v>11</v>
      </c>
      <c r="G68">
        <v>16</v>
      </c>
      <c r="H68">
        <v>480</v>
      </c>
      <c r="I68">
        <v>36</v>
      </c>
      <c r="J68">
        <v>92</v>
      </c>
      <c r="K68">
        <f t="shared" si="1"/>
        <v>102</v>
      </c>
    </row>
    <row r="69" spans="1:11" x14ac:dyDescent="0.45">
      <c r="A69" t="s">
        <v>90</v>
      </c>
      <c r="B69" s="1">
        <v>43240</v>
      </c>
      <c r="C69" s="1"/>
      <c r="D69" s="1" t="s">
        <v>7</v>
      </c>
      <c r="F69">
        <v>16</v>
      </c>
      <c r="G69">
        <v>25</v>
      </c>
      <c r="H69">
        <v>750</v>
      </c>
      <c r="I69">
        <v>63</v>
      </c>
      <c r="J69">
        <v>115</v>
      </c>
      <c r="K69">
        <f t="shared" si="1"/>
        <v>125</v>
      </c>
    </row>
    <row r="70" spans="1:11" x14ac:dyDescent="0.45">
      <c r="A70" t="s">
        <v>71</v>
      </c>
      <c r="B70" s="1">
        <v>41389</v>
      </c>
      <c r="C70" s="1"/>
      <c r="D70" s="1" t="s">
        <v>7</v>
      </c>
      <c r="E70">
        <v>254</v>
      </c>
      <c r="I70">
        <v>62</v>
      </c>
    </row>
    <row r="71" spans="1:11" x14ac:dyDescent="0.45">
      <c r="A71" t="s">
        <v>72</v>
      </c>
      <c r="B71" s="1">
        <v>41389</v>
      </c>
      <c r="C71" s="1"/>
      <c r="D71" s="1" t="s">
        <v>7</v>
      </c>
      <c r="E71">
        <v>239.8</v>
      </c>
      <c r="I71">
        <v>62</v>
      </c>
    </row>
    <row r="72" spans="1:11" x14ac:dyDescent="0.45">
      <c r="A72" t="s">
        <v>73</v>
      </c>
      <c r="B72" s="1">
        <v>41389</v>
      </c>
      <c r="C72" s="1"/>
      <c r="D72" s="1" t="s">
        <v>7</v>
      </c>
      <c r="E72">
        <v>253.8</v>
      </c>
      <c r="I72">
        <v>64</v>
      </c>
    </row>
    <row r="73" spans="1:11" x14ac:dyDescent="0.45">
      <c r="A73" t="s">
        <v>74</v>
      </c>
      <c r="B73" s="1">
        <v>41389</v>
      </c>
      <c r="C73" s="1"/>
      <c r="D73" s="1" t="s">
        <v>7</v>
      </c>
      <c r="E73">
        <v>272.2</v>
      </c>
      <c r="I73">
        <v>62</v>
      </c>
    </row>
    <row r="74" spans="1:11" x14ac:dyDescent="0.45">
      <c r="A74" t="s">
        <v>75</v>
      </c>
      <c r="B74" s="1">
        <v>41389</v>
      </c>
      <c r="C74" s="1"/>
      <c r="D74" s="1" t="s">
        <v>7</v>
      </c>
      <c r="E74">
        <v>209.7</v>
      </c>
      <c r="I74">
        <v>62</v>
      </c>
    </row>
    <row r="75" spans="1:11" x14ac:dyDescent="0.45">
      <c r="A75" t="s">
        <v>76</v>
      </c>
      <c r="B75" s="1">
        <v>41389</v>
      </c>
      <c r="C75" s="1"/>
      <c r="D75" s="1" t="s">
        <v>7</v>
      </c>
      <c r="E75">
        <v>275.2</v>
      </c>
      <c r="I75">
        <v>64</v>
      </c>
    </row>
    <row r="76" spans="1:11" x14ac:dyDescent="0.45">
      <c r="A76" t="s">
        <v>77</v>
      </c>
      <c r="B76" s="1">
        <v>41389</v>
      </c>
      <c r="C76" s="1"/>
      <c r="D76" s="1" t="s">
        <v>7</v>
      </c>
      <c r="E76">
        <v>254</v>
      </c>
      <c r="I76">
        <v>62</v>
      </c>
    </row>
    <row r="77" spans="1:11" x14ac:dyDescent="0.45">
      <c r="A77" t="s">
        <v>78</v>
      </c>
      <c r="B77" s="1">
        <v>41389</v>
      </c>
      <c r="C77" s="1"/>
      <c r="D77" s="1" t="s">
        <v>7</v>
      </c>
      <c r="E77">
        <v>239.8</v>
      </c>
      <c r="I77">
        <v>62</v>
      </c>
    </row>
    <row r="78" spans="1:11" x14ac:dyDescent="0.45">
      <c r="A78" t="s">
        <v>79</v>
      </c>
      <c r="B78" s="1">
        <v>41389</v>
      </c>
      <c r="C78" s="1"/>
      <c r="D78" s="1" t="s">
        <v>7</v>
      </c>
      <c r="E78">
        <v>253.8</v>
      </c>
      <c r="I78">
        <v>64</v>
      </c>
    </row>
    <row r="79" spans="1:11" x14ac:dyDescent="0.45">
      <c r="A79" t="s">
        <v>80</v>
      </c>
      <c r="B79" s="1">
        <v>41389</v>
      </c>
      <c r="C79" s="1"/>
      <c r="D79" s="1" t="s">
        <v>7</v>
      </c>
      <c r="E79">
        <v>272.2</v>
      </c>
      <c r="I79">
        <v>62</v>
      </c>
    </row>
    <row r="80" spans="1:11" x14ac:dyDescent="0.45">
      <c r="A80" t="s">
        <v>81</v>
      </c>
      <c r="B80" s="1">
        <v>41389</v>
      </c>
      <c r="C80" s="1"/>
      <c r="D80" s="1" t="s">
        <v>7</v>
      </c>
      <c r="E80">
        <v>209.7</v>
      </c>
      <c r="I80">
        <v>62</v>
      </c>
    </row>
    <row r="81" spans="1:9" x14ac:dyDescent="0.45">
      <c r="A81" t="s">
        <v>82</v>
      </c>
      <c r="B81" s="1">
        <v>41389</v>
      </c>
      <c r="C81" s="1"/>
      <c r="D81" s="1" t="s">
        <v>7</v>
      </c>
      <c r="E81">
        <v>275.2</v>
      </c>
      <c r="I81">
        <v>64</v>
      </c>
    </row>
  </sheetData>
  <autoFilter ref="A1:K1" xr:uid="{4DCBEA13-5541-477D-BC16-63D25DFD87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 Nguyen</dc:creator>
  <cp:lastModifiedBy>Huth, Neil (A&amp;F, Toowoomba)</cp:lastModifiedBy>
  <dcterms:created xsi:type="dcterms:W3CDTF">2024-11-06T01:32:27Z</dcterms:created>
  <dcterms:modified xsi:type="dcterms:W3CDTF">2025-01-06T05:11:39Z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2024-11-06T01:35:35Z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7eeba848-b81b-4e11-845b-d13a7743642e</vt:lpwstr>
  </property>
  <property fmtid="{D5CDD505-2E9C-101B-9397-08002B2CF9AE}" pid="8" name="MSIP_Label_0f488380-630a-4f55-a077-a19445e3f360_ContentBits">
    <vt:lpwstr>0</vt:lpwstr>
  </property>
</Properties>
</file>